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morenoa\Desktop\Reports Automation\"/>
    </mc:Choice>
  </mc:AlternateContent>
  <xr:revisionPtr revIDLastSave="0" documentId="8_{8105766A-B9D2-4BD7-9DB2-F2B44B471DD4}" xr6:coauthVersionLast="47" xr6:coauthVersionMax="47" xr10:uidLastSave="{00000000-0000-0000-0000-000000000000}"/>
  <bookViews>
    <workbookView xWindow="380" yWindow="380" windowWidth="14400" windowHeight="8170" firstSheet="19" activeTab="23" xr2:uid="{AF331108-C594-4940-8534-C11397EC4417}"/>
  </bookViews>
  <sheets>
    <sheet name="201_YTD" sheetId="2" r:id="rId1"/>
    <sheet name="201_QTD" sheetId="3" r:id="rId2"/>
    <sheet name="201_MTD" sheetId="4" r:id="rId3"/>
    <sheet name="202_YTD" sheetId="5" r:id="rId4"/>
    <sheet name="203_YTD" sheetId="6" r:id="rId5"/>
    <sheet name="203_QTD" sheetId="7" r:id="rId6"/>
    <sheet name="203_MTD" sheetId="8" r:id="rId7"/>
    <sheet name="204_YTD" sheetId="9" r:id="rId8"/>
    <sheet name="205_YTD" sheetId="10" r:id="rId9"/>
    <sheet name="205_MTD" sheetId="11" r:id="rId10"/>
    <sheet name="206_YTD" sheetId="12" r:id="rId11"/>
    <sheet name="210B_YTD" sheetId="13" r:id="rId12"/>
    <sheet name="211B_YTD" sheetId="14" r:id="rId13"/>
    <sheet name="212B_YTD" sheetId="15" r:id="rId14"/>
    <sheet name="315_YTD" sheetId="16" r:id="rId15"/>
    <sheet name="315_QTD" sheetId="17" r:id="rId16"/>
    <sheet name="315_MTD" sheetId="18" r:id="rId17"/>
    <sheet name="316_SFP" sheetId="19" r:id="rId18"/>
    <sheet name="317_SCF" sheetId="20" r:id="rId19"/>
    <sheet name="402_YTD" sheetId="21" r:id="rId20"/>
    <sheet name="402_MTD" sheetId="22" r:id="rId21"/>
    <sheet name="402_QTD" sheetId="23" r:id="rId22"/>
    <sheet name="404_YTD" sheetId="24" r:id="rId23"/>
    <sheet name="404_MTD" sheetId="25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0" i="25" l="1"/>
  <c r="J50" i="25"/>
  <c r="I50" i="25"/>
  <c r="H50" i="25"/>
  <c r="G50" i="25"/>
  <c r="F50" i="25"/>
  <c r="E50" i="25"/>
  <c r="D50" i="25"/>
  <c r="N48" i="25"/>
  <c r="M48" i="25"/>
  <c r="L48" i="25"/>
  <c r="K48" i="25"/>
  <c r="K50" i="25" s="1"/>
  <c r="J48" i="25"/>
  <c r="I48" i="25"/>
  <c r="H48" i="25"/>
  <c r="G48" i="25"/>
  <c r="F48" i="25"/>
  <c r="E48" i="25"/>
  <c r="D48" i="25"/>
  <c r="N29" i="25"/>
  <c r="N50" i="25" s="1"/>
  <c r="M29" i="25"/>
  <c r="M50" i="25" s="1"/>
  <c r="L29" i="25"/>
  <c r="K29" i="25"/>
  <c r="J29" i="25"/>
  <c r="I29" i="25"/>
  <c r="H29" i="25"/>
  <c r="G29" i="25"/>
  <c r="F29" i="25"/>
  <c r="E29" i="25"/>
  <c r="D29" i="25"/>
  <c r="K50" i="24"/>
  <c r="J50" i="24"/>
  <c r="I50" i="24"/>
  <c r="H50" i="24"/>
  <c r="G50" i="24"/>
  <c r="F50" i="24"/>
  <c r="E50" i="24"/>
  <c r="D50" i="24"/>
  <c r="N48" i="24"/>
  <c r="M48" i="24"/>
  <c r="L48" i="24"/>
  <c r="L50" i="24" s="1"/>
  <c r="K48" i="24"/>
  <c r="J48" i="24"/>
  <c r="I48" i="24"/>
  <c r="H48" i="24"/>
  <c r="G48" i="24"/>
  <c r="F48" i="24"/>
  <c r="E48" i="24"/>
  <c r="D48" i="24"/>
  <c r="N29" i="24"/>
  <c r="N50" i="24" s="1"/>
  <c r="M29" i="24"/>
  <c r="M50" i="24" s="1"/>
  <c r="L29" i="24"/>
  <c r="K29" i="24"/>
  <c r="J29" i="24"/>
  <c r="I29" i="24"/>
  <c r="H29" i="24"/>
  <c r="G29" i="24"/>
  <c r="F29" i="24"/>
  <c r="E29" i="24"/>
  <c r="D29" i="24"/>
  <c r="AE218" i="23"/>
  <c r="AD218" i="23"/>
  <c r="AC218" i="23"/>
  <c r="AC220" i="23" s="1"/>
  <c r="AB218" i="23"/>
  <c r="AB220" i="23" s="1"/>
  <c r="AA218" i="23"/>
  <c r="AA220" i="23" s="1"/>
  <c r="Z218" i="23"/>
  <c r="Z220" i="23" s="1"/>
  <c r="Y218" i="23"/>
  <c r="X218" i="23"/>
  <c r="W218" i="23"/>
  <c r="V218" i="23"/>
  <c r="U218" i="23"/>
  <c r="T218" i="23"/>
  <c r="S218" i="23"/>
  <c r="R218" i="23"/>
  <c r="Q218" i="23"/>
  <c r="Q220" i="23" s="1"/>
  <c r="P218" i="23"/>
  <c r="P220" i="23" s="1"/>
  <c r="O218" i="23"/>
  <c r="O220" i="23" s="1"/>
  <c r="N218" i="23"/>
  <c r="N220" i="23" s="1"/>
  <c r="M218" i="23"/>
  <c r="M220" i="23" s="1"/>
  <c r="L218" i="23"/>
  <c r="L220" i="23" s="1"/>
  <c r="K218" i="23"/>
  <c r="K220" i="23" s="1"/>
  <c r="E218" i="23"/>
  <c r="G217" i="23"/>
  <c r="I217" i="23" s="1"/>
  <c r="G216" i="23"/>
  <c r="I216" i="23" s="1"/>
  <c r="G215" i="23"/>
  <c r="I215" i="23" s="1"/>
  <c r="G214" i="23"/>
  <c r="I214" i="23" s="1"/>
  <c r="G213" i="23"/>
  <c r="I213" i="23" s="1"/>
  <c r="G212" i="23"/>
  <c r="I212" i="23" s="1"/>
  <c r="G211" i="23"/>
  <c r="I211" i="23" s="1"/>
  <c r="G210" i="23"/>
  <c r="I210" i="23" s="1"/>
  <c r="G209" i="23"/>
  <c r="I209" i="23" s="1"/>
  <c r="G208" i="23"/>
  <c r="I208" i="23" s="1"/>
  <c r="G207" i="23"/>
  <c r="I207" i="23" s="1"/>
  <c r="G206" i="23"/>
  <c r="I206" i="23" s="1"/>
  <c r="G205" i="23"/>
  <c r="I205" i="23" s="1"/>
  <c r="G204" i="23"/>
  <c r="I204" i="23" s="1"/>
  <c r="G203" i="23"/>
  <c r="I203" i="23" s="1"/>
  <c r="I202" i="23"/>
  <c r="G202" i="23"/>
  <c r="G201" i="23"/>
  <c r="I201" i="23" s="1"/>
  <c r="G200" i="23"/>
  <c r="I200" i="23" s="1"/>
  <c r="G199" i="23"/>
  <c r="I199" i="23" s="1"/>
  <c r="G198" i="23"/>
  <c r="I198" i="23" s="1"/>
  <c r="G197" i="23"/>
  <c r="I197" i="23" s="1"/>
  <c r="G196" i="23"/>
  <c r="I196" i="23" s="1"/>
  <c r="G195" i="23"/>
  <c r="I195" i="23" s="1"/>
  <c r="I194" i="23"/>
  <c r="G194" i="23"/>
  <c r="G193" i="23"/>
  <c r="I193" i="23" s="1"/>
  <c r="G192" i="23"/>
  <c r="I192" i="23" s="1"/>
  <c r="G191" i="23"/>
  <c r="I191" i="23" s="1"/>
  <c r="G190" i="23"/>
  <c r="I190" i="23" s="1"/>
  <c r="G189" i="23"/>
  <c r="I189" i="23" s="1"/>
  <c r="G188" i="23"/>
  <c r="I188" i="23" s="1"/>
  <c r="G187" i="23"/>
  <c r="I187" i="23" s="1"/>
  <c r="G186" i="23"/>
  <c r="I186" i="23" s="1"/>
  <c r="G185" i="23"/>
  <c r="I185" i="23" s="1"/>
  <c r="G184" i="23"/>
  <c r="I184" i="23" s="1"/>
  <c r="G183" i="23"/>
  <c r="I183" i="23" s="1"/>
  <c r="G182" i="23"/>
  <c r="I182" i="23" s="1"/>
  <c r="G181" i="23"/>
  <c r="I181" i="23" s="1"/>
  <c r="G180" i="23"/>
  <c r="I180" i="23" s="1"/>
  <c r="G179" i="23"/>
  <c r="I179" i="23" s="1"/>
  <c r="I178" i="23"/>
  <c r="G178" i="23"/>
  <c r="G177" i="23"/>
  <c r="I177" i="23" s="1"/>
  <c r="G176" i="23"/>
  <c r="I176" i="23" s="1"/>
  <c r="G175" i="23"/>
  <c r="I175" i="23" s="1"/>
  <c r="G174" i="23"/>
  <c r="I174" i="23" s="1"/>
  <c r="G173" i="23"/>
  <c r="I173" i="23" s="1"/>
  <c r="G172" i="23"/>
  <c r="I172" i="23" s="1"/>
  <c r="I171" i="23"/>
  <c r="G171" i="23"/>
  <c r="G170" i="23"/>
  <c r="I170" i="23" s="1"/>
  <c r="G169" i="23"/>
  <c r="I169" i="23" s="1"/>
  <c r="G168" i="23"/>
  <c r="I168" i="23" s="1"/>
  <c r="G167" i="23"/>
  <c r="I167" i="23" s="1"/>
  <c r="G166" i="23"/>
  <c r="I166" i="23" s="1"/>
  <c r="G165" i="23"/>
  <c r="I165" i="23" s="1"/>
  <c r="I164" i="23"/>
  <c r="G164" i="23"/>
  <c r="G163" i="23"/>
  <c r="I163" i="23" s="1"/>
  <c r="G162" i="23"/>
  <c r="I162" i="23" s="1"/>
  <c r="G161" i="23"/>
  <c r="I161" i="23" s="1"/>
  <c r="G160" i="23"/>
  <c r="I160" i="23" s="1"/>
  <c r="G159" i="23"/>
  <c r="I159" i="23" s="1"/>
  <c r="G158" i="23"/>
  <c r="I158" i="23" s="1"/>
  <c r="G157" i="23"/>
  <c r="I157" i="23" s="1"/>
  <c r="G156" i="23"/>
  <c r="I156" i="23" s="1"/>
  <c r="G155" i="23"/>
  <c r="I155" i="23" s="1"/>
  <c r="G154" i="23"/>
  <c r="I154" i="23" s="1"/>
  <c r="G153" i="23"/>
  <c r="I153" i="23" s="1"/>
  <c r="G152" i="23"/>
  <c r="I152" i="23" s="1"/>
  <c r="G151" i="23"/>
  <c r="I151" i="23" s="1"/>
  <c r="G150" i="23"/>
  <c r="I150" i="23" s="1"/>
  <c r="I149" i="23"/>
  <c r="G149" i="23"/>
  <c r="G148" i="23"/>
  <c r="I148" i="23" s="1"/>
  <c r="G147" i="23"/>
  <c r="I147" i="23" s="1"/>
  <c r="G146" i="23"/>
  <c r="I146" i="23" s="1"/>
  <c r="G145" i="23"/>
  <c r="I145" i="23" s="1"/>
  <c r="G144" i="23"/>
  <c r="I144" i="23" s="1"/>
  <c r="G143" i="23"/>
  <c r="I143" i="23" s="1"/>
  <c r="I142" i="23"/>
  <c r="G142" i="23"/>
  <c r="G141" i="23"/>
  <c r="I141" i="23" s="1"/>
  <c r="G140" i="23"/>
  <c r="I140" i="23" s="1"/>
  <c r="G139" i="23"/>
  <c r="I139" i="23" s="1"/>
  <c r="G138" i="23"/>
  <c r="I138" i="23" s="1"/>
  <c r="G137" i="23"/>
  <c r="I137" i="23" s="1"/>
  <c r="G136" i="23"/>
  <c r="I136" i="23" s="1"/>
  <c r="I135" i="23"/>
  <c r="G135" i="23"/>
  <c r="G134" i="23"/>
  <c r="I134" i="23" s="1"/>
  <c r="G133" i="23"/>
  <c r="I133" i="23" s="1"/>
  <c r="G132" i="23"/>
  <c r="I132" i="23" s="1"/>
  <c r="G131" i="23"/>
  <c r="I131" i="23" s="1"/>
  <c r="G130" i="23"/>
  <c r="I130" i="23" s="1"/>
  <c r="G129" i="23"/>
  <c r="I129" i="23" s="1"/>
  <c r="I128" i="23"/>
  <c r="G128" i="23"/>
  <c r="G127" i="23"/>
  <c r="I127" i="23" s="1"/>
  <c r="G126" i="23"/>
  <c r="I126" i="23" s="1"/>
  <c r="G125" i="23"/>
  <c r="I125" i="23" s="1"/>
  <c r="G124" i="23"/>
  <c r="I124" i="23" s="1"/>
  <c r="G123" i="23"/>
  <c r="AE121" i="23"/>
  <c r="AE220" i="23" s="1"/>
  <c r="AD121" i="23"/>
  <c r="AD220" i="23" s="1"/>
  <c r="AC121" i="23"/>
  <c r="AB121" i="23"/>
  <c r="AA121" i="23"/>
  <c r="Z121" i="23"/>
  <c r="Y121" i="23"/>
  <c r="Y220" i="23" s="1"/>
  <c r="X121" i="23"/>
  <c r="X220" i="23" s="1"/>
  <c r="W121" i="23"/>
  <c r="V121" i="23"/>
  <c r="U121" i="23"/>
  <c r="U220" i="23" s="1"/>
  <c r="T121" i="23"/>
  <c r="T220" i="23" s="1"/>
  <c r="S121" i="23"/>
  <c r="S220" i="23" s="1"/>
  <c r="R121" i="23"/>
  <c r="R220" i="23" s="1"/>
  <c r="Q121" i="23"/>
  <c r="P121" i="23"/>
  <c r="O121" i="23"/>
  <c r="N121" i="23"/>
  <c r="M121" i="23"/>
  <c r="L121" i="23"/>
  <c r="K121" i="23"/>
  <c r="E121" i="23"/>
  <c r="E220" i="23" s="1"/>
  <c r="G120" i="23"/>
  <c r="I120" i="23" s="1"/>
  <c r="G119" i="23"/>
  <c r="I119" i="23" s="1"/>
  <c r="G118" i="23"/>
  <c r="I118" i="23" s="1"/>
  <c r="G117" i="23"/>
  <c r="I117" i="23" s="1"/>
  <c r="G116" i="23"/>
  <c r="I116" i="23" s="1"/>
  <c r="G115" i="23"/>
  <c r="I115" i="23" s="1"/>
  <c r="G114" i="23"/>
  <c r="I114" i="23" s="1"/>
  <c r="G113" i="23"/>
  <c r="I113" i="23" s="1"/>
  <c r="G112" i="23"/>
  <c r="I112" i="23" s="1"/>
  <c r="I111" i="23"/>
  <c r="G111" i="23"/>
  <c r="G110" i="23"/>
  <c r="I110" i="23" s="1"/>
  <c r="G109" i="23"/>
  <c r="I109" i="23" s="1"/>
  <c r="G108" i="23"/>
  <c r="I108" i="23" s="1"/>
  <c r="G107" i="23"/>
  <c r="I107" i="23" s="1"/>
  <c r="G106" i="23"/>
  <c r="I106" i="23" s="1"/>
  <c r="G105" i="23"/>
  <c r="I105" i="23" s="1"/>
  <c r="I104" i="23"/>
  <c r="G104" i="23"/>
  <c r="G103" i="23"/>
  <c r="I103" i="23" s="1"/>
  <c r="G102" i="23"/>
  <c r="I102" i="23" s="1"/>
  <c r="G101" i="23"/>
  <c r="I101" i="23" s="1"/>
  <c r="G100" i="23"/>
  <c r="I100" i="23" s="1"/>
  <c r="G99" i="23"/>
  <c r="I99" i="23" s="1"/>
  <c r="G98" i="23"/>
  <c r="I98" i="23" s="1"/>
  <c r="I97" i="23"/>
  <c r="G97" i="23"/>
  <c r="G96" i="23"/>
  <c r="I96" i="23" s="1"/>
  <c r="G95" i="23"/>
  <c r="I95" i="23" s="1"/>
  <c r="G94" i="23"/>
  <c r="I94" i="23" s="1"/>
  <c r="G93" i="23"/>
  <c r="I93" i="23" s="1"/>
  <c r="G92" i="23"/>
  <c r="I92" i="23" s="1"/>
  <c r="G91" i="23"/>
  <c r="I91" i="23" s="1"/>
  <c r="I90" i="23"/>
  <c r="G90" i="23"/>
  <c r="G89" i="23"/>
  <c r="I89" i="23" s="1"/>
  <c r="G88" i="23"/>
  <c r="I88" i="23" s="1"/>
  <c r="G87" i="23"/>
  <c r="I87" i="23" s="1"/>
  <c r="G86" i="23"/>
  <c r="I86" i="23" s="1"/>
  <c r="G85" i="23"/>
  <c r="I85" i="23" s="1"/>
  <c r="G84" i="23"/>
  <c r="I84" i="23" s="1"/>
  <c r="G83" i="23"/>
  <c r="I83" i="23" s="1"/>
  <c r="G82" i="23"/>
  <c r="I82" i="23" s="1"/>
  <c r="G81" i="23"/>
  <c r="I81" i="23" s="1"/>
  <c r="G80" i="23"/>
  <c r="I80" i="23" s="1"/>
  <c r="G79" i="23"/>
  <c r="I79" i="23" s="1"/>
  <c r="G78" i="23"/>
  <c r="I78" i="23" s="1"/>
  <c r="G77" i="23"/>
  <c r="I77" i="23" s="1"/>
  <c r="G76" i="23"/>
  <c r="I76" i="23" s="1"/>
  <c r="I75" i="23"/>
  <c r="G75" i="23"/>
  <c r="G74" i="23"/>
  <c r="I74" i="23" s="1"/>
  <c r="G73" i="23"/>
  <c r="I73" i="23" s="1"/>
  <c r="G72" i="23"/>
  <c r="I72" i="23" s="1"/>
  <c r="G71" i="23"/>
  <c r="I71" i="23" s="1"/>
  <c r="G70" i="23"/>
  <c r="I70" i="23" s="1"/>
  <c r="G69" i="23"/>
  <c r="I69" i="23" s="1"/>
  <c r="I68" i="23"/>
  <c r="G68" i="23"/>
  <c r="G67" i="23"/>
  <c r="I67" i="23" s="1"/>
  <c r="G66" i="23"/>
  <c r="I66" i="23" s="1"/>
  <c r="G65" i="23"/>
  <c r="I65" i="23" s="1"/>
  <c r="G64" i="23"/>
  <c r="I64" i="23" s="1"/>
  <c r="G63" i="23"/>
  <c r="I63" i="23" s="1"/>
  <c r="G62" i="23"/>
  <c r="I62" i="23" s="1"/>
  <c r="I61" i="23"/>
  <c r="G61" i="23"/>
  <c r="G60" i="23"/>
  <c r="I60" i="23" s="1"/>
  <c r="G59" i="23"/>
  <c r="I59" i="23" s="1"/>
  <c r="G58" i="23"/>
  <c r="I58" i="23" s="1"/>
  <c r="G57" i="23"/>
  <c r="I57" i="23" s="1"/>
  <c r="G56" i="23"/>
  <c r="I56" i="23" s="1"/>
  <c r="G55" i="23"/>
  <c r="I55" i="23" s="1"/>
  <c r="I54" i="23"/>
  <c r="G54" i="23"/>
  <c r="G53" i="23"/>
  <c r="I53" i="23" s="1"/>
  <c r="G52" i="23"/>
  <c r="I52" i="23" s="1"/>
  <c r="G51" i="23"/>
  <c r="I51" i="23" s="1"/>
  <c r="G50" i="23"/>
  <c r="I50" i="23" s="1"/>
  <c r="G49" i="23"/>
  <c r="I49" i="23" s="1"/>
  <c r="G48" i="23"/>
  <c r="I48" i="23" s="1"/>
  <c r="G47" i="23"/>
  <c r="I47" i="23" s="1"/>
  <c r="G46" i="23"/>
  <c r="I46" i="23" s="1"/>
  <c r="G45" i="23"/>
  <c r="I45" i="23" s="1"/>
  <c r="G44" i="23"/>
  <c r="I44" i="23" s="1"/>
  <c r="G43" i="23"/>
  <c r="I43" i="23" s="1"/>
  <c r="G42" i="23"/>
  <c r="I42" i="23" s="1"/>
  <c r="G41" i="23"/>
  <c r="I41" i="23" s="1"/>
  <c r="G40" i="23"/>
  <c r="I40" i="23" s="1"/>
  <c r="I39" i="23"/>
  <c r="G39" i="23"/>
  <c r="G38" i="23"/>
  <c r="I38" i="23" s="1"/>
  <c r="G37" i="23"/>
  <c r="I37" i="23" s="1"/>
  <c r="G36" i="23"/>
  <c r="I36" i="23" s="1"/>
  <c r="G35" i="23"/>
  <c r="I35" i="23" s="1"/>
  <c r="G34" i="23"/>
  <c r="I34" i="23" s="1"/>
  <c r="G33" i="23"/>
  <c r="I33" i="23" s="1"/>
  <c r="I32" i="23"/>
  <c r="G32" i="23"/>
  <c r="G31" i="23"/>
  <c r="I31" i="23" s="1"/>
  <c r="G30" i="23"/>
  <c r="I30" i="23" s="1"/>
  <c r="G29" i="23"/>
  <c r="I29" i="23" s="1"/>
  <c r="G28" i="23"/>
  <c r="I28" i="23" s="1"/>
  <c r="G27" i="23"/>
  <c r="I27" i="23" s="1"/>
  <c r="G26" i="23"/>
  <c r="I26" i="23" s="1"/>
  <c r="I25" i="23"/>
  <c r="G25" i="23"/>
  <c r="G24" i="23"/>
  <c r="I24" i="23" s="1"/>
  <c r="G23" i="23"/>
  <c r="I23" i="23" s="1"/>
  <c r="G22" i="23"/>
  <c r="I22" i="23" s="1"/>
  <c r="G21" i="23"/>
  <c r="I21" i="23" s="1"/>
  <c r="G20" i="23"/>
  <c r="I20" i="23" s="1"/>
  <c r="G19" i="23"/>
  <c r="I19" i="23" s="1"/>
  <c r="I18" i="23"/>
  <c r="G18" i="23"/>
  <c r="G17" i="23"/>
  <c r="I17" i="23" s="1"/>
  <c r="G16" i="23"/>
  <c r="I16" i="23" s="1"/>
  <c r="G15" i="23"/>
  <c r="I15" i="23" s="1"/>
  <c r="G14" i="23"/>
  <c r="I14" i="23" s="1"/>
  <c r="G13" i="23"/>
  <c r="I13" i="23" s="1"/>
  <c r="G12" i="23"/>
  <c r="Z220" i="22"/>
  <c r="Y220" i="22"/>
  <c r="X220" i="22"/>
  <c r="W220" i="22"/>
  <c r="V220" i="22"/>
  <c r="U220" i="22"/>
  <c r="T220" i="22"/>
  <c r="S220" i="22"/>
  <c r="N220" i="22"/>
  <c r="M220" i="22"/>
  <c r="L220" i="22"/>
  <c r="K220" i="22"/>
  <c r="AD218" i="22"/>
  <c r="AC218" i="22"/>
  <c r="AB218" i="22"/>
  <c r="AA218" i="22"/>
  <c r="Z218" i="22"/>
  <c r="Y218" i="22"/>
  <c r="X218" i="22"/>
  <c r="W218" i="22"/>
  <c r="V218" i="22"/>
  <c r="U218" i="22"/>
  <c r="T218" i="22"/>
  <c r="S218" i="22"/>
  <c r="R218" i="22"/>
  <c r="Q218" i="22"/>
  <c r="P218" i="22"/>
  <c r="O218" i="22"/>
  <c r="N218" i="22"/>
  <c r="M218" i="22"/>
  <c r="L218" i="22"/>
  <c r="K218" i="22"/>
  <c r="E218" i="22"/>
  <c r="E220" i="22" s="1"/>
  <c r="I217" i="22"/>
  <c r="G217" i="22"/>
  <c r="G216" i="22"/>
  <c r="I216" i="22" s="1"/>
  <c r="G215" i="22"/>
  <c r="I215" i="22" s="1"/>
  <c r="G214" i="22"/>
  <c r="I214" i="22" s="1"/>
  <c r="G213" i="22"/>
  <c r="I213" i="22" s="1"/>
  <c r="G212" i="22"/>
  <c r="I212" i="22" s="1"/>
  <c r="G211" i="22"/>
  <c r="I211" i="22" s="1"/>
  <c r="G210" i="22"/>
  <c r="I210" i="22" s="1"/>
  <c r="G209" i="22"/>
  <c r="I209" i="22" s="1"/>
  <c r="G208" i="22"/>
  <c r="I208" i="22" s="1"/>
  <c r="G207" i="22"/>
  <c r="I207" i="22" s="1"/>
  <c r="G206" i="22"/>
  <c r="I206" i="22" s="1"/>
  <c r="G205" i="22"/>
  <c r="I205" i="22" s="1"/>
  <c r="G204" i="22"/>
  <c r="I204" i="22" s="1"/>
  <c r="G203" i="22"/>
  <c r="I203" i="22" s="1"/>
  <c r="G202" i="22"/>
  <c r="I202" i="22" s="1"/>
  <c r="G201" i="22"/>
  <c r="I201" i="22" s="1"/>
  <c r="G200" i="22"/>
  <c r="I200" i="22" s="1"/>
  <c r="G199" i="22"/>
  <c r="I199" i="22" s="1"/>
  <c r="G198" i="22"/>
  <c r="I198" i="22" s="1"/>
  <c r="G197" i="22"/>
  <c r="I197" i="22" s="1"/>
  <c r="G196" i="22"/>
  <c r="I196" i="22" s="1"/>
  <c r="G195" i="22"/>
  <c r="I195" i="22" s="1"/>
  <c r="G194" i="22"/>
  <c r="I194" i="22" s="1"/>
  <c r="G193" i="22"/>
  <c r="I193" i="22" s="1"/>
  <c r="G192" i="22"/>
  <c r="I192" i="22" s="1"/>
  <c r="G191" i="22"/>
  <c r="I191" i="22" s="1"/>
  <c r="G190" i="22"/>
  <c r="I190" i="22" s="1"/>
  <c r="G189" i="22"/>
  <c r="I189" i="22" s="1"/>
  <c r="G188" i="22"/>
  <c r="I188" i="22" s="1"/>
  <c r="G187" i="22"/>
  <c r="I187" i="22" s="1"/>
  <c r="G186" i="22"/>
  <c r="I186" i="22" s="1"/>
  <c r="G185" i="22"/>
  <c r="I185" i="22" s="1"/>
  <c r="G184" i="22"/>
  <c r="I184" i="22" s="1"/>
  <c r="G183" i="22"/>
  <c r="I183" i="22" s="1"/>
  <c r="G182" i="22"/>
  <c r="I182" i="22" s="1"/>
  <c r="G181" i="22"/>
  <c r="I181" i="22" s="1"/>
  <c r="G180" i="22"/>
  <c r="I180" i="22" s="1"/>
  <c r="G179" i="22"/>
  <c r="I179" i="22" s="1"/>
  <c r="G178" i="22"/>
  <c r="I178" i="22" s="1"/>
  <c r="G177" i="22"/>
  <c r="I177" i="22" s="1"/>
  <c r="G176" i="22"/>
  <c r="I176" i="22" s="1"/>
  <c r="G175" i="22"/>
  <c r="I175" i="22" s="1"/>
  <c r="G174" i="22"/>
  <c r="I174" i="22" s="1"/>
  <c r="G173" i="22"/>
  <c r="I173" i="22" s="1"/>
  <c r="G172" i="22"/>
  <c r="I172" i="22" s="1"/>
  <c r="G171" i="22"/>
  <c r="I171" i="22" s="1"/>
  <c r="G170" i="22"/>
  <c r="I170" i="22" s="1"/>
  <c r="G169" i="22"/>
  <c r="I169" i="22" s="1"/>
  <c r="G168" i="22"/>
  <c r="I168" i="22" s="1"/>
  <c r="G167" i="22"/>
  <c r="I167" i="22" s="1"/>
  <c r="G166" i="22"/>
  <c r="I166" i="22" s="1"/>
  <c r="G165" i="22"/>
  <c r="I165" i="22" s="1"/>
  <c r="G164" i="22"/>
  <c r="I164" i="22" s="1"/>
  <c r="G163" i="22"/>
  <c r="I163" i="22" s="1"/>
  <c r="G162" i="22"/>
  <c r="I162" i="22" s="1"/>
  <c r="G161" i="22"/>
  <c r="I161" i="22" s="1"/>
  <c r="G160" i="22"/>
  <c r="I160" i="22" s="1"/>
  <c r="G159" i="22"/>
  <c r="I159" i="22" s="1"/>
  <c r="G158" i="22"/>
  <c r="I158" i="22" s="1"/>
  <c r="G157" i="22"/>
  <c r="I157" i="22" s="1"/>
  <c r="G156" i="22"/>
  <c r="I156" i="22" s="1"/>
  <c r="G155" i="22"/>
  <c r="I155" i="22" s="1"/>
  <c r="G154" i="22"/>
  <c r="I154" i="22" s="1"/>
  <c r="G153" i="22"/>
  <c r="I153" i="22" s="1"/>
  <c r="G152" i="22"/>
  <c r="I152" i="22" s="1"/>
  <c r="G151" i="22"/>
  <c r="I151" i="22" s="1"/>
  <c r="G150" i="22"/>
  <c r="I150" i="22" s="1"/>
  <c r="G149" i="22"/>
  <c r="I149" i="22" s="1"/>
  <c r="G148" i="22"/>
  <c r="I148" i="22" s="1"/>
  <c r="G147" i="22"/>
  <c r="I147" i="22" s="1"/>
  <c r="G146" i="22"/>
  <c r="I146" i="22" s="1"/>
  <c r="I145" i="22"/>
  <c r="G145" i="22"/>
  <c r="G144" i="22"/>
  <c r="I144" i="22" s="1"/>
  <c r="G143" i="22"/>
  <c r="I143" i="22" s="1"/>
  <c r="G142" i="22"/>
  <c r="I142" i="22" s="1"/>
  <c r="G141" i="22"/>
  <c r="I141" i="22" s="1"/>
  <c r="G140" i="22"/>
  <c r="I140" i="22" s="1"/>
  <c r="G139" i="22"/>
  <c r="I139" i="22" s="1"/>
  <c r="G138" i="22"/>
  <c r="I138" i="22" s="1"/>
  <c r="G137" i="22"/>
  <c r="I137" i="22" s="1"/>
  <c r="G136" i="22"/>
  <c r="I136" i="22" s="1"/>
  <c r="G135" i="22"/>
  <c r="I135" i="22" s="1"/>
  <c r="G134" i="22"/>
  <c r="I134" i="22" s="1"/>
  <c r="G133" i="22"/>
  <c r="I133" i="22" s="1"/>
  <c r="G132" i="22"/>
  <c r="I132" i="22" s="1"/>
  <c r="G131" i="22"/>
  <c r="I131" i="22" s="1"/>
  <c r="G130" i="22"/>
  <c r="I130" i="22" s="1"/>
  <c r="G129" i="22"/>
  <c r="I129" i="22" s="1"/>
  <c r="G128" i="22"/>
  <c r="I128" i="22" s="1"/>
  <c r="G127" i="22"/>
  <c r="G218" i="22" s="1"/>
  <c r="G126" i="22"/>
  <c r="I126" i="22" s="1"/>
  <c r="G125" i="22"/>
  <c r="I125" i="22" s="1"/>
  <c r="G124" i="22"/>
  <c r="I124" i="22" s="1"/>
  <c r="G123" i="22"/>
  <c r="I123" i="22" s="1"/>
  <c r="AD121" i="22"/>
  <c r="AD220" i="22" s="1"/>
  <c r="AC121" i="22"/>
  <c r="AC220" i="22" s="1"/>
  <c r="AB121" i="22"/>
  <c r="AB220" i="22" s="1"/>
  <c r="AA121" i="22"/>
  <c r="AA220" i="22" s="1"/>
  <c r="Z121" i="22"/>
  <c r="Y121" i="22"/>
  <c r="X121" i="22"/>
  <c r="W121" i="22"/>
  <c r="V121" i="22"/>
  <c r="U121" i="22"/>
  <c r="T121" i="22"/>
  <c r="S121" i="22"/>
  <c r="R121" i="22"/>
  <c r="R220" i="22" s="1"/>
  <c r="Q121" i="22"/>
  <c r="Q220" i="22" s="1"/>
  <c r="P121" i="22"/>
  <c r="P220" i="22" s="1"/>
  <c r="O121" i="22"/>
  <c r="O220" i="22" s="1"/>
  <c r="N121" i="22"/>
  <c r="M121" i="22"/>
  <c r="L121" i="22"/>
  <c r="K121" i="22"/>
  <c r="E121" i="22"/>
  <c r="G120" i="22"/>
  <c r="I120" i="22" s="1"/>
  <c r="G119" i="22"/>
  <c r="I119" i="22" s="1"/>
  <c r="I118" i="22"/>
  <c r="G118" i="22"/>
  <c r="G117" i="22"/>
  <c r="I117" i="22" s="1"/>
  <c r="G116" i="22"/>
  <c r="I116" i="22" s="1"/>
  <c r="G115" i="22"/>
  <c r="I115" i="22" s="1"/>
  <c r="G114" i="22"/>
  <c r="I114" i="22" s="1"/>
  <c r="G113" i="22"/>
  <c r="I113" i="22" s="1"/>
  <c r="I112" i="22"/>
  <c r="G112" i="22"/>
  <c r="G111" i="22"/>
  <c r="I111" i="22" s="1"/>
  <c r="G110" i="22"/>
  <c r="I110" i="22" s="1"/>
  <c r="G109" i="22"/>
  <c r="I109" i="22" s="1"/>
  <c r="G108" i="22"/>
  <c r="I108" i="22" s="1"/>
  <c r="G107" i="22"/>
  <c r="I107" i="22" s="1"/>
  <c r="I106" i="22"/>
  <c r="G106" i="22"/>
  <c r="G105" i="22"/>
  <c r="I105" i="22" s="1"/>
  <c r="G104" i="22"/>
  <c r="I104" i="22" s="1"/>
  <c r="G103" i="22"/>
  <c r="I103" i="22" s="1"/>
  <c r="G102" i="22"/>
  <c r="I102" i="22" s="1"/>
  <c r="G101" i="22"/>
  <c r="I101" i="22" s="1"/>
  <c r="I100" i="22"/>
  <c r="G100" i="22"/>
  <c r="G99" i="22"/>
  <c r="I99" i="22" s="1"/>
  <c r="G98" i="22"/>
  <c r="I98" i="22" s="1"/>
  <c r="G97" i="22"/>
  <c r="I97" i="22" s="1"/>
  <c r="G96" i="22"/>
  <c r="I96" i="22" s="1"/>
  <c r="G95" i="22"/>
  <c r="I95" i="22" s="1"/>
  <c r="I94" i="22"/>
  <c r="G94" i="22"/>
  <c r="G93" i="22"/>
  <c r="I93" i="22" s="1"/>
  <c r="G92" i="22"/>
  <c r="I92" i="22" s="1"/>
  <c r="G91" i="22"/>
  <c r="I91" i="22" s="1"/>
  <c r="G90" i="22"/>
  <c r="I90" i="22" s="1"/>
  <c r="G89" i="22"/>
  <c r="I89" i="22" s="1"/>
  <c r="I88" i="22"/>
  <c r="G88" i="22"/>
  <c r="G87" i="22"/>
  <c r="I87" i="22" s="1"/>
  <c r="G86" i="22"/>
  <c r="I86" i="22" s="1"/>
  <c r="G85" i="22"/>
  <c r="I85" i="22" s="1"/>
  <c r="G84" i="22"/>
  <c r="I84" i="22" s="1"/>
  <c r="G83" i="22"/>
  <c r="I83" i="22" s="1"/>
  <c r="I82" i="22"/>
  <c r="G82" i="22"/>
  <c r="G81" i="22"/>
  <c r="I81" i="22" s="1"/>
  <c r="G80" i="22"/>
  <c r="I80" i="22" s="1"/>
  <c r="G79" i="22"/>
  <c r="I79" i="22" s="1"/>
  <c r="G78" i="22"/>
  <c r="I78" i="22" s="1"/>
  <c r="G77" i="22"/>
  <c r="I77" i="22" s="1"/>
  <c r="I76" i="22"/>
  <c r="G76" i="22"/>
  <c r="G75" i="22"/>
  <c r="I75" i="22" s="1"/>
  <c r="G74" i="22"/>
  <c r="I74" i="22" s="1"/>
  <c r="G73" i="22"/>
  <c r="I73" i="22" s="1"/>
  <c r="G72" i="22"/>
  <c r="I72" i="22" s="1"/>
  <c r="G71" i="22"/>
  <c r="I71" i="22" s="1"/>
  <c r="I70" i="22"/>
  <c r="G70" i="22"/>
  <c r="G69" i="22"/>
  <c r="I69" i="22" s="1"/>
  <c r="G68" i="22"/>
  <c r="I68" i="22" s="1"/>
  <c r="G67" i="22"/>
  <c r="I67" i="22" s="1"/>
  <c r="G66" i="22"/>
  <c r="I66" i="22" s="1"/>
  <c r="G65" i="22"/>
  <c r="I65" i="22" s="1"/>
  <c r="I64" i="22"/>
  <c r="G64" i="22"/>
  <c r="G63" i="22"/>
  <c r="I63" i="22" s="1"/>
  <c r="G62" i="22"/>
  <c r="I62" i="22" s="1"/>
  <c r="G61" i="22"/>
  <c r="I61" i="22" s="1"/>
  <c r="G60" i="22"/>
  <c r="I60" i="22" s="1"/>
  <c r="G59" i="22"/>
  <c r="I59" i="22" s="1"/>
  <c r="I58" i="22"/>
  <c r="G58" i="22"/>
  <c r="G57" i="22"/>
  <c r="I57" i="22" s="1"/>
  <c r="G56" i="22"/>
  <c r="I56" i="22" s="1"/>
  <c r="G55" i="22"/>
  <c r="I55" i="22" s="1"/>
  <c r="G54" i="22"/>
  <c r="I54" i="22" s="1"/>
  <c r="G53" i="22"/>
  <c r="I53" i="22" s="1"/>
  <c r="I52" i="22"/>
  <c r="G52" i="22"/>
  <c r="G51" i="22"/>
  <c r="I51" i="22" s="1"/>
  <c r="G50" i="22"/>
  <c r="I50" i="22" s="1"/>
  <c r="G49" i="22"/>
  <c r="I49" i="22" s="1"/>
  <c r="G48" i="22"/>
  <c r="I48" i="22" s="1"/>
  <c r="G47" i="22"/>
  <c r="I47" i="22" s="1"/>
  <c r="I46" i="22"/>
  <c r="G46" i="22"/>
  <c r="G45" i="22"/>
  <c r="I45" i="22" s="1"/>
  <c r="G44" i="22"/>
  <c r="I44" i="22" s="1"/>
  <c r="G43" i="22"/>
  <c r="I43" i="22" s="1"/>
  <c r="G42" i="22"/>
  <c r="I42" i="22" s="1"/>
  <c r="G41" i="22"/>
  <c r="I41" i="22" s="1"/>
  <c r="I40" i="22"/>
  <c r="G40" i="22"/>
  <c r="G39" i="22"/>
  <c r="I39" i="22" s="1"/>
  <c r="G38" i="22"/>
  <c r="I38" i="22" s="1"/>
  <c r="G37" i="22"/>
  <c r="I37" i="22" s="1"/>
  <c r="G36" i="22"/>
  <c r="I36" i="22" s="1"/>
  <c r="G35" i="22"/>
  <c r="I35" i="22" s="1"/>
  <c r="I34" i="22"/>
  <c r="G34" i="22"/>
  <c r="G33" i="22"/>
  <c r="I33" i="22" s="1"/>
  <c r="G32" i="22"/>
  <c r="I32" i="22" s="1"/>
  <c r="G31" i="22"/>
  <c r="I31" i="22" s="1"/>
  <c r="G30" i="22"/>
  <c r="I30" i="22" s="1"/>
  <c r="G29" i="22"/>
  <c r="I29" i="22" s="1"/>
  <c r="I28" i="22"/>
  <c r="G28" i="22"/>
  <c r="G27" i="22"/>
  <c r="I27" i="22" s="1"/>
  <c r="G26" i="22"/>
  <c r="I26" i="22" s="1"/>
  <c r="G25" i="22"/>
  <c r="I25" i="22" s="1"/>
  <c r="G24" i="22"/>
  <c r="I24" i="22" s="1"/>
  <c r="G23" i="22"/>
  <c r="I23" i="22" s="1"/>
  <c r="I22" i="22"/>
  <c r="G22" i="22"/>
  <c r="G21" i="22"/>
  <c r="I21" i="22" s="1"/>
  <c r="G20" i="22"/>
  <c r="I20" i="22" s="1"/>
  <c r="G19" i="22"/>
  <c r="I19" i="22" s="1"/>
  <c r="G18" i="22"/>
  <c r="I18" i="22" s="1"/>
  <c r="G17" i="22"/>
  <c r="I17" i="22" s="1"/>
  <c r="I16" i="22"/>
  <c r="G16" i="22"/>
  <c r="G15" i="22"/>
  <c r="I15" i="22" s="1"/>
  <c r="G14" i="22"/>
  <c r="I14" i="22" s="1"/>
  <c r="G13" i="22"/>
  <c r="I13" i="22" s="1"/>
  <c r="G12" i="22"/>
  <c r="Z220" i="21"/>
  <c r="Y220" i="21"/>
  <c r="U220" i="21"/>
  <c r="T220" i="21"/>
  <c r="S220" i="21"/>
  <c r="N220" i="21"/>
  <c r="M220" i="21"/>
  <c r="L220" i="21"/>
  <c r="K220" i="21"/>
  <c r="AD218" i="21"/>
  <c r="AC218" i="21"/>
  <c r="AB218" i="21"/>
  <c r="AA218" i="21"/>
  <c r="Z218" i="21"/>
  <c r="Y218" i="21"/>
  <c r="X218" i="21"/>
  <c r="X220" i="21" s="1"/>
  <c r="W218" i="21"/>
  <c r="W220" i="21" s="1"/>
  <c r="V218" i="21"/>
  <c r="V220" i="21" s="1"/>
  <c r="U218" i="21"/>
  <c r="T218" i="21"/>
  <c r="S218" i="21"/>
  <c r="R218" i="21"/>
  <c r="Q218" i="21"/>
  <c r="P218" i="21"/>
  <c r="O218" i="21"/>
  <c r="N218" i="21"/>
  <c r="M218" i="21"/>
  <c r="L218" i="21"/>
  <c r="K218" i="21"/>
  <c r="E218" i="21"/>
  <c r="G217" i="21"/>
  <c r="I217" i="21" s="1"/>
  <c r="G216" i="21"/>
  <c r="I216" i="21" s="1"/>
  <c r="G215" i="21"/>
  <c r="I215" i="21" s="1"/>
  <c r="G214" i="21"/>
  <c r="I214" i="21" s="1"/>
  <c r="G213" i="21"/>
  <c r="I213" i="21" s="1"/>
  <c r="G212" i="21"/>
  <c r="I212" i="21" s="1"/>
  <c r="I211" i="21"/>
  <c r="G211" i="21"/>
  <c r="G210" i="21"/>
  <c r="I210" i="21" s="1"/>
  <c r="G209" i="21"/>
  <c r="I209" i="21" s="1"/>
  <c r="G208" i="21"/>
  <c r="I208" i="21" s="1"/>
  <c r="G207" i="21"/>
  <c r="I207" i="21" s="1"/>
  <c r="G206" i="21"/>
  <c r="I206" i="21" s="1"/>
  <c r="G205" i="21"/>
  <c r="I205" i="21" s="1"/>
  <c r="G204" i="21"/>
  <c r="I204" i="21" s="1"/>
  <c r="G203" i="21"/>
  <c r="I203" i="21" s="1"/>
  <c r="G202" i="21"/>
  <c r="I202" i="21" s="1"/>
  <c r="G201" i="21"/>
  <c r="I201" i="21" s="1"/>
  <c r="G200" i="21"/>
  <c r="I200" i="21" s="1"/>
  <c r="G199" i="21"/>
  <c r="I199" i="21" s="1"/>
  <c r="G198" i="21"/>
  <c r="I198" i="21" s="1"/>
  <c r="G197" i="21"/>
  <c r="I197" i="21" s="1"/>
  <c r="G196" i="21"/>
  <c r="I196" i="21" s="1"/>
  <c r="G195" i="21"/>
  <c r="I195" i="21" s="1"/>
  <c r="G194" i="21"/>
  <c r="I194" i="21" s="1"/>
  <c r="G193" i="21"/>
  <c r="I193" i="21" s="1"/>
  <c r="G192" i="21"/>
  <c r="I192" i="21" s="1"/>
  <c r="G191" i="21"/>
  <c r="I191" i="21" s="1"/>
  <c r="G190" i="21"/>
  <c r="I190" i="21" s="1"/>
  <c r="G189" i="21"/>
  <c r="I189" i="21" s="1"/>
  <c r="G188" i="21"/>
  <c r="I188" i="21" s="1"/>
  <c r="I187" i="21"/>
  <c r="G187" i="21"/>
  <c r="G186" i="21"/>
  <c r="I186" i="21" s="1"/>
  <c r="G185" i="21"/>
  <c r="I185" i="21" s="1"/>
  <c r="G184" i="21"/>
  <c r="I184" i="21" s="1"/>
  <c r="G183" i="21"/>
  <c r="I183" i="21" s="1"/>
  <c r="G182" i="21"/>
  <c r="I182" i="21" s="1"/>
  <c r="G181" i="21"/>
  <c r="I181" i="21" s="1"/>
  <c r="G180" i="21"/>
  <c r="I180" i="21" s="1"/>
  <c r="G179" i="21"/>
  <c r="I179" i="21" s="1"/>
  <c r="G178" i="21"/>
  <c r="I178" i="21" s="1"/>
  <c r="G177" i="21"/>
  <c r="I177" i="21" s="1"/>
  <c r="G176" i="21"/>
  <c r="I176" i="21" s="1"/>
  <c r="G175" i="21"/>
  <c r="I175" i="21" s="1"/>
  <c r="G174" i="21"/>
  <c r="I174" i="21" s="1"/>
  <c r="G173" i="21"/>
  <c r="I173" i="21" s="1"/>
  <c r="G172" i="21"/>
  <c r="I172" i="21" s="1"/>
  <c r="G171" i="21"/>
  <c r="I171" i="21" s="1"/>
  <c r="G170" i="21"/>
  <c r="I170" i="21" s="1"/>
  <c r="G169" i="21"/>
  <c r="I169" i="21" s="1"/>
  <c r="G168" i="21"/>
  <c r="I168" i="21" s="1"/>
  <c r="G167" i="21"/>
  <c r="I167" i="21" s="1"/>
  <c r="G166" i="21"/>
  <c r="I166" i="21" s="1"/>
  <c r="G165" i="21"/>
  <c r="I165" i="21" s="1"/>
  <c r="G164" i="21"/>
  <c r="I164" i="21" s="1"/>
  <c r="I163" i="21"/>
  <c r="G163" i="21"/>
  <c r="G162" i="21"/>
  <c r="I162" i="21" s="1"/>
  <c r="G161" i="21"/>
  <c r="I161" i="21" s="1"/>
  <c r="G160" i="21"/>
  <c r="I160" i="21" s="1"/>
  <c r="G159" i="21"/>
  <c r="I159" i="21" s="1"/>
  <c r="G158" i="21"/>
  <c r="I158" i="21" s="1"/>
  <c r="G157" i="21"/>
  <c r="I157" i="21" s="1"/>
  <c r="G156" i="21"/>
  <c r="I156" i="21" s="1"/>
  <c r="G155" i="21"/>
  <c r="I155" i="21" s="1"/>
  <c r="G154" i="21"/>
  <c r="I154" i="21" s="1"/>
  <c r="G153" i="21"/>
  <c r="I153" i="21" s="1"/>
  <c r="G152" i="21"/>
  <c r="I152" i="21" s="1"/>
  <c r="G151" i="21"/>
  <c r="I151" i="21" s="1"/>
  <c r="G150" i="21"/>
  <c r="I150" i="21" s="1"/>
  <c r="G149" i="21"/>
  <c r="I149" i="21" s="1"/>
  <c r="I148" i="21"/>
  <c r="G148" i="21"/>
  <c r="G147" i="21"/>
  <c r="I147" i="21" s="1"/>
  <c r="G146" i="21"/>
  <c r="I146" i="21" s="1"/>
  <c r="G145" i="21"/>
  <c r="I145" i="21" s="1"/>
  <c r="G144" i="21"/>
  <c r="I144" i="21" s="1"/>
  <c r="G143" i="21"/>
  <c r="I143" i="21" s="1"/>
  <c r="G142" i="21"/>
  <c r="I142" i="21" s="1"/>
  <c r="I141" i="21"/>
  <c r="G141" i="21"/>
  <c r="G140" i="21"/>
  <c r="I140" i="21" s="1"/>
  <c r="G139" i="21"/>
  <c r="I139" i="21" s="1"/>
  <c r="G138" i="21"/>
  <c r="I138" i="21" s="1"/>
  <c r="G137" i="21"/>
  <c r="I137" i="21" s="1"/>
  <c r="G136" i="21"/>
  <c r="I136" i="21" s="1"/>
  <c r="G135" i="21"/>
  <c r="I135" i="21" s="1"/>
  <c r="I134" i="21"/>
  <c r="G134" i="21"/>
  <c r="G133" i="21"/>
  <c r="I133" i="21" s="1"/>
  <c r="G132" i="21"/>
  <c r="I132" i="21" s="1"/>
  <c r="G131" i="21"/>
  <c r="I131" i="21" s="1"/>
  <c r="G130" i="21"/>
  <c r="I130" i="21" s="1"/>
  <c r="G129" i="21"/>
  <c r="I129" i="21" s="1"/>
  <c r="G128" i="21"/>
  <c r="I128" i="21" s="1"/>
  <c r="I127" i="21"/>
  <c r="G127" i="21"/>
  <c r="G126" i="21"/>
  <c r="I126" i="21" s="1"/>
  <c r="G125" i="21"/>
  <c r="I125" i="21" s="1"/>
  <c r="G124" i="21"/>
  <c r="I124" i="21" s="1"/>
  <c r="G123" i="21"/>
  <c r="G218" i="21" s="1"/>
  <c r="AD121" i="21"/>
  <c r="AD220" i="21" s="1"/>
  <c r="AC121" i="21"/>
  <c r="AC220" i="21" s="1"/>
  <c r="AB121" i="21"/>
  <c r="AB220" i="21" s="1"/>
  <c r="AA121" i="21"/>
  <c r="AA220" i="21" s="1"/>
  <c r="Z121" i="21"/>
  <c r="Y121" i="21"/>
  <c r="X121" i="21"/>
  <c r="W121" i="21"/>
  <c r="V121" i="21"/>
  <c r="U121" i="21"/>
  <c r="T121" i="21"/>
  <c r="S121" i="21"/>
  <c r="R121" i="21"/>
  <c r="R220" i="21" s="1"/>
  <c r="Q121" i="21"/>
  <c r="Q220" i="21" s="1"/>
  <c r="P121" i="21"/>
  <c r="P220" i="21" s="1"/>
  <c r="O121" i="21"/>
  <c r="O220" i="21" s="1"/>
  <c r="N121" i="21"/>
  <c r="M121" i="21"/>
  <c r="L121" i="21"/>
  <c r="K121" i="21"/>
  <c r="E121" i="21"/>
  <c r="E220" i="21" s="1"/>
  <c r="G120" i="21"/>
  <c r="I120" i="21" s="1"/>
  <c r="G119" i="21"/>
  <c r="I119" i="21" s="1"/>
  <c r="I118" i="21"/>
  <c r="G118" i="21"/>
  <c r="G117" i="21"/>
  <c r="I117" i="21" s="1"/>
  <c r="G116" i="21"/>
  <c r="I116" i="21" s="1"/>
  <c r="G115" i="21"/>
  <c r="I115" i="21" s="1"/>
  <c r="G114" i="21"/>
  <c r="I114" i="21" s="1"/>
  <c r="G113" i="21"/>
  <c r="I113" i="21" s="1"/>
  <c r="I112" i="21"/>
  <c r="G112" i="21"/>
  <c r="G111" i="21"/>
  <c r="I111" i="21" s="1"/>
  <c r="G110" i="21"/>
  <c r="I110" i="21" s="1"/>
  <c r="G109" i="21"/>
  <c r="I109" i="21" s="1"/>
  <c r="G108" i="21"/>
  <c r="I108" i="21" s="1"/>
  <c r="G107" i="21"/>
  <c r="I107" i="21" s="1"/>
  <c r="I106" i="21"/>
  <c r="G106" i="21"/>
  <c r="G105" i="21"/>
  <c r="I105" i="21" s="1"/>
  <c r="G104" i="21"/>
  <c r="I104" i="21" s="1"/>
  <c r="G103" i="21"/>
  <c r="I103" i="21" s="1"/>
  <c r="G102" i="21"/>
  <c r="I102" i="21" s="1"/>
  <c r="G101" i="21"/>
  <c r="I101" i="21" s="1"/>
  <c r="I100" i="21"/>
  <c r="G100" i="21"/>
  <c r="G99" i="21"/>
  <c r="I99" i="21" s="1"/>
  <c r="G98" i="21"/>
  <c r="I98" i="21" s="1"/>
  <c r="G97" i="21"/>
  <c r="I97" i="21" s="1"/>
  <c r="G96" i="21"/>
  <c r="I96" i="21" s="1"/>
  <c r="G95" i="21"/>
  <c r="I95" i="21" s="1"/>
  <c r="I94" i="21"/>
  <c r="G94" i="21"/>
  <c r="G93" i="21"/>
  <c r="I93" i="21" s="1"/>
  <c r="G92" i="21"/>
  <c r="I92" i="21" s="1"/>
  <c r="G91" i="21"/>
  <c r="I91" i="21" s="1"/>
  <c r="G90" i="21"/>
  <c r="I90" i="21" s="1"/>
  <c r="G89" i="21"/>
  <c r="I89" i="21" s="1"/>
  <c r="I88" i="21"/>
  <c r="G88" i="21"/>
  <c r="G87" i="21"/>
  <c r="I87" i="21" s="1"/>
  <c r="G86" i="21"/>
  <c r="I86" i="21" s="1"/>
  <c r="G85" i="21"/>
  <c r="I85" i="21" s="1"/>
  <c r="G84" i="21"/>
  <c r="I84" i="21" s="1"/>
  <c r="G83" i="21"/>
  <c r="I83" i="21" s="1"/>
  <c r="I82" i="21"/>
  <c r="G82" i="21"/>
  <c r="G81" i="21"/>
  <c r="I81" i="21" s="1"/>
  <c r="G80" i="21"/>
  <c r="I80" i="21" s="1"/>
  <c r="G79" i="21"/>
  <c r="I79" i="21" s="1"/>
  <c r="G78" i="21"/>
  <c r="I78" i="21" s="1"/>
  <c r="G77" i="21"/>
  <c r="I77" i="21" s="1"/>
  <c r="I76" i="21"/>
  <c r="G76" i="21"/>
  <c r="G75" i="21"/>
  <c r="I75" i="21" s="1"/>
  <c r="G74" i="21"/>
  <c r="I74" i="21" s="1"/>
  <c r="G73" i="21"/>
  <c r="I73" i="21" s="1"/>
  <c r="G72" i="21"/>
  <c r="I72" i="21" s="1"/>
  <c r="G71" i="21"/>
  <c r="I71" i="21" s="1"/>
  <c r="I70" i="21"/>
  <c r="G70" i="21"/>
  <c r="G69" i="21"/>
  <c r="I69" i="21" s="1"/>
  <c r="G68" i="21"/>
  <c r="I68" i="21" s="1"/>
  <c r="G67" i="21"/>
  <c r="I67" i="21" s="1"/>
  <c r="G66" i="21"/>
  <c r="I66" i="21" s="1"/>
  <c r="G65" i="21"/>
  <c r="I65" i="21" s="1"/>
  <c r="I64" i="21"/>
  <c r="G64" i="21"/>
  <c r="G63" i="21"/>
  <c r="I63" i="21" s="1"/>
  <c r="G62" i="21"/>
  <c r="I62" i="21" s="1"/>
  <c r="G61" i="21"/>
  <c r="I61" i="21" s="1"/>
  <c r="G60" i="21"/>
  <c r="I60" i="21" s="1"/>
  <c r="G59" i="21"/>
  <c r="I59" i="21" s="1"/>
  <c r="I58" i="21"/>
  <c r="G58" i="21"/>
  <c r="G57" i="21"/>
  <c r="I57" i="21" s="1"/>
  <c r="G56" i="21"/>
  <c r="I56" i="21" s="1"/>
  <c r="G55" i="21"/>
  <c r="I55" i="21" s="1"/>
  <c r="G54" i="21"/>
  <c r="I54" i="21" s="1"/>
  <c r="G53" i="21"/>
  <c r="I53" i="21" s="1"/>
  <c r="I52" i="21"/>
  <c r="G52" i="21"/>
  <c r="G51" i="21"/>
  <c r="I51" i="21" s="1"/>
  <c r="G50" i="21"/>
  <c r="I50" i="21" s="1"/>
  <c r="G49" i="21"/>
  <c r="I49" i="21" s="1"/>
  <c r="G48" i="21"/>
  <c r="I48" i="21" s="1"/>
  <c r="G47" i="21"/>
  <c r="I47" i="21" s="1"/>
  <c r="I46" i="21"/>
  <c r="G46" i="21"/>
  <c r="G45" i="21"/>
  <c r="I45" i="21" s="1"/>
  <c r="G44" i="21"/>
  <c r="I44" i="21" s="1"/>
  <c r="G43" i="21"/>
  <c r="I43" i="21" s="1"/>
  <c r="G42" i="21"/>
  <c r="I42" i="21" s="1"/>
  <c r="G41" i="21"/>
  <c r="I41" i="21" s="1"/>
  <c r="I40" i="21"/>
  <c r="G40" i="21"/>
  <c r="G39" i="21"/>
  <c r="I39" i="21" s="1"/>
  <c r="G38" i="21"/>
  <c r="I38" i="21" s="1"/>
  <c r="G37" i="21"/>
  <c r="I37" i="21" s="1"/>
  <c r="G36" i="21"/>
  <c r="I36" i="21" s="1"/>
  <c r="G35" i="21"/>
  <c r="I35" i="21" s="1"/>
  <c r="I34" i="21"/>
  <c r="G34" i="21"/>
  <c r="G33" i="21"/>
  <c r="I33" i="21" s="1"/>
  <c r="G32" i="21"/>
  <c r="I32" i="21" s="1"/>
  <c r="G31" i="21"/>
  <c r="I31" i="21" s="1"/>
  <c r="G30" i="21"/>
  <c r="I30" i="21" s="1"/>
  <c r="G29" i="21"/>
  <c r="I29" i="21" s="1"/>
  <c r="I28" i="21"/>
  <c r="G28" i="21"/>
  <c r="G27" i="21"/>
  <c r="I27" i="21" s="1"/>
  <c r="G26" i="21"/>
  <c r="I26" i="21" s="1"/>
  <c r="G25" i="21"/>
  <c r="I25" i="21" s="1"/>
  <c r="G24" i="21"/>
  <c r="I24" i="21" s="1"/>
  <c r="G23" i="21"/>
  <c r="I23" i="21" s="1"/>
  <c r="I22" i="21"/>
  <c r="G22" i="21"/>
  <c r="G21" i="21"/>
  <c r="I21" i="21" s="1"/>
  <c r="G20" i="21"/>
  <c r="I20" i="21" s="1"/>
  <c r="G19" i="21"/>
  <c r="I19" i="21" s="1"/>
  <c r="G18" i="21"/>
  <c r="I18" i="21" s="1"/>
  <c r="G17" i="21"/>
  <c r="I17" i="21" s="1"/>
  <c r="I16" i="21"/>
  <c r="G16" i="21"/>
  <c r="G15" i="21"/>
  <c r="I15" i="21" s="1"/>
  <c r="G14" i="21"/>
  <c r="I14" i="21" s="1"/>
  <c r="G13" i="21"/>
  <c r="I13" i="21" s="1"/>
  <c r="G12" i="21"/>
  <c r="G121" i="21" s="1"/>
  <c r="G218" i="23" l="1"/>
  <c r="G121" i="23"/>
  <c r="G220" i="23" s="1"/>
  <c r="I12" i="23"/>
  <c r="I121" i="23" s="1"/>
  <c r="V220" i="23"/>
  <c r="W220" i="23"/>
  <c r="I123" i="23"/>
  <c r="I218" i="23" s="1"/>
  <c r="G121" i="22"/>
  <c r="G220" i="22" s="1"/>
  <c r="I12" i="22"/>
  <c r="I121" i="22" s="1"/>
  <c r="I127" i="22"/>
  <c r="I218" i="22"/>
  <c r="G220" i="21"/>
  <c r="I12" i="21"/>
  <c r="I121" i="21" s="1"/>
  <c r="I123" i="21"/>
  <c r="I218" i="21" s="1"/>
  <c r="I220" i="23" l="1"/>
  <c r="I220" i="22"/>
  <c r="I220" i="21"/>
  <c r="K239" i="20"/>
  <c r="I238" i="20"/>
  <c r="K238" i="20" s="1"/>
  <c r="I237" i="20"/>
  <c r="K237" i="20" s="1"/>
  <c r="I236" i="20"/>
  <c r="K236" i="20" s="1"/>
  <c r="K235" i="20"/>
  <c r="G233" i="20"/>
  <c r="E233" i="20"/>
  <c r="G231" i="20"/>
  <c r="E231" i="20"/>
  <c r="E229" i="20"/>
  <c r="K227" i="20"/>
  <c r="K226" i="20"/>
  <c r="K225" i="20"/>
  <c r="K224" i="20"/>
  <c r="K222" i="20"/>
  <c r="K221" i="20"/>
  <c r="K220" i="20"/>
  <c r="I220" i="20"/>
  <c r="I219" i="20"/>
  <c r="K219" i="20" s="1"/>
  <c r="G218" i="20"/>
  <c r="E218" i="20"/>
  <c r="I217" i="20"/>
  <c r="K217" i="20" s="1"/>
  <c r="K216" i="20"/>
  <c r="K214" i="20"/>
  <c r="K212" i="20"/>
  <c r="K211" i="20"/>
  <c r="I211" i="20"/>
  <c r="I210" i="20"/>
  <c r="I208" i="20" s="1"/>
  <c r="K208" i="20" s="1"/>
  <c r="K209" i="20"/>
  <c r="I209" i="20"/>
  <c r="G208" i="20"/>
  <c r="E208" i="20"/>
  <c r="K207" i="20"/>
  <c r="I206" i="20"/>
  <c r="I204" i="20" s="1"/>
  <c r="K205" i="20"/>
  <c r="I205" i="20"/>
  <c r="G204" i="20"/>
  <c r="E204" i="20"/>
  <c r="K203" i="20"/>
  <c r="G202" i="20"/>
  <c r="G191" i="20" s="1"/>
  <c r="E202" i="20"/>
  <c r="E191" i="20" s="1"/>
  <c r="E213" i="20" s="1"/>
  <c r="K201" i="20"/>
  <c r="I200" i="20"/>
  <c r="K200" i="20" s="1"/>
  <c r="K199" i="20"/>
  <c r="I199" i="20"/>
  <c r="G198" i="20"/>
  <c r="E198" i="20"/>
  <c r="K197" i="20"/>
  <c r="I196" i="20"/>
  <c r="K196" i="20" s="1"/>
  <c r="I195" i="20"/>
  <c r="K195" i="20" s="1"/>
  <c r="I194" i="20"/>
  <c r="I193" i="20" s="1"/>
  <c r="K193" i="20"/>
  <c r="G193" i="20"/>
  <c r="E193" i="20"/>
  <c r="K192" i="20"/>
  <c r="K190" i="20"/>
  <c r="I189" i="20"/>
  <c r="K189" i="20" s="1"/>
  <c r="K188" i="20"/>
  <c r="I188" i="20"/>
  <c r="I187" i="20"/>
  <c r="K187" i="20" s="1"/>
  <c r="I186" i="20"/>
  <c r="K186" i="20" s="1"/>
  <c r="K185" i="20"/>
  <c r="I185" i="20"/>
  <c r="G184" i="20"/>
  <c r="E184" i="20"/>
  <c r="K183" i="20"/>
  <c r="I182" i="20"/>
  <c r="K182" i="20" s="1"/>
  <c r="I181" i="20"/>
  <c r="K181" i="20" s="1"/>
  <c r="I180" i="20"/>
  <c r="K180" i="20" s="1"/>
  <c r="G180" i="20"/>
  <c r="E180" i="20"/>
  <c r="K179" i="20"/>
  <c r="I178" i="20"/>
  <c r="K178" i="20" s="1"/>
  <c r="K177" i="20"/>
  <c r="I176" i="20"/>
  <c r="K176" i="20" s="1"/>
  <c r="K175" i="20"/>
  <c r="I174" i="20"/>
  <c r="K174" i="20" s="1"/>
  <c r="K173" i="20"/>
  <c r="I172" i="20"/>
  <c r="K172" i="20" s="1"/>
  <c r="K171" i="20"/>
  <c r="I171" i="20"/>
  <c r="I170" i="20" s="1"/>
  <c r="K170" i="20" s="1"/>
  <c r="G170" i="20"/>
  <c r="E170" i="20"/>
  <c r="K169" i="20"/>
  <c r="I168" i="20"/>
  <c r="K168" i="20" s="1"/>
  <c r="I167" i="20"/>
  <c r="K167" i="20" s="1"/>
  <c r="I166" i="20"/>
  <c r="I165" i="20" s="1"/>
  <c r="G165" i="20"/>
  <c r="E165" i="20"/>
  <c r="K164" i="20"/>
  <c r="K163" i="20"/>
  <c r="K162" i="20"/>
  <c r="K160" i="20"/>
  <c r="K158" i="20"/>
  <c r="I157" i="20"/>
  <c r="K157" i="20" s="1"/>
  <c r="I156" i="20"/>
  <c r="K156" i="20" s="1"/>
  <c r="I155" i="20"/>
  <c r="K155" i="20" s="1"/>
  <c r="G155" i="20"/>
  <c r="E155" i="20"/>
  <c r="K154" i="20"/>
  <c r="K153" i="20"/>
  <c r="I153" i="20"/>
  <c r="I152" i="20"/>
  <c r="K152" i="20" s="1"/>
  <c r="G152" i="20"/>
  <c r="E152" i="20"/>
  <c r="K151" i="20"/>
  <c r="I150" i="20"/>
  <c r="K150" i="20" s="1"/>
  <c r="I149" i="20"/>
  <c r="K149" i="20" s="1"/>
  <c r="I148" i="20"/>
  <c r="K148" i="20" s="1"/>
  <c r="G148" i="20"/>
  <c r="E148" i="20"/>
  <c r="K147" i="20"/>
  <c r="I146" i="20"/>
  <c r="K146" i="20" s="1"/>
  <c r="I145" i="20"/>
  <c r="K145" i="20" s="1"/>
  <c r="I144" i="20"/>
  <c r="K144" i="20" s="1"/>
  <c r="G144" i="20"/>
  <c r="G159" i="20" s="1"/>
  <c r="E144" i="20"/>
  <c r="K143" i="20"/>
  <c r="I142" i="20"/>
  <c r="K142" i="20" s="1"/>
  <c r="I141" i="20"/>
  <c r="K141" i="20" s="1"/>
  <c r="K140" i="20"/>
  <c r="I140" i="20"/>
  <c r="G140" i="20"/>
  <c r="G138" i="20" s="1"/>
  <c r="E140" i="20"/>
  <c r="E138" i="20" s="1"/>
  <c r="I139" i="20"/>
  <c r="K139" i="20" s="1"/>
  <c r="I138" i="20"/>
  <c r="K138" i="20" s="1"/>
  <c r="K137" i="20"/>
  <c r="I136" i="20"/>
  <c r="K136" i="20" s="1"/>
  <c r="I135" i="20"/>
  <c r="I134" i="20" s="1"/>
  <c r="G134" i="20"/>
  <c r="E134" i="20"/>
  <c r="K133" i="20"/>
  <c r="K131" i="20"/>
  <c r="I130" i="20"/>
  <c r="K130" i="20" s="1"/>
  <c r="I129" i="20"/>
  <c r="K129" i="20" s="1"/>
  <c r="I128" i="20"/>
  <c r="I229" i="20" s="1"/>
  <c r="G128" i="20"/>
  <c r="G229" i="20" s="1"/>
  <c r="E128" i="20"/>
  <c r="K127" i="20"/>
  <c r="K125" i="20"/>
  <c r="I124" i="20"/>
  <c r="K124" i="20" s="1"/>
  <c r="I123" i="20"/>
  <c r="I122" i="20" s="1"/>
  <c r="K122" i="20"/>
  <c r="G122" i="20"/>
  <c r="E122" i="20"/>
  <c r="K121" i="20"/>
  <c r="G120" i="20"/>
  <c r="G126" i="20" s="1"/>
  <c r="E120" i="20"/>
  <c r="E126" i="20" s="1"/>
  <c r="K119" i="20"/>
  <c r="I118" i="20"/>
  <c r="K118" i="20" s="1"/>
  <c r="K117" i="20"/>
  <c r="I117" i="20"/>
  <c r="I116" i="20"/>
  <c r="K116" i="20" s="1"/>
  <c r="I115" i="20"/>
  <c r="K115" i="20" s="1"/>
  <c r="G114" i="20"/>
  <c r="E114" i="20"/>
  <c r="K113" i="20"/>
  <c r="I112" i="20"/>
  <c r="K112" i="20" s="1"/>
  <c r="I111" i="20"/>
  <c r="K111" i="20" s="1"/>
  <c r="I110" i="20"/>
  <c r="K110" i="20" s="1"/>
  <c r="I109" i="20"/>
  <c r="K109" i="20" s="1"/>
  <c r="K108" i="20"/>
  <c r="I108" i="20"/>
  <c r="I106" i="20" s="1"/>
  <c r="K107" i="20"/>
  <c r="I107" i="20"/>
  <c r="G106" i="20"/>
  <c r="E106" i="20"/>
  <c r="K105" i="20"/>
  <c r="K104" i="20"/>
  <c r="K103" i="20"/>
  <c r="K101" i="20"/>
  <c r="I100" i="20"/>
  <c r="K100" i="20" s="1"/>
  <c r="K99" i="20"/>
  <c r="K97" i="20"/>
  <c r="I96" i="20"/>
  <c r="K96" i="20" s="1"/>
  <c r="K95" i="20"/>
  <c r="K94" i="20"/>
  <c r="I94" i="20"/>
  <c r="K93" i="20"/>
  <c r="I92" i="20"/>
  <c r="K92" i="20" s="1"/>
  <c r="I91" i="20"/>
  <c r="K91" i="20" s="1"/>
  <c r="I90" i="20"/>
  <c r="K90" i="20" s="1"/>
  <c r="I89" i="20"/>
  <c r="K89" i="20" s="1"/>
  <c r="G89" i="20"/>
  <c r="E89" i="20"/>
  <c r="K88" i="20"/>
  <c r="K87" i="20"/>
  <c r="I87" i="20"/>
  <c r="I86" i="20"/>
  <c r="K86" i="20" s="1"/>
  <c r="I85" i="20"/>
  <c r="K85" i="20" s="1"/>
  <c r="I84" i="20"/>
  <c r="K84" i="20" s="1"/>
  <c r="G84" i="20"/>
  <c r="E84" i="20"/>
  <c r="K83" i="20"/>
  <c r="I82" i="20"/>
  <c r="I80" i="20" s="1"/>
  <c r="K81" i="20"/>
  <c r="E80" i="20"/>
  <c r="K79" i="20"/>
  <c r="K77" i="20"/>
  <c r="K76" i="20"/>
  <c r="I76" i="20"/>
  <c r="I75" i="20"/>
  <c r="K75" i="20" s="1"/>
  <c r="I74" i="20"/>
  <c r="G74" i="20"/>
  <c r="E74" i="20"/>
  <c r="K73" i="20"/>
  <c r="K72" i="20"/>
  <c r="I72" i="20"/>
  <c r="I71" i="20"/>
  <c r="I69" i="20" s="1"/>
  <c r="I70" i="20"/>
  <c r="K70" i="20" s="1"/>
  <c r="G69" i="20"/>
  <c r="G78" i="20" s="1"/>
  <c r="E69" i="20"/>
  <c r="E78" i="20" s="1"/>
  <c r="E98" i="20" s="1"/>
  <c r="K68" i="20"/>
  <c r="I67" i="20"/>
  <c r="K67" i="20" s="1"/>
  <c r="K66" i="20"/>
  <c r="I66" i="20"/>
  <c r="G65" i="20"/>
  <c r="E65" i="20"/>
  <c r="K64" i="20"/>
  <c r="I63" i="20"/>
  <c r="K63" i="20" s="1"/>
  <c r="I62" i="20"/>
  <c r="K62" i="20" s="1"/>
  <c r="I61" i="20"/>
  <c r="I233" i="20" s="1"/>
  <c r="K233" i="20" s="1"/>
  <c r="G60" i="20"/>
  <c r="E60" i="20"/>
  <c r="K59" i="20"/>
  <c r="I58" i="20"/>
  <c r="K58" i="20" s="1"/>
  <c r="K57" i="20"/>
  <c r="I56" i="20"/>
  <c r="K56" i="20" s="1"/>
  <c r="I55" i="20"/>
  <c r="K55" i="20" s="1"/>
  <c r="I54" i="20"/>
  <c r="K54" i="20" s="1"/>
  <c r="G54" i="20"/>
  <c r="E54" i="20"/>
  <c r="K53" i="20"/>
  <c r="I52" i="20"/>
  <c r="K52" i="20" s="1"/>
  <c r="I51" i="20"/>
  <c r="K51" i="20" s="1"/>
  <c r="I50" i="20"/>
  <c r="K50" i="20" s="1"/>
  <c r="I49" i="20"/>
  <c r="K49" i="20" s="1"/>
  <c r="G49" i="20"/>
  <c r="E49" i="20"/>
  <c r="K48" i="20"/>
  <c r="I47" i="20"/>
  <c r="K47" i="20" s="1"/>
  <c r="I46" i="20"/>
  <c r="K46" i="20" s="1"/>
  <c r="I45" i="20"/>
  <c r="G45" i="20"/>
  <c r="E45" i="20"/>
  <c r="E43" i="20" s="1"/>
  <c r="K44" i="20"/>
  <c r="K42" i="20"/>
  <c r="K41" i="20"/>
  <c r="I41" i="20"/>
  <c r="K40" i="20"/>
  <c r="I40" i="20"/>
  <c r="I39" i="20"/>
  <c r="K39" i="20" s="1"/>
  <c r="I38" i="20"/>
  <c r="K38" i="20" s="1"/>
  <c r="G38" i="20"/>
  <c r="E38" i="20"/>
  <c r="K37" i="20"/>
  <c r="I36" i="20"/>
  <c r="K36" i="20" s="1"/>
  <c r="K35" i="20"/>
  <c r="I35" i="20"/>
  <c r="K34" i="20"/>
  <c r="I34" i="20"/>
  <c r="I33" i="20"/>
  <c r="K33" i="20" s="1"/>
  <c r="K32" i="20"/>
  <c r="I32" i="20"/>
  <c r="I31" i="20"/>
  <c r="K31" i="20" s="1"/>
  <c r="I30" i="20"/>
  <c r="K30" i="20" s="1"/>
  <c r="I29" i="20"/>
  <c r="K29" i="20" s="1"/>
  <c r="G29" i="20"/>
  <c r="E29" i="20"/>
  <c r="K28" i="20"/>
  <c r="I27" i="20"/>
  <c r="I25" i="20" s="1"/>
  <c r="I26" i="20"/>
  <c r="K26" i="20" s="1"/>
  <c r="G25" i="20"/>
  <c r="E25" i="20"/>
  <c r="E102" i="20" s="1"/>
  <c r="K24" i="20"/>
  <c r="I23" i="20"/>
  <c r="K23" i="20" s="1"/>
  <c r="I22" i="20"/>
  <c r="I21" i="20" s="1"/>
  <c r="K21" i="20" s="1"/>
  <c r="G21" i="20"/>
  <c r="E21" i="20"/>
  <c r="K20" i="20"/>
  <c r="I19" i="20"/>
  <c r="K19" i="20" s="1"/>
  <c r="I18" i="20"/>
  <c r="K18" i="20" s="1"/>
  <c r="K17" i="20"/>
  <c r="I16" i="20"/>
  <c r="K16" i="20" s="1"/>
  <c r="G16" i="20"/>
  <c r="E16" i="20"/>
  <c r="K15" i="20"/>
  <c r="I14" i="20"/>
  <c r="K14" i="20" s="1"/>
  <c r="K13" i="20"/>
  <c r="I12" i="20"/>
  <c r="K12" i="20" s="1"/>
  <c r="K11" i="20"/>
  <c r="K10" i="20"/>
  <c r="K9" i="20"/>
  <c r="I202" i="20" l="1"/>
  <c r="K202" i="20" s="1"/>
  <c r="K204" i="20"/>
  <c r="K106" i="20"/>
  <c r="E132" i="20"/>
  <c r="E228" i="20"/>
  <c r="E230" i="20" s="1"/>
  <c r="E232" i="20" s="1"/>
  <c r="E234" i="20" s="1"/>
  <c r="K134" i="20"/>
  <c r="I159" i="20"/>
  <c r="K159" i="20" s="1"/>
  <c r="G98" i="20"/>
  <c r="G102" i="20" s="1"/>
  <c r="K229" i="20"/>
  <c r="G132" i="20"/>
  <c r="G161" i="20" s="1"/>
  <c r="G228" i="20"/>
  <c r="K165" i="20"/>
  <c r="K80" i="20"/>
  <c r="K206" i="20"/>
  <c r="K128" i="20"/>
  <c r="K194" i="20"/>
  <c r="K123" i="20"/>
  <c r="G43" i="20"/>
  <c r="I43" i="20"/>
  <c r="K43" i="20" s="1"/>
  <c r="G80" i="20"/>
  <c r="K45" i="20"/>
  <c r="I184" i="20"/>
  <c r="K184" i="20" s="1"/>
  <c r="K25" i="20"/>
  <c r="K71" i="20"/>
  <c r="K210" i="20"/>
  <c r="K27" i="20"/>
  <c r="E159" i="20"/>
  <c r="K22" i="20"/>
  <c r="K61" i="20"/>
  <c r="K135" i="20"/>
  <c r="K166" i="20"/>
  <c r="K82" i="20"/>
  <c r="K69" i="20"/>
  <c r="I114" i="20"/>
  <c r="K114" i="20" s="1"/>
  <c r="G213" i="20"/>
  <c r="I198" i="20"/>
  <c r="K74" i="20"/>
  <c r="I60" i="20"/>
  <c r="K60" i="20" s="1"/>
  <c r="I65" i="20"/>
  <c r="I218" i="20"/>
  <c r="K218" i="20" s="1"/>
  <c r="G230" i="20" l="1"/>
  <c r="G232" i="20" s="1"/>
  <c r="G234" i="20" s="1"/>
  <c r="G215" i="20"/>
  <c r="G223" i="20" s="1"/>
  <c r="E161" i="20"/>
  <c r="E215" i="20" s="1"/>
  <c r="E223" i="20" s="1"/>
  <c r="I120" i="20"/>
  <c r="K65" i="20"/>
  <c r="I78" i="20"/>
  <c r="K198" i="20"/>
  <c r="I231" i="20"/>
  <c r="K231" i="20" s="1"/>
  <c r="I191" i="20"/>
  <c r="K191" i="20" s="1"/>
  <c r="I213" i="20"/>
  <c r="K213" i="20" s="1"/>
  <c r="I98" i="20" l="1"/>
  <c r="K78" i="20"/>
  <c r="I126" i="20"/>
  <c r="K120" i="20"/>
  <c r="I132" i="20" l="1"/>
  <c r="K126" i="20"/>
  <c r="I228" i="20"/>
  <c r="K228" i="20" s="1"/>
  <c r="K98" i="20"/>
  <c r="I102" i="20"/>
  <c r="I230" i="20" l="1"/>
  <c r="K102" i="20"/>
  <c r="K132" i="20"/>
  <c r="I161" i="20"/>
  <c r="K161" i="20" s="1"/>
  <c r="I215" i="20" l="1"/>
  <c r="K230" i="20"/>
  <c r="I232" i="20"/>
  <c r="K232" i="20" l="1"/>
  <c r="I234" i="20"/>
  <c r="K234" i="20" s="1"/>
  <c r="K215" i="20"/>
  <c r="I223" i="20"/>
  <c r="K223" i="20" s="1"/>
  <c r="K272" i="19"/>
  <c r="K271" i="19"/>
  <c r="K269" i="19"/>
  <c r="K267" i="19"/>
  <c r="I266" i="19"/>
  <c r="K266" i="19" s="1"/>
  <c r="K265" i="19"/>
  <c r="G264" i="19"/>
  <c r="G268" i="19" s="1"/>
  <c r="E264" i="19"/>
  <c r="E268" i="19" s="1"/>
  <c r="K263" i="19"/>
  <c r="I263" i="19"/>
  <c r="I262" i="19"/>
  <c r="K262" i="19" s="1"/>
  <c r="I261" i="19"/>
  <c r="K261" i="19" s="1"/>
  <c r="I260" i="19"/>
  <c r="K260" i="19" s="1"/>
  <c r="I259" i="19"/>
  <c r="K259" i="19" s="1"/>
  <c r="I258" i="19"/>
  <c r="K258" i="19" s="1"/>
  <c r="K257" i="19"/>
  <c r="I257" i="19"/>
  <c r="I256" i="19"/>
  <c r="K256" i="19" s="1"/>
  <c r="I255" i="19"/>
  <c r="K255" i="19" s="1"/>
  <c r="I254" i="19"/>
  <c r="K254" i="19" s="1"/>
  <c r="I253" i="19"/>
  <c r="K253" i="19" s="1"/>
  <c r="I252" i="19"/>
  <c r="K252" i="19" s="1"/>
  <c r="K251" i="19"/>
  <c r="I251" i="19"/>
  <c r="I250" i="19"/>
  <c r="K250" i="19" s="1"/>
  <c r="I249" i="19"/>
  <c r="K249" i="19" s="1"/>
  <c r="I248" i="19"/>
  <c r="K248" i="19" s="1"/>
  <c r="I247" i="19"/>
  <c r="K247" i="19" s="1"/>
  <c r="I246" i="19"/>
  <c r="K246" i="19" s="1"/>
  <c r="K245" i="19"/>
  <c r="I245" i="19"/>
  <c r="I244" i="19"/>
  <c r="K244" i="19" s="1"/>
  <c r="I243" i="19"/>
  <c r="K243" i="19" s="1"/>
  <c r="I242" i="19"/>
  <c r="I264" i="19" s="1"/>
  <c r="K264" i="19" s="1"/>
  <c r="K241" i="19"/>
  <c r="I240" i="19"/>
  <c r="K240" i="19" s="1"/>
  <c r="K239" i="19"/>
  <c r="K238" i="19"/>
  <c r="I238" i="19"/>
  <c r="K237" i="19"/>
  <c r="I236" i="19"/>
  <c r="K235" i="19"/>
  <c r="K233" i="19"/>
  <c r="K231" i="19"/>
  <c r="I230" i="19"/>
  <c r="K230" i="19" s="1"/>
  <c r="K229" i="19"/>
  <c r="I228" i="19"/>
  <c r="K228" i="19" s="1"/>
  <c r="K227" i="19"/>
  <c r="I226" i="19"/>
  <c r="K226" i="19" s="1"/>
  <c r="K225" i="19"/>
  <c r="K224" i="19"/>
  <c r="I224" i="19"/>
  <c r="K223" i="19"/>
  <c r="I222" i="19"/>
  <c r="K222" i="19" s="1"/>
  <c r="K221" i="19"/>
  <c r="I220" i="19"/>
  <c r="K220" i="19" s="1"/>
  <c r="K219" i="19"/>
  <c r="I218" i="19"/>
  <c r="I232" i="19" s="1"/>
  <c r="K232" i="19" s="1"/>
  <c r="G218" i="19"/>
  <c r="G232" i="19" s="1"/>
  <c r="G234" i="19" s="1"/>
  <c r="G270" i="19" s="1"/>
  <c r="E218" i="19"/>
  <c r="E232" i="19" s="1"/>
  <c r="I217" i="19"/>
  <c r="K217" i="19" s="1"/>
  <c r="I216" i="19"/>
  <c r="K216" i="19" s="1"/>
  <c r="I215" i="19"/>
  <c r="K215" i="19" s="1"/>
  <c r="I214" i="19"/>
  <c r="K214" i="19" s="1"/>
  <c r="I213" i="19"/>
  <c r="K213" i="19" s="1"/>
  <c r="K212" i="19"/>
  <c r="I212" i="19"/>
  <c r="K211" i="19"/>
  <c r="G210" i="19"/>
  <c r="E210" i="19"/>
  <c r="E234" i="19" s="1"/>
  <c r="E270" i="19" s="1"/>
  <c r="K209" i="19"/>
  <c r="I208" i="19"/>
  <c r="K208" i="19" s="1"/>
  <c r="K207" i="19"/>
  <c r="I206" i="19"/>
  <c r="K206" i="19" s="1"/>
  <c r="K205" i="19"/>
  <c r="G204" i="19"/>
  <c r="E204" i="19"/>
  <c r="K203" i="19"/>
  <c r="I203" i="19"/>
  <c r="I202" i="19"/>
  <c r="K202" i="19" s="1"/>
  <c r="I201" i="19"/>
  <c r="K201" i="19" s="1"/>
  <c r="K200" i="19"/>
  <c r="I200" i="19"/>
  <c r="I199" i="19"/>
  <c r="K199" i="19" s="1"/>
  <c r="I198" i="19"/>
  <c r="K198" i="19" s="1"/>
  <c r="I197" i="19"/>
  <c r="K197" i="19" s="1"/>
  <c r="K196" i="19"/>
  <c r="I196" i="19"/>
  <c r="I195" i="19"/>
  <c r="K195" i="19" s="1"/>
  <c r="K194" i="19"/>
  <c r="I194" i="19"/>
  <c r="I193" i="19"/>
  <c r="K193" i="19" s="1"/>
  <c r="I192" i="19"/>
  <c r="K192" i="19" s="1"/>
  <c r="I191" i="19"/>
  <c r="K191" i="19" s="1"/>
  <c r="I190" i="19"/>
  <c r="I204" i="19" s="1"/>
  <c r="K204" i="19" s="1"/>
  <c r="K189" i="19"/>
  <c r="G188" i="19"/>
  <c r="E188" i="19"/>
  <c r="I187" i="19"/>
  <c r="K187" i="19" s="1"/>
  <c r="I186" i="19"/>
  <c r="K186" i="19" s="1"/>
  <c r="K185" i="19"/>
  <c r="I184" i="19"/>
  <c r="K184" i="19" s="1"/>
  <c r="K183" i="19"/>
  <c r="I182" i="19"/>
  <c r="K182" i="19" s="1"/>
  <c r="G182" i="19"/>
  <c r="E182" i="19"/>
  <c r="I181" i="19"/>
  <c r="K181" i="19" s="1"/>
  <c r="I180" i="19"/>
  <c r="K180" i="19" s="1"/>
  <c r="I179" i="19"/>
  <c r="K179" i="19" s="1"/>
  <c r="I178" i="19"/>
  <c r="K178" i="19" s="1"/>
  <c r="I177" i="19"/>
  <c r="K177" i="19" s="1"/>
  <c r="K176" i="19"/>
  <c r="I176" i="19"/>
  <c r="I175" i="19"/>
  <c r="K175" i="19" s="1"/>
  <c r="I174" i="19"/>
  <c r="K174" i="19" s="1"/>
  <c r="I173" i="19"/>
  <c r="K173" i="19" s="1"/>
  <c r="I172" i="19"/>
  <c r="K172" i="19" s="1"/>
  <c r="K171" i="19"/>
  <c r="K170" i="19"/>
  <c r="G170" i="19"/>
  <c r="E170" i="19"/>
  <c r="I169" i="19"/>
  <c r="K169" i="19" s="1"/>
  <c r="K168" i="19"/>
  <c r="I168" i="19"/>
  <c r="I167" i="19"/>
  <c r="K167" i="19" s="1"/>
  <c r="I166" i="19"/>
  <c r="I170" i="19" s="1"/>
  <c r="K165" i="19"/>
  <c r="K163" i="19"/>
  <c r="K161" i="19"/>
  <c r="I160" i="19"/>
  <c r="K160" i="19" s="1"/>
  <c r="K159" i="19"/>
  <c r="I158" i="19"/>
  <c r="K158" i="19" s="1"/>
  <c r="K157" i="19"/>
  <c r="G156" i="19"/>
  <c r="E156" i="19"/>
  <c r="I155" i="19"/>
  <c r="K155" i="19" s="1"/>
  <c r="I154" i="19"/>
  <c r="I156" i="19" s="1"/>
  <c r="K156" i="19" s="1"/>
  <c r="K153" i="19"/>
  <c r="I153" i="19"/>
  <c r="I152" i="19"/>
  <c r="K152" i="19" s="1"/>
  <c r="K151" i="19"/>
  <c r="G150" i="19"/>
  <c r="E150" i="19"/>
  <c r="I149" i="19"/>
  <c r="K149" i="19" s="1"/>
  <c r="K148" i="19"/>
  <c r="I148" i="19"/>
  <c r="I147" i="19"/>
  <c r="K147" i="19" s="1"/>
  <c r="I146" i="19"/>
  <c r="K146" i="19" s="1"/>
  <c r="K145" i="19"/>
  <c r="I143" i="19"/>
  <c r="K143" i="19" s="1"/>
  <c r="G143" i="19"/>
  <c r="E143" i="19"/>
  <c r="G142" i="19"/>
  <c r="E142" i="19"/>
  <c r="K141" i="19"/>
  <c r="I140" i="19"/>
  <c r="K140" i="19" s="1"/>
  <c r="G140" i="19"/>
  <c r="E140" i="19"/>
  <c r="K139" i="19"/>
  <c r="I139" i="19"/>
  <c r="I138" i="19"/>
  <c r="K138" i="19" s="1"/>
  <c r="G137" i="19"/>
  <c r="E137" i="19"/>
  <c r="K136" i="19"/>
  <c r="I136" i="19"/>
  <c r="I135" i="19"/>
  <c r="I137" i="19" s="1"/>
  <c r="G134" i="19"/>
  <c r="E134" i="19"/>
  <c r="I133" i="19"/>
  <c r="K133" i="19" s="1"/>
  <c r="I132" i="19"/>
  <c r="I134" i="19" s="1"/>
  <c r="K134" i="19" s="1"/>
  <c r="I131" i="19"/>
  <c r="K131" i="19" s="1"/>
  <c r="G131" i="19"/>
  <c r="E131" i="19"/>
  <c r="K130" i="19"/>
  <c r="I130" i="19"/>
  <c r="I129" i="19"/>
  <c r="K129" i="19" s="1"/>
  <c r="G128" i="19"/>
  <c r="E128" i="19"/>
  <c r="I127" i="19"/>
  <c r="K127" i="19" s="1"/>
  <c r="I126" i="19"/>
  <c r="I128" i="19" s="1"/>
  <c r="K128" i="19" s="1"/>
  <c r="G125" i="19"/>
  <c r="E125" i="19"/>
  <c r="I124" i="19"/>
  <c r="K124" i="19" s="1"/>
  <c r="I123" i="19"/>
  <c r="K123" i="19" s="1"/>
  <c r="I122" i="19"/>
  <c r="G122" i="19"/>
  <c r="G144" i="19" s="1"/>
  <c r="E122" i="19"/>
  <c r="E144" i="19" s="1"/>
  <c r="K121" i="19"/>
  <c r="I121" i="19"/>
  <c r="I120" i="19"/>
  <c r="K120" i="19" s="1"/>
  <c r="K119" i="19"/>
  <c r="K115" i="19"/>
  <c r="G114" i="19"/>
  <c r="E114" i="19"/>
  <c r="G113" i="19"/>
  <c r="E113" i="19"/>
  <c r="G112" i="19"/>
  <c r="E112" i="19"/>
  <c r="K111" i="19"/>
  <c r="I110" i="19"/>
  <c r="K110" i="19" s="1"/>
  <c r="G110" i="19"/>
  <c r="E110" i="19"/>
  <c r="K109" i="19"/>
  <c r="I109" i="19"/>
  <c r="K108" i="19"/>
  <c r="I108" i="19"/>
  <c r="G107" i="19"/>
  <c r="E107" i="19"/>
  <c r="I106" i="19"/>
  <c r="K106" i="19" s="1"/>
  <c r="I105" i="19"/>
  <c r="I107" i="19" s="1"/>
  <c r="K107" i="19" s="1"/>
  <c r="I104" i="19"/>
  <c r="K104" i="19" s="1"/>
  <c r="G104" i="19"/>
  <c r="E104" i="19"/>
  <c r="I103" i="19"/>
  <c r="K103" i="19" s="1"/>
  <c r="I102" i="19"/>
  <c r="K102" i="19" s="1"/>
  <c r="G101" i="19"/>
  <c r="E101" i="19"/>
  <c r="I100" i="19"/>
  <c r="I101" i="19" s="1"/>
  <c r="K101" i="19" s="1"/>
  <c r="K99" i="19"/>
  <c r="I99" i="19"/>
  <c r="G98" i="19"/>
  <c r="E98" i="19"/>
  <c r="I97" i="19"/>
  <c r="K97" i="19" s="1"/>
  <c r="I96" i="19"/>
  <c r="K96" i="19" s="1"/>
  <c r="K95" i="19"/>
  <c r="G93" i="19"/>
  <c r="G117" i="19" s="1"/>
  <c r="E93" i="19"/>
  <c r="E117" i="19" s="1"/>
  <c r="I92" i="19"/>
  <c r="G92" i="19"/>
  <c r="G116" i="19" s="1"/>
  <c r="E92" i="19"/>
  <c r="E116" i="19" s="1"/>
  <c r="K91" i="19"/>
  <c r="G90" i="19"/>
  <c r="E90" i="19"/>
  <c r="I89" i="19"/>
  <c r="K89" i="19" s="1"/>
  <c r="I88" i="19"/>
  <c r="I90" i="19" s="1"/>
  <c r="K90" i="19" s="1"/>
  <c r="I87" i="19"/>
  <c r="K87" i="19" s="1"/>
  <c r="G87" i="19"/>
  <c r="E87" i="19"/>
  <c r="K86" i="19"/>
  <c r="I86" i="19"/>
  <c r="I85" i="19"/>
  <c r="K85" i="19" s="1"/>
  <c r="G84" i="19"/>
  <c r="E84" i="19"/>
  <c r="I83" i="19"/>
  <c r="K83" i="19" s="1"/>
  <c r="I82" i="19"/>
  <c r="I84" i="19" s="1"/>
  <c r="K84" i="19" s="1"/>
  <c r="G81" i="19"/>
  <c r="E81" i="19"/>
  <c r="I80" i="19"/>
  <c r="I79" i="19"/>
  <c r="I78" i="19"/>
  <c r="G78" i="19"/>
  <c r="E78" i="19"/>
  <c r="K77" i="19"/>
  <c r="I77" i="19"/>
  <c r="I76" i="19"/>
  <c r="K76" i="19" s="1"/>
  <c r="K75" i="19"/>
  <c r="I74" i="19"/>
  <c r="K74" i="19" s="1"/>
  <c r="K73" i="19"/>
  <c r="I72" i="19"/>
  <c r="K72" i="19" s="1"/>
  <c r="G72" i="19"/>
  <c r="E72" i="19"/>
  <c r="K71" i="19"/>
  <c r="I71" i="19"/>
  <c r="I70" i="19"/>
  <c r="K70" i="19" s="1"/>
  <c r="K69" i="19"/>
  <c r="G68" i="19"/>
  <c r="E68" i="19"/>
  <c r="I67" i="19"/>
  <c r="K67" i="19" s="1"/>
  <c r="K66" i="19"/>
  <c r="I66" i="19"/>
  <c r="I65" i="19"/>
  <c r="K65" i="19" s="1"/>
  <c r="I64" i="19"/>
  <c r="K64" i="19" s="1"/>
  <c r="I63" i="19"/>
  <c r="K63" i="19" s="1"/>
  <c r="I62" i="19"/>
  <c r="I68" i="19" s="1"/>
  <c r="K61" i="19"/>
  <c r="I61" i="19"/>
  <c r="K60" i="19"/>
  <c r="K58" i="19"/>
  <c r="I57" i="19"/>
  <c r="K57" i="19" s="1"/>
  <c r="K56" i="19"/>
  <c r="G55" i="19"/>
  <c r="E55" i="19"/>
  <c r="K54" i="19"/>
  <c r="I54" i="19"/>
  <c r="I53" i="19"/>
  <c r="K53" i="19" s="1"/>
  <c r="I52" i="19"/>
  <c r="K52" i="19" s="1"/>
  <c r="I51" i="19"/>
  <c r="K51" i="19" s="1"/>
  <c r="I50" i="19"/>
  <c r="K50" i="19" s="1"/>
  <c r="I49" i="19"/>
  <c r="K49" i="19" s="1"/>
  <c r="K48" i="19"/>
  <c r="I48" i="19"/>
  <c r="I47" i="19"/>
  <c r="K47" i="19" s="1"/>
  <c r="I46" i="19"/>
  <c r="K46" i="19" s="1"/>
  <c r="I45" i="19"/>
  <c r="K45" i="19" s="1"/>
  <c r="I44" i="19"/>
  <c r="K44" i="19" s="1"/>
  <c r="K43" i="19"/>
  <c r="G42" i="19"/>
  <c r="E42" i="19"/>
  <c r="I41" i="19"/>
  <c r="K41" i="19" s="1"/>
  <c r="I40" i="19"/>
  <c r="K40" i="19" s="1"/>
  <c r="K39" i="19"/>
  <c r="I39" i="19"/>
  <c r="I38" i="19"/>
  <c r="K38" i="19" s="1"/>
  <c r="K37" i="19"/>
  <c r="I37" i="19"/>
  <c r="I36" i="19"/>
  <c r="K36" i="19" s="1"/>
  <c r="K35" i="19"/>
  <c r="G34" i="19"/>
  <c r="E34" i="19"/>
  <c r="I33" i="19"/>
  <c r="K33" i="19" s="1"/>
  <c r="I32" i="19"/>
  <c r="K32" i="19" s="1"/>
  <c r="K31" i="19"/>
  <c r="I31" i="19"/>
  <c r="I30" i="19"/>
  <c r="K30" i="19" s="1"/>
  <c r="I29" i="19"/>
  <c r="K29" i="19" s="1"/>
  <c r="I28" i="19"/>
  <c r="K28" i="19" s="1"/>
  <c r="K27" i="19"/>
  <c r="I26" i="19"/>
  <c r="K26" i="19" s="1"/>
  <c r="K25" i="19"/>
  <c r="G24" i="19"/>
  <c r="E24" i="19"/>
  <c r="I23" i="19"/>
  <c r="K23" i="19" s="1"/>
  <c r="I22" i="19"/>
  <c r="K22" i="19" s="1"/>
  <c r="I21" i="19"/>
  <c r="K21" i="19" s="1"/>
  <c r="I20" i="19"/>
  <c r="K20" i="19" s="1"/>
  <c r="K19" i="19"/>
  <c r="I19" i="19"/>
  <c r="I24" i="19" s="1"/>
  <c r="K24" i="19" s="1"/>
  <c r="K18" i="19"/>
  <c r="G17" i="19"/>
  <c r="E17" i="19"/>
  <c r="I16" i="19"/>
  <c r="K16" i="19" s="1"/>
  <c r="I15" i="19"/>
  <c r="I17" i="19" s="1"/>
  <c r="K17" i="19" s="1"/>
  <c r="K14" i="19"/>
  <c r="G13" i="19"/>
  <c r="E13" i="19"/>
  <c r="I12" i="19"/>
  <c r="K12" i="19" s="1"/>
  <c r="I11" i="19"/>
  <c r="I13" i="19" s="1"/>
  <c r="K10" i="19"/>
  <c r="K68" i="19" l="1"/>
  <c r="K13" i="19"/>
  <c r="I93" i="19"/>
  <c r="K80" i="19"/>
  <c r="K11" i="19"/>
  <c r="I116" i="19"/>
  <c r="K116" i="19" s="1"/>
  <c r="K62" i="19"/>
  <c r="K92" i="19"/>
  <c r="K190" i="19"/>
  <c r="K218" i="19"/>
  <c r="K82" i="19"/>
  <c r="K100" i="19"/>
  <c r="I268" i="19"/>
  <c r="K268" i="19" s="1"/>
  <c r="I150" i="19"/>
  <c r="K150" i="19" s="1"/>
  <c r="K15" i="19"/>
  <c r="I42" i="19"/>
  <c r="K42" i="19" s="1"/>
  <c r="I210" i="19"/>
  <c r="K78" i="19"/>
  <c r="I113" i="19"/>
  <c r="K113" i="19" s="1"/>
  <c r="K135" i="19"/>
  <c r="I188" i="19"/>
  <c r="K188" i="19" s="1"/>
  <c r="K154" i="19"/>
  <c r="K242" i="19"/>
  <c r="E59" i="19"/>
  <c r="K126" i="19"/>
  <c r="G59" i="19"/>
  <c r="I34" i="19"/>
  <c r="K34" i="19" s="1"/>
  <c r="I55" i="19"/>
  <c r="K55" i="19" s="1"/>
  <c r="K105" i="19"/>
  <c r="K132" i="19"/>
  <c r="E94" i="19"/>
  <c r="E118" i="19" s="1"/>
  <c r="E162" i="19" s="1"/>
  <c r="K88" i="19"/>
  <c r="G94" i="19"/>
  <c r="G118" i="19" s="1"/>
  <c r="G162" i="19" s="1"/>
  <c r="I112" i="19"/>
  <c r="K112" i="19" s="1"/>
  <c r="I98" i="19"/>
  <c r="K122" i="19"/>
  <c r="I125" i="19"/>
  <c r="K125" i="19" s="1"/>
  <c r="I142" i="19"/>
  <c r="K142" i="19" s="1"/>
  <c r="K166" i="19"/>
  <c r="K137" i="19"/>
  <c r="I81" i="19"/>
  <c r="K81" i="19" s="1"/>
  <c r="K79" i="19"/>
  <c r="K236" i="19"/>
  <c r="I94" i="19" l="1"/>
  <c r="K210" i="19"/>
  <c r="I234" i="19"/>
  <c r="G164" i="19"/>
  <c r="G273" i="19" s="1"/>
  <c r="K93" i="19"/>
  <c r="I117" i="19"/>
  <c r="K117" i="19" s="1"/>
  <c r="I59" i="19"/>
  <c r="E164" i="19"/>
  <c r="E273" i="19" s="1"/>
  <c r="K98" i="19"/>
  <c r="I114" i="19"/>
  <c r="K114" i="19" s="1"/>
  <c r="I144" i="19"/>
  <c r="K144" i="19" s="1"/>
  <c r="I118" i="19" l="1"/>
  <c r="K94" i="19"/>
  <c r="K59" i="19"/>
  <c r="I270" i="19"/>
  <c r="K270" i="19" s="1"/>
  <c r="K234" i="19"/>
  <c r="K118" i="19" l="1"/>
  <c r="I162" i="19"/>
  <c r="K162" i="19" l="1"/>
  <c r="I164" i="19"/>
  <c r="K164" i="19" l="1"/>
  <c r="I273" i="19"/>
  <c r="K273" i="19" s="1"/>
  <c r="K150" i="18"/>
  <c r="L150" i="18" s="1"/>
  <c r="I150" i="18"/>
  <c r="F150" i="18"/>
  <c r="K148" i="18"/>
  <c r="L148" i="18" s="1"/>
  <c r="I148" i="18"/>
  <c r="F148" i="18"/>
  <c r="K146" i="18"/>
  <c r="L146" i="18" s="1"/>
  <c r="I146" i="18"/>
  <c r="F146" i="18"/>
  <c r="K144" i="18"/>
  <c r="L144" i="18" s="1"/>
  <c r="I144" i="18"/>
  <c r="F144" i="18"/>
  <c r="K142" i="18"/>
  <c r="L142" i="18" s="1"/>
  <c r="I142" i="18"/>
  <c r="F142" i="18"/>
  <c r="K141" i="18"/>
  <c r="L141" i="18" s="1"/>
  <c r="I141" i="18"/>
  <c r="F141" i="18"/>
  <c r="K140" i="18"/>
  <c r="L140" i="18" s="1"/>
  <c r="I140" i="18"/>
  <c r="F140" i="18"/>
  <c r="K138" i="18"/>
  <c r="L138" i="18" s="1"/>
  <c r="I138" i="18"/>
  <c r="F138" i="18"/>
  <c r="K136" i="18"/>
  <c r="L136" i="18" s="1"/>
  <c r="I136" i="18"/>
  <c r="F136" i="18"/>
  <c r="K135" i="18"/>
  <c r="L135" i="18" s="1"/>
  <c r="I135" i="18"/>
  <c r="F135" i="18"/>
  <c r="K134" i="18"/>
  <c r="L134" i="18" s="1"/>
  <c r="I134" i="18"/>
  <c r="F134" i="18"/>
  <c r="K133" i="18"/>
  <c r="L133" i="18" s="1"/>
  <c r="I133" i="18"/>
  <c r="F133" i="18"/>
  <c r="K132" i="18"/>
  <c r="L132" i="18" s="1"/>
  <c r="I132" i="18"/>
  <c r="F132" i="18"/>
  <c r="K130" i="18"/>
  <c r="L130" i="18" s="1"/>
  <c r="I130" i="18"/>
  <c r="F130" i="18"/>
  <c r="K128" i="18"/>
  <c r="L128" i="18" s="1"/>
  <c r="I128" i="18"/>
  <c r="F128" i="18"/>
  <c r="K126" i="18"/>
  <c r="L126" i="18" s="1"/>
  <c r="I126" i="18"/>
  <c r="F126" i="18"/>
  <c r="K125" i="18"/>
  <c r="L125" i="18" s="1"/>
  <c r="I125" i="18"/>
  <c r="F125" i="18"/>
  <c r="K124" i="18"/>
  <c r="L124" i="18" s="1"/>
  <c r="I124" i="18"/>
  <c r="F124" i="18"/>
  <c r="K123" i="18"/>
  <c r="L123" i="18" s="1"/>
  <c r="I123" i="18"/>
  <c r="F123" i="18"/>
  <c r="K122" i="18"/>
  <c r="L122" i="18" s="1"/>
  <c r="I122" i="18"/>
  <c r="F122" i="18"/>
  <c r="K121" i="18"/>
  <c r="L121" i="18" s="1"/>
  <c r="I121" i="18"/>
  <c r="F121" i="18"/>
  <c r="K120" i="18"/>
  <c r="L120" i="18" s="1"/>
  <c r="I120" i="18"/>
  <c r="F120" i="18"/>
  <c r="K119" i="18"/>
  <c r="L119" i="18" s="1"/>
  <c r="I119" i="18"/>
  <c r="F119" i="18"/>
  <c r="K118" i="18"/>
  <c r="L118" i="18" s="1"/>
  <c r="I118" i="18"/>
  <c r="F118" i="18"/>
  <c r="K116" i="18"/>
  <c r="L116" i="18" s="1"/>
  <c r="I116" i="18"/>
  <c r="F116" i="18"/>
  <c r="K114" i="18"/>
  <c r="L114" i="18" s="1"/>
  <c r="I114" i="18"/>
  <c r="F114" i="18"/>
  <c r="K113" i="18"/>
  <c r="L113" i="18" s="1"/>
  <c r="I113" i="18"/>
  <c r="F113" i="18"/>
  <c r="K112" i="18"/>
  <c r="L112" i="18" s="1"/>
  <c r="I112" i="18"/>
  <c r="F112" i="18"/>
  <c r="K111" i="18"/>
  <c r="L111" i="18" s="1"/>
  <c r="I111" i="18"/>
  <c r="F111" i="18"/>
  <c r="K110" i="18"/>
  <c r="L110" i="18" s="1"/>
  <c r="I110" i="18"/>
  <c r="F110" i="18"/>
  <c r="K109" i="18"/>
  <c r="L109" i="18" s="1"/>
  <c r="I109" i="18"/>
  <c r="F109" i="18"/>
  <c r="K107" i="18"/>
  <c r="L107" i="18" s="1"/>
  <c r="I107" i="18"/>
  <c r="F107" i="18"/>
  <c r="K106" i="18"/>
  <c r="L106" i="18" s="1"/>
  <c r="I106" i="18"/>
  <c r="F106" i="18"/>
  <c r="K105" i="18"/>
  <c r="L105" i="18" s="1"/>
  <c r="I105" i="18"/>
  <c r="F105" i="18"/>
  <c r="K104" i="18"/>
  <c r="L104" i="18" s="1"/>
  <c r="I104" i="18"/>
  <c r="F104" i="18"/>
  <c r="K103" i="18"/>
  <c r="L103" i="18" s="1"/>
  <c r="I103" i="18"/>
  <c r="F103" i="18"/>
  <c r="K101" i="18"/>
  <c r="L101" i="18" s="1"/>
  <c r="I101" i="18"/>
  <c r="F101" i="18"/>
  <c r="K100" i="18"/>
  <c r="L100" i="18" s="1"/>
  <c r="I100" i="18"/>
  <c r="F100" i="18"/>
  <c r="K99" i="18"/>
  <c r="L99" i="18" s="1"/>
  <c r="I99" i="18"/>
  <c r="F99" i="18"/>
  <c r="K98" i="18"/>
  <c r="L98" i="18" s="1"/>
  <c r="I98" i="18"/>
  <c r="F98" i="18"/>
  <c r="K97" i="18"/>
  <c r="L97" i="18" s="1"/>
  <c r="I97" i="18"/>
  <c r="F97" i="18"/>
  <c r="K95" i="18"/>
  <c r="L95" i="18" s="1"/>
  <c r="I95" i="18"/>
  <c r="F95" i="18"/>
  <c r="K94" i="18"/>
  <c r="L94" i="18" s="1"/>
  <c r="I94" i="18"/>
  <c r="F94" i="18"/>
  <c r="K92" i="18"/>
  <c r="L92" i="18" s="1"/>
  <c r="I92" i="18"/>
  <c r="F92" i="18"/>
  <c r="K91" i="18"/>
  <c r="L91" i="18" s="1"/>
  <c r="I91" i="18"/>
  <c r="F91" i="18"/>
  <c r="K90" i="18"/>
  <c r="L90" i="18" s="1"/>
  <c r="I90" i="18"/>
  <c r="F90" i="18"/>
  <c r="K89" i="18"/>
  <c r="L89" i="18" s="1"/>
  <c r="I89" i="18"/>
  <c r="F89" i="18"/>
  <c r="K88" i="18"/>
  <c r="L88" i="18" s="1"/>
  <c r="I88" i="18"/>
  <c r="F88" i="18"/>
  <c r="K87" i="18"/>
  <c r="L87" i="18" s="1"/>
  <c r="I87" i="18"/>
  <c r="F87" i="18"/>
  <c r="K85" i="18"/>
  <c r="L85" i="18" s="1"/>
  <c r="I85" i="18"/>
  <c r="F85" i="18"/>
  <c r="L84" i="18"/>
  <c r="K84" i="18"/>
  <c r="I84" i="18"/>
  <c r="F84" i="18"/>
  <c r="K83" i="18"/>
  <c r="L83" i="18" s="1"/>
  <c r="I83" i="18"/>
  <c r="F83" i="18"/>
  <c r="K82" i="18"/>
  <c r="L82" i="18" s="1"/>
  <c r="I82" i="18"/>
  <c r="F82" i="18"/>
  <c r="K81" i="18"/>
  <c r="L81" i="18" s="1"/>
  <c r="I81" i="18"/>
  <c r="F81" i="18"/>
  <c r="K80" i="18"/>
  <c r="L80" i="18" s="1"/>
  <c r="I80" i="18"/>
  <c r="F80" i="18"/>
  <c r="K78" i="18"/>
  <c r="L78" i="18" s="1"/>
  <c r="I78" i="18"/>
  <c r="F78" i="18"/>
  <c r="K76" i="18"/>
  <c r="L76" i="18" s="1"/>
  <c r="I76" i="18"/>
  <c r="F76" i="18"/>
  <c r="K75" i="18"/>
  <c r="L75" i="18" s="1"/>
  <c r="I75" i="18"/>
  <c r="F75" i="18"/>
  <c r="K74" i="18"/>
  <c r="L74" i="18" s="1"/>
  <c r="I74" i="18"/>
  <c r="F74" i="18"/>
  <c r="K73" i="18"/>
  <c r="L73" i="18" s="1"/>
  <c r="I73" i="18"/>
  <c r="F73" i="18"/>
  <c r="K71" i="18"/>
  <c r="L71" i="18" s="1"/>
  <c r="I71" i="18"/>
  <c r="F71" i="18"/>
  <c r="K69" i="18"/>
  <c r="L69" i="18" s="1"/>
  <c r="I69" i="18"/>
  <c r="F69" i="18"/>
  <c r="K68" i="18"/>
  <c r="L68" i="18" s="1"/>
  <c r="I68" i="18"/>
  <c r="F68" i="18"/>
  <c r="K67" i="18"/>
  <c r="L67" i="18" s="1"/>
  <c r="I67" i="18"/>
  <c r="F67" i="18"/>
  <c r="K65" i="18"/>
  <c r="L65" i="18" s="1"/>
  <c r="I65" i="18"/>
  <c r="F65" i="18"/>
  <c r="K63" i="18"/>
  <c r="L63" i="18" s="1"/>
  <c r="I63" i="18"/>
  <c r="F63" i="18"/>
  <c r="K62" i="18"/>
  <c r="L62" i="18" s="1"/>
  <c r="I62" i="18"/>
  <c r="F62" i="18"/>
  <c r="K61" i="18"/>
  <c r="L61" i="18" s="1"/>
  <c r="I61" i="18"/>
  <c r="F61" i="18"/>
  <c r="L59" i="18"/>
  <c r="K59" i="18"/>
  <c r="I59" i="18"/>
  <c r="F59" i="18"/>
  <c r="K57" i="18"/>
  <c r="L57" i="18" s="1"/>
  <c r="I57" i="18"/>
  <c r="F57" i="18"/>
  <c r="K56" i="18"/>
  <c r="L56" i="18" s="1"/>
  <c r="I56" i="18"/>
  <c r="F56" i="18"/>
  <c r="K55" i="18"/>
  <c r="L55" i="18" s="1"/>
  <c r="I55" i="18"/>
  <c r="F55" i="18"/>
  <c r="K54" i="18"/>
  <c r="L54" i="18" s="1"/>
  <c r="I54" i="18"/>
  <c r="F54" i="18"/>
  <c r="K53" i="18"/>
  <c r="L53" i="18" s="1"/>
  <c r="I53" i="18"/>
  <c r="F53" i="18"/>
  <c r="K52" i="18"/>
  <c r="L52" i="18" s="1"/>
  <c r="I52" i="18"/>
  <c r="F52" i="18"/>
  <c r="K50" i="18"/>
  <c r="L50" i="18" s="1"/>
  <c r="I50" i="18"/>
  <c r="F50" i="18"/>
  <c r="K49" i="18"/>
  <c r="L49" i="18" s="1"/>
  <c r="I49" i="18"/>
  <c r="F49" i="18"/>
  <c r="K48" i="18"/>
  <c r="L48" i="18" s="1"/>
  <c r="I48" i="18"/>
  <c r="F48" i="18"/>
  <c r="K47" i="18"/>
  <c r="L47" i="18" s="1"/>
  <c r="I47" i="18"/>
  <c r="F47" i="18"/>
  <c r="K46" i="18"/>
  <c r="L46" i="18" s="1"/>
  <c r="I46" i="18"/>
  <c r="F46" i="18"/>
  <c r="K45" i="18"/>
  <c r="L45" i="18" s="1"/>
  <c r="I45" i="18"/>
  <c r="F45" i="18"/>
  <c r="K44" i="18"/>
  <c r="L44" i="18" s="1"/>
  <c r="I44" i="18"/>
  <c r="F44" i="18"/>
  <c r="K42" i="18"/>
  <c r="L42" i="18" s="1"/>
  <c r="I42" i="18"/>
  <c r="F42" i="18"/>
  <c r="K40" i="18"/>
  <c r="L40" i="18" s="1"/>
  <c r="I40" i="18"/>
  <c r="F40" i="18"/>
  <c r="K38" i="18"/>
  <c r="L38" i="18" s="1"/>
  <c r="I38" i="18"/>
  <c r="F38" i="18"/>
  <c r="K37" i="18"/>
  <c r="L37" i="18" s="1"/>
  <c r="I37" i="18"/>
  <c r="F37" i="18"/>
  <c r="L36" i="18"/>
  <c r="K36" i="18"/>
  <c r="I36" i="18"/>
  <c r="F36" i="18"/>
  <c r="K35" i="18"/>
  <c r="L35" i="18" s="1"/>
  <c r="I35" i="18"/>
  <c r="F35" i="18"/>
  <c r="K34" i="18"/>
  <c r="L34" i="18" s="1"/>
  <c r="I34" i="18"/>
  <c r="F34" i="18"/>
  <c r="K33" i="18"/>
  <c r="L33" i="18" s="1"/>
  <c r="I33" i="18"/>
  <c r="F33" i="18"/>
  <c r="K32" i="18"/>
  <c r="L32" i="18" s="1"/>
  <c r="I32" i="18"/>
  <c r="F32" i="18"/>
  <c r="K31" i="18"/>
  <c r="L31" i="18" s="1"/>
  <c r="I31" i="18"/>
  <c r="F31" i="18"/>
  <c r="K30" i="18"/>
  <c r="L30" i="18" s="1"/>
  <c r="I30" i="18"/>
  <c r="F30" i="18"/>
  <c r="K29" i="18"/>
  <c r="L29" i="18" s="1"/>
  <c r="I29" i="18"/>
  <c r="F29" i="18"/>
  <c r="K28" i="18"/>
  <c r="L28" i="18" s="1"/>
  <c r="I28" i="18"/>
  <c r="F28" i="18"/>
  <c r="K27" i="18"/>
  <c r="L27" i="18" s="1"/>
  <c r="I27" i="18"/>
  <c r="F27" i="18"/>
  <c r="K26" i="18"/>
  <c r="L26" i="18" s="1"/>
  <c r="I26" i="18"/>
  <c r="F26" i="18"/>
  <c r="K25" i="18"/>
  <c r="L25" i="18" s="1"/>
  <c r="I25" i="18"/>
  <c r="F25" i="18"/>
  <c r="K24" i="18"/>
  <c r="L24" i="18" s="1"/>
  <c r="I24" i="18"/>
  <c r="F24" i="18"/>
  <c r="K22" i="18"/>
  <c r="L22" i="18" s="1"/>
  <c r="I22" i="18"/>
  <c r="F22" i="18"/>
  <c r="K21" i="18"/>
  <c r="L21" i="18" s="1"/>
  <c r="I21" i="18"/>
  <c r="F21" i="18"/>
  <c r="K20" i="18"/>
  <c r="L20" i="18" s="1"/>
  <c r="I20" i="18"/>
  <c r="F20" i="18"/>
  <c r="K19" i="18"/>
  <c r="L19" i="18" s="1"/>
  <c r="I19" i="18"/>
  <c r="F19" i="18"/>
  <c r="K18" i="18"/>
  <c r="L18" i="18" s="1"/>
  <c r="I18" i="18"/>
  <c r="F18" i="18"/>
  <c r="L17" i="18"/>
  <c r="K17" i="18"/>
  <c r="I17" i="18"/>
  <c r="F17" i="18"/>
  <c r="K16" i="18"/>
  <c r="L16" i="18" s="1"/>
  <c r="I16" i="18"/>
  <c r="F16" i="18"/>
  <c r="K15" i="18"/>
  <c r="L15" i="18" s="1"/>
  <c r="I15" i="18"/>
  <c r="F15" i="18"/>
  <c r="K13" i="18"/>
  <c r="L13" i="18" s="1"/>
  <c r="I13" i="18"/>
  <c r="F13" i="18"/>
  <c r="K12" i="18"/>
  <c r="L12" i="18" s="1"/>
  <c r="I12" i="18"/>
  <c r="F12" i="18"/>
  <c r="K11" i="18"/>
  <c r="L11" i="18" s="1"/>
  <c r="I11" i="18"/>
  <c r="F11" i="18"/>
  <c r="K10" i="18"/>
  <c r="L10" i="18" s="1"/>
  <c r="I10" i="18"/>
  <c r="F10" i="18"/>
  <c r="K150" i="17"/>
  <c r="L150" i="17" s="1"/>
  <c r="I150" i="17"/>
  <c r="F150" i="17"/>
  <c r="K148" i="17"/>
  <c r="L148" i="17" s="1"/>
  <c r="I148" i="17"/>
  <c r="F148" i="17"/>
  <c r="K146" i="17"/>
  <c r="L146" i="17" s="1"/>
  <c r="I146" i="17"/>
  <c r="F146" i="17"/>
  <c r="K144" i="17"/>
  <c r="L144" i="17" s="1"/>
  <c r="I144" i="17"/>
  <c r="F144" i="17"/>
  <c r="K142" i="17"/>
  <c r="L142" i="17" s="1"/>
  <c r="I142" i="17"/>
  <c r="F142" i="17"/>
  <c r="K141" i="17"/>
  <c r="L141" i="17" s="1"/>
  <c r="I141" i="17"/>
  <c r="F141" i="17"/>
  <c r="K140" i="17"/>
  <c r="L140" i="17" s="1"/>
  <c r="I140" i="17"/>
  <c r="F140" i="17"/>
  <c r="K138" i="17"/>
  <c r="L138" i="17" s="1"/>
  <c r="I138" i="17"/>
  <c r="F138" i="17"/>
  <c r="K136" i="17"/>
  <c r="L136" i="17" s="1"/>
  <c r="I136" i="17"/>
  <c r="F136" i="17"/>
  <c r="K135" i="17"/>
  <c r="L135" i="17" s="1"/>
  <c r="I135" i="17"/>
  <c r="F135" i="17"/>
  <c r="K134" i="17"/>
  <c r="L134" i="17" s="1"/>
  <c r="I134" i="17"/>
  <c r="F134" i="17"/>
  <c r="K133" i="17"/>
  <c r="L133" i="17" s="1"/>
  <c r="I133" i="17"/>
  <c r="F133" i="17"/>
  <c r="K132" i="17"/>
  <c r="L132" i="17" s="1"/>
  <c r="I132" i="17"/>
  <c r="F132" i="17"/>
  <c r="K130" i="17"/>
  <c r="L130" i="17" s="1"/>
  <c r="I130" i="17"/>
  <c r="F130" i="17"/>
  <c r="K128" i="17"/>
  <c r="L128" i="17" s="1"/>
  <c r="I128" i="17"/>
  <c r="F128" i="17"/>
  <c r="K126" i="17"/>
  <c r="L126" i="17" s="1"/>
  <c r="I126" i="17"/>
  <c r="F126" i="17"/>
  <c r="K125" i="17"/>
  <c r="L125" i="17" s="1"/>
  <c r="I125" i="17"/>
  <c r="F125" i="17"/>
  <c r="K124" i="17"/>
  <c r="L124" i="17" s="1"/>
  <c r="I124" i="17"/>
  <c r="F124" i="17"/>
  <c r="K123" i="17"/>
  <c r="L123" i="17" s="1"/>
  <c r="I123" i="17"/>
  <c r="F123" i="17"/>
  <c r="K122" i="17"/>
  <c r="L122" i="17" s="1"/>
  <c r="I122" i="17"/>
  <c r="F122" i="17"/>
  <c r="K121" i="17"/>
  <c r="L121" i="17" s="1"/>
  <c r="I121" i="17"/>
  <c r="F121" i="17"/>
  <c r="K120" i="17"/>
  <c r="L120" i="17" s="1"/>
  <c r="I120" i="17"/>
  <c r="F120" i="17"/>
  <c r="K119" i="17"/>
  <c r="L119" i="17" s="1"/>
  <c r="I119" i="17"/>
  <c r="F119" i="17"/>
  <c r="K118" i="17"/>
  <c r="L118" i="17" s="1"/>
  <c r="I118" i="17"/>
  <c r="F118" i="17"/>
  <c r="K116" i="17"/>
  <c r="L116" i="17" s="1"/>
  <c r="I116" i="17"/>
  <c r="F116" i="17"/>
  <c r="K114" i="17"/>
  <c r="L114" i="17" s="1"/>
  <c r="I114" i="17"/>
  <c r="F114" i="17"/>
  <c r="K113" i="17"/>
  <c r="L113" i="17" s="1"/>
  <c r="I113" i="17"/>
  <c r="F113" i="17"/>
  <c r="K112" i="17"/>
  <c r="L112" i="17" s="1"/>
  <c r="I112" i="17"/>
  <c r="F112" i="17"/>
  <c r="K111" i="17"/>
  <c r="L111" i="17" s="1"/>
  <c r="I111" i="17"/>
  <c r="F111" i="17"/>
  <c r="K110" i="17"/>
  <c r="L110" i="17" s="1"/>
  <c r="I110" i="17"/>
  <c r="F110" i="17"/>
  <c r="K109" i="17"/>
  <c r="L109" i="17" s="1"/>
  <c r="I109" i="17"/>
  <c r="F109" i="17"/>
  <c r="K107" i="17"/>
  <c r="L107" i="17" s="1"/>
  <c r="I107" i="17"/>
  <c r="F107" i="17"/>
  <c r="K106" i="17"/>
  <c r="L106" i="17" s="1"/>
  <c r="I106" i="17"/>
  <c r="F106" i="17"/>
  <c r="K105" i="17"/>
  <c r="L105" i="17" s="1"/>
  <c r="I105" i="17"/>
  <c r="F105" i="17"/>
  <c r="K104" i="17"/>
  <c r="L104" i="17" s="1"/>
  <c r="I104" i="17"/>
  <c r="F104" i="17"/>
  <c r="K103" i="17"/>
  <c r="L103" i="17" s="1"/>
  <c r="I103" i="17"/>
  <c r="F103" i="17"/>
  <c r="K101" i="17"/>
  <c r="L101" i="17" s="1"/>
  <c r="I101" i="17"/>
  <c r="F101" i="17"/>
  <c r="K100" i="17"/>
  <c r="L100" i="17" s="1"/>
  <c r="I100" i="17"/>
  <c r="F100" i="17"/>
  <c r="K99" i="17"/>
  <c r="L99" i="17" s="1"/>
  <c r="I99" i="17"/>
  <c r="F99" i="17"/>
  <c r="K98" i="17"/>
  <c r="L98" i="17" s="1"/>
  <c r="I98" i="17"/>
  <c r="F98" i="17"/>
  <c r="K97" i="17"/>
  <c r="L97" i="17" s="1"/>
  <c r="I97" i="17"/>
  <c r="F97" i="17"/>
  <c r="K95" i="17"/>
  <c r="L95" i="17" s="1"/>
  <c r="I95" i="17"/>
  <c r="F95" i="17"/>
  <c r="K94" i="17"/>
  <c r="L94" i="17" s="1"/>
  <c r="I94" i="17"/>
  <c r="F94" i="17"/>
  <c r="K92" i="17"/>
  <c r="L92" i="17" s="1"/>
  <c r="I92" i="17"/>
  <c r="F92" i="17"/>
  <c r="K91" i="17"/>
  <c r="L91" i="17" s="1"/>
  <c r="I91" i="17"/>
  <c r="F91" i="17"/>
  <c r="K90" i="17"/>
  <c r="L90" i="17" s="1"/>
  <c r="I90" i="17"/>
  <c r="F90" i="17"/>
  <c r="K89" i="17"/>
  <c r="L89" i="17" s="1"/>
  <c r="I89" i="17"/>
  <c r="F89" i="17"/>
  <c r="K88" i="17"/>
  <c r="L88" i="17" s="1"/>
  <c r="I88" i="17"/>
  <c r="F88" i="17"/>
  <c r="K87" i="17"/>
  <c r="L87" i="17" s="1"/>
  <c r="I87" i="17"/>
  <c r="F87" i="17"/>
  <c r="K85" i="17"/>
  <c r="L85" i="17" s="1"/>
  <c r="I85" i="17"/>
  <c r="F85" i="17"/>
  <c r="K84" i="17"/>
  <c r="L84" i="17" s="1"/>
  <c r="I84" i="17"/>
  <c r="F84" i="17"/>
  <c r="K83" i="17"/>
  <c r="L83" i="17" s="1"/>
  <c r="I83" i="17"/>
  <c r="F83" i="17"/>
  <c r="K82" i="17"/>
  <c r="L82" i="17" s="1"/>
  <c r="I82" i="17"/>
  <c r="F82" i="17"/>
  <c r="K81" i="17"/>
  <c r="L81" i="17" s="1"/>
  <c r="I81" i="17"/>
  <c r="F81" i="17"/>
  <c r="K80" i="17"/>
  <c r="L80" i="17" s="1"/>
  <c r="I80" i="17"/>
  <c r="F80" i="17"/>
  <c r="K78" i="17"/>
  <c r="L78" i="17" s="1"/>
  <c r="I78" i="17"/>
  <c r="F78" i="17"/>
  <c r="K76" i="17"/>
  <c r="L76" i="17" s="1"/>
  <c r="I76" i="17"/>
  <c r="F76" i="17"/>
  <c r="K75" i="17"/>
  <c r="L75" i="17" s="1"/>
  <c r="I75" i="17"/>
  <c r="F75" i="17"/>
  <c r="K74" i="17"/>
  <c r="L74" i="17" s="1"/>
  <c r="I74" i="17"/>
  <c r="F74" i="17"/>
  <c r="K73" i="17"/>
  <c r="L73" i="17" s="1"/>
  <c r="I73" i="17"/>
  <c r="F73" i="17"/>
  <c r="K71" i="17"/>
  <c r="L71" i="17" s="1"/>
  <c r="I71" i="17"/>
  <c r="F71" i="17"/>
  <c r="K69" i="17"/>
  <c r="L69" i="17" s="1"/>
  <c r="I69" i="17"/>
  <c r="F69" i="17"/>
  <c r="K68" i="17"/>
  <c r="L68" i="17" s="1"/>
  <c r="I68" i="17"/>
  <c r="F68" i="17"/>
  <c r="K67" i="17"/>
  <c r="L67" i="17" s="1"/>
  <c r="I67" i="17"/>
  <c r="F67" i="17"/>
  <c r="K65" i="17"/>
  <c r="L65" i="17" s="1"/>
  <c r="I65" i="17"/>
  <c r="F65" i="17"/>
  <c r="K63" i="17"/>
  <c r="L63" i="17" s="1"/>
  <c r="I63" i="17"/>
  <c r="F63" i="17"/>
  <c r="K62" i="17"/>
  <c r="L62" i="17" s="1"/>
  <c r="I62" i="17"/>
  <c r="F62" i="17"/>
  <c r="K61" i="17"/>
  <c r="L61" i="17" s="1"/>
  <c r="I61" i="17"/>
  <c r="F61" i="17"/>
  <c r="K59" i="17"/>
  <c r="L59" i="17" s="1"/>
  <c r="I59" i="17"/>
  <c r="F59" i="17"/>
  <c r="K57" i="17"/>
  <c r="L57" i="17" s="1"/>
  <c r="I57" i="17"/>
  <c r="F57" i="17"/>
  <c r="K56" i="17"/>
  <c r="L56" i="17" s="1"/>
  <c r="I56" i="17"/>
  <c r="F56" i="17"/>
  <c r="K55" i="17"/>
  <c r="L55" i="17" s="1"/>
  <c r="I55" i="17"/>
  <c r="F55" i="17"/>
  <c r="K54" i="17"/>
  <c r="L54" i="17" s="1"/>
  <c r="I54" i="17"/>
  <c r="F54" i="17"/>
  <c r="K53" i="17"/>
  <c r="L53" i="17" s="1"/>
  <c r="I53" i="17"/>
  <c r="F53" i="17"/>
  <c r="K52" i="17"/>
  <c r="L52" i="17" s="1"/>
  <c r="I52" i="17"/>
  <c r="F52" i="17"/>
  <c r="K50" i="17"/>
  <c r="L50" i="17" s="1"/>
  <c r="I50" i="17"/>
  <c r="F50" i="17"/>
  <c r="K49" i="17"/>
  <c r="L49" i="17" s="1"/>
  <c r="I49" i="17"/>
  <c r="F49" i="17"/>
  <c r="K48" i="17"/>
  <c r="L48" i="17" s="1"/>
  <c r="I48" i="17"/>
  <c r="F48" i="17"/>
  <c r="K47" i="17"/>
  <c r="L47" i="17" s="1"/>
  <c r="I47" i="17"/>
  <c r="F47" i="17"/>
  <c r="K46" i="17"/>
  <c r="L46" i="17" s="1"/>
  <c r="I46" i="17"/>
  <c r="F46" i="17"/>
  <c r="K45" i="17"/>
  <c r="L45" i="17" s="1"/>
  <c r="I45" i="17"/>
  <c r="F45" i="17"/>
  <c r="K44" i="17"/>
  <c r="L44" i="17" s="1"/>
  <c r="I44" i="17"/>
  <c r="F44" i="17"/>
  <c r="K42" i="17"/>
  <c r="L42" i="17" s="1"/>
  <c r="I42" i="17"/>
  <c r="F42" i="17"/>
  <c r="K40" i="17"/>
  <c r="L40" i="17" s="1"/>
  <c r="I40" i="17"/>
  <c r="F40" i="17"/>
  <c r="K38" i="17"/>
  <c r="L38" i="17" s="1"/>
  <c r="I38" i="17"/>
  <c r="F38" i="17"/>
  <c r="K37" i="17"/>
  <c r="L37" i="17" s="1"/>
  <c r="I37" i="17"/>
  <c r="F37" i="17"/>
  <c r="K36" i="17"/>
  <c r="L36" i="17" s="1"/>
  <c r="I36" i="17"/>
  <c r="F36" i="17"/>
  <c r="K35" i="17"/>
  <c r="L35" i="17" s="1"/>
  <c r="I35" i="17"/>
  <c r="F35" i="17"/>
  <c r="K34" i="17"/>
  <c r="L34" i="17" s="1"/>
  <c r="I34" i="17"/>
  <c r="F34" i="17"/>
  <c r="K33" i="17"/>
  <c r="L33" i="17" s="1"/>
  <c r="I33" i="17"/>
  <c r="F33" i="17"/>
  <c r="K32" i="17"/>
  <c r="L32" i="17" s="1"/>
  <c r="I32" i="17"/>
  <c r="F32" i="17"/>
  <c r="K31" i="17"/>
  <c r="L31" i="17" s="1"/>
  <c r="I31" i="17"/>
  <c r="F31" i="17"/>
  <c r="K30" i="17"/>
  <c r="L30" i="17" s="1"/>
  <c r="I30" i="17"/>
  <c r="F30" i="17"/>
  <c r="K29" i="17"/>
  <c r="L29" i="17" s="1"/>
  <c r="I29" i="17"/>
  <c r="F29" i="17"/>
  <c r="K28" i="17"/>
  <c r="L28" i="17" s="1"/>
  <c r="I28" i="17"/>
  <c r="F28" i="17"/>
  <c r="K27" i="17"/>
  <c r="L27" i="17" s="1"/>
  <c r="I27" i="17"/>
  <c r="F27" i="17"/>
  <c r="K26" i="17"/>
  <c r="L26" i="17" s="1"/>
  <c r="I26" i="17"/>
  <c r="F26" i="17"/>
  <c r="K25" i="17"/>
  <c r="L25" i="17" s="1"/>
  <c r="I25" i="17"/>
  <c r="F25" i="17"/>
  <c r="K24" i="17"/>
  <c r="L24" i="17" s="1"/>
  <c r="I24" i="17"/>
  <c r="F24" i="17"/>
  <c r="K22" i="17"/>
  <c r="L22" i="17" s="1"/>
  <c r="I22" i="17"/>
  <c r="F22" i="17"/>
  <c r="K21" i="17"/>
  <c r="L21" i="17" s="1"/>
  <c r="I21" i="17"/>
  <c r="F21" i="17"/>
  <c r="K20" i="17"/>
  <c r="L20" i="17" s="1"/>
  <c r="I20" i="17"/>
  <c r="F20" i="17"/>
  <c r="K19" i="17"/>
  <c r="L19" i="17" s="1"/>
  <c r="I19" i="17"/>
  <c r="F19" i="17"/>
  <c r="K18" i="17"/>
  <c r="L18" i="17" s="1"/>
  <c r="I18" i="17"/>
  <c r="F18" i="17"/>
  <c r="K17" i="17"/>
  <c r="L17" i="17" s="1"/>
  <c r="I17" i="17"/>
  <c r="F17" i="17"/>
  <c r="K16" i="17"/>
  <c r="L16" i="17" s="1"/>
  <c r="I16" i="17"/>
  <c r="F16" i="17"/>
  <c r="K15" i="17"/>
  <c r="L15" i="17" s="1"/>
  <c r="I15" i="17"/>
  <c r="F15" i="17"/>
  <c r="K13" i="17"/>
  <c r="L13" i="17" s="1"/>
  <c r="I13" i="17"/>
  <c r="F13" i="17"/>
  <c r="K12" i="17"/>
  <c r="L12" i="17" s="1"/>
  <c r="I12" i="17"/>
  <c r="F12" i="17"/>
  <c r="K11" i="17"/>
  <c r="L11" i="17" s="1"/>
  <c r="I11" i="17"/>
  <c r="F11" i="17"/>
  <c r="K10" i="17"/>
  <c r="L10" i="17" s="1"/>
  <c r="I10" i="17"/>
  <c r="F10" i="17"/>
  <c r="K150" i="16"/>
  <c r="L150" i="16" s="1"/>
  <c r="I150" i="16"/>
  <c r="F150" i="16"/>
  <c r="K148" i="16"/>
  <c r="L148" i="16" s="1"/>
  <c r="I148" i="16"/>
  <c r="F148" i="16"/>
  <c r="K146" i="16"/>
  <c r="L146" i="16" s="1"/>
  <c r="I146" i="16"/>
  <c r="F146" i="16"/>
  <c r="K144" i="16"/>
  <c r="L144" i="16" s="1"/>
  <c r="I144" i="16"/>
  <c r="F144" i="16"/>
  <c r="K142" i="16"/>
  <c r="L142" i="16" s="1"/>
  <c r="I142" i="16"/>
  <c r="F142" i="16"/>
  <c r="K141" i="16"/>
  <c r="L141" i="16" s="1"/>
  <c r="I141" i="16"/>
  <c r="F141" i="16"/>
  <c r="K140" i="16"/>
  <c r="L140" i="16" s="1"/>
  <c r="I140" i="16"/>
  <c r="F140" i="16"/>
  <c r="K138" i="16"/>
  <c r="L138" i="16" s="1"/>
  <c r="I138" i="16"/>
  <c r="F138" i="16"/>
  <c r="K136" i="16"/>
  <c r="L136" i="16" s="1"/>
  <c r="I136" i="16"/>
  <c r="F136" i="16"/>
  <c r="K135" i="16"/>
  <c r="L135" i="16" s="1"/>
  <c r="I135" i="16"/>
  <c r="F135" i="16"/>
  <c r="K134" i="16"/>
  <c r="L134" i="16" s="1"/>
  <c r="I134" i="16"/>
  <c r="F134" i="16"/>
  <c r="K133" i="16"/>
  <c r="L133" i="16" s="1"/>
  <c r="I133" i="16"/>
  <c r="F133" i="16"/>
  <c r="K132" i="16"/>
  <c r="L132" i="16" s="1"/>
  <c r="I132" i="16"/>
  <c r="F132" i="16"/>
  <c r="K130" i="16"/>
  <c r="L130" i="16" s="1"/>
  <c r="I130" i="16"/>
  <c r="F130" i="16"/>
  <c r="K128" i="16"/>
  <c r="L128" i="16" s="1"/>
  <c r="I128" i="16"/>
  <c r="F128" i="16"/>
  <c r="K126" i="16"/>
  <c r="L126" i="16" s="1"/>
  <c r="I126" i="16"/>
  <c r="F126" i="16"/>
  <c r="K125" i="16"/>
  <c r="L125" i="16" s="1"/>
  <c r="I125" i="16"/>
  <c r="F125" i="16"/>
  <c r="K124" i="16"/>
  <c r="L124" i="16" s="1"/>
  <c r="I124" i="16"/>
  <c r="F124" i="16"/>
  <c r="K123" i="16"/>
  <c r="L123" i="16" s="1"/>
  <c r="I123" i="16"/>
  <c r="F123" i="16"/>
  <c r="K122" i="16"/>
  <c r="L122" i="16" s="1"/>
  <c r="I122" i="16"/>
  <c r="F122" i="16"/>
  <c r="K121" i="16"/>
  <c r="L121" i="16" s="1"/>
  <c r="I121" i="16"/>
  <c r="F121" i="16"/>
  <c r="K120" i="16"/>
  <c r="L120" i="16" s="1"/>
  <c r="I120" i="16"/>
  <c r="F120" i="16"/>
  <c r="K119" i="16"/>
  <c r="L119" i="16" s="1"/>
  <c r="I119" i="16"/>
  <c r="F119" i="16"/>
  <c r="K118" i="16"/>
  <c r="L118" i="16" s="1"/>
  <c r="I118" i="16"/>
  <c r="F118" i="16"/>
  <c r="K116" i="16"/>
  <c r="L116" i="16" s="1"/>
  <c r="I116" i="16"/>
  <c r="F116" i="16"/>
  <c r="K114" i="16"/>
  <c r="L114" i="16" s="1"/>
  <c r="I114" i="16"/>
  <c r="F114" i="16"/>
  <c r="K113" i="16"/>
  <c r="L113" i="16" s="1"/>
  <c r="I113" i="16"/>
  <c r="F113" i="16"/>
  <c r="K112" i="16"/>
  <c r="L112" i="16" s="1"/>
  <c r="I112" i="16"/>
  <c r="F112" i="16"/>
  <c r="K111" i="16"/>
  <c r="L111" i="16" s="1"/>
  <c r="I111" i="16"/>
  <c r="F111" i="16"/>
  <c r="K110" i="16"/>
  <c r="L110" i="16" s="1"/>
  <c r="I110" i="16"/>
  <c r="F110" i="16"/>
  <c r="K109" i="16"/>
  <c r="L109" i="16" s="1"/>
  <c r="I109" i="16"/>
  <c r="F109" i="16"/>
  <c r="K107" i="16"/>
  <c r="L107" i="16" s="1"/>
  <c r="I107" i="16"/>
  <c r="F107" i="16"/>
  <c r="K106" i="16"/>
  <c r="L106" i="16" s="1"/>
  <c r="I106" i="16"/>
  <c r="F106" i="16"/>
  <c r="K105" i="16"/>
  <c r="L105" i="16" s="1"/>
  <c r="I105" i="16"/>
  <c r="F105" i="16"/>
  <c r="K104" i="16"/>
  <c r="L104" i="16" s="1"/>
  <c r="I104" i="16"/>
  <c r="F104" i="16"/>
  <c r="K103" i="16"/>
  <c r="L103" i="16" s="1"/>
  <c r="I103" i="16"/>
  <c r="F103" i="16"/>
  <c r="K101" i="16"/>
  <c r="L101" i="16" s="1"/>
  <c r="I101" i="16"/>
  <c r="F101" i="16"/>
  <c r="K100" i="16"/>
  <c r="L100" i="16" s="1"/>
  <c r="I100" i="16"/>
  <c r="F100" i="16"/>
  <c r="K99" i="16"/>
  <c r="L99" i="16" s="1"/>
  <c r="I99" i="16"/>
  <c r="F99" i="16"/>
  <c r="K98" i="16"/>
  <c r="L98" i="16" s="1"/>
  <c r="I98" i="16"/>
  <c r="F98" i="16"/>
  <c r="K97" i="16"/>
  <c r="L97" i="16" s="1"/>
  <c r="I97" i="16"/>
  <c r="F97" i="16"/>
  <c r="K95" i="16"/>
  <c r="L95" i="16" s="1"/>
  <c r="I95" i="16"/>
  <c r="F95" i="16"/>
  <c r="K94" i="16"/>
  <c r="L94" i="16" s="1"/>
  <c r="I94" i="16"/>
  <c r="F94" i="16"/>
  <c r="K92" i="16"/>
  <c r="L92" i="16" s="1"/>
  <c r="I92" i="16"/>
  <c r="F92" i="16"/>
  <c r="K91" i="16"/>
  <c r="L91" i="16" s="1"/>
  <c r="I91" i="16"/>
  <c r="F91" i="16"/>
  <c r="K90" i="16"/>
  <c r="L90" i="16" s="1"/>
  <c r="I90" i="16"/>
  <c r="F90" i="16"/>
  <c r="K89" i="16"/>
  <c r="L89" i="16" s="1"/>
  <c r="I89" i="16"/>
  <c r="F89" i="16"/>
  <c r="K88" i="16"/>
  <c r="L88" i="16" s="1"/>
  <c r="I88" i="16"/>
  <c r="F88" i="16"/>
  <c r="K87" i="16"/>
  <c r="L87" i="16" s="1"/>
  <c r="I87" i="16"/>
  <c r="F87" i="16"/>
  <c r="K85" i="16"/>
  <c r="L85" i="16" s="1"/>
  <c r="I85" i="16"/>
  <c r="F85" i="16"/>
  <c r="L84" i="16"/>
  <c r="K84" i="16"/>
  <c r="I84" i="16"/>
  <c r="F84" i="16"/>
  <c r="K83" i="16"/>
  <c r="L83" i="16" s="1"/>
  <c r="I83" i="16"/>
  <c r="F83" i="16"/>
  <c r="K82" i="16"/>
  <c r="L82" i="16" s="1"/>
  <c r="I82" i="16"/>
  <c r="F82" i="16"/>
  <c r="K81" i="16"/>
  <c r="L81" i="16" s="1"/>
  <c r="I81" i="16"/>
  <c r="F81" i="16"/>
  <c r="K80" i="16"/>
  <c r="L80" i="16" s="1"/>
  <c r="I80" i="16"/>
  <c r="F80" i="16"/>
  <c r="K78" i="16"/>
  <c r="L78" i="16" s="1"/>
  <c r="I78" i="16"/>
  <c r="F78" i="16"/>
  <c r="K76" i="16"/>
  <c r="L76" i="16" s="1"/>
  <c r="I76" i="16"/>
  <c r="F76" i="16"/>
  <c r="K75" i="16"/>
  <c r="L75" i="16" s="1"/>
  <c r="I75" i="16"/>
  <c r="F75" i="16"/>
  <c r="K74" i="16"/>
  <c r="L74" i="16" s="1"/>
  <c r="I74" i="16"/>
  <c r="F74" i="16"/>
  <c r="K73" i="16"/>
  <c r="L73" i="16" s="1"/>
  <c r="I73" i="16"/>
  <c r="F73" i="16"/>
  <c r="K71" i="16"/>
  <c r="L71" i="16" s="1"/>
  <c r="I71" i="16"/>
  <c r="F71" i="16"/>
  <c r="K69" i="16"/>
  <c r="L69" i="16" s="1"/>
  <c r="I69" i="16"/>
  <c r="F69" i="16"/>
  <c r="K68" i="16"/>
  <c r="L68" i="16" s="1"/>
  <c r="I68" i="16"/>
  <c r="F68" i="16"/>
  <c r="K67" i="16"/>
  <c r="L67" i="16" s="1"/>
  <c r="I67" i="16"/>
  <c r="F67" i="16"/>
  <c r="K65" i="16"/>
  <c r="L65" i="16" s="1"/>
  <c r="I65" i="16"/>
  <c r="F65" i="16"/>
  <c r="K63" i="16"/>
  <c r="L63" i="16" s="1"/>
  <c r="I63" i="16"/>
  <c r="F63" i="16"/>
  <c r="K62" i="16"/>
  <c r="L62" i="16" s="1"/>
  <c r="I62" i="16"/>
  <c r="F62" i="16"/>
  <c r="K61" i="16"/>
  <c r="L61" i="16" s="1"/>
  <c r="I61" i="16"/>
  <c r="F61" i="16"/>
  <c r="L59" i="16"/>
  <c r="K59" i="16"/>
  <c r="I59" i="16"/>
  <c r="F59" i="16"/>
  <c r="K57" i="16"/>
  <c r="L57" i="16" s="1"/>
  <c r="I57" i="16"/>
  <c r="F57" i="16"/>
  <c r="K56" i="16"/>
  <c r="L56" i="16" s="1"/>
  <c r="I56" i="16"/>
  <c r="F56" i="16"/>
  <c r="K55" i="16"/>
  <c r="L55" i="16" s="1"/>
  <c r="I55" i="16"/>
  <c r="F55" i="16"/>
  <c r="K54" i="16"/>
  <c r="L54" i="16" s="1"/>
  <c r="I54" i="16"/>
  <c r="F54" i="16"/>
  <c r="K53" i="16"/>
  <c r="L53" i="16" s="1"/>
  <c r="I53" i="16"/>
  <c r="F53" i="16"/>
  <c r="K52" i="16"/>
  <c r="L52" i="16" s="1"/>
  <c r="I52" i="16"/>
  <c r="F52" i="16"/>
  <c r="K50" i="16"/>
  <c r="L50" i="16" s="1"/>
  <c r="I50" i="16"/>
  <c r="F50" i="16"/>
  <c r="K49" i="16"/>
  <c r="L49" i="16" s="1"/>
  <c r="I49" i="16"/>
  <c r="F49" i="16"/>
  <c r="K48" i="16"/>
  <c r="L48" i="16" s="1"/>
  <c r="I48" i="16"/>
  <c r="F48" i="16"/>
  <c r="K47" i="16"/>
  <c r="L47" i="16" s="1"/>
  <c r="I47" i="16"/>
  <c r="F47" i="16"/>
  <c r="K46" i="16"/>
  <c r="L46" i="16" s="1"/>
  <c r="I46" i="16"/>
  <c r="F46" i="16"/>
  <c r="K45" i="16"/>
  <c r="L45" i="16" s="1"/>
  <c r="I45" i="16"/>
  <c r="F45" i="16"/>
  <c r="K44" i="16"/>
  <c r="L44" i="16" s="1"/>
  <c r="I44" i="16"/>
  <c r="F44" i="16"/>
  <c r="K42" i="16"/>
  <c r="L42" i="16" s="1"/>
  <c r="I42" i="16"/>
  <c r="F42" i="16"/>
  <c r="K40" i="16"/>
  <c r="L40" i="16" s="1"/>
  <c r="I40" i="16"/>
  <c r="F40" i="16"/>
  <c r="K38" i="16"/>
  <c r="L38" i="16" s="1"/>
  <c r="I38" i="16"/>
  <c r="F38" i="16"/>
  <c r="K37" i="16"/>
  <c r="L37" i="16" s="1"/>
  <c r="I37" i="16"/>
  <c r="F37" i="16"/>
  <c r="L36" i="16"/>
  <c r="K36" i="16"/>
  <c r="I36" i="16"/>
  <c r="F36" i="16"/>
  <c r="K35" i="16"/>
  <c r="L35" i="16" s="1"/>
  <c r="I35" i="16"/>
  <c r="F35" i="16"/>
  <c r="K34" i="16"/>
  <c r="L34" i="16" s="1"/>
  <c r="I34" i="16"/>
  <c r="F34" i="16"/>
  <c r="K33" i="16"/>
  <c r="L33" i="16" s="1"/>
  <c r="I33" i="16"/>
  <c r="F33" i="16"/>
  <c r="K32" i="16"/>
  <c r="L32" i="16" s="1"/>
  <c r="I32" i="16"/>
  <c r="F32" i="16"/>
  <c r="K31" i="16"/>
  <c r="L31" i="16" s="1"/>
  <c r="I31" i="16"/>
  <c r="F31" i="16"/>
  <c r="K30" i="16"/>
  <c r="L30" i="16" s="1"/>
  <c r="I30" i="16"/>
  <c r="F30" i="16"/>
  <c r="K29" i="16"/>
  <c r="L29" i="16" s="1"/>
  <c r="I29" i="16"/>
  <c r="F29" i="16"/>
  <c r="K28" i="16"/>
  <c r="L28" i="16" s="1"/>
  <c r="I28" i="16"/>
  <c r="F28" i="16"/>
  <c r="K27" i="16"/>
  <c r="L27" i="16" s="1"/>
  <c r="I27" i="16"/>
  <c r="F27" i="16"/>
  <c r="K26" i="16"/>
  <c r="L26" i="16" s="1"/>
  <c r="I26" i="16"/>
  <c r="F26" i="16"/>
  <c r="K25" i="16"/>
  <c r="L25" i="16" s="1"/>
  <c r="I25" i="16"/>
  <c r="F25" i="16"/>
  <c r="K24" i="16"/>
  <c r="L24" i="16" s="1"/>
  <c r="I24" i="16"/>
  <c r="F24" i="16"/>
  <c r="K22" i="16"/>
  <c r="L22" i="16" s="1"/>
  <c r="I22" i="16"/>
  <c r="F22" i="16"/>
  <c r="K21" i="16"/>
  <c r="L21" i="16" s="1"/>
  <c r="I21" i="16"/>
  <c r="F21" i="16"/>
  <c r="K20" i="16"/>
  <c r="L20" i="16" s="1"/>
  <c r="I20" i="16"/>
  <c r="F20" i="16"/>
  <c r="K19" i="16"/>
  <c r="L19" i="16" s="1"/>
  <c r="I19" i="16"/>
  <c r="F19" i="16"/>
  <c r="K18" i="16"/>
  <c r="L18" i="16" s="1"/>
  <c r="I18" i="16"/>
  <c r="F18" i="16"/>
  <c r="L17" i="16"/>
  <c r="K17" i="16"/>
  <c r="I17" i="16"/>
  <c r="F17" i="16"/>
  <c r="K16" i="16"/>
  <c r="L16" i="16" s="1"/>
  <c r="I16" i="16"/>
  <c r="F16" i="16"/>
  <c r="K15" i="16"/>
  <c r="L15" i="16" s="1"/>
  <c r="I15" i="16"/>
  <c r="F15" i="16"/>
  <c r="K13" i="16"/>
  <c r="L13" i="16" s="1"/>
  <c r="I13" i="16"/>
  <c r="F13" i="16"/>
  <c r="K12" i="16"/>
  <c r="L12" i="16" s="1"/>
  <c r="I12" i="16"/>
  <c r="F12" i="16"/>
  <c r="K11" i="16"/>
  <c r="L11" i="16" s="1"/>
  <c r="I11" i="16"/>
  <c r="F11" i="16"/>
  <c r="K10" i="16"/>
  <c r="L10" i="16" s="1"/>
  <c r="I10" i="16"/>
  <c r="F10" i="16"/>
  <c r="P233" i="15"/>
  <c r="O233" i="15"/>
  <c r="N233" i="15"/>
  <c r="M233" i="15"/>
  <c r="L233" i="15"/>
  <c r="K233" i="15"/>
  <c r="J233" i="15"/>
  <c r="I233" i="15"/>
  <c r="H233" i="15"/>
  <c r="G233" i="15"/>
  <c r="E233" i="15"/>
  <c r="N231" i="15"/>
  <c r="L231" i="15"/>
  <c r="P229" i="15"/>
  <c r="O229" i="15"/>
  <c r="N229" i="15"/>
  <c r="M229" i="15"/>
  <c r="L229" i="15"/>
  <c r="H229" i="15"/>
  <c r="G229" i="15"/>
  <c r="E229" i="15"/>
  <c r="O228" i="15"/>
  <c r="N228" i="15"/>
  <c r="M228" i="15"/>
  <c r="L228" i="15"/>
  <c r="K228" i="15"/>
  <c r="P218" i="15"/>
  <c r="O218" i="15"/>
  <c r="N218" i="15"/>
  <c r="M218" i="15"/>
  <c r="L218" i="15"/>
  <c r="K218" i="15"/>
  <c r="J218" i="15"/>
  <c r="I218" i="15"/>
  <c r="H218" i="15"/>
  <c r="G218" i="15"/>
  <c r="E218" i="15"/>
  <c r="P208" i="15"/>
  <c r="O208" i="15"/>
  <c r="N208" i="15"/>
  <c r="N202" i="15" s="1"/>
  <c r="M208" i="15"/>
  <c r="L208" i="15"/>
  <c r="K208" i="15"/>
  <c r="J208" i="15"/>
  <c r="I208" i="15"/>
  <c r="H208" i="15"/>
  <c r="G208" i="15"/>
  <c r="E208" i="15"/>
  <c r="P204" i="15"/>
  <c r="O204" i="15"/>
  <c r="O202" i="15" s="1"/>
  <c r="N204" i="15"/>
  <c r="M204" i="15"/>
  <c r="M202" i="15" s="1"/>
  <c r="M191" i="15" s="1"/>
  <c r="L204" i="15"/>
  <c r="L202" i="15" s="1"/>
  <c r="K204" i="15"/>
  <c r="K202" i="15" s="1"/>
  <c r="J204" i="15"/>
  <c r="J202" i="15" s="1"/>
  <c r="I204" i="15"/>
  <c r="I202" i="15" s="1"/>
  <c r="H204" i="15"/>
  <c r="H202" i="15" s="1"/>
  <c r="G204" i="15"/>
  <c r="G202" i="15" s="1"/>
  <c r="E204" i="15"/>
  <c r="E202" i="15" s="1"/>
  <c r="P202" i="15"/>
  <c r="P198" i="15"/>
  <c r="P231" i="15" s="1"/>
  <c r="O198" i="15"/>
  <c r="O231" i="15" s="1"/>
  <c r="N198" i="15"/>
  <c r="M198" i="15"/>
  <c r="M231" i="15" s="1"/>
  <c r="L198" i="15"/>
  <c r="K198" i="15"/>
  <c r="J198" i="15"/>
  <c r="J231" i="15" s="1"/>
  <c r="I198" i="15"/>
  <c r="I231" i="15" s="1"/>
  <c r="H198" i="15"/>
  <c r="H231" i="15" s="1"/>
  <c r="G198" i="15"/>
  <c r="G231" i="15" s="1"/>
  <c r="E198" i="15"/>
  <c r="E231" i="15" s="1"/>
  <c r="P193" i="15"/>
  <c r="P191" i="15" s="1"/>
  <c r="O193" i="15"/>
  <c r="N193" i="15"/>
  <c r="M193" i="15"/>
  <c r="L193" i="15"/>
  <c r="K193" i="15"/>
  <c r="J193" i="15"/>
  <c r="I193" i="15"/>
  <c r="H193" i="15"/>
  <c r="G193" i="15"/>
  <c r="E193" i="15"/>
  <c r="P184" i="15"/>
  <c r="O184" i="15"/>
  <c r="N184" i="15"/>
  <c r="M184" i="15"/>
  <c r="L184" i="15"/>
  <c r="K184" i="15"/>
  <c r="J184" i="15"/>
  <c r="I184" i="15"/>
  <c r="H184" i="15"/>
  <c r="G184" i="15"/>
  <c r="E184" i="15"/>
  <c r="P180" i="15"/>
  <c r="O180" i="15"/>
  <c r="N180" i="15"/>
  <c r="M180" i="15"/>
  <c r="L180" i="15"/>
  <c r="K180" i="15"/>
  <c r="J180" i="15"/>
  <c r="I180" i="15"/>
  <c r="H180" i="15"/>
  <c r="G180" i="15"/>
  <c r="E180" i="15"/>
  <c r="P170" i="15"/>
  <c r="O170" i="15"/>
  <c r="N170" i="15"/>
  <c r="M170" i="15"/>
  <c r="L170" i="15"/>
  <c r="K170" i="15"/>
  <c r="J170" i="15"/>
  <c r="I170" i="15"/>
  <c r="H170" i="15"/>
  <c r="G170" i="15"/>
  <c r="E170" i="15"/>
  <c r="P165" i="15"/>
  <c r="O165" i="15"/>
  <c r="N165" i="15"/>
  <c r="M165" i="15"/>
  <c r="M213" i="15" s="1"/>
  <c r="L165" i="15"/>
  <c r="K165" i="15"/>
  <c r="J165" i="15"/>
  <c r="I165" i="15"/>
  <c r="H165" i="15"/>
  <c r="G165" i="15"/>
  <c r="E165" i="15"/>
  <c r="K159" i="15"/>
  <c r="P155" i="15"/>
  <c r="O155" i="15"/>
  <c r="N155" i="15"/>
  <c r="M155" i="15"/>
  <c r="L155" i="15"/>
  <c r="K155" i="15"/>
  <c r="J155" i="15"/>
  <c r="I155" i="15"/>
  <c r="H155" i="15"/>
  <c r="G155" i="15"/>
  <c r="E155" i="15"/>
  <c r="P152" i="15"/>
  <c r="O152" i="15"/>
  <c r="N152" i="15"/>
  <c r="M152" i="15"/>
  <c r="L152" i="15"/>
  <c r="K152" i="15"/>
  <c r="J152" i="15"/>
  <c r="I152" i="15"/>
  <c r="H152" i="15"/>
  <c r="G152" i="15"/>
  <c r="E152" i="15"/>
  <c r="P148" i="15"/>
  <c r="O148" i="15"/>
  <c r="N148" i="15"/>
  <c r="M148" i="15"/>
  <c r="L148" i="15"/>
  <c r="K148" i="15"/>
  <c r="J148" i="15"/>
  <c r="I148" i="15"/>
  <c r="H148" i="15"/>
  <c r="G148" i="15"/>
  <c r="E148" i="15"/>
  <c r="P144" i="15"/>
  <c r="O144" i="15"/>
  <c r="N144" i="15"/>
  <c r="M144" i="15"/>
  <c r="L144" i="15"/>
  <c r="K144" i="15"/>
  <c r="J144" i="15"/>
  <c r="I144" i="15"/>
  <c r="H144" i="15"/>
  <c r="G144" i="15"/>
  <c r="E144" i="15"/>
  <c r="P140" i="15"/>
  <c r="P138" i="15" s="1"/>
  <c r="O140" i="15"/>
  <c r="O138" i="15" s="1"/>
  <c r="N140" i="15"/>
  <c r="N138" i="15" s="1"/>
  <c r="M140" i="15"/>
  <c r="L140" i="15"/>
  <c r="L138" i="15" s="1"/>
  <c r="K140" i="15"/>
  <c r="J140" i="15"/>
  <c r="J138" i="15" s="1"/>
  <c r="J159" i="15" s="1"/>
  <c r="I140" i="15"/>
  <c r="I138" i="15" s="1"/>
  <c r="I159" i="15" s="1"/>
  <c r="H140" i="15"/>
  <c r="H138" i="15" s="1"/>
  <c r="H159" i="15" s="1"/>
  <c r="G140" i="15"/>
  <c r="G138" i="15" s="1"/>
  <c r="G159" i="15" s="1"/>
  <c r="E140" i="15"/>
  <c r="E138" i="15" s="1"/>
  <c r="M138" i="15"/>
  <c r="K138" i="15"/>
  <c r="P134" i="15"/>
  <c r="P159" i="15" s="1"/>
  <c r="O134" i="15"/>
  <c r="O159" i="15" s="1"/>
  <c r="N134" i="15"/>
  <c r="N159" i="15" s="1"/>
  <c r="M134" i="15"/>
  <c r="M159" i="15" s="1"/>
  <c r="L134" i="15"/>
  <c r="L159" i="15" s="1"/>
  <c r="K134" i="15"/>
  <c r="J134" i="15"/>
  <c r="I134" i="15"/>
  <c r="H134" i="15"/>
  <c r="G134" i="15"/>
  <c r="E134" i="15"/>
  <c r="O132" i="15"/>
  <c r="N132" i="15"/>
  <c r="M132" i="15"/>
  <c r="L132" i="15"/>
  <c r="K132" i="15"/>
  <c r="K161" i="15" s="1"/>
  <c r="P128" i="15"/>
  <c r="O128" i="15"/>
  <c r="N128" i="15"/>
  <c r="M128" i="15"/>
  <c r="L128" i="15"/>
  <c r="K128" i="15"/>
  <c r="K229" i="15" s="1"/>
  <c r="J128" i="15"/>
  <c r="J229" i="15" s="1"/>
  <c r="I128" i="15"/>
  <c r="I229" i="15" s="1"/>
  <c r="H128" i="15"/>
  <c r="G128" i="15"/>
  <c r="E128" i="15"/>
  <c r="O126" i="15"/>
  <c r="N126" i="15"/>
  <c r="M126" i="15"/>
  <c r="L126" i="15"/>
  <c r="K126" i="15"/>
  <c r="J126" i="15"/>
  <c r="J228" i="15" s="1"/>
  <c r="I126" i="15"/>
  <c r="I228" i="15" s="1"/>
  <c r="P122" i="15"/>
  <c r="O122" i="15"/>
  <c r="N122" i="15"/>
  <c r="M122" i="15"/>
  <c r="L122" i="15"/>
  <c r="K122" i="15"/>
  <c r="J122" i="15"/>
  <c r="I122" i="15"/>
  <c r="H122" i="15"/>
  <c r="G122" i="15"/>
  <c r="E122" i="15"/>
  <c r="O120" i="15"/>
  <c r="N120" i="15"/>
  <c r="M120" i="15"/>
  <c r="L120" i="15"/>
  <c r="K120" i="15"/>
  <c r="J120" i="15"/>
  <c r="I120" i="15"/>
  <c r="H120" i="15"/>
  <c r="H126" i="15" s="1"/>
  <c r="G120" i="15"/>
  <c r="G126" i="15" s="1"/>
  <c r="P114" i="15"/>
  <c r="P120" i="15" s="1"/>
  <c r="P126" i="15" s="1"/>
  <c r="O114" i="15"/>
  <c r="N114" i="15"/>
  <c r="M114" i="15"/>
  <c r="L114" i="15"/>
  <c r="K114" i="15"/>
  <c r="J114" i="15"/>
  <c r="I114" i="15"/>
  <c r="H114" i="15"/>
  <c r="G114" i="15"/>
  <c r="E114" i="15"/>
  <c r="P106" i="15"/>
  <c r="O106" i="15"/>
  <c r="N106" i="15"/>
  <c r="M106" i="15"/>
  <c r="L106" i="15"/>
  <c r="K106" i="15"/>
  <c r="J106" i="15"/>
  <c r="I106" i="15"/>
  <c r="H106" i="15"/>
  <c r="G106" i="15"/>
  <c r="E106" i="15"/>
  <c r="E120" i="15" s="1"/>
  <c r="E126" i="15" s="1"/>
  <c r="P89" i="15"/>
  <c r="O89" i="15"/>
  <c r="N89" i="15"/>
  <c r="M89" i="15"/>
  <c r="L89" i="15"/>
  <c r="K89" i="15"/>
  <c r="J89" i="15"/>
  <c r="J80" i="15" s="1"/>
  <c r="I89" i="15"/>
  <c r="H89" i="15"/>
  <c r="G89" i="15"/>
  <c r="E89" i="15"/>
  <c r="P84" i="15"/>
  <c r="P80" i="15" s="1"/>
  <c r="P98" i="15" s="1"/>
  <c r="O84" i="15"/>
  <c r="O80" i="15" s="1"/>
  <c r="O98" i="15" s="1"/>
  <c r="N84" i="15"/>
  <c r="N80" i="15" s="1"/>
  <c r="M84" i="15"/>
  <c r="M80" i="15" s="1"/>
  <c r="L84" i="15"/>
  <c r="K84" i="15"/>
  <c r="K80" i="15" s="1"/>
  <c r="J84" i="15"/>
  <c r="I84" i="15"/>
  <c r="I80" i="15" s="1"/>
  <c r="H84" i="15"/>
  <c r="H80" i="15" s="1"/>
  <c r="G84" i="15"/>
  <c r="G80" i="15" s="1"/>
  <c r="G98" i="15" s="1"/>
  <c r="E84" i="15"/>
  <c r="E80" i="15" s="1"/>
  <c r="E98" i="15" s="1"/>
  <c r="L80" i="15"/>
  <c r="P78" i="15"/>
  <c r="O78" i="15"/>
  <c r="N78" i="15"/>
  <c r="M78" i="15"/>
  <c r="L78" i="15"/>
  <c r="L98" i="15" s="1"/>
  <c r="K78" i="15"/>
  <c r="K98" i="15" s="1"/>
  <c r="G78" i="15"/>
  <c r="E78" i="15"/>
  <c r="P74" i="15"/>
  <c r="O74" i="15"/>
  <c r="N74" i="15"/>
  <c r="M74" i="15"/>
  <c r="L74" i="15"/>
  <c r="K74" i="15"/>
  <c r="J74" i="15"/>
  <c r="I74" i="15"/>
  <c r="H74" i="15"/>
  <c r="G74" i="15"/>
  <c r="E74" i="15"/>
  <c r="P69" i="15"/>
  <c r="O69" i="15"/>
  <c r="N69" i="15"/>
  <c r="M69" i="15"/>
  <c r="L69" i="15"/>
  <c r="K69" i="15"/>
  <c r="J69" i="15"/>
  <c r="I69" i="15"/>
  <c r="H69" i="15"/>
  <c r="G69" i="15"/>
  <c r="E69" i="15"/>
  <c r="P65" i="15"/>
  <c r="O65" i="15"/>
  <c r="N65" i="15"/>
  <c r="M65" i="15"/>
  <c r="L65" i="15"/>
  <c r="K65" i="15"/>
  <c r="J65" i="15"/>
  <c r="J78" i="15" s="1"/>
  <c r="J98" i="15" s="1"/>
  <c r="I65" i="15"/>
  <c r="I78" i="15" s="1"/>
  <c r="I98" i="15" s="1"/>
  <c r="H65" i="15"/>
  <c r="H78" i="15" s="1"/>
  <c r="H98" i="15" s="1"/>
  <c r="G65" i="15"/>
  <c r="E65" i="15"/>
  <c r="P60" i="15"/>
  <c r="O60" i="15"/>
  <c r="N60" i="15"/>
  <c r="M60" i="15"/>
  <c r="L60" i="15"/>
  <c r="K60" i="15"/>
  <c r="J60" i="15"/>
  <c r="I60" i="15"/>
  <c r="H60" i="15"/>
  <c r="G60" i="15"/>
  <c r="E60" i="15"/>
  <c r="P54" i="15"/>
  <c r="O54" i="15"/>
  <c r="N54" i="15"/>
  <c r="M54" i="15"/>
  <c r="L54" i="15"/>
  <c r="K54" i="15"/>
  <c r="J54" i="15"/>
  <c r="I54" i="15"/>
  <c r="H54" i="15"/>
  <c r="G54" i="15"/>
  <c r="E54" i="15"/>
  <c r="P49" i="15"/>
  <c r="O49" i="15"/>
  <c r="N49" i="15"/>
  <c r="M49" i="15"/>
  <c r="M43" i="15" s="1"/>
  <c r="L49" i="15"/>
  <c r="K49" i="15"/>
  <c r="J49" i="15"/>
  <c r="I49" i="15"/>
  <c r="H49" i="15"/>
  <c r="G49" i="15"/>
  <c r="E49" i="15"/>
  <c r="P45" i="15"/>
  <c r="P43" i="15" s="1"/>
  <c r="P102" i="15" s="1"/>
  <c r="O45" i="15"/>
  <c r="N45" i="15"/>
  <c r="N43" i="15" s="1"/>
  <c r="M45" i="15"/>
  <c r="L45" i="15"/>
  <c r="L43" i="15" s="1"/>
  <c r="K45" i="15"/>
  <c r="K43" i="15" s="1"/>
  <c r="J45" i="15"/>
  <c r="J43" i="15" s="1"/>
  <c r="I45" i="15"/>
  <c r="I43" i="15" s="1"/>
  <c r="H45" i="15"/>
  <c r="H43" i="15" s="1"/>
  <c r="G45" i="15"/>
  <c r="G43" i="15" s="1"/>
  <c r="G102" i="15" s="1"/>
  <c r="E45" i="15"/>
  <c r="E43" i="15" s="1"/>
  <c r="E102" i="15" s="1"/>
  <c r="O43" i="15"/>
  <c r="P38" i="15"/>
  <c r="O38" i="15"/>
  <c r="N38" i="15"/>
  <c r="M38" i="15"/>
  <c r="L38" i="15"/>
  <c r="K38" i="15"/>
  <c r="J38" i="15"/>
  <c r="I38" i="15"/>
  <c r="H38" i="15"/>
  <c r="G38" i="15"/>
  <c r="E38" i="15"/>
  <c r="P29" i="15"/>
  <c r="O29" i="15"/>
  <c r="N29" i="15"/>
  <c r="M29" i="15"/>
  <c r="L29" i="15"/>
  <c r="K29" i="15"/>
  <c r="J29" i="15"/>
  <c r="I29" i="15"/>
  <c r="H29" i="15"/>
  <c r="G29" i="15"/>
  <c r="E29" i="15"/>
  <c r="P25" i="15"/>
  <c r="O25" i="15"/>
  <c r="N25" i="15"/>
  <c r="M25" i="15"/>
  <c r="L25" i="15"/>
  <c r="K25" i="15"/>
  <c r="J25" i="15"/>
  <c r="I25" i="15"/>
  <c r="H25" i="15"/>
  <c r="G25" i="15"/>
  <c r="E25" i="15"/>
  <c r="P21" i="15"/>
  <c r="O21" i="15"/>
  <c r="N21" i="15"/>
  <c r="M21" i="15"/>
  <c r="L21" i="15"/>
  <c r="K21" i="15"/>
  <c r="J21" i="15"/>
  <c r="I21" i="15"/>
  <c r="H21" i="15"/>
  <c r="G21" i="15"/>
  <c r="E21" i="15"/>
  <c r="P16" i="15"/>
  <c r="O16" i="15"/>
  <c r="N16" i="15"/>
  <c r="M16" i="15"/>
  <c r="L16" i="15"/>
  <c r="K16" i="15"/>
  <c r="K102" i="15" s="1"/>
  <c r="J16" i="15"/>
  <c r="J102" i="15" s="1"/>
  <c r="I16" i="15"/>
  <c r="H16" i="15"/>
  <c r="G16" i="15"/>
  <c r="E16" i="15"/>
  <c r="P230" i="15" l="1"/>
  <c r="P232" i="15" s="1"/>
  <c r="P234" i="15" s="1"/>
  <c r="P213" i="15"/>
  <c r="O102" i="15"/>
  <c r="H102" i="15"/>
  <c r="J191" i="15"/>
  <c r="K191" i="15"/>
  <c r="I102" i="15"/>
  <c r="N161" i="15"/>
  <c r="O161" i="15"/>
  <c r="L191" i="15"/>
  <c r="E159" i="15"/>
  <c r="K230" i="15"/>
  <c r="P132" i="15"/>
  <c r="P161" i="15" s="1"/>
  <c r="P215" i="15" s="1"/>
  <c r="P223" i="15" s="1"/>
  <c r="P228" i="15"/>
  <c r="E191" i="15"/>
  <c r="E213" i="15" s="1"/>
  <c r="M102" i="15"/>
  <c r="H228" i="15"/>
  <c r="H132" i="15"/>
  <c r="H161" i="15" s="1"/>
  <c r="J215" i="15"/>
  <c r="J223" i="15" s="1"/>
  <c r="J230" i="15"/>
  <c r="J232" i="15" s="1"/>
  <c r="J234" i="15" s="1"/>
  <c r="L213" i="15"/>
  <c r="M98" i="15"/>
  <c r="L102" i="15"/>
  <c r="N98" i="15"/>
  <c r="N102" i="15" s="1"/>
  <c r="G228" i="15"/>
  <c r="G230" i="15" s="1"/>
  <c r="G232" i="15" s="1"/>
  <c r="G234" i="15" s="1"/>
  <c r="G132" i="15"/>
  <c r="G161" i="15" s="1"/>
  <c r="G215" i="15" s="1"/>
  <c r="G223" i="15" s="1"/>
  <c r="G191" i="15"/>
  <c r="G213" i="15" s="1"/>
  <c r="E230" i="15"/>
  <c r="E232" i="15" s="1"/>
  <c r="E234" i="15" s="1"/>
  <c r="E132" i="15"/>
  <c r="E161" i="15" s="1"/>
  <c r="E215" i="15" s="1"/>
  <c r="E223" i="15" s="1"/>
  <c r="E228" i="15"/>
  <c r="H191" i="15"/>
  <c r="H213" i="15" s="1"/>
  <c r="L161" i="15"/>
  <c r="I191" i="15"/>
  <c r="I213" i="15" s="1"/>
  <c r="M161" i="15"/>
  <c r="J213" i="15"/>
  <c r="N191" i="15"/>
  <c r="N213" i="15" s="1"/>
  <c r="K213" i="15"/>
  <c r="K215" i="15" s="1"/>
  <c r="K223" i="15" s="1"/>
  <c r="O191" i="15"/>
  <c r="O213" i="15" s="1"/>
  <c r="K231" i="15"/>
  <c r="I132" i="15"/>
  <c r="I161" i="15" s="1"/>
  <c r="J132" i="15"/>
  <c r="J161" i="15" s="1"/>
  <c r="N215" i="15" l="1"/>
  <c r="N223" i="15" s="1"/>
  <c r="N230" i="15"/>
  <c r="N232" i="15" s="1"/>
  <c r="N234" i="15" s="1"/>
  <c r="I230" i="15"/>
  <c r="I232" i="15" s="1"/>
  <c r="I234" i="15" s="1"/>
  <c r="I215" i="15"/>
  <c r="I223" i="15" s="1"/>
  <c r="M230" i="15"/>
  <c r="M232" i="15" s="1"/>
  <c r="M234" i="15" s="1"/>
  <c r="M215" i="15"/>
  <c r="M223" i="15" s="1"/>
  <c r="H230" i="15"/>
  <c r="H232" i="15" s="1"/>
  <c r="H234" i="15" s="1"/>
  <c r="H215" i="15"/>
  <c r="H223" i="15" s="1"/>
  <c r="O230" i="15"/>
  <c r="O232" i="15" s="1"/>
  <c r="O234" i="15" s="1"/>
  <c r="O215" i="15"/>
  <c r="O223" i="15" s="1"/>
  <c r="L230" i="15"/>
  <c r="L232" i="15" s="1"/>
  <c r="L234" i="15" s="1"/>
  <c r="L215" i="15"/>
  <c r="L223" i="15" s="1"/>
  <c r="K232" i="15"/>
  <c r="K234" i="15" s="1"/>
  <c r="R219" i="14"/>
  <c r="Q219" i="14"/>
  <c r="P219" i="14"/>
  <c r="O219" i="14"/>
  <c r="N219" i="14"/>
  <c r="M219" i="14"/>
  <c r="L219" i="14"/>
  <c r="K219" i="14"/>
  <c r="J219" i="14"/>
  <c r="I219" i="14"/>
  <c r="H219" i="14"/>
  <c r="G219" i="14"/>
  <c r="E219" i="14"/>
  <c r="L268" i="12"/>
  <c r="I268" i="12"/>
  <c r="H268" i="12"/>
  <c r="G268" i="12"/>
  <c r="D266" i="12"/>
  <c r="L264" i="12"/>
  <c r="K264" i="12"/>
  <c r="K268" i="12" s="1"/>
  <c r="J264" i="12"/>
  <c r="J268" i="12" s="1"/>
  <c r="I264" i="12"/>
  <c r="H264" i="12"/>
  <c r="G264" i="12"/>
  <c r="F264" i="12"/>
  <c r="F268" i="12" s="1"/>
  <c r="E264" i="12"/>
  <c r="E268" i="12" s="1"/>
  <c r="D263" i="12"/>
  <c r="D262" i="12"/>
  <c r="D261" i="12"/>
  <c r="D260" i="12"/>
  <c r="D259" i="12"/>
  <c r="D258" i="12"/>
  <c r="D257" i="12"/>
  <c r="D256" i="12"/>
  <c r="D255" i="12"/>
  <c r="D254" i="12"/>
  <c r="D253" i="12"/>
  <c r="D252" i="12"/>
  <c r="D251" i="12"/>
  <c r="D250" i="12"/>
  <c r="D249" i="12"/>
  <c r="D248" i="12"/>
  <c r="D247" i="12"/>
  <c r="D246" i="12"/>
  <c r="D245" i="12"/>
  <c r="D244" i="12"/>
  <c r="D243" i="12"/>
  <c r="D242" i="12"/>
  <c r="D264" i="12" s="1"/>
  <c r="D240" i="12"/>
  <c r="D238" i="12"/>
  <c r="D236" i="12"/>
  <c r="D268" i="12" s="1"/>
  <c r="L232" i="12"/>
  <c r="J232" i="12"/>
  <c r="G232" i="12"/>
  <c r="F232" i="12"/>
  <c r="E232" i="12"/>
  <c r="D230" i="12"/>
  <c r="D228" i="12"/>
  <c r="D226" i="12"/>
  <c r="D224" i="12"/>
  <c r="D222" i="12"/>
  <c r="D220" i="12"/>
  <c r="L218" i="12"/>
  <c r="K218" i="12"/>
  <c r="K232" i="12" s="1"/>
  <c r="J218" i="12"/>
  <c r="I218" i="12"/>
  <c r="I232" i="12" s="1"/>
  <c r="H218" i="12"/>
  <c r="H232" i="12" s="1"/>
  <c r="H234" i="12" s="1"/>
  <c r="H270" i="12" s="1"/>
  <c r="G218" i="12"/>
  <c r="F218" i="12"/>
  <c r="E218" i="12"/>
  <c r="D217" i="12"/>
  <c r="D218" i="12" s="1"/>
  <c r="D232" i="12" s="1"/>
  <c r="D216" i="12"/>
  <c r="D215" i="12"/>
  <c r="D214" i="12"/>
  <c r="D213" i="12"/>
  <c r="D212" i="12"/>
  <c r="H210" i="12"/>
  <c r="G210" i="12"/>
  <c r="G234" i="12" s="1"/>
  <c r="G270" i="12" s="1"/>
  <c r="F210" i="12"/>
  <c r="F234" i="12" s="1"/>
  <c r="D208" i="12"/>
  <c r="D206" i="12"/>
  <c r="L204" i="12"/>
  <c r="K204" i="12"/>
  <c r="J204" i="12"/>
  <c r="I204" i="12"/>
  <c r="H204" i="12"/>
  <c r="G204" i="12"/>
  <c r="F204" i="12"/>
  <c r="E204" i="12"/>
  <c r="D203" i="12"/>
  <c r="D202" i="12"/>
  <c r="D201" i="12"/>
  <c r="D200" i="12"/>
  <c r="D199" i="12"/>
  <c r="D198" i="12"/>
  <c r="D197" i="12"/>
  <c r="D196" i="12"/>
  <c r="D195" i="12"/>
  <c r="D194" i="12"/>
  <c r="D193" i="12"/>
  <c r="D192" i="12"/>
  <c r="D191" i="12"/>
  <c r="D204" i="12" s="1"/>
  <c r="D190" i="12"/>
  <c r="L188" i="12"/>
  <c r="K188" i="12"/>
  <c r="J188" i="12"/>
  <c r="I188" i="12"/>
  <c r="H188" i="12"/>
  <c r="G188" i="12"/>
  <c r="F188" i="12"/>
  <c r="E188" i="12"/>
  <c r="D188" i="12"/>
  <c r="D187" i="12"/>
  <c r="D186" i="12"/>
  <c r="D184" i="12"/>
  <c r="L182" i="12"/>
  <c r="K182" i="12"/>
  <c r="J182" i="12"/>
  <c r="I182" i="12"/>
  <c r="H182" i="12"/>
  <c r="G182" i="12"/>
  <c r="F182" i="12"/>
  <c r="E182" i="12"/>
  <c r="D182" i="12"/>
  <c r="D181" i="12"/>
  <c r="D180" i="12"/>
  <c r="D179" i="12"/>
  <c r="D178" i="12"/>
  <c r="D177" i="12"/>
  <c r="D176" i="12"/>
  <c r="D175" i="12"/>
  <c r="D174" i="12"/>
  <c r="D173" i="12"/>
  <c r="D172" i="12"/>
  <c r="L170" i="12"/>
  <c r="L210" i="12" s="1"/>
  <c r="L234" i="12" s="1"/>
  <c r="L270" i="12" s="1"/>
  <c r="K170" i="12"/>
  <c r="K210" i="12" s="1"/>
  <c r="K234" i="12" s="1"/>
  <c r="K270" i="12" s="1"/>
  <c r="J170" i="12"/>
  <c r="J210" i="12" s="1"/>
  <c r="J234" i="12" s="1"/>
  <c r="J270" i="12" s="1"/>
  <c r="I170" i="12"/>
  <c r="I210" i="12" s="1"/>
  <c r="I234" i="12" s="1"/>
  <c r="I270" i="12" s="1"/>
  <c r="H170" i="12"/>
  <c r="G170" i="12"/>
  <c r="F170" i="12"/>
  <c r="E170" i="12"/>
  <c r="E210" i="12" s="1"/>
  <c r="E234" i="12" s="1"/>
  <c r="D170" i="12"/>
  <c r="D210" i="12" s="1"/>
  <c r="D234" i="12" s="1"/>
  <c r="D169" i="12"/>
  <c r="D168" i="12"/>
  <c r="D167" i="12"/>
  <c r="D166" i="12"/>
  <c r="D160" i="12"/>
  <c r="D158" i="12"/>
  <c r="L156" i="12"/>
  <c r="K156" i="12"/>
  <c r="J156" i="12"/>
  <c r="I156" i="12"/>
  <c r="H156" i="12"/>
  <c r="G156" i="12"/>
  <c r="F156" i="12"/>
  <c r="E156" i="12"/>
  <c r="D155" i="12"/>
  <c r="D154" i="12"/>
  <c r="D153" i="12"/>
  <c r="D156" i="12" s="1"/>
  <c r="D152" i="12"/>
  <c r="L150" i="12"/>
  <c r="K150" i="12"/>
  <c r="J150" i="12"/>
  <c r="I150" i="12"/>
  <c r="H150" i="12"/>
  <c r="G150" i="12"/>
  <c r="F150" i="12"/>
  <c r="E150" i="12"/>
  <c r="D149" i="12"/>
  <c r="D148" i="12"/>
  <c r="D150" i="12" s="1"/>
  <c r="D147" i="12"/>
  <c r="D146" i="12"/>
  <c r="L143" i="12"/>
  <c r="K143" i="12"/>
  <c r="J143" i="12"/>
  <c r="I143" i="12"/>
  <c r="H143" i="12"/>
  <c r="G143" i="12"/>
  <c r="F143" i="12"/>
  <c r="E143" i="12"/>
  <c r="L142" i="12"/>
  <c r="K142" i="12"/>
  <c r="J142" i="12"/>
  <c r="I142" i="12"/>
  <c r="H142" i="12"/>
  <c r="G142" i="12"/>
  <c r="F142" i="12"/>
  <c r="E142" i="12"/>
  <c r="D142" i="12"/>
  <c r="L140" i="12"/>
  <c r="K140" i="12"/>
  <c r="J140" i="12"/>
  <c r="I140" i="12"/>
  <c r="H140" i="12"/>
  <c r="G140" i="12"/>
  <c r="F140" i="12"/>
  <c r="E140" i="12"/>
  <c r="D139" i="12"/>
  <c r="D138" i="12"/>
  <c r="D140" i="12" s="1"/>
  <c r="L137" i="12"/>
  <c r="K137" i="12"/>
  <c r="J137" i="12"/>
  <c r="I137" i="12"/>
  <c r="H137" i="12"/>
  <c r="G137" i="12"/>
  <c r="F137" i="12"/>
  <c r="E137" i="12"/>
  <c r="D136" i="12"/>
  <c r="D135" i="12"/>
  <c r="D137" i="12" s="1"/>
  <c r="L134" i="12"/>
  <c r="K134" i="12"/>
  <c r="J134" i="12"/>
  <c r="I134" i="12"/>
  <c r="H134" i="12"/>
  <c r="G134" i="12"/>
  <c r="F134" i="12"/>
  <c r="E134" i="12"/>
  <c r="D134" i="12"/>
  <c r="D133" i="12"/>
  <c r="D132" i="12"/>
  <c r="L131" i="12"/>
  <c r="K131" i="12"/>
  <c r="K144" i="12" s="1"/>
  <c r="J131" i="12"/>
  <c r="J144" i="12" s="1"/>
  <c r="I131" i="12"/>
  <c r="H131" i="12"/>
  <c r="G131" i="12"/>
  <c r="F131" i="12"/>
  <c r="F144" i="12" s="1"/>
  <c r="E131" i="12"/>
  <c r="D130" i="12"/>
  <c r="D131" i="12" s="1"/>
  <c r="D129" i="12"/>
  <c r="L128" i="12"/>
  <c r="K128" i="12"/>
  <c r="J128" i="12"/>
  <c r="I128" i="12"/>
  <c r="H128" i="12"/>
  <c r="G128" i="12"/>
  <c r="F128" i="12"/>
  <c r="E128" i="12"/>
  <c r="D127" i="12"/>
  <c r="D126" i="12"/>
  <c r="D128" i="12" s="1"/>
  <c r="L125" i="12"/>
  <c r="K125" i="12"/>
  <c r="J125" i="12"/>
  <c r="I125" i="12"/>
  <c r="H125" i="12"/>
  <c r="G125" i="12"/>
  <c r="F125" i="12"/>
  <c r="E125" i="12"/>
  <c r="D124" i="12"/>
  <c r="D123" i="12"/>
  <c r="D125" i="12" s="1"/>
  <c r="L122" i="12"/>
  <c r="L144" i="12" s="1"/>
  <c r="K122" i="12"/>
  <c r="J122" i="12"/>
  <c r="I122" i="12"/>
  <c r="I144" i="12" s="1"/>
  <c r="H122" i="12"/>
  <c r="H144" i="12" s="1"/>
  <c r="G122" i="12"/>
  <c r="G144" i="12" s="1"/>
  <c r="F122" i="12"/>
  <c r="E122" i="12"/>
  <c r="E144" i="12" s="1"/>
  <c r="D121" i="12"/>
  <c r="D143" i="12" s="1"/>
  <c r="D120" i="12"/>
  <c r="D122" i="12" s="1"/>
  <c r="H117" i="12"/>
  <c r="L116" i="12"/>
  <c r="E116" i="12"/>
  <c r="L113" i="12"/>
  <c r="K113" i="12"/>
  <c r="K117" i="12" s="1"/>
  <c r="J113" i="12"/>
  <c r="I113" i="12"/>
  <c r="H113" i="12"/>
  <c r="G113" i="12"/>
  <c r="F113" i="12"/>
  <c r="E113" i="12"/>
  <c r="L112" i="12"/>
  <c r="K112" i="12"/>
  <c r="J112" i="12"/>
  <c r="J116" i="12" s="1"/>
  <c r="I112" i="12"/>
  <c r="H112" i="12"/>
  <c r="H116" i="12" s="1"/>
  <c r="G112" i="12"/>
  <c r="F112" i="12"/>
  <c r="E112" i="12"/>
  <c r="L110" i="12"/>
  <c r="K110" i="12"/>
  <c r="J110" i="12"/>
  <c r="I110" i="12"/>
  <c r="H110" i="12"/>
  <c r="G110" i="12"/>
  <c r="F110" i="12"/>
  <c r="E110" i="12"/>
  <c r="D109" i="12"/>
  <c r="D108" i="12"/>
  <c r="D110" i="12" s="1"/>
  <c r="L107" i="12"/>
  <c r="K107" i="12"/>
  <c r="J107" i="12"/>
  <c r="I107" i="12"/>
  <c r="H107" i="12"/>
  <c r="G107" i="12"/>
  <c r="F107" i="12"/>
  <c r="E107" i="12"/>
  <c r="D107" i="12"/>
  <c r="D106" i="12"/>
  <c r="D105" i="12"/>
  <c r="L104" i="12"/>
  <c r="K104" i="12"/>
  <c r="J104" i="12"/>
  <c r="I104" i="12"/>
  <c r="H104" i="12"/>
  <c r="G104" i="12"/>
  <c r="F104" i="12"/>
  <c r="E104" i="12"/>
  <c r="D103" i="12"/>
  <c r="D104" i="12" s="1"/>
  <c r="D102" i="12"/>
  <c r="L101" i="12"/>
  <c r="L114" i="12" s="1"/>
  <c r="K101" i="12"/>
  <c r="K114" i="12" s="1"/>
  <c r="J101" i="12"/>
  <c r="J114" i="12" s="1"/>
  <c r="I101" i="12"/>
  <c r="I114" i="12" s="1"/>
  <c r="H101" i="12"/>
  <c r="G101" i="12"/>
  <c r="G114" i="12" s="1"/>
  <c r="F101" i="12"/>
  <c r="E101" i="12"/>
  <c r="E114" i="12" s="1"/>
  <c r="D100" i="12"/>
  <c r="D99" i="12"/>
  <c r="D101" i="12" s="1"/>
  <c r="L98" i="12"/>
  <c r="K98" i="12"/>
  <c r="J98" i="12"/>
  <c r="I98" i="12"/>
  <c r="H98" i="12"/>
  <c r="H114" i="12" s="1"/>
  <c r="G98" i="12"/>
  <c r="F98" i="12"/>
  <c r="F114" i="12" s="1"/>
  <c r="E98" i="12"/>
  <c r="D97" i="12"/>
  <c r="D113" i="12" s="1"/>
  <c r="D96" i="12"/>
  <c r="D98" i="12" s="1"/>
  <c r="L93" i="12"/>
  <c r="L117" i="12" s="1"/>
  <c r="K93" i="12"/>
  <c r="J93" i="12"/>
  <c r="J117" i="12" s="1"/>
  <c r="I93" i="12"/>
  <c r="I117" i="12" s="1"/>
  <c r="H93" i="12"/>
  <c r="G93" i="12"/>
  <c r="G117" i="12" s="1"/>
  <c r="F93" i="12"/>
  <c r="F117" i="12" s="1"/>
  <c r="E93" i="12"/>
  <c r="E117" i="12" s="1"/>
  <c r="D93" i="12"/>
  <c r="D117" i="12" s="1"/>
  <c r="L92" i="12"/>
  <c r="K92" i="12"/>
  <c r="K116" i="12" s="1"/>
  <c r="J92" i="12"/>
  <c r="I92" i="12"/>
  <c r="I116" i="12" s="1"/>
  <c r="H92" i="12"/>
  <c r="G92" i="12"/>
  <c r="G116" i="12" s="1"/>
  <c r="F92" i="12"/>
  <c r="F116" i="12" s="1"/>
  <c r="E92" i="12"/>
  <c r="L90" i="12"/>
  <c r="K90" i="12"/>
  <c r="J90" i="12"/>
  <c r="I90" i="12"/>
  <c r="H90" i="12"/>
  <c r="G90" i="12"/>
  <c r="F90" i="12"/>
  <c r="E90" i="12"/>
  <c r="D89" i="12"/>
  <c r="D90" i="12" s="1"/>
  <c r="D88" i="12"/>
  <c r="L87" i="12"/>
  <c r="K87" i="12"/>
  <c r="J87" i="12"/>
  <c r="I87" i="12"/>
  <c r="H87" i="12"/>
  <c r="G87" i="12"/>
  <c r="F87" i="12"/>
  <c r="E87" i="12"/>
  <c r="D86" i="12"/>
  <c r="D85" i="12"/>
  <c r="D87" i="12" s="1"/>
  <c r="L84" i="12"/>
  <c r="K84" i="12"/>
  <c r="J84" i="12"/>
  <c r="I84" i="12"/>
  <c r="H84" i="12"/>
  <c r="G84" i="12"/>
  <c r="F84" i="12"/>
  <c r="E84" i="12"/>
  <c r="D83" i="12"/>
  <c r="D82" i="12"/>
  <c r="D84" i="12" s="1"/>
  <c r="L81" i="12"/>
  <c r="L94" i="12" s="1"/>
  <c r="K81" i="12"/>
  <c r="J81" i="12"/>
  <c r="J94" i="12" s="1"/>
  <c r="I81" i="12"/>
  <c r="I94" i="12" s="1"/>
  <c r="H81" i="12"/>
  <c r="H94" i="12" s="1"/>
  <c r="G81" i="12"/>
  <c r="G94" i="12" s="1"/>
  <c r="G118" i="12" s="1"/>
  <c r="F81" i="12"/>
  <c r="E81" i="12"/>
  <c r="E94" i="12" s="1"/>
  <c r="E118" i="12" s="1"/>
  <c r="D80" i="12"/>
  <c r="D79" i="12"/>
  <c r="D81" i="12" s="1"/>
  <c r="L78" i="12"/>
  <c r="K78" i="12"/>
  <c r="K94" i="12" s="1"/>
  <c r="J78" i="12"/>
  <c r="I78" i="12"/>
  <c r="H78" i="12"/>
  <c r="G78" i="12"/>
  <c r="F78" i="12"/>
  <c r="F94" i="12" s="1"/>
  <c r="E78" i="12"/>
  <c r="D77" i="12"/>
  <c r="D76" i="12"/>
  <c r="D78" i="12" s="1"/>
  <c r="D74" i="12"/>
  <c r="L72" i="12"/>
  <c r="K72" i="12"/>
  <c r="J72" i="12"/>
  <c r="I72" i="12"/>
  <c r="H72" i="12"/>
  <c r="G72" i="12"/>
  <c r="F72" i="12"/>
  <c r="E72" i="12"/>
  <c r="D71" i="12"/>
  <c r="D70" i="12"/>
  <c r="D72" i="12" s="1"/>
  <c r="L68" i="12"/>
  <c r="K68" i="12"/>
  <c r="J68" i="12"/>
  <c r="I68" i="12"/>
  <c r="H68" i="12"/>
  <c r="G68" i="12"/>
  <c r="F68" i="12"/>
  <c r="E68" i="12"/>
  <c r="D67" i="12"/>
  <c r="D66" i="12"/>
  <c r="D65" i="12"/>
  <c r="D64" i="12"/>
  <c r="D63" i="12"/>
  <c r="D62" i="12"/>
  <c r="D61" i="12"/>
  <c r="D68" i="12" s="1"/>
  <c r="I59" i="12"/>
  <c r="D57" i="12"/>
  <c r="L55" i="12"/>
  <c r="K55" i="12"/>
  <c r="J55" i="12"/>
  <c r="I55" i="12"/>
  <c r="H55" i="12"/>
  <c r="G55" i="12"/>
  <c r="F55" i="12"/>
  <c r="E55" i="12"/>
  <c r="D54" i="12"/>
  <c r="D53" i="12"/>
  <c r="D52" i="12"/>
  <c r="D51" i="12"/>
  <c r="D50" i="12"/>
  <c r="D49" i="12"/>
  <c r="D48" i="12"/>
  <c r="D47" i="12"/>
  <c r="D46" i="12"/>
  <c r="D45" i="12"/>
  <c r="D44" i="12"/>
  <c r="D55" i="12" s="1"/>
  <c r="L42" i="12"/>
  <c r="K42" i="12"/>
  <c r="J42" i="12"/>
  <c r="I42" i="12"/>
  <c r="H42" i="12"/>
  <c r="G42" i="12"/>
  <c r="F42" i="12"/>
  <c r="E42" i="12"/>
  <c r="D41" i="12"/>
  <c r="D42" i="12" s="1"/>
  <c r="D40" i="12"/>
  <c r="D39" i="12"/>
  <c r="D38" i="12"/>
  <c r="D37" i="12"/>
  <c r="D36" i="12"/>
  <c r="L34" i="12"/>
  <c r="K34" i="12"/>
  <c r="J34" i="12"/>
  <c r="I34" i="12"/>
  <c r="H34" i="12"/>
  <c r="G34" i="12"/>
  <c r="F34" i="12"/>
  <c r="E34" i="12"/>
  <c r="D33" i="12"/>
  <c r="D32" i="12"/>
  <c r="D31" i="12"/>
  <c r="D30" i="12"/>
  <c r="D29" i="12"/>
  <c r="D34" i="12" s="1"/>
  <c r="D28" i="12"/>
  <c r="D26" i="12"/>
  <c r="L24" i="12"/>
  <c r="K24" i="12"/>
  <c r="J24" i="12"/>
  <c r="J59" i="12" s="1"/>
  <c r="I24" i="12"/>
  <c r="H24" i="12"/>
  <c r="G24" i="12"/>
  <c r="F24" i="12"/>
  <c r="E24" i="12"/>
  <c r="D23" i="12"/>
  <c r="D22" i="12"/>
  <c r="D21" i="12"/>
  <c r="D20" i="12"/>
  <c r="D19" i="12"/>
  <c r="D24" i="12" s="1"/>
  <c r="L17" i="12"/>
  <c r="K17" i="12"/>
  <c r="J17" i="12"/>
  <c r="I17" i="12"/>
  <c r="H17" i="12"/>
  <c r="G17" i="12"/>
  <c r="F17" i="12"/>
  <c r="E17" i="12"/>
  <c r="D16" i="12"/>
  <c r="D15" i="12"/>
  <c r="D17" i="12" s="1"/>
  <c r="L13" i="12"/>
  <c r="L59" i="12" s="1"/>
  <c r="K13" i="12"/>
  <c r="K59" i="12" s="1"/>
  <c r="J13" i="12"/>
  <c r="I13" i="12"/>
  <c r="H13" i="12"/>
  <c r="H59" i="12" s="1"/>
  <c r="G13" i="12"/>
  <c r="G59" i="12" s="1"/>
  <c r="F13" i="12"/>
  <c r="F59" i="12" s="1"/>
  <c r="E13" i="12"/>
  <c r="E59" i="12" s="1"/>
  <c r="D13" i="12"/>
  <c r="D12" i="12"/>
  <c r="D11" i="12"/>
  <c r="E164" i="12" l="1"/>
  <c r="E273" i="12" s="1"/>
  <c r="D270" i="12"/>
  <c r="F118" i="12"/>
  <c r="F162" i="12" s="1"/>
  <c r="F164" i="12" s="1"/>
  <c r="F273" i="12" s="1"/>
  <c r="H118" i="12"/>
  <c r="I118" i="12"/>
  <c r="I162" i="12" s="1"/>
  <c r="E270" i="12"/>
  <c r="E162" i="12"/>
  <c r="J118" i="12"/>
  <c r="J162" i="12" s="1"/>
  <c r="J164" i="12" s="1"/>
  <c r="J273" i="12" s="1"/>
  <c r="D144" i="12"/>
  <c r="G162" i="12"/>
  <c r="G164" i="12" s="1"/>
  <c r="G273" i="12" s="1"/>
  <c r="L118" i="12"/>
  <c r="L162" i="12" s="1"/>
  <c r="L164" i="12" s="1"/>
  <c r="L273" i="12" s="1"/>
  <c r="D114" i="12"/>
  <c r="F270" i="12"/>
  <c r="H162" i="12"/>
  <c r="H164" i="12" s="1"/>
  <c r="H273" i="12" s="1"/>
  <c r="K118" i="12"/>
  <c r="K162" i="12" s="1"/>
  <c r="K164" i="12" s="1"/>
  <c r="K273" i="12" s="1"/>
  <c r="I164" i="12"/>
  <c r="I273" i="12" s="1"/>
  <c r="D59" i="12"/>
  <c r="D94" i="12"/>
  <c r="D112" i="12"/>
  <c r="D92" i="12"/>
  <c r="D116" i="12" s="1"/>
  <c r="D118" i="12" l="1"/>
  <c r="D162" i="12" s="1"/>
  <c r="D164" i="12"/>
  <c r="D273" i="12" s="1"/>
  <c r="K233" i="11"/>
  <c r="J233" i="11"/>
  <c r="I233" i="11"/>
  <c r="H233" i="11"/>
  <c r="G233" i="11"/>
  <c r="E233" i="11"/>
  <c r="K231" i="11"/>
  <c r="I231" i="11"/>
  <c r="H231" i="11"/>
  <c r="G231" i="11"/>
  <c r="E231" i="11"/>
  <c r="K218" i="11"/>
  <c r="J218" i="11"/>
  <c r="I218" i="11"/>
  <c r="H218" i="11"/>
  <c r="G218" i="11"/>
  <c r="E218" i="11"/>
  <c r="K208" i="11"/>
  <c r="K202" i="11" s="1"/>
  <c r="J208" i="11"/>
  <c r="I208" i="11"/>
  <c r="H208" i="11"/>
  <c r="G208" i="11"/>
  <c r="E208" i="11"/>
  <c r="E202" i="11" s="1"/>
  <c r="K204" i="11"/>
  <c r="J204" i="11"/>
  <c r="I204" i="11"/>
  <c r="H204" i="11"/>
  <c r="G204" i="11"/>
  <c r="E204" i="11"/>
  <c r="J202" i="11"/>
  <c r="I202" i="11"/>
  <c r="H202" i="11"/>
  <c r="G202" i="11"/>
  <c r="K198" i="11"/>
  <c r="J198" i="11"/>
  <c r="J231" i="11" s="1"/>
  <c r="I198" i="11"/>
  <c r="H198" i="11"/>
  <c r="G198" i="11"/>
  <c r="E198" i="11"/>
  <c r="K193" i="11"/>
  <c r="J193" i="11"/>
  <c r="J191" i="11" s="1"/>
  <c r="I193" i="11"/>
  <c r="I191" i="11" s="1"/>
  <c r="H193" i="11"/>
  <c r="H191" i="11" s="1"/>
  <c r="G193" i="11"/>
  <c r="G191" i="11" s="1"/>
  <c r="E193" i="11"/>
  <c r="K184" i="11"/>
  <c r="J184" i="11"/>
  <c r="I184" i="11"/>
  <c r="H184" i="11"/>
  <c r="G184" i="11"/>
  <c r="E184" i="11"/>
  <c r="K180" i="11"/>
  <c r="J180" i="11"/>
  <c r="I180" i="11"/>
  <c r="H180" i="11"/>
  <c r="G180" i="11"/>
  <c r="E180" i="11"/>
  <c r="K170" i="11"/>
  <c r="J170" i="11"/>
  <c r="I170" i="11"/>
  <c r="H170" i="11"/>
  <c r="G170" i="11"/>
  <c r="E170" i="11"/>
  <c r="K165" i="11"/>
  <c r="J165" i="11"/>
  <c r="J213" i="11" s="1"/>
  <c r="I165" i="11"/>
  <c r="I213" i="11" s="1"/>
  <c r="H165" i="11"/>
  <c r="H213" i="11" s="1"/>
  <c r="G165" i="11"/>
  <c r="G213" i="11" s="1"/>
  <c r="E165" i="11"/>
  <c r="K155" i="11"/>
  <c r="J155" i="11"/>
  <c r="I155" i="11"/>
  <c r="H155" i="11"/>
  <c r="G155" i="11"/>
  <c r="E155" i="11"/>
  <c r="K152" i="11"/>
  <c r="J152" i="11"/>
  <c r="I152" i="11"/>
  <c r="H152" i="11"/>
  <c r="G152" i="11"/>
  <c r="E152" i="11"/>
  <c r="K148" i="11"/>
  <c r="J148" i="11"/>
  <c r="I148" i="11"/>
  <c r="H148" i="11"/>
  <c r="G148" i="11"/>
  <c r="E148" i="11"/>
  <c r="K144" i="11"/>
  <c r="J144" i="11"/>
  <c r="I144" i="11"/>
  <c r="H144" i="11"/>
  <c r="G144" i="11"/>
  <c r="E144" i="11"/>
  <c r="K140" i="11"/>
  <c r="K138" i="11" s="1"/>
  <c r="J140" i="11"/>
  <c r="J138" i="11" s="1"/>
  <c r="I140" i="11"/>
  <c r="I138" i="11" s="1"/>
  <c r="H140" i="11"/>
  <c r="H138" i="11" s="1"/>
  <c r="G140" i="11"/>
  <c r="G138" i="11" s="1"/>
  <c r="E140" i="11"/>
  <c r="E138" i="11" s="1"/>
  <c r="K134" i="11"/>
  <c r="J134" i="11"/>
  <c r="I134" i="11"/>
  <c r="H134" i="11"/>
  <c r="H159" i="11" s="1"/>
  <c r="G134" i="11"/>
  <c r="G159" i="11" s="1"/>
  <c r="E134" i="11"/>
  <c r="E159" i="11" s="1"/>
  <c r="K128" i="11"/>
  <c r="K229" i="11" s="1"/>
  <c r="J128" i="11"/>
  <c r="J229" i="11" s="1"/>
  <c r="I128" i="11"/>
  <c r="I229" i="11" s="1"/>
  <c r="H128" i="11"/>
  <c r="H229" i="11" s="1"/>
  <c r="G128" i="11"/>
  <c r="G229" i="11" s="1"/>
  <c r="E128" i="11"/>
  <c r="E229" i="11" s="1"/>
  <c r="K122" i="11"/>
  <c r="J122" i="11"/>
  <c r="I122" i="11"/>
  <c r="H122" i="11"/>
  <c r="G122" i="11"/>
  <c r="E122" i="11"/>
  <c r="K114" i="11"/>
  <c r="J114" i="11"/>
  <c r="I114" i="11"/>
  <c r="H114" i="11"/>
  <c r="G114" i="11"/>
  <c r="E114" i="11"/>
  <c r="K106" i="11"/>
  <c r="K120" i="11" s="1"/>
  <c r="K126" i="11" s="1"/>
  <c r="J106" i="11"/>
  <c r="J120" i="11" s="1"/>
  <c r="J126" i="11" s="1"/>
  <c r="I106" i="11"/>
  <c r="I120" i="11" s="1"/>
  <c r="I126" i="11" s="1"/>
  <c r="H106" i="11"/>
  <c r="H120" i="11" s="1"/>
  <c r="H126" i="11" s="1"/>
  <c r="G106" i="11"/>
  <c r="G120" i="11" s="1"/>
  <c r="G126" i="11" s="1"/>
  <c r="E106" i="11"/>
  <c r="E120" i="11" s="1"/>
  <c r="E126" i="11" s="1"/>
  <c r="K89" i="11"/>
  <c r="J89" i="11"/>
  <c r="I89" i="11"/>
  <c r="H89" i="11"/>
  <c r="G89" i="11"/>
  <c r="G80" i="11" s="1"/>
  <c r="E89" i="11"/>
  <c r="E80" i="11" s="1"/>
  <c r="K84" i="11"/>
  <c r="J84" i="11"/>
  <c r="I84" i="11"/>
  <c r="H84" i="11"/>
  <c r="G84" i="11"/>
  <c r="E84" i="11"/>
  <c r="K80" i="11"/>
  <c r="J80" i="11"/>
  <c r="I80" i="11"/>
  <c r="H80" i="11"/>
  <c r="K74" i="11"/>
  <c r="J74" i="11"/>
  <c r="I74" i="11"/>
  <c r="H74" i="11"/>
  <c r="G74" i="11"/>
  <c r="E74" i="11"/>
  <c r="K69" i="11"/>
  <c r="J69" i="11"/>
  <c r="I69" i="11"/>
  <c r="H69" i="11"/>
  <c r="G69" i="11"/>
  <c r="E69" i="11"/>
  <c r="K65" i="11"/>
  <c r="K78" i="11" s="1"/>
  <c r="K98" i="11" s="1"/>
  <c r="J65" i="11"/>
  <c r="J78" i="11" s="1"/>
  <c r="J98" i="11" s="1"/>
  <c r="I65" i="11"/>
  <c r="I78" i="11" s="1"/>
  <c r="I98" i="11" s="1"/>
  <c r="H65" i="11"/>
  <c r="H78" i="11" s="1"/>
  <c r="H98" i="11" s="1"/>
  <c r="G65" i="11"/>
  <c r="G78" i="11" s="1"/>
  <c r="G98" i="11" s="1"/>
  <c r="E65" i="11"/>
  <c r="E78" i="11" s="1"/>
  <c r="E98" i="11" s="1"/>
  <c r="K60" i="11"/>
  <c r="J60" i="11"/>
  <c r="I60" i="11"/>
  <c r="H60" i="11"/>
  <c r="G60" i="11"/>
  <c r="E60" i="11"/>
  <c r="K54" i="11"/>
  <c r="J54" i="11"/>
  <c r="I54" i="11"/>
  <c r="H54" i="11"/>
  <c r="G54" i="11"/>
  <c r="E54" i="11"/>
  <c r="K49" i="11"/>
  <c r="J49" i="11"/>
  <c r="I49" i="11"/>
  <c r="H49" i="11"/>
  <c r="G49" i="11"/>
  <c r="E49" i="11"/>
  <c r="K45" i="11"/>
  <c r="K43" i="11" s="1"/>
  <c r="J45" i="11"/>
  <c r="J43" i="11" s="1"/>
  <c r="I45" i="11"/>
  <c r="I43" i="11" s="1"/>
  <c r="H45" i="11"/>
  <c r="H43" i="11" s="1"/>
  <c r="G45" i="11"/>
  <c r="G43" i="11" s="1"/>
  <c r="E45" i="11"/>
  <c r="E43" i="11" s="1"/>
  <c r="K38" i="11"/>
  <c r="J38" i="11"/>
  <c r="I38" i="11"/>
  <c r="H38" i="11"/>
  <c r="G38" i="11"/>
  <c r="E38" i="11"/>
  <c r="K29" i="11"/>
  <c r="J29" i="11"/>
  <c r="I29" i="11"/>
  <c r="H29" i="11"/>
  <c r="G29" i="11"/>
  <c r="E29" i="11"/>
  <c r="K25" i="11"/>
  <c r="J25" i="11"/>
  <c r="I25" i="11"/>
  <c r="H25" i="11"/>
  <c r="G25" i="11"/>
  <c r="E25" i="11"/>
  <c r="K21" i="11"/>
  <c r="J21" i="11"/>
  <c r="I21" i="11"/>
  <c r="H21" i="11"/>
  <c r="G21" i="11"/>
  <c r="E21" i="11"/>
  <c r="K16" i="11"/>
  <c r="K102" i="11" s="1"/>
  <c r="J16" i="11"/>
  <c r="J102" i="11" s="1"/>
  <c r="I16" i="11"/>
  <c r="I102" i="11" s="1"/>
  <c r="H16" i="11"/>
  <c r="H102" i="11" s="1"/>
  <c r="G16" i="11"/>
  <c r="G102" i="11" s="1"/>
  <c r="E16" i="11"/>
  <c r="K233" i="10"/>
  <c r="J233" i="10"/>
  <c r="I233" i="10"/>
  <c r="H233" i="10"/>
  <c r="G233" i="10"/>
  <c r="E233" i="10"/>
  <c r="K231" i="10"/>
  <c r="J231" i="10"/>
  <c r="I231" i="10"/>
  <c r="H231" i="10"/>
  <c r="G231" i="10"/>
  <c r="E231" i="10"/>
  <c r="K218" i="10"/>
  <c r="J218" i="10"/>
  <c r="I218" i="10"/>
  <c r="H218" i="10"/>
  <c r="G218" i="10"/>
  <c r="E218" i="10"/>
  <c r="K208" i="10"/>
  <c r="K202" i="10" s="1"/>
  <c r="J208" i="10"/>
  <c r="J202" i="10" s="1"/>
  <c r="I208" i="10"/>
  <c r="I202" i="10" s="1"/>
  <c r="H208" i="10"/>
  <c r="H202" i="10" s="1"/>
  <c r="G208" i="10"/>
  <c r="E208" i="10"/>
  <c r="E202" i="10" s="1"/>
  <c r="K204" i="10"/>
  <c r="J204" i="10"/>
  <c r="I204" i="10"/>
  <c r="H204" i="10"/>
  <c r="G204" i="10"/>
  <c r="E204" i="10"/>
  <c r="G202" i="10"/>
  <c r="K198" i="10"/>
  <c r="J198" i="10"/>
  <c r="I198" i="10"/>
  <c r="H198" i="10"/>
  <c r="G198" i="10"/>
  <c r="E198" i="10"/>
  <c r="K193" i="10"/>
  <c r="J193" i="10"/>
  <c r="I193" i="10"/>
  <c r="H193" i="10"/>
  <c r="G193" i="10"/>
  <c r="G191" i="10" s="1"/>
  <c r="E193" i="10"/>
  <c r="K184" i="10"/>
  <c r="J184" i="10"/>
  <c r="I184" i="10"/>
  <c r="H184" i="10"/>
  <c r="G184" i="10"/>
  <c r="E184" i="10"/>
  <c r="K180" i="10"/>
  <c r="J180" i="10"/>
  <c r="I180" i="10"/>
  <c r="H180" i="10"/>
  <c r="G180" i="10"/>
  <c r="E180" i="10"/>
  <c r="K170" i="10"/>
  <c r="J170" i="10"/>
  <c r="I170" i="10"/>
  <c r="H170" i="10"/>
  <c r="G170" i="10"/>
  <c r="E170" i="10"/>
  <c r="K165" i="10"/>
  <c r="J165" i="10"/>
  <c r="I165" i="10"/>
  <c r="H165" i="10"/>
  <c r="G165" i="10"/>
  <c r="E165" i="10"/>
  <c r="K155" i="10"/>
  <c r="J155" i="10"/>
  <c r="I155" i="10"/>
  <c r="H155" i="10"/>
  <c r="G155" i="10"/>
  <c r="E155" i="10"/>
  <c r="K152" i="10"/>
  <c r="J152" i="10"/>
  <c r="I152" i="10"/>
  <c r="H152" i="10"/>
  <c r="G152" i="10"/>
  <c r="E152" i="10"/>
  <c r="K148" i="10"/>
  <c r="J148" i="10"/>
  <c r="I148" i="10"/>
  <c r="H148" i="10"/>
  <c r="G148" i="10"/>
  <c r="E148" i="10"/>
  <c r="K144" i="10"/>
  <c r="J144" i="10"/>
  <c r="I144" i="10"/>
  <c r="H144" i="10"/>
  <c r="G144" i="10"/>
  <c r="E144" i="10"/>
  <c r="K140" i="10"/>
  <c r="K138" i="10" s="1"/>
  <c r="J140" i="10"/>
  <c r="J138" i="10" s="1"/>
  <c r="I140" i="10"/>
  <c r="I138" i="10" s="1"/>
  <c r="H140" i="10"/>
  <c r="H138" i="10" s="1"/>
  <c r="G140" i="10"/>
  <c r="G138" i="10" s="1"/>
  <c r="E140" i="10"/>
  <c r="E138" i="10" s="1"/>
  <c r="K134" i="10"/>
  <c r="J134" i="10"/>
  <c r="I134" i="10"/>
  <c r="H134" i="10"/>
  <c r="G134" i="10"/>
  <c r="E134" i="10"/>
  <c r="E159" i="10" s="1"/>
  <c r="K128" i="10"/>
  <c r="K229" i="10" s="1"/>
  <c r="J128" i="10"/>
  <c r="J229" i="10" s="1"/>
  <c r="I128" i="10"/>
  <c r="I229" i="10" s="1"/>
  <c r="H128" i="10"/>
  <c r="H229" i="10" s="1"/>
  <c r="G128" i="10"/>
  <c r="G229" i="10" s="1"/>
  <c r="E128" i="10"/>
  <c r="E229" i="10" s="1"/>
  <c r="K122" i="10"/>
  <c r="J122" i="10"/>
  <c r="I122" i="10"/>
  <c r="H122" i="10"/>
  <c r="G122" i="10"/>
  <c r="E122" i="10"/>
  <c r="K114" i="10"/>
  <c r="J114" i="10"/>
  <c r="I114" i="10"/>
  <c r="H114" i="10"/>
  <c r="G114" i="10"/>
  <c r="E114" i="10"/>
  <c r="K106" i="10"/>
  <c r="K120" i="10" s="1"/>
  <c r="K126" i="10" s="1"/>
  <c r="J106" i="10"/>
  <c r="J120" i="10" s="1"/>
  <c r="J126" i="10" s="1"/>
  <c r="I106" i="10"/>
  <c r="I120" i="10" s="1"/>
  <c r="I126" i="10" s="1"/>
  <c r="H106" i="10"/>
  <c r="H120" i="10" s="1"/>
  <c r="H126" i="10" s="1"/>
  <c r="G106" i="10"/>
  <c r="G120" i="10" s="1"/>
  <c r="G126" i="10" s="1"/>
  <c r="E106" i="10"/>
  <c r="E120" i="10" s="1"/>
  <c r="E126" i="10" s="1"/>
  <c r="K89" i="10"/>
  <c r="K80" i="10" s="1"/>
  <c r="J89" i="10"/>
  <c r="J80" i="10" s="1"/>
  <c r="I89" i="10"/>
  <c r="I80" i="10" s="1"/>
  <c r="H89" i="10"/>
  <c r="G89" i="10"/>
  <c r="G80" i="10" s="1"/>
  <c r="E89" i="10"/>
  <c r="E80" i="10" s="1"/>
  <c r="K84" i="10"/>
  <c r="J84" i="10"/>
  <c r="I84" i="10"/>
  <c r="H84" i="10"/>
  <c r="G84" i="10"/>
  <c r="E84" i="10"/>
  <c r="H80" i="10"/>
  <c r="K74" i="10"/>
  <c r="J74" i="10"/>
  <c r="I74" i="10"/>
  <c r="H74" i="10"/>
  <c r="G74" i="10"/>
  <c r="E74" i="10"/>
  <c r="K69" i="10"/>
  <c r="J69" i="10"/>
  <c r="I69" i="10"/>
  <c r="H69" i="10"/>
  <c r="G69" i="10"/>
  <c r="E69" i="10"/>
  <c r="K65" i="10"/>
  <c r="K78" i="10" s="1"/>
  <c r="K98" i="10" s="1"/>
  <c r="J65" i="10"/>
  <c r="J78" i="10" s="1"/>
  <c r="J98" i="10" s="1"/>
  <c r="I65" i="10"/>
  <c r="I78" i="10" s="1"/>
  <c r="I98" i="10" s="1"/>
  <c r="H65" i="10"/>
  <c r="H78" i="10" s="1"/>
  <c r="H98" i="10" s="1"/>
  <c r="G65" i="10"/>
  <c r="G78" i="10" s="1"/>
  <c r="E65" i="10"/>
  <c r="E78" i="10" s="1"/>
  <c r="E98" i="10" s="1"/>
  <c r="K60" i="10"/>
  <c r="J60" i="10"/>
  <c r="I60" i="10"/>
  <c r="H60" i="10"/>
  <c r="G60" i="10"/>
  <c r="E60" i="10"/>
  <c r="K54" i="10"/>
  <c r="J54" i="10"/>
  <c r="I54" i="10"/>
  <c r="H54" i="10"/>
  <c r="G54" i="10"/>
  <c r="E54" i="10"/>
  <c r="K49" i="10"/>
  <c r="J49" i="10"/>
  <c r="I49" i="10"/>
  <c r="H49" i="10"/>
  <c r="G49" i="10"/>
  <c r="E49" i="10"/>
  <c r="K45" i="10"/>
  <c r="K43" i="10" s="1"/>
  <c r="J45" i="10"/>
  <c r="J43" i="10" s="1"/>
  <c r="I45" i="10"/>
  <c r="I43" i="10" s="1"/>
  <c r="H45" i="10"/>
  <c r="H43" i="10" s="1"/>
  <c r="G45" i="10"/>
  <c r="G43" i="10" s="1"/>
  <c r="E45" i="10"/>
  <c r="E43" i="10" s="1"/>
  <c r="K38" i="10"/>
  <c r="J38" i="10"/>
  <c r="I38" i="10"/>
  <c r="H38" i="10"/>
  <c r="G38" i="10"/>
  <c r="E38" i="10"/>
  <c r="K29" i="10"/>
  <c r="J29" i="10"/>
  <c r="I29" i="10"/>
  <c r="H29" i="10"/>
  <c r="G29" i="10"/>
  <c r="E29" i="10"/>
  <c r="K25" i="10"/>
  <c r="J25" i="10"/>
  <c r="I25" i="10"/>
  <c r="H25" i="10"/>
  <c r="G25" i="10"/>
  <c r="E25" i="10"/>
  <c r="K21" i="10"/>
  <c r="J21" i="10"/>
  <c r="I21" i="10"/>
  <c r="H21" i="10"/>
  <c r="G21" i="10"/>
  <c r="E21" i="10"/>
  <c r="K16" i="10"/>
  <c r="J16" i="10"/>
  <c r="I16" i="10"/>
  <c r="H16" i="10"/>
  <c r="G16" i="10"/>
  <c r="E16" i="10"/>
  <c r="E102" i="10" s="1"/>
  <c r="E132" i="11" l="1"/>
  <c r="E161" i="11" s="1"/>
  <c r="E228" i="11"/>
  <c r="E191" i="11"/>
  <c r="E213" i="11" s="1"/>
  <c r="G228" i="11"/>
  <c r="G230" i="11" s="1"/>
  <c r="G232" i="11" s="1"/>
  <c r="G234" i="11" s="1"/>
  <c r="G132" i="11"/>
  <c r="G161" i="11" s="1"/>
  <c r="G215" i="11" s="1"/>
  <c r="G223" i="11" s="1"/>
  <c r="I228" i="11"/>
  <c r="I230" i="11" s="1"/>
  <c r="I232" i="11" s="1"/>
  <c r="I234" i="11" s="1"/>
  <c r="I132" i="11"/>
  <c r="I159" i="11"/>
  <c r="J228" i="11"/>
  <c r="J230" i="11" s="1"/>
  <c r="J232" i="11" s="1"/>
  <c r="J234" i="11" s="1"/>
  <c r="J132" i="11"/>
  <c r="J159" i="11"/>
  <c r="K228" i="11"/>
  <c r="K230" i="11" s="1"/>
  <c r="K232" i="11" s="1"/>
  <c r="K234" i="11" s="1"/>
  <c r="K132" i="11"/>
  <c r="K161" i="11" s="1"/>
  <c r="K215" i="11" s="1"/>
  <c r="K223" i="11" s="1"/>
  <c r="K159" i="11"/>
  <c r="K191" i="11"/>
  <c r="K213" i="11" s="1"/>
  <c r="H228" i="11"/>
  <c r="H230" i="11" s="1"/>
  <c r="H232" i="11" s="1"/>
  <c r="H234" i="11" s="1"/>
  <c r="H132" i="11"/>
  <c r="H161" i="11" s="1"/>
  <c r="H215" i="11" s="1"/>
  <c r="H223" i="11" s="1"/>
  <c r="E102" i="11"/>
  <c r="E230" i="10"/>
  <c r="E232" i="10" s="1"/>
  <c r="E234" i="10" s="1"/>
  <c r="H102" i="10"/>
  <c r="H228" i="10"/>
  <c r="H132" i="10"/>
  <c r="H159" i="10"/>
  <c r="H191" i="10"/>
  <c r="H213" i="10" s="1"/>
  <c r="J102" i="10"/>
  <c r="I228" i="10"/>
  <c r="I132" i="10"/>
  <c r="I159" i="10"/>
  <c r="I191" i="10"/>
  <c r="I213" i="10" s="1"/>
  <c r="E132" i="10"/>
  <c r="E161" i="10" s="1"/>
  <c r="E228" i="10"/>
  <c r="G159" i="10"/>
  <c r="I102" i="10"/>
  <c r="K102" i="10"/>
  <c r="J228" i="10"/>
  <c r="J132" i="10"/>
  <c r="J159" i="10"/>
  <c r="J191" i="10"/>
  <c r="J213" i="10" s="1"/>
  <c r="G213" i="10"/>
  <c r="K228" i="10"/>
  <c r="K132" i="10"/>
  <c r="K159" i="10"/>
  <c r="K191" i="10"/>
  <c r="K213" i="10" s="1"/>
  <c r="E191" i="10"/>
  <c r="E213" i="10" s="1"/>
  <c r="G228" i="10"/>
  <c r="G132" i="10"/>
  <c r="G161" i="10" s="1"/>
  <c r="G98" i="10"/>
  <c r="G102" i="10" s="1"/>
  <c r="E230" i="11" l="1"/>
  <c r="E232" i="11" s="1"/>
  <c r="E234" i="11" s="1"/>
  <c r="E215" i="11"/>
  <c r="E223" i="11" s="1"/>
  <c r="J161" i="11"/>
  <c r="J215" i="11" s="1"/>
  <c r="J223" i="11" s="1"/>
  <c r="I161" i="11"/>
  <c r="I215" i="11" s="1"/>
  <c r="I223" i="11" s="1"/>
  <c r="E215" i="10"/>
  <c r="E223" i="10" s="1"/>
  <c r="G230" i="10"/>
  <c r="G232" i="10" s="1"/>
  <c r="G234" i="10" s="1"/>
  <c r="G215" i="10"/>
  <c r="G223" i="10" s="1"/>
  <c r="J161" i="10"/>
  <c r="I161" i="10"/>
  <c r="K230" i="10"/>
  <c r="K232" i="10" s="1"/>
  <c r="K234" i="10" s="1"/>
  <c r="J230" i="10"/>
  <c r="J232" i="10" s="1"/>
  <c r="J234" i="10" s="1"/>
  <c r="J215" i="10"/>
  <c r="J223" i="10" s="1"/>
  <c r="I215" i="10"/>
  <c r="I223" i="10" s="1"/>
  <c r="I230" i="10"/>
  <c r="I232" i="10" s="1"/>
  <c r="I234" i="10" s="1"/>
  <c r="H161" i="10"/>
  <c r="H215" i="10" s="1"/>
  <c r="H223" i="10" s="1"/>
  <c r="K161" i="10"/>
  <c r="K215" i="10" s="1"/>
  <c r="K223" i="10" s="1"/>
  <c r="H230" i="10"/>
  <c r="H232" i="10" s="1"/>
  <c r="H234" i="10" s="1"/>
  <c r="AE152" i="9"/>
  <c r="Y152" i="9"/>
  <c r="K152" i="9"/>
  <c r="O152" i="9" s="1"/>
  <c r="E152" i="9" s="1"/>
  <c r="AE148" i="9"/>
  <c r="Y148" i="9"/>
  <c r="K148" i="9"/>
  <c r="O148" i="9" s="1"/>
  <c r="E148" i="9" s="1"/>
  <c r="AE146" i="9"/>
  <c r="AD146" i="9"/>
  <c r="AC146" i="9"/>
  <c r="AA146" i="9"/>
  <c r="X146" i="9"/>
  <c r="W146" i="9"/>
  <c r="V146" i="9"/>
  <c r="U146" i="9"/>
  <c r="T146" i="9"/>
  <c r="S146" i="9"/>
  <c r="R146" i="9"/>
  <c r="Q146" i="9"/>
  <c r="N146" i="9"/>
  <c r="M146" i="9"/>
  <c r="L146" i="9"/>
  <c r="J146" i="9"/>
  <c r="I146" i="9"/>
  <c r="H146" i="9"/>
  <c r="G146" i="9"/>
  <c r="AE145" i="9"/>
  <c r="Y145" i="9"/>
  <c r="K145" i="9"/>
  <c r="O145" i="9" s="1"/>
  <c r="E145" i="9" s="1"/>
  <c r="AE144" i="9"/>
  <c r="Y144" i="9"/>
  <c r="Y146" i="9" s="1"/>
  <c r="K144" i="9"/>
  <c r="AD140" i="9"/>
  <c r="AC140" i="9"/>
  <c r="AA140" i="9"/>
  <c r="X140" i="9"/>
  <c r="W140" i="9"/>
  <c r="V140" i="9"/>
  <c r="U140" i="9"/>
  <c r="T140" i="9"/>
  <c r="S140" i="9"/>
  <c r="R140" i="9"/>
  <c r="Q140" i="9"/>
  <c r="N140" i="9"/>
  <c r="M140" i="9"/>
  <c r="L140" i="9"/>
  <c r="J140" i="9"/>
  <c r="I140" i="9"/>
  <c r="H140" i="9"/>
  <c r="G140" i="9"/>
  <c r="AE139" i="9"/>
  <c r="Y139" i="9"/>
  <c r="K139" i="9"/>
  <c r="O139" i="9" s="1"/>
  <c r="E139" i="9" s="1"/>
  <c r="AE138" i="9"/>
  <c r="Y138" i="9"/>
  <c r="Y140" i="9" s="1"/>
  <c r="K138" i="9"/>
  <c r="O138" i="9" s="1"/>
  <c r="E138" i="9" s="1"/>
  <c r="AE137" i="9"/>
  <c r="Y137" i="9"/>
  <c r="O137" i="9"/>
  <c r="E137" i="9" s="1"/>
  <c r="K137" i="9"/>
  <c r="AE136" i="9"/>
  <c r="Y136" i="9"/>
  <c r="K136" i="9"/>
  <c r="K140" i="9" s="1"/>
  <c r="AE130" i="9"/>
  <c r="AD130" i="9"/>
  <c r="AC130" i="9"/>
  <c r="AA130" i="9"/>
  <c r="X130" i="9"/>
  <c r="W130" i="9"/>
  <c r="V130" i="9"/>
  <c r="U130" i="9"/>
  <c r="T130" i="9"/>
  <c r="S130" i="9"/>
  <c r="R130" i="9"/>
  <c r="Q130" i="9"/>
  <c r="N130" i="9"/>
  <c r="M130" i="9"/>
  <c r="L130" i="9"/>
  <c r="J130" i="9"/>
  <c r="I130" i="9"/>
  <c r="H130" i="9"/>
  <c r="G130" i="9"/>
  <c r="AE129" i="9"/>
  <c r="Y129" i="9"/>
  <c r="K129" i="9"/>
  <c r="O129" i="9" s="1"/>
  <c r="E129" i="9" s="1"/>
  <c r="AE128" i="9"/>
  <c r="Y128" i="9"/>
  <c r="O128" i="9"/>
  <c r="E128" i="9" s="1"/>
  <c r="K128" i="9"/>
  <c r="AE127" i="9"/>
  <c r="Y127" i="9"/>
  <c r="K127" i="9"/>
  <c r="O127" i="9" s="1"/>
  <c r="E127" i="9" s="1"/>
  <c r="AE126" i="9"/>
  <c r="Y126" i="9"/>
  <c r="K126" i="9"/>
  <c r="O126" i="9" s="1"/>
  <c r="E126" i="9" s="1"/>
  <c r="AE125" i="9"/>
  <c r="Y125" i="9"/>
  <c r="K125" i="9"/>
  <c r="O125" i="9" s="1"/>
  <c r="E125" i="9" s="1"/>
  <c r="AE124" i="9"/>
  <c r="Y124" i="9"/>
  <c r="O124" i="9"/>
  <c r="K124" i="9"/>
  <c r="AE123" i="9"/>
  <c r="Y123" i="9"/>
  <c r="K123" i="9"/>
  <c r="O123" i="9" s="1"/>
  <c r="E123" i="9" s="1"/>
  <c r="AE122" i="9"/>
  <c r="Y122" i="9"/>
  <c r="Y130" i="9" s="1"/>
  <c r="K122" i="9"/>
  <c r="AA120" i="9"/>
  <c r="X120" i="9"/>
  <c r="W120" i="9"/>
  <c r="W132" i="9" s="1"/>
  <c r="V120" i="9"/>
  <c r="V132" i="9" s="1"/>
  <c r="U120" i="9"/>
  <c r="U132" i="9" s="1"/>
  <c r="T120" i="9"/>
  <c r="T132" i="9" s="1"/>
  <c r="S120" i="9"/>
  <c r="S132" i="9" s="1"/>
  <c r="R120" i="9"/>
  <c r="R132" i="9" s="1"/>
  <c r="M120" i="9"/>
  <c r="J120" i="9"/>
  <c r="J132" i="9" s="1"/>
  <c r="I120" i="9"/>
  <c r="I132" i="9" s="1"/>
  <c r="H120" i="9"/>
  <c r="H132" i="9" s="1"/>
  <c r="AD118" i="9"/>
  <c r="AC118" i="9"/>
  <c r="AA118" i="9"/>
  <c r="X118" i="9"/>
  <c r="W118" i="9"/>
  <c r="V118" i="9"/>
  <c r="U118" i="9"/>
  <c r="T118" i="9"/>
  <c r="S118" i="9"/>
  <c r="R118" i="9"/>
  <c r="Q118" i="9"/>
  <c r="N118" i="9"/>
  <c r="M118" i="9"/>
  <c r="L118" i="9"/>
  <c r="J118" i="9"/>
  <c r="I118" i="9"/>
  <c r="H118" i="9"/>
  <c r="G118" i="9"/>
  <c r="AE117" i="9"/>
  <c r="Y117" i="9"/>
  <c r="K117" i="9"/>
  <c r="O117" i="9" s="1"/>
  <c r="AE116" i="9"/>
  <c r="Y116" i="9"/>
  <c r="K116" i="9"/>
  <c r="O116" i="9" s="1"/>
  <c r="E116" i="9" s="1"/>
  <c r="AE115" i="9"/>
  <c r="AE118" i="9" s="1"/>
  <c r="Y115" i="9"/>
  <c r="K115" i="9"/>
  <c r="O115" i="9" s="1"/>
  <c r="E115" i="9" s="1"/>
  <c r="AE114" i="9"/>
  <c r="Y114" i="9"/>
  <c r="O114" i="9"/>
  <c r="K114" i="9"/>
  <c r="E114" i="9"/>
  <c r="AE113" i="9"/>
  <c r="Y113" i="9"/>
  <c r="K113" i="9"/>
  <c r="O113" i="9" s="1"/>
  <c r="AE111" i="9"/>
  <c r="AD111" i="9"/>
  <c r="AD120" i="9" s="1"/>
  <c r="AD132" i="9" s="1"/>
  <c r="AC111" i="9"/>
  <c r="AC120" i="9" s="1"/>
  <c r="AA111" i="9"/>
  <c r="X111" i="9"/>
  <c r="W111" i="9"/>
  <c r="V111" i="9"/>
  <c r="U111" i="9"/>
  <c r="T111" i="9"/>
  <c r="S111" i="9"/>
  <c r="R111" i="9"/>
  <c r="Q111" i="9"/>
  <c r="Q120" i="9" s="1"/>
  <c r="Q132" i="9" s="1"/>
  <c r="N111" i="9"/>
  <c r="N120" i="9" s="1"/>
  <c r="M111" i="9"/>
  <c r="L111" i="9"/>
  <c r="L120" i="9" s="1"/>
  <c r="J111" i="9"/>
  <c r="I111" i="9"/>
  <c r="H111" i="9"/>
  <c r="G111" i="9"/>
  <c r="G120" i="9" s="1"/>
  <c r="G132" i="9" s="1"/>
  <c r="AE110" i="9"/>
  <c r="Y110" i="9"/>
  <c r="K110" i="9"/>
  <c r="O110" i="9" s="1"/>
  <c r="E110" i="9" s="1"/>
  <c r="AE109" i="9"/>
  <c r="Y109" i="9"/>
  <c r="O109" i="9"/>
  <c r="K109" i="9"/>
  <c r="E109" i="9"/>
  <c r="AE108" i="9"/>
  <c r="Y108" i="9"/>
  <c r="K108" i="9"/>
  <c r="O108" i="9" s="1"/>
  <c r="E108" i="9" s="1"/>
  <c r="E111" i="9" s="1"/>
  <c r="AE107" i="9"/>
  <c r="Y107" i="9"/>
  <c r="O107" i="9"/>
  <c r="K107" i="9"/>
  <c r="K111" i="9" s="1"/>
  <c r="E107" i="9"/>
  <c r="AD105" i="9"/>
  <c r="AC105" i="9"/>
  <c r="AC132" i="9" s="1"/>
  <c r="AA105" i="9"/>
  <c r="AA132" i="9" s="1"/>
  <c r="X105" i="9"/>
  <c r="X132" i="9" s="1"/>
  <c r="W105" i="9"/>
  <c r="V105" i="9"/>
  <c r="U105" i="9"/>
  <c r="T105" i="9"/>
  <c r="S105" i="9"/>
  <c r="R105" i="9"/>
  <c r="Q105" i="9"/>
  <c r="N105" i="9"/>
  <c r="N132" i="9" s="1"/>
  <c r="M105" i="9"/>
  <c r="M132" i="9" s="1"/>
  <c r="L105" i="9"/>
  <c r="J105" i="9"/>
  <c r="I105" i="9"/>
  <c r="H105" i="9"/>
  <c r="G105" i="9"/>
  <c r="AE104" i="9"/>
  <c r="Y104" i="9"/>
  <c r="K104" i="9"/>
  <c r="O104" i="9" s="1"/>
  <c r="E104" i="9"/>
  <c r="AE103" i="9"/>
  <c r="Y103" i="9"/>
  <c r="K103" i="9"/>
  <c r="O103" i="9" s="1"/>
  <c r="AE102" i="9"/>
  <c r="Y102" i="9"/>
  <c r="K102" i="9"/>
  <c r="O102" i="9" s="1"/>
  <c r="E102" i="9" s="1"/>
  <c r="AE101" i="9"/>
  <c r="Y101" i="9"/>
  <c r="Y105" i="9" s="1"/>
  <c r="K101" i="9"/>
  <c r="K105" i="9" s="1"/>
  <c r="AE97" i="9"/>
  <c r="Y97" i="9"/>
  <c r="K97" i="9"/>
  <c r="O97" i="9" s="1"/>
  <c r="E97" i="9" s="1"/>
  <c r="AD95" i="9"/>
  <c r="AC95" i="9"/>
  <c r="AA95" i="9"/>
  <c r="Y95" i="9"/>
  <c r="X95" i="9"/>
  <c r="W95" i="9"/>
  <c r="V95" i="9"/>
  <c r="U95" i="9"/>
  <c r="T95" i="9"/>
  <c r="S95" i="9"/>
  <c r="R95" i="9"/>
  <c r="Q95" i="9"/>
  <c r="N95" i="9"/>
  <c r="M95" i="9"/>
  <c r="L95" i="9"/>
  <c r="K95" i="9"/>
  <c r="J95" i="9"/>
  <c r="I95" i="9"/>
  <c r="H95" i="9"/>
  <c r="G95" i="9"/>
  <c r="AE94" i="9"/>
  <c r="Y94" i="9"/>
  <c r="K94" i="9"/>
  <c r="O94" i="9" s="1"/>
  <c r="E94" i="9"/>
  <c r="AE93" i="9"/>
  <c r="Y93" i="9"/>
  <c r="O93" i="9"/>
  <c r="E93" i="9" s="1"/>
  <c r="K93" i="9"/>
  <c r="AE92" i="9"/>
  <c r="Y92" i="9"/>
  <c r="K92" i="9"/>
  <c r="O92" i="9" s="1"/>
  <c r="E92" i="9" s="1"/>
  <c r="AE91" i="9"/>
  <c r="Y91" i="9"/>
  <c r="O91" i="9"/>
  <c r="E91" i="9" s="1"/>
  <c r="K91" i="9"/>
  <c r="AE90" i="9"/>
  <c r="Y90" i="9"/>
  <c r="K90" i="9"/>
  <c r="O90" i="9" s="1"/>
  <c r="AD88" i="9"/>
  <c r="AC88" i="9"/>
  <c r="AA88" i="9"/>
  <c r="X88" i="9"/>
  <c r="W88" i="9"/>
  <c r="V88" i="9"/>
  <c r="U88" i="9"/>
  <c r="T88" i="9"/>
  <c r="S88" i="9"/>
  <c r="R88" i="9"/>
  <c r="Q88" i="9"/>
  <c r="N88" i="9"/>
  <c r="M88" i="9"/>
  <c r="L88" i="9"/>
  <c r="J88" i="9"/>
  <c r="I88" i="9"/>
  <c r="H88" i="9"/>
  <c r="G88" i="9"/>
  <c r="AE87" i="9"/>
  <c r="Y87" i="9"/>
  <c r="K87" i="9"/>
  <c r="O87" i="9" s="1"/>
  <c r="E87" i="9"/>
  <c r="AE86" i="9"/>
  <c r="Y86" i="9"/>
  <c r="O86" i="9"/>
  <c r="K86" i="9"/>
  <c r="AE85" i="9"/>
  <c r="Y85" i="9"/>
  <c r="K85" i="9"/>
  <c r="O85" i="9" s="1"/>
  <c r="E85" i="9" s="1"/>
  <c r="AE84" i="9"/>
  <c r="Y84" i="9"/>
  <c r="Y88" i="9" s="1"/>
  <c r="K84" i="9"/>
  <c r="K88" i="9" s="1"/>
  <c r="AE83" i="9"/>
  <c r="Y83" i="9"/>
  <c r="K83" i="9"/>
  <c r="O83" i="9" s="1"/>
  <c r="L81" i="9"/>
  <c r="AE79" i="9"/>
  <c r="Y79" i="9"/>
  <c r="K79" i="9"/>
  <c r="O79" i="9" s="1"/>
  <c r="E79" i="9" s="1"/>
  <c r="AE78" i="9"/>
  <c r="Y78" i="9"/>
  <c r="O78" i="9"/>
  <c r="K78" i="9"/>
  <c r="AE77" i="9"/>
  <c r="Y77" i="9"/>
  <c r="K77" i="9"/>
  <c r="O77" i="9" s="1"/>
  <c r="E77" i="9" s="1"/>
  <c r="AE76" i="9"/>
  <c r="Y76" i="9"/>
  <c r="K76" i="9"/>
  <c r="O76" i="9" s="1"/>
  <c r="E76" i="9" s="1"/>
  <c r="AE72" i="9"/>
  <c r="Y72" i="9"/>
  <c r="K72" i="9"/>
  <c r="O72" i="9" s="1"/>
  <c r="E72" i="9" s="1"/>
  <c r="AE71" i="9"/>
  <c r="Y71" i="9"/>
  <c r="K71" i="9"/>
  <c r="O71" i="9" s="1"/>
  <c r="E71" i="9" s="1"/>
  <c r="AE70" i="9"/>
  <c r="Y70" i="9"/>
  <c r="K70" i="9"/>
  <c r="O70" i="9" s="1"/>
  <c r="E70" i="9" s="1"/>
  <c r="W68" i="9"/>
  <c r="W74" i="9" s="1"/>
  <c r="W81" i="9" s="1"/>
  <c r="W99" i="9" s="1"/>
  <c r="W134" i="9" s="1"/>
  <c r="W142" i="9" s="1"/>
  <c r="W150" i="9" s="1"/>
  <c r="W154" i="9" s="1"/>
  <c r="AD66" i="9"/>
  <c r="AC66" i="9"/>
  <c r="AA66" i="9"/>
  <c r="X66" i="9"/>
  <c r="W66" i="9"/>
  <c r="V66" i="9"/>
  <c r="V68" i="9" s="1"/>
  <c r="V74" i="9" s="1"/>
  <c r="V81" i="9" s="1"/>
  <c r="V99" i="9" s="1"/>
  <c r="V134" i="9" s="1"/>
  <c r="V142" i="9" s="1"/>
  <c r="V150" i="9" s="1"/>
  <c r="V154" i="9" s="1"/>
  <c r="U66" i="9"/>
  <c r="U68" i="9" s="1"/>
  <c r="U74" i="9" s="1"/>
  <c r="U81" i="9" s="1"/>
  <c r="U99" i="9" s="1"/>
  <c r="U134" i="9" s="1"/>
  <c r="U142" i="9" s="1"/>
  <c r="U150" i="9" s="1"/>
  <c r="U154" i="9" s="1"/>
  <c r="T66" i="9"/>
  <c r="S66" i="9"/>
  <c r="R66" i="9"/>
  <c r="Q66" i="9"/>
  <c r="N66" i="9"/>
  <c r="M66" i="9"/>
  <c r="L66" i="9"/>
  <c r="J66" i="9"/>
  <c r="I66" i="9"/>
  <c r="H66" i="9"/>
  <c r="G66" i="9"/>
  <c r="AE65" i="9"/>
  <c r="Y65" i="9"/>
  <c r="K65" i="9"/>
  <c r="O65" i="9" s="1"/>
  <c r="E65" i="9" s="1"/>
  <c r="AE64" i="9"/>
  <c r="AE66" i="9" s="1"/>
  <c r="Y64" i="9"/>
  <c r="Y66" i="9" s="1"/>
  <c r="K64" i="9"/>
  <c r="AD62" i="9"/>
  <c r="AC62" i="9"/>
  <c r="R62" i="9"/>
  <c r="AD60" i="9"/>
  <c r="AC60" i="9"/>
  <c r="AA60" i="9"/>
  <c r="X60" i="9"/>
  <c r="W60" i="9"/>
  <c r="V60" i="9"/>
  <c r="U60" i="9"/>
  <c r="T60" i="9"/>
  <c r="S60" i="9"/>
  <c r="R60" i="9"/>
  <c r="Q60" i="9"/>
  <c r="Q62" i="9" s="1"/>
  <c r="N60" i="9"/>
  <c r="N62" i="9" s="1"/>
  <c r="M60" i="9"/>
  <c r="L60" i="9"/>
  <c r="J60" i="9"/>
  <c r="I60" i="9"/>
  <c r="H60" i="9"/>
  <c r="G60" i="9"/>
  <c r="AE59" i="9"/>
  <c r="Y59" i="9"/>
  <c r="O59" i="9"/>
  <c r="K59" i="9"/>
  <c r="E59" i="9"/>
  <c r="AE58" i="9"/>
  <c r="Y58" i="9"/>
  <c r="O58" i="9"/>
  <c r="K58" i="9"/>
  <c r="E58" i="9"/>
  <c r="AE57" i="9"/>
  <c r="Y57" i="9"/>
  <c r="K57" i="9"/>
  <c r="O57" i="9" s="1"/>
  <c r="E57" i="9" s="1"/>
  <c r="AE56" i="9"/>
  <c r="Y56" i="9"/>
  <c r="K56" i="9"/>
  <c r="O56" i="9" s="1"/>
  <c r="AE55" i="9"/>
  <c r="Y55" i="9"/>
  <c r="K55" i="9"/>
  <c r="O55" i="9" s="1"/>
  <c r="E55" i="9"/>
  <c r="AE54" i="9"/>
  <c r="AE60" i="9" s="1"/>
  <c r="Y54" i="9"/>
  <c r="Y60" i="9" s="1"/>
  <c r="K54" i="9"/>
  <c r="K60" i="9" s="1"/>
  <c r="AD52" i="9"/>
  <c r="AC52" i="9"/>
  <c r="AA52" i="9"/>
  <c r="X52" i="9"/>
  <c r="X62" i="9" s="1"/>
  <c r="W52" i="9"/>
  <c r="W62" i="9" s="1"/>
  <c r="V52" i="9"/>
  <c r="V62" i="9" s="1"/>
  <c r="U52" i="9"/>
  <c r="U62" i="9" s="1"/>
  <c r="T52" i="9"/>
  <c r="T62" i="9" s="1"/>
  <c r="S52" i="9"/>
  <c r="S62" i="9" s="1"/>
  <c r="R52" i="9"/>
  <c r="Q52" i="9"/>
  <c r="N52" i="9"/>
  <c r="M52" i="9"/>
  <c r="L52" i="9"/>
  <c r="L62" i="9" s="1"/>
  <c r="J52" i="9"/>
  <c r="J62" i="9" s="1"/>
  <c r="J68" i="9" s="1"/>
  <c r="J74" i="9" s="1"/>
  <c r="J81" i="9" s="1"/>
  <c r="J99" i="9" s="1"/>
  <c r="J134" i="9" s="1"/>
  <c r="J142" i="9" s="1"/>
  <c r="J150" i="9" s="1"/>
  <c r="J154" i="9" s="1"/>
  <c r="I52" i="9"/>
  <c r="I62" i="9" s="1"/>
  <c r="I68" i="9" s="1"/>
  <c r="I74" i="9" s="1"/>
  <c r="I81" i="9" s="1"/>
  <c r="I99" i="9" s="1"/>
  <c r="I134" i="9" s="1"/>
  <c r="I142" i="9" s="1"/>
  <c r="I150" i="9" s="1"/>
  <c r="I154" i="9" s="1"/>
  <c r="H52" i="9"/>
  <c r="H62" i="9" s="1"/>
  <c r="H68" i="9" s="1"/>
  <c r="H74" i="9" s="1"/>
  <c r="H81" i="9" s="1"/>
  <c r="H99" i="9" s="1"/>
  <c r="H134" i="9" s="1"/>
  <c r="H142" i="9" s="1"/>
  <c r="H150" i="9" s="1"/>
  <c r="H154" i="9" s="1"/>
  <c r="G52" i="9"/>
  <c r="G62" i="9" s="1"/>
  <c r="AE51" i="9"/>
  <c r="Y51" i="9"/>
  <c r="O51" i="9"/>
  <c r="K51" i="9"/>
  <c r="E51" i="9"/>
  <c r="AE50" i="9"/>
  <c r="Y50" i="9"/>
  <c r="O50" i="9"/>
  <c r="E50" i="9" s="1"/>
  <c r="K50" i="9"/>
  <c r="AE49" i="9"/>
  <c r="Y49" i="9"/>
  <c r="K49" i="9"/>
  <c r="O49" i="9" s="1"/>
  <c r="E49" i="9" s="1"/>
  <c r="AE48" i="9"/>
  <c r="Y48" i="9"/>
  <c r="K48" i="9"/>
  <c r="O48" i="9" s="1"/>
  <c r="E48" i="9"/>
  <c r="AE47" i="9"/>
  <c r="Y47" i="9"/>
  <c r="O47" i="9"/>
  <c r="E47" i="9" s="1"/>
  <c r="K47" i="9"/>
  <c r="AE46" i="9"/>
  <c r="Y46" i="9"/>
  <c r="K46" i="9"/>
  <c r="O46" i="9" s="1"/>
  <c r="E46" i="9" s="1"/>
  <c r="AE45" i="9"/>
  <c r="AE52" i="9" s="1"/>
  <c r="AE62" i="9" s="1"/>
  <c r="Y45" i="9"/>
  <c r="Y52" i="9" s="1"/>
  <c r="O45" i="9"/>
  <c r="O52" i="9" s="1"/>
  <c r="K45" i="9"/>
  <c r="W43" i="9"/>
  <c r="V43" i="9"/>
  <c r="U43" i="9"/>
  <c r="J43" i="9"/>
  <c r="I43" i="9"/>
  <c r="H43" i="9"/>
  <c r="W41" i="9"/>
  <c r="V41" i="9"/>
  <c r="U41" i="9"/>
  <c r="T41" i="9"/>
  <c r="T43" i="9" s="1"/>
  <c r="T68" i="9" s="1"/>
  <c r="T74" i="9" s="1"/>
  <c r="T81" i="9" s="1"/>
  <c r="T99" i="9" s="1"/>
  <c r="T134" i="9" s="1"/>
  <c r="T142" i="9" s="1"/>
  <c r="T150" i="9" s="1"/>
  <c r="T154" i="9" s="1"/>
  <c r="S41" i="9"/>
  <c r="S43" i="9" s="1"/>
  <c r="S68" i="9" s="1"/>
  <c r="S74" i="9" s="1"/>
  <c r="S81" i="9" s="1"/>
  <c r="S99" i="9" s="1"/>
  <c r="S134" i="9" s="1"/>
  <c r="S142" i="9" s="1"/>
  <c r="S150" i="9" s="1"/>
  <c r="S154" i="9" s="1"/>
  <c r="R41" i="9"/>
  <c r="R43" i="9" s="1"/>
  <c r="R68" i="9" s="1"/>
  <c r="R74" i="9" s="1"/>
  <c r="R81" i="9" s="1"/>
  <c r="R99" i="9" s="1"/>
  <c r="R134" i="9" s="1"/>
  <c r="R142" i="9" s="1"/>
  <c r="R150" i="9" s="1"/>
  <c r="R154" i="9" s="1"/>
  <c r="Q41" i="9"/>
  <c r="Q43" i="9" s="1"/>
  <c r="J41" i="9"/>
  <c r="I41" i="9"/>
  <c r="H41" i="9"/>
  <c r="G41" i="9"/>
  <c r="G43" i="9" s="1"/>
  <c r="G68" i="9" s="1"/>
  <c r="G74" i="9" s="1"/>
  <c r="G81" i="9" s="1"/>
  <c r="G99" i="9" s="1"/>
  <c r="G134" i="9" s="1"/>
  <c r="G142" i="9" s="1"/>
  <c r="G150" i="9" s="1"/>
  <c r="G154" i="9" s="1"/>
  <c r="AD39" i="9"/>
  <c r="AC39" i="9"/>
  <c r="AA39" i="9"/>
  <c r="X39" i="9"/>
  <c r="W39" i="9"/>
  <c r="V39" i="9"/>
  <c r="U39" i="9"/>
  <c r="T39" i="9"/>
  <c r="S39" i="9"/>
  <c r="R39" i="9"/>
  <c r="Q39" i="9"/>
  <c r="N39" i="9"/>
  <c r="M39" i="9"/>
  <c r="L39" i="9"/>
  <c r="J39" i="9"/>
  <c r="I39" i="9"/>
  <c r="H39" i="9"/>
  <c r="G39" i="9"/>
  <c r="AE38" i="9"/>
  <c r="Y38" i="9"/>
  <c r="K38" i="9"/>
  <c r="O38" i="9" s="1"/>
  <c r="E38" i="9" s="1"/>
  <c r="AE37" i="9"/>
  <c r="Y37" i="9"/>
  <c r="K37" i="9"/>
  <c r="O37" i="9" s="1"/>
  <c r="E37" i="9" s="1"/>
  <c r="AE36" i="9"/>
  <c r="Y36" i="9"/>
  <c r="K36" i="9"/>
  <c r="O36" i="9" s="1"/>
  <c r="E36" i="9" s="1"/>
  <c r="AE35" i="9"/>
  <c r="Y35" i="9"/>
  <c r="K35" i="9"/>
  <c r="O35" i="9" s="1"/>
  <c r="E35" i="9" s="1"/>
  <c r="AE34" i="9"/>
  <c r="Y34" i="9"/>
  <c r="K34" i="9"/>
  <c r="O34" i="9" s="1"/>
  <c r="E34" i="9"/>
  <c r="AE33" i="9"/>
  <c r="Y33" i="9"/>
  <c r="O33" i="9"/>
  <c r="K33" i="9"/>
  <c r="AE32" i="9"/>
  <c r="Y32" i="9"/>
  <c r="K32" i="9"/>
  <c r="O32" i="9" s="1"/>
  <c r="E32" i="9" s="1"/>
  <c r="AE31" i="9"/>
  <c r="Y31" i="9"/>
  <c r="K31" i="9"/>
  <c r="O31" i="9" s="1"/>
  <c r="E31" i="9" s="1"/>
  <c r="AE30" i="9"/>
  <c r="Y30" i="9"/>
  <c r="O30" i="9"/>
  <c r="K30" i="9"/>
  <c r="E30" i="9"/>
  <c r="AE29" i="9"/>
  <c r="Y29" i="9"/>
  <c r="K29" i="9"/>
  <c r="O29" i="9" s="1"/>
  <c r="E29" i="9" s="1"/>
  <c r="AE28" i="9"/>
  <c r="Y28" i="9"/>
  <c r="E28" i="9" s="1"/>
  <c r="O28" i="9"/>
  <c r="K28" i="9"/>
  <c r="AE27" i="9"/>
  <c r="Y27" i="9"/>
  <c r="K27" i="9"/>
  <c r="O27" i="9" s="1"/>
  <c r="E27" i="9" s="1"/>
  <c r="AE26" i="9"/>
  <c r="AE39" i="9" s="1"/>
  <c r="Y26" i="9"/>
  <c r="K26" i="9"/>
  <c r="O26" i="9" s="1"/>
  <c r="E26" i="9" s="1"/>
  <c r="AE25" i="9"/>
  <c r="Y25" i="9"/>
  <c r="K25" i="9"/>
  <c r="K39" i="9" s="1"/>
  <c r="AD23" i="9"/>
  <c r="AD41" i="9" s="1"/>
  <c r="AC23" i="9"/>
  <c r="AA23" i="9"/>
  <c r="AA41" i="9" s="1"/>
  <c r="AA43" i="9" s="1"/>
  <c r="X23" i="9"/>
  <c r="X41" i="9" s="1"/>
  <c r="X43" i="9" s="1"/>
  <c r="W23" i="9"/>
  <c r="V23" i="9"/>
  <c r="U23" i="9"/>
  <c r="T23" i="9"/>
  <c r="S23" i="9"/>
  <c r="R23" i="9"/>
  <c r="Q23" i="9"/>
  <c r="N23" i="9"/>
  <c r="M23" i="9"/>
  <c r="M41" i="9" s="1"/>
  <c r="M43" i="9" s="1"/>
  <c r="L23" i="9"/>
  <c r="L41" i="9" s="1"/>
  <c r="L43" i="9" s="1"/>
  <c r="L68" i="9" s="1"/>
  <c r="L74" i="9" s="1"/>
  <c r="J23" i="9"/>
  <c r="I23" i="9"/>
  <c r="H23" i="9"/>
  <c r="G23" i="9"/>
  <c r="AE22" i="9"/>
  <c r="Y22" i="9"/>
  <c r="K22" i="9"/>
  <c r="O22" i="9" s="1"/>
  <c r="E22" i="9" s="1"/>
  <c r="AE21" i="9"/>
  <c r="Y21" i="9"/>
  <c r="O21" i="9"/>
  <c r="K21" i="9"/>
  <c r="AE20" i="9"/>
  <c r="Y20" i="9"/>
  <c r="K20" i="9"/>
  <c r="O20" i="9" s="1"/>
  <c r="E20" i="9"/>
  <c r="AE19" i="9"/>
  <c r="Y19" i="9"/>
  <c r="O19" i="9"/>
  <c r="E19" i="9" s="1"/>
  <c r="K19" i="9"/>
  <c r="AE18" i="9"/>
  <c r="Y18" i="9"/>
  <c r="K18" i="9"/>
  <c r="O18" i="9" s="1"/>
  <c r="E18" i="9" s="1"/>
  <c r="AE17" i="9"/>
  <c r="Y17" i="9"/>
  <c r="Y23" i="9" s="1"/>
  <c r="K17" i="9"/>
  <c r="O17" i="9" s="1"/>
  <c r="E17" i="9" s="1"/>
  <c r="AE16" i="9"/>
  <c r="AE23" i="9" s="1"/>
  <c r="Y16" i="9"/>
  <c r="K16" i="9"/>
  <c r="O16" i="9" s="1"/>
  <c r="E16" i="9" s="1"/>
  <c r="AE15" i="9"/>
  <c r="Y15" i="9"/>
  <c r="O15" i="9"/>
  <c r="K15" i="9"/>
  <c r="K23" i="9" s="1"/>
  <c r="K41" i="9" s="1"/>
  <c r="E15" i="9"/>
  <c r="AD13" i="9"/>
  <c r="AC13" i="9"/>
  <c r="AA13" i="9"/>
  <c r="X13" i="9"/>
  <c r="W13" i="9"/>
  <c r="V13" i="9"/>
  <c r="U13" i="9"/>
  <c r="T13" i="9"/>
  <c r="S13" i="9"/>
  <c r="R13" i="9"/>
  <c r="Q13" i="9"/>
  <c r="N13" i="9"/>
  <c r="M13" i="9"/>
  <c r="L13" i="9"/>
  <c r="J13" i="9"/>
  <c r="I13" i="9"/>
  <c r="H13" i="9"/>
  <c r="G13" i="9"/>
  <c r="AE12" i="9"/>
  <c r="Y12" i="9"/>
  <c r="O12" i="9"/>
  <c r="E12" i="9" s="1"/>
  <c r="K12" i="9"/>
  <c r="AE11" i="9"/>
  <c r="Y11" i="9"/>
  <c r="K11" i="9"/>
  <c r="O11" i="9" s="1"/>
  <c r="E11" i="9" s="1"/>
  <c r="AE10" i="9"/>
  <c r="AE13" i="9" s="1"/>
  <c r="Y10" i="9"/>
  <c r="Y13" i="9" s="1"/>
  <c r="O10" i="9"/>
  <c r="E10" i="9" s="1"/>
  <c r="E13" i="9" s="1"/>
  <c r="K10" i="9"/>
  <c r="AE43" i="9" l="1"/>
  <c r="AE68" i="9" s="1"/>
  <c r="AE74" i="9" s="1"/>
  <c r="AE81" i="9" s="1"/>
  <c r="AE99" i="9" s="1"/>
  <c r="O118" i="9"/>
  <c r="E113" i="9"/>
  <c r="Y132" i="9"/>
  <c r="AE41" i="9"/>
  <c r="Q68" i="9"/>
  <c r="Q74" i="9" s="1"/>
  <c r="Q81" i="9" s="1"/>
  <c r="Q99" i="9" s="1"/>
  <c r="Q134" i="9" s="1"/>
  <c r="Q142" i="9" s="1"/>
  <c r="Q150" i="9" s="1"/>
  <c r="Q154" i="9" s="1"/>
  <c r="K120" i="9"/>
  <c r="K132" i="9" s="1"/>
  <c r="AC43" i="9"/>
  <c r="AC68" i="9" s="1"/>
  <c r="AC74" i="9" s="1"/>
  <c r="AC81" i="9" s="1"/>
  <c r="AC99" i="9" s="1"/>
  <c r="AC134" i="9" s="1"/>
  <c r="AC142" i="9" s="1"/>
  <c r="AC150" i="9" s="1"/>
  <c r="AC154" i="9" s="1"/>
  <c r="O111" i="9"/>
  <c r="O120" i="9" s="1"/>
  <c r="AD43" i="9"/>
  <c r="AD68" i="9" s="1"/>
  <c r="AD74" i="9" s="1"/>
  <c r="AD81" i="9" s="1"/>
  <c r="AD99" i="9" s="1"/>
  <c r="AD134" i="9" s="1"/>
  <c r="AD142" i="9" s="1"/>
  <c r="AD150" i="9" s="1"/>
  <c r="AD154" i="9" s="1"/>
  <c r="L99" i="9"/>
  <c r="O101" i="9"/>
  <c r="O136" i="9"/>
  <c r="O23" i="9"/>
  <c r="AE120" i="9"/>
  <c r="K118" i="9"/>
  <c r="N43" i="9"/>
  <c r="N68" i="9" s="1"/>
  <c r="N74" i="9" s="1"/>
  <c r="N81" i="9" s="1"/>
  <c r="N99" i="9" s="1"/>
  <c r="N134" i="9" s="1"/>
  <c r="N142" i="9" s="1"/>
  <c r="N150" i="9" s="1"/>
  <c r="N154" i="9" s="1"/>
  <c r="O13" i="9"/>
  <c r="E56" i="9"/>
  <c r="K66" i="9"/>
  <c r="O64" i="9"/>
  <c r="AE88" i="9"/>
  <c r="Y118" i="9"/>
  <c r="E124" i="9"/>
  <c r="Y62" i="9"/>
  <c r="AE105" i="9"/>
  <c r="AE140" i="9"/>
  <c r="X68" i="9"/>
  <c r="X74" i="9" s="1"/>
  <c r="X81" i="9" s="1"/>
  <c r="X99" i="9" s="1"/>
  <c r="X134" i="9" s="1"/>
  <c r="X142" i="9" s="1"/>
  <c r="X150" i="9" s="1"/>
  <c r="X154" i="9" s="1"/>
  <c r="E78" i="9"/>
  <c r="E117" i="9"/>
  <c r="Y39" i="9"/>
  <c r="Y41" i="9" s="1"/>
  <c r="Y43" i="9" s="1"/>
  <c r="Y68" i="9" s="1"/>
  <c r="Y74" i="9" s="1"/>
  <c r="Y81" i="9" s="1"/>
  <c r="Y99" i="9" s="1"/>
  <c r="Y134" i="9" s="1"/>
  <c r="Y142" i="9" s="1"/>
  <c r="Y150" i="9" s="1"/>
  <c r="Y154" i="9" s="1"/>
  <c r="E21" i="9"/>
  <c r="E23" i="9" s="1"/>
  <c r="M62" i="9"/>
  <c r="AE95" i="9"/>
  <c r="Y111" i="9"/>
  <c r="Y120" i="9" s="1"/>
  <c r="O95" i="9"/>
  <c r="E90" i="9"/>
  <c r="E95" i="9" s="1"/>
  <c r="M68" i="9"/>
  <c r="M74" i="9" s="1"/>
  <c r="M81" i="9" s="1"/>
  <c r="M99" i="9" s="1"/>
  <c r="M134" i="9" s="1"/>
  <c r="M142" i="9" s="1"/>
  <c r="M150" i="9" s="1"/>
  <c r="M154" i="9" s="1"/>
  <c r="E45" i="9"/>
  <c r="E52" i="9" s="1"/>
  <c r="K130" i="9"/>
  <c r="O84" i="9"/>
  <c r="E84" i="9" s="1"/>
  <c r="AA62" i="9"/>
  <c r="AA68" i="9" s="1"/>
  <c r="AA74" i="9" s="1"/>
  <c r="AA81" i="9" s="1"/>
  <c r="AA99" i="9" s="1"/>
  <c r="AA134" i="9" s="1"/>
  <c r="AA142" i="9" s="1"/>
  <c r="AA150" i="9" s="1"/>
  <c r="AA154" i="9" s="1"/>
  <c r="K13" i="9"/>
  <c r="K43" i="9" s="1"/>
  <c r="N41" i="9"/>
  <c r="AC41" i="9"/>
  <c r="E33" i="9"/>
  <c r="K52" i="9"/>
  <c r="K62" i="9" s="1"/>
  <c r="O54" i="9"/>
  <c r="E83" i="9"/>
  <c r="E86" i="9"/>
  <c r="E103" i="9"/>
  <c r="L132" i="9"/>
  <c r="O122" i="9"/>
  <c r="K146" i="9"/>
  <c r="O25" i="9"/>
  <c r="O144" i="9"/>
  <c r="O88" i="9" l="1"/>
  <c r="E88" i="9"/>
  <c r="E54" i="9"/>
  <c r="E60" i="9" s="1"/>
  <c r="E62" i="9" s="1"/>
  <c r="O60" i="9"/>
  <c r="O62" i="9" s="1"/>
  <c r="AE134" i="9"/>
  <c r="AE142" i="9" s="1"/>
  <c r="AE150" i="9" s="1"/>
  <c r="AE154" i="9" s="1"/>
  <c r="AE132" i="9"/>
  <c r="E101" i="9"/>
  <c r="E105" i="9" s="1"/>
  <c r="O105" i="9"/>
  <c r="K68" i="9"/>
  <c r="K74" i="9" s="1"/>
  <c r="K81" i="9" s="1"/>
  <c r="K99" i="9" s="1"/>
  <c r="K134" i="9" s="1"/>
  <c r="K142" i="9" s="1"/>
  <c r="K150" i="9" s="1"/>
  <c r="K154" i="9" s="1"/>
  <c r="E118" i="9"/>
  <c r="E120" i="9" s="1"/>
  <c r="O41" i="9"/>
  <c r="O43" i="9" s="1"/>
  <c r="O68" i="9" s="1"/>
  <c r="O74" i="9" s="1"/>
  <c r="O81" i="9" s="1"/>
  <c r="O99" i="9" s="1"/>
  <c r="O140" i="9"/>
  <c r="E136" i="9"/>
  <c r="E140" i="9" s="1"/>
  <c r="E144" i="9"/>
  <c r="E146" i="9" s="1"/>
  <c r="O146" i="9"/>
  <c r="E25" i="9"/>
  <c r="E39" i="9" s="1"/>
  <c r="E41" i="9" s="1"/>
  <c r="E43" i="9" s="1"/>
  <c r="E68" i="9" s="1"/>
  <c r="E74" i="9" s="1"/>
  <c r="E81" i="9" s="1"/>
  <c r="E99" i="9" s="1"/>
  <c r="O39" i="9"/>
  <c r="L134" i="9"/>
  <c r="L142" i="9" s="1"/>
  <c r="L150" i="9" s="1"/>
  <c r="L154" i="9" s="1"/>
  <c r="E122" i="9"/>
  <c r="E130" i="9" s="1"/>
  <c r="O130" i="9"/>
  <c r="O66" i="9"/>
  <c r="E64" i="9"/>
  <c r="E66" i="9" s="1"/>
  <c r="P240" i="8"/>
  <c r="P239" i="8"/>
  <c r="P238" i="8"/>
  <c r="P235" i="8"/>
  <c r="O235" i="8"/>
  <c r="N235" i="8"/>
  <c r="M235" i="8"/>
  <c r="L235" i="8"/>
  <c r="K235" i="8"/>
  <c r="J235" i="8"/>
  <c r="I235" i="8"/>
  <c r="H235" i="8"/>
  <c r="G235" i="8"/>
  <c r="F235" i="8"/>
  <c r="E235" i="8"/>
  <c r="D235" i="8"/>
  <c r="L233" i="8"/>
  <c r="K233" i="8"/>
  <c r="F233" i="8"/>
  <c r="E233" i="8"/>
  <c r="D233" i="8"/>
  <c r="M231" i="8"/>
  <c r="H231" i="8"/>
  <c r="G231" i="8"/>
  <c r="F231" i="8"/>
  <c r="P222" i="8"/>
  <c r="P220" i="8" s="1"/>
  <c r="P221" i="8"/>
  <c r="O220" i="8"/>
  <c r="N220" i="8"/>
  <c r="M220" i="8"/>
  <c r="L220" i="8"/>
  <c r="K220" i="8"/>
  <c r="J220" i="8"/>
  <c r="I220" i="8"/>
  <c r="H220" i="8"/>
  <c r="G220" i="8"/>
  <c r="F220" i="8"/>
  <c r="E220" i="8"/>
  <c r="D220" i="8"/>
  <c r="P219" i="8"/>
  <c r="P213" i="8"/>
  <c r="P212" i="8"/>
  <c r="P211" i="8"/>
  <c r="P210" i="8" s="1"/>
  <c r="O210" i="8"/>
  <c r="O204" i="8" s="1"/>
  <c r="N210" i="8"/>
  <c r="M210" i="8"/>
  <c r="L210" i="8"/>
  <c r="K210" i="8"/>
  <c r="J210" i="8"/>
  <c r="I210" i="8"/>
  <c r="H210" i="8"/>
  <c r="G210" i="8"/>
  <c r="G204" i="8" s="1"/>
  <c r="G193" i="8" s="1"/>
  <c r="F210" i="8"/>
  <c r="F204" i="8" s="1"/>
  <c r="F193" i="8" s="1"/>
  <c r="E210" i="8"/>
  <c r="D210" i="8"/>
  <c r="P208" i="8"/>
  <c r="P207" i="8"/>
  <c r="P206" i="8"/>
  <c r="O206" i="8"/>
  <c r="N206" i="8"/>
  <c r="N204" i="8" s="1"/>
  <c r="N193" i="8" s="1"/>
  <c r="N215" i="8" s="1"/>
  <c r="M206" i="8"/>
  <c r="M204" i="8" s="1"/>
  <c r="M193" i="8" s="1"/>
  <c r="L206" i="8"/>
  <c r="K206" i="8"/>
  <c r="J206" i="8"/>
  <c r="I206" i="8"/>
  <c r="I204" i="8" s="1"/>
  <c r="H206" i="8"/>
  <c r="H204" i="8" s="1"/>
  <c r="G206" i="8"/>
  <c r="F206" i="8"/>
  <c r="E206" i="8"/>
  <c r="D206" i="8"/>
  <c r="D204" i="8" s="1"/>
  <c r="L204" i="8"/>
  <c r="K204" i="8"/>
  <c r="K193" i="8" s="1"/>
  <c r="J204" i="8"/>
  <c r="E204" i="8"/>
  <c r="P202" i="8"/>
  <c r="P201" i="8"/>
  <c r="P200" i="8" s="1"/>
  <c r="P233" i="8" s="1"/>
  <c r="O200" i="8"/>
  <c r="O233" i="8" s="1"/>
  <c r="N200" i="8"/>
  <c r="N233" i="8" s="1"/>
  <c r="M200" i="8"/>
  <c r="M233" i="8" s="1"/>
  <c r="L200" i="8"/>
  <c r="K200" i="8"/>
  <c r="J200" i="8"/>
  <c r="J233" i="8" s="1"/>
  <c r="I200" i="8"/>
  <c r="I233" i="8" s="1"/>
  <c r="H200" i="8"/>
  <c r="H233" i="8" s="1"/>
  <c r="G200" i="8"/>
  <c r="G233" i="8" s="1"/>
  <c r="F200" i="8"/>
  <c r="E200" i="8"/>
  <c r="D200" i="8"/>
  <c r="P198" i="8"/>
  <c r="P197" i="8"/>
  <c r="P196" i="8"/>
  <c r="P195" i="8" s="1"/>
  <c r="O195" i="8"/>
  <c r="N195" i="8"/>
  <c r="M195" i="8"/>
  <c r="L195" i="8"/>
  <c r="L193" i="8" s="1"/>
  <c r="K195" i="8"/>
  <c r="J195" i="8"/>
  <c r="J193" i="8" s="1"/>
  <c r="I195" i="8"/>
  <c r="H195" i="8"/>
  <c r="G195" i="8"/>
  <c r="F195" i="8"/>
  <c r="E195" i="8"/>
  <c r="E193" i="8" s="1"/>
  <c r="D195" i="8"/>
  <c r="D193" i="8" s="1"/>
  <c r="P191" i="8"/>
  <c r="P190" i="8"/>
  <c r="P189" i="8"/>
  <c r="P188" i="8"/>
  <c r="P187" i="8"/>
  <c r="P186" i="8" s="1"/>
  <c r="O186" i="8"/>
  <c r="N186" i="8"/>
  <c r="M186" i="8"/>
  <c r="L186" i="8"/>
  <c r="K186" i="8"/>
  <c r="J186" i="8"/>
  <c r="I186" i="8"/>
  <c r="H186" i="8"/>
  <c r="G186" i="8"/>
  <c r="F186" i="8"/>
  <c r="E186" i="8"/>
  <c r="D186" i="8"/>
  <c r="P184" i="8"/>
  <c r="P183" i="8"/>
  <c r="P182" i="8"/>
  <c r="O182" i="8"/>
  <c r="N182" i="8"/>
  <c r="M182" i="8"/>
  <c r="L182" i="8"/>
  <c r="K182" i="8"/>
  <c r="J182" i="8"/>
  <c r="J215" i="8" s="1"/>
  <c r="I182" i="8"/>
  <c r="H182" i="8"/>
  <c r="G182" i="8"/>
  <c r="G215" i="8" s="1"/>
  <c r="F182" i="8"/>
  <c r="E182" i="8"/>
  <c r="D182" i="8"/>
  <c r="P180" i="8"/>
  <c r="P178" i="8"/>
  <c r="P176" i="8"/>
  <c r="P174" i="8"/>
  <c r="P173" i="8"/>
  <c r="P172" i="8"/>
  <c r="O172" i="8"/>
  <c r="N172" i="8"/>
  <c r="M172" i="8"/>
  <c r="L172" i="8"/>
  <c r="K172" i="8"/>
  <c r="J172" i="8"/>
  <c r="I172" i="8"/>
  <c r="H172" i="8"/>
  <c r="G172" i="8"/>
  <c r="F172" i="8"/>
  <c r="E172" i="8"/>
  <c r="D172" i="8"/>
  <c r="P170" i="8"/>
  <c r="P169" i="8"/>
  <c r="P168" i="8"/>
  <c r="P167" i="8" s="1"/>
  <c r="O167" i="8"/>
  <c r="N167" i="8"/>
  <c r="M167" i="8"/>
  <c r="M215" i="8" s="1"/>
  <c r="L167" i="8"/>
  <c r="K167" i="8"/>
  <c r="J167" i="8"/>
  <c r="I167" i="8"/>
  <c r="H167" i="8"/>
  <c r="G167" i="8"/>
  <c r="F167" i="8"/>
  <c r="F215" i="8" s="1"/>
  <c r="E167" i="8"/>
  <c r="E215" i="8" s="1"/>
  <c r="D167" i="8"/>
  <c r="P159" i="8"/>
  <c r="P158" i="8"/>
  <c r="P157" i="8" s="1"/>
  <c r="O157" i="8"/>
  <c r="N157" i="8"/>
  <c r="M157" i="8"/>
  <c r="L157" i="8"/>
  <c r="K157" i="8"/>
  <c r="J157" i="8"/>
  <c r="I157" i="8"/>
  <c r="H157" i="8"/>
  <c r="G157" i="8"/>
  <c r="F157" i="8"/>
  <c r="E157" i="8"/>
  <c r="D157" i="8"/>
  <c r="P155" i="8"/>
  <c r="P154" i="8"/>
  <c r="O154" i="8"/>
  <c r="O161" i="8" s="1"/>
  <c r="N154" i="8"/>
  <c r="M154" i="8"/>
  <c r="L154" i="8"/>
  <c r="K154" i="8"/>
  <c r="J154" i="8"/>
  <c r="I154" i="8"/>
  <c r="H154" i="8"/>
  <c r="G154" i="8"/>
  <c r="F154" i="8"/>
  <c r="E154" i="8"/>
  <c r="D154" i="8"/>
  <c r="D161" i="8" s="1"/>
  <c r="P152" i="8"/>
  <c r="P150" i="8" s="1"/>
  <c r="P151" i="8"/>
  <c r="O150" i="8"/>
  <c r="N150" i="8"/>
  <c r="M150" i="8"/>
  <c r="L150" i="8"/>
  <c r="K150" i="8"/>
  <c r="K161" i="8" s="1"/>
  <c r="J150" i="8"/>
  <c r="I150" i="8"/>
  <c r="H150" i="8"/>
  <c r="G150" i="8"/>
  <c r="F150" i="8"/>
  <c r="E150" i="8"/>
  <c r="D150" i="8"/>
  <c r="P148" i="8"/>
  <c r="P147" i="8"/>
  <c r="P146" i="8"/>
  <c r="O146" i="8"/>
  <c r="N146" i="8"/>
  <c r="M146" i="8"/>
  <c r="L146" i="8"/>
  <c r="K146" i="8"/>
  <c r="J146" i="8"/>
  <c r="I146" i="8"/>
  <c r="H146" i="8"/>
  <c r="G146" i="8"/>
  <c r="F146" i="8"/>
  <c r="E146" i="8"/>
  <c r="D146" i="8"/>
  <c r="P144" i="8"/>
  <c r="P143" i="8"/>
  <c r="P142" i="8" s="1"/>
  <c r="P140" i="8" s="1"/>
  <c r="O142" i="8"/>
  <c r="N142" i="8"/>
  <c r="M142" i="8"/>
  <c r="M140" i="8" s="1"/>
  <c r="L142" i="8"/>
  <c r="L140" i="8" s="1"/>
  <c r="L161" i="8" s="1"/>
  <c r="K142" i="8"/>
  <c r="J142" i="8"/>
  <c r="J140" i="8" s="1"/>
  <c r="J161" i="8" s="1"/>
  <c r="I142" i="8"/>
  <c r="H142" i="8"/>
  <c r="G142" i="8"/>
  <c r="F142" i="8"/>
  <c r="F140" i="8" s="1"/>
  <c r="E142" i="8"/>
  <c r="E140" i="8" s="1"/>
  <c r="D142" i="8"/>
  <c r="P141" i="8"/>
  <c r="O140" i="8"/>
  <c r="N140" i="8"/>
  <c r="K140" i="8"/>
  <c r="I140" i="8"/>
  <c r="I161" i="8" s="1"/>
  <c r="H140" i="8"/>
  <c r="H161" i="8" s="1"/>
  <c r="G140" i="8"/>
  <c r="D140" i="8"/>
  <c r="P138" i="8"/>
  <c r="P137" i="8"/>
  <c r="P136" i="8" s="1"/>
  <c r="O136" i="8"/>
  <c r="N136" i="8"/>
  <c r="N161" i="8" s="1"/>
  <c r="M136" i="8"/>
  <c r="M161" i="8" s="1"/>
  <c r="L136" i="8"/>
  <c r="K136" i="8"/>
  <c r="J136" i="8"/>
  <c r="I136" i="8"/>
  <c r="H136" i="8"/>
  <c r="G136" i="8"/>
  <c r="G161" i="8" s="1"/>
  <c r="F136" i="8"/>
  <c r="F161" i="8" s="1"/>
  <c r="E136" i="8"/>
  <c r="D136" i="8"/>
  <c r="P132" i="8"/>
  <c r="P131" i="8"/>
  <c r="P130" i="8"/>
  <c r="P231" i="8" s="1"/>
  <c r="O130" i="8"/>
  <c r="O231" i="8" s="1"/>
  <c r="N130" i="8"/>
  <c r="N231" i="8" s="1"/>
  <c r="M130" i="8"/>
  <c r="L130" i="8"/>
  <c r="L231" i="8" s="1"/>
  <c r="K130" i="8"/>
  <c r="K231" i="8" s="1"/>
  <c r="J130" i="8"/>
  <c r="J231" i="8" s="1"/>
  <c r="I130" i="8"/>
  <c r="I231" i="8" s="1"/>
  <c r="H130" i="8"/>
  <c r="G130" i="8"/>
  <c r="F130" i="8"/>
  <c r="E130" i="8"/>
  <c r="E231" i="8" s="1"/>
  <c r="D130" i="8"/>
  <c r="D231" i="8" s="1"/>
  <c r="P126" i="8"/>
  <c r="P125" i="8"/>
  <c r="P124" i="8" s="1"/>
  <c r="O124" i="8"/>
  <c r="N124" i="8"/>
  <c r="M124" i="8"/>
  <c r="L124" i="8"/>
  <c r="K124" i="8"/>
  <c r="J124" i="8"/>
  <c r="I124" i="8"/>
  <c r="H124" i="8"/>
  <c r="G124" i="8"/>
  <c r="F124" i="8"/>
  <c r="E124" i="8"/>
  <c r="D124" i="8"/>
  <c r="P120" i="8"/>
  <c r="P119" i="8"/>
  <c r="P116" i="8" s="1"/>
  <c r="P118" i="8"/>
  <c r="P117" i="8"/>
  <c r="O116" i="8"/>
  <c r="N116" i="8"/>
  <c r="M116" i="8"/>
  <c r="L116" i="8"/>
  <c r="K116" i="8"/>
  <c r="J116" i="8"/>
  <c r="I116" i="8"/>
  <c r="H116" i="8"/>
  <c r="G116" i="8"/>
  <c r="F116" i="8"/>
  <c r="E116" i="8"/>
  <c r="D116" i="8"/>
  <c r="P114" i="8"/>
  <c r="P113" i="8"/>
  <c r="P112" i="8"/>
  <c r="P111" i="8"/>
  <c r="P108" i="8" s="1"/>
  <c r="P122" i="8" s="1"/>
  <c r="P128" i="8" s="1"/>
  <c r="P110" i="8"/>
  <c r="P109" i="8"/>
  <c r="O108" i="8"/>
  <c r="O122" i="8" s="1"/>
  <c r="O128" i="8" s="1"/>
  <c r="N108" i="8"/>
  <c r="N122" i="8" s="1"/>
  <c r="N128" i="8" s="1"/>
  <c r="M108" i="8"/>
  <c r="M122" i="8" s="1"/>
  <c r="M128" i="8" s="1"/>
  <c r="L108" i="8"/>
  <c r="L122" i="8" s="1"/>
  <c r="L128" i="8" s="1"/>
  <c r="K108" i="8"/>
  <c r="K122" i="8" s="1"/>
  <c r="K128" i="8" s="1"/>
  <c r="J108" i="8"/>
  <c r="J122" i="8" s="1"/>
  <c r="J128" i="8" s="1"/>
  <c r="I108" i="8"/>
  <c r="I122" i="8" s="1"/>
  <c r="I128" i="8" s="1"/>
  <c r="H108" i="8"/>
  <c r="H122" i="8" s="1"/>
  <c r="H128" i="8" s="1"/>
  <c r="G108" i="8"/>
  <c r="G122" i="8" s="1"/>
  <c r="G128" i="8" s="1"/>
  <c r="F108" i="8"/>
  <c r="F122" i="8" s="1"/>
  <c r="F128" i="8" s="1"/>
  <c r="E108" i="8"/>
  <c r="E122" i="8" s="1"/>
  <c r="E128" i="8" s="1"/>
  <c r="D108" i="8"/>
  <c r="D122" i="8" s="1"/>
  <c r="D128" i="8" s="1"/>
  <c r="P102" i="8"/>
  <c r="P98" i="8"/>
  <c r="P96" i="8"/>
  <c r="P94" i="8"/>
  <c r="P93" i="8"/>
  <c r="P92" i="8"/>
  <c r="P91" i="8"/>
  <c r="O91" i="8"/>
  <c r="N91" i="8"/>
  <c r="M91" i="8"/>
  <c r="L91" i="8"/>
  <c r="L82" i="8" s="1"/>
  <c r="K91" i="8"/>
  <c r="K82" i="8" s="1"/>
  <c r="J91" i="8"/>
  <c r="I91" i="8"/>
  <c r="H91" i="8"/>
  <c r="G91" i="8"/>
  <c r="F91" i="8"/>
  <c r="E91" i="8"/>
  <c r="D91" i="8"/>
  <c r="P89" i="8"/>
  <c r="P88" i="8"/>
  <c r="P87" i="8"/>
  <c r="P86" i="8"/>
  <c r="O86" i="8"/>
  <c r="O82" i="8" s="1"/>
  <c r="N86" i="8"/>
  <c r="M86" i="8"/>
  <c r="M82" i="8" s="1"/>
  <c r="L86" i="8"/>
  <c r="K86" i="8"/>
  <c r="J86" i="8"/>
  <c r="I86" i="8"/>
  <c r="I82" i="8" s="1"/>
  <c r="H86" i="8"/>
  <c r="H82" i="8" s="1"/>
  <c r="G86" i="8"/>
  <c r="F86" i="8"/>
  <c r="E86" i="8"/>
  <c r="D86" i="8"/>
  <c r="D82" i="8" s="1"/>
  <c r="P84" i="8"/>
  <c r="P82" i="8" s="1"/>
  <c r="N82" i="8"/>
  <c r="J82" i="8"/>
  <c r="G82" i="8"/>
  <c r="F82" i="8"/>
  <c r="E82" i="8"/>
  <c r="L80" i="8"/>
  <c r="K80" i="8"/>
  <c r="H80" i="8"/>
  <c r="G80" i="8"/>
  <c r="G100" i="8" s="1"/>
  <c r="F80" i="8"/>
  <c r="F100" i="8" s="1"/>
  <c r="P78" i="8"/>
  <c r="P77" i="8"/>
  <c r="P76" i="8"/>
  <c r="O76" i="8"/>
  <c r="N76" i="8"/>
  <c r="M76" i="8"/>
  <c r="L76" i="8"/>
  <c r="K76" i="8"/>
  <c r="J76" i="8"/>
  <c r="I76" i="8"/>
  <c r="H76" i="8"/>
  <c r="G76" i="8"/>
  <c r="F76" i="8"/>
  <c r="E76" i="8"/>
  <c r="D76" i="8"/>
  <c r="P74" i="8"/>
  <c r="P73" i="8"/>
  <c r="P72" i="8"/>
  <c r="P71" i="8" s="1"/>
  <c r="O71" i="8"/>
  <c r="O80" i="8" s="1"/>
  <c r="N71" i="8"/>
  <c r="M71" i="8"/>
  <c r="M80" i="8" s="1"/>
  <c r="M100" i="8" s="1"/>
  <c r="L71" i="8"/>
  <c r="K71" i="8"/>
  <c r="J71" i="8"/>
  <c r="I71" i="8"/>
  <c r="H71" i="8"/>
  <c r="G71" i="8"/>
  <c r="F71" i="8"/>
  <c r="E71" i="8"/>
  <c r="D71" i="8"/>
  <c r="P69" i="8"/>
  <c r="P68" i="8"/>
  <c r="P67" i="8"/>
  <c r="P80" i="8" s="1"/>
  <c r="O67" i="8"/>
  <c r="N67" i="8"/>
  <c r="N80" i="8" s="1"/>
  <c r="N100" i="8" s="1"/>
  <c r="M67" i="8"/>
  <c r="L67" i="8"/>
  <c r="K67" i="8"/>
  <c r="J67" i="8"/>
  <c r="J80" i="8" s="1"/>
  <c r="J100" i="8" s="1"/>
  <c r="I67" i="8"/>
  <c r="I80" i="8" s="1"/>
  <c r="H67" i="8"/>
  <c r="G67" i="8"/>
  <c r="F67" i="8"/>
  <c r="E67" i="8"/>
  <c r="E80" i="8" s="1"/>
  <c r="E100" i="8" s="1"/>
  <c r="D67" i="8"/>
  <c r="D80" i="8" s="1"/>
  <c r="P65" i="8"/>
  <c r="P64" i="8"/>
  <c r="P63" i="8"/>
  <c r="P62" i="8" s="1"/>
  <c r="O62" i="8"/>
  <c r="N62" i="8"/>
  <c r="M62" i="8"/>
  <c r="L62" i="8"/>
  <c r="K62" i="8"/>
  <c r="J62" i="8"/>
  <c r="I62" i="8"/>
  <c r="H62" i="8"/>
  <c r="G62" i="8"/>
  <c r="F62" i="8"/>
  <c r="E62" i="8"/>
  <c r="D62" i="8"/>
  <c r="P60" i="8"/>
  <c r="P58" i="8"/>
  <c r="P57" i="8"/>
  <c r="P56" i="8" s="1"/>
  <c r="O56" i="8"/>
  <c r="N56" i="8"/>
  <c r="M56" i="8"/>
  <c r="L56" i="8"/>
  <c r="K56" i="8"/>
  <c r="J56" i="8"/>
  <c r="I56" i="8"/>
  <c r="H56" i="8"/>
  <c r="G56" i="8"/>
  <c r="F56" i="8"/>
  <c r="E56" i="8"/>
  <c r="D56" i="8"/>
  <c r="P54" i="8"/>
  <c r="P53" i="8"/>
  <c r="P52" i="8"/>
  <c r="P51" i="8"/>
  <c r="O51" i="8"/>
  <c r="N51" i="8"/>
  <c r="M51" i="8"/>
  <c r="L51" i="8"/>
  <c r="K51" i="8"/>
  <c r="K45" i="8" s="1"/>
  <c r="J51" i="8"/>
  <c r="J45" i="8" s="1"/>
  <c r="I51" i="8"/>
  <c r="I45" i="8" s="1"/>
  <c r="H51" i="8"/>
  <c r="G51" i="8"/>
  <c r="F51" i="8"/>
  <c r="F45" i="8" s="1"/>
  <c r="E51" i="8"/>
  <c r="E45" i="8" s="1"/>
  <c r="D51" i="8"/>
  <c r="P49" i="8"/>
  <c r="P48" i="8"/>
  <c r="P47" i="8"/>
  <c r="P45" i="8" s="1"/>
  <c r="O47" i="8"/>
  <c r="N47" i="8"/>
  <c r="M47" i="8"/>
  <c r="L47" i="8"/>
  <c r="L45" i="8" s="1"/>
  <c r="K47" i="8"/>
  <c r="J47" i="8"/>
  <c r="I47" i="8"/>
  <c r="H47" i="8"/>
  <c r="G47" i="8"/>
  <c r="G45" i="8" s="1"/>
  <c r="F47" i="8"/>
  <c r="E47" i="8"/>
  <c r="D47" i="8"/>
  <c r="D45" i="8" s="1"/>
  <c r="O45" i="8"/>
  <c r="N45" i="8"/>
  <c r="M45" i="8"/>
  <c r="H45" i="8"/>
  <c r="P43" i="8"/>
  <c r="P42" i="8"/>
  <c r="P41" i="8"/>
  <c r="P40" i="8" s="1"/>
  <c r="O40" i="8"/>
  <c r="N40" i="8"/>
  <c r="M40" i="8"/>
  <c r="L40" i="8"/>
  <c r="K40" i="8"/>
  <c r="J40" i="8"/>
  <c r="I40" i="8"/>
  <c r="H40" i="8"/>
  <c r="G40" i="8"/>
  <c r="F40" i="8"/>
  <c r="E40" i="8"/>
  <c r="D40" i="8"/>
  <c r="P38" i="8"/>
  <c r="P37" i="8"/>
  <c r="P36" i="8"/>
  <c r="P35" i="8"/>
  <c r="P34" i="8"/>
  <c r="P33" i="8"/>
  <c r="P32" i="8"/>
  <c r="P31" i="8" s="1"/>
  <c r="O31" i="8"/>
  <c r="N31" i="8"/>
  <c r="M31" i="8"/>
  <c r="L31" i="8"/>
  <c r="K31" i="8"/>
  <c r="J31" i="8"/>
  <c r="I31" i="8"/>
  <c r="H31" i="8"/>
  <c r="G31" i="8"/>
  <c r="F31" i="8"/>
  <c r="E31" i="8"/>
  <c r="D31" i="8"/>
  <c r="P29" i="8"/>
  <c r="P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P25" i="8"/>
  <c r="P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P21" i="8"/>
  <c r="P20" i="8"/>
  <c r="O18" i="8"/>
  <c r="N18" i="8"/>
  <c r="M18" i="8"/>
  <c r="L18" i="8"/>
  <c r="K18" i="8"/>
  <c r="J18" i="8"/>
  <c r="J104" i="8" s="1"/>
  <c r="I18" i="8"/>
  <c r="H18" i="8"/>
  <c r="G18" i="8"/>
  <c r="F18" i="8"/>
  <c r="E18" i="8"/>
  <c r="D18" i="8"/>
  <c r="P16" i="8"/>
  <c r="P14" i="8"/>
  <c r="P18" i="8" s="1"/>
  <c r="B6" i="8"/>
  <c r="H240" i="7"/>
  <c r="H239" i="7"/>
  <c r="H238" i="7"/>
  <c r="H235" i="7"/>
  <c r="G235" i="7"/>
  <c r="F235" i="7"/>
  <c r="E235" i="7"/>
  <c r="D235" i="7"/>
  <c r="G233" i="7"/>
  <c r="F233" i="7"/>
  <c r="E233" i="7"/>
  <c r="D233" i="7"/>
  <c r="D231" i="7"/>
  <c r="H222" i="7"/>
  <c r="H221" i="7"/>
  <c r="H220" i="7"/>
  <c r="G220" i="7"/>
  <c r="F220" i="7"/>
  <c r="E220" i="7"/>
  <c r="D220" i="7"/>
  <c r="H219" i="7"/>
  <c r="H213" i="7"/>
  <c r="H210" i="7" s="1"/>
  <c r="H212" i="7"/>
  <c r="H211" i="7"/>
  <c r="G210" i="7"/>
  <c r="G204" i="7" s="1"/>
  <c r="F210" i="7"/>
  <c r="F204" i="7" s="1"/>
  <c r="E210" i="7"/>
  <c r="E204" i="7" s="1"/>
  <c r="D210" i="7"/>
  <c r="D204" i="7" s="1"/>
  <c r="H208" i="7"/>
  <c r="H207" i="7"/>
  <c r="H206" i="7"/>
  <c r="G206" i="7"/>
  <c r="F206" i="7"/>
  <c r="E206" i="7"/>
  <c r="D206" i="7"/>
  <c r="H202" i="7"/>
  <c r="H201" i="7"/>
  <c r="H200" i="7"/>
  <c r="H233" i="7" s="1"/>
  <c r="G200" i="7"/>
  <c r="F200" i="7"/>
  <c r="E200" i="7"/>
  <c r="D200" i="7"/>
  <c r="H198" i="7"/>
  <c r="H197" i="7"/>
  <c r="H196" i="7"/>
  <c r="H195" i="7"/>
  <c r="G195" i="7"/>
  <c r="G193" i="7" s="1"/>
  <c r="F195" i="7"/>
  <c r="F193" i="7" s="1"/>
  <c r="F215" i="7" s="1"/>
  <c r="E195" i="7"/>
  <c r="E193" i="7" s="1"/>
  <c r="E215" i="7" s="1"/>
  <c r="D195" i="7"/>
  <c r="H191" i="7"/>
  <c r="H190" i="7"/>
  <c r="H189" i="7"/>
  <c r="H188" i="7"/>
  <c r="H187" i="7"/>
  <c r="H186" i="7"/>
  <c r="G186" i="7"/>
  <c r="F186" i="7"/>
  <c r="E186" i="7"/>
  <c r="D186" i="7"/>
  <c r="H184" i="7"/>
  <c r="H183" i="7"/>
  <c r="H182" i="7"/>
  <c r="G182" i="7"/>
  <c r="F182" i="7"/>
  <c r="E182" i="7"/>
  <c r="D182" i="7"/>
  <c r="H180" i="7"/>
  <c r="H178" i="7"/>
  <c r="H176" i="7"/>
  <c r="H174" i="7"/>
  <c r="H173" i="7"/>
  <c r="H172" i="7" s="1"/>
  <c r="G172" i="7"/>
  <c r="F172" i="7"/>
  <c r="E172" i="7"/>
  <c r="D172" i="7"/>
  <c r="H170" i="7"/>
  <c r="H169" i="7"/>
  <c r="H168" i="7"/>
  <c r="H167" i="7"/>
  <c r="G167" i="7"/>
  <c r="F167" i="7"/>
  <c r="E167" i="7"/>
  <c r="D167" i="7"/>
  <c r="H159" i="7"/>
  <c r="H158" i="7"/>
  <c r="H157" i="7"/>
  <c r="G157" i="7"/>
  <c r="F157" i="7"/>
  <c r="E157" i="7"/>
  <c r="D157" i="7"/>
  <c r="H155" i="7"/>
  <c r="H154" i="7"/>
  <c r="G154" i="7"/>
  <c r="F154" i="7"/>
  <c r="E154" i="7"/>
  <c r="D154" i="7"/>
  <c r="H152" i="7"/>
  <c r="H151" i="7"/>
  <c r="H150" i="7"/>
  <c r="G150" i="7"/>
  <c r="F150" i="7"/>
  <c r="E150" i="7"/>
  <c r="D150" i="7"/>
  <c r="H148" i="7"/>
  <c r="H147" i="7"/>
  <c r="H146" i="7" s="1"/>
  <c r="G146" i="7"/>
  <c r="F146" i="7"/>
  <c r="E146" i="7"/>
  <c r="D146" i="7"/>
  <c r="H144" i="7"/>
  <c r="H143" i="7"/>
  <c r="H142" i="7"/>
  <c r="H140" i="7" s="1"/>
  <c r="G142" i="7"/>
  <c r="G140" i="7" s="1"/>
  <c r="G161" i="7" s="1"/>
  <c r="F142" i="7"/>
  <c r="F140" i="7" s="1"/>
  <c r="F161" i="7" s="1"/>
  <c r="E142" i="7"/>
  <c r="E140" i="7" s="1"/>
  <c r="D142" i="7"/>
  <c r="D140" i="7" s="1"/>
  <c r="D161" i="7" s="1"/>
  <c r="H141" i="7"/>
  <c r="H138" i="7"/>
  <c r="H137" i="7"/>
  <c r="H136" i="7"/>
  <c r="G136" i="7"/>
  <c r="F136" i="7"/>
  <c r="E136" i="7"/>
  <c r="D136" i="7"/>
  <c r="H132" i="7"/>
  <c r="H131" i="7"/>
  <c r="H130" i="7"/>
  <c r="H231" i="7" s="1"/>
  <c r="G130" i="7"/>
  <c r="G231" i="7" s="1"/>
  <c r="F130" i="7"/>
  <c r="F231" i="7" s="1"/>
  <c r="E130" i="7"/>
  <c r="E231" i="7" s="1"/>
  <c r="D130" i="7"/>
  <c r="H126" i="7"/>
  <c r="H125" i="7"/>
  <c r="H124" i="7"/>
  <c r="G124" i="7"/>
  <c r="F124" i="7"/>
  <c r="E124" i="7"/>
  <c r="D124" i="7"/>
  <c r="D122" i="7"/>
  <c r="D128" i="7" s="1"/>
  <c r="H120" i="7"/>
  <c r="H119" i="7"/>
  <c r="H118" i="7"/>
  <c r="H117" i="7"/>
  <c r="H116" i="7"/>
  <c r="G116" i="7"/>
  <c r="F116" i="7"/>
  <c r="E116" i="7"/>
  <c r="D116" i="7"/>
  <c r="H114" i="7"/>
  <c r="H113" i="7"/>
  <c r="H112" i="7"/>
  <c r="H111" i="7"/>
  <c r="H110" i="7"/>
  <c r="H109" i="7"/>
  <c r="H108" i="7"/>
  <c r="H122" i="7" s="1"/>
  <c r="H128" i="7" s="1"/>
  <c r="G108" i="7"/>
  <c r="G122" i="7" s="1"/>
  <c r="G128" i="7" s="1"/>
  <c r="F108" i="7"/>
  <c r="F122" i="7" s="1"/>
  <c r="F128" i="7" s="1"/>
  <c r="E108" i="7"/>
  <c r="E122" i="7" s="1"/>
  <c r="E128" i="7" s="1"/>
  <c r="D108" i="7"/>
  <c r="H102" i="7"/>
  <c r="H98" i="7"/>
  <c r="H96" i="7"/>
  <c r="H94" i="7"/>
  <c r="H93" i="7"/>
  <c r="H92" i="7"/>
  <c r="H91" i="7"/>
  <c r="G91" i="7"/>
  <c r="F91" i="7"/>
  <c r="E91" i="7"/>
  <c r="D91" i="7"/>
  <c r="H89" i="7"/>
  <c r="H88" i="7"/>
  <c r="H87" i="7"/>
  <c r="H86" i="7" s="1"/>
  <c r="H82" i="7" s="1"/>
  <c r="G86" i="7"/>
  <c r="F86" i="7"/>
  <c r="E86" i="7"/>
  <c r="D86" i="7"/>
  <c r="D82" i="7" s="1"/>
  <c r="H84" i="7"/>
  <c r="G82" i="7"/>
  <c r="F82" i="7"/>
  <c r="E82" i="7"/>
  <c r="H78" i="7"/>
  <c r="H77" i="7"/>
  <c r="H76" i="7"/>
  <c r="G76" i="7"/>
  <c r="F76" i="7"/>
  <c r="E76" i="7"/>
  <c r="D76" i="7"/>
  <c r="H74" i="7"/>
  <c r="H71" i="7" s="1"/>
  <c r="H73" i="7"/>
  <c r="H72" i="7"/>
  <c r="G71" i="7"/>
  <c r="F71" i="7"/>
  <c r="E71" i="7"/>
  <c r="E80" i="7" s="1"/>
  <c r="E100" i="7" s="1"/>
  <c r="D71" i="7"/>
  <c r="D80" i="7" s="1"/>
  <c r="H69" i="7"/>
  <c r="H68" i="7"/>
  <c r="H67" i="7"/>
  <c r="G67" i="7"/>
  <c r="G80" i="7" s="1"/>
  <c r="G100" i="7" s="1"/>
  <c r="F67" i="7"/>
  <c r="F80" i="7" s="1"/>
  <c r="F100" i="7" s="1"/>
  <c r="E67" i="7"/>
  <c r="D67" i="7"/>
  <c r="H65" i="7"/>
  <c r="H64" i="7"/>
  <c r="H63" i="7"/>
  <c r="H62" i="7"/>
  <c r="G62" i="7"/>
  <c r="F62" i="7"/>
  <c r="E62" i="7"/>
  <c r="D62" i="7"/>
  <c r="H60" i="7"/>
  <c r="H58" i="7"/>
  <c r="H57" i="7"/>
  <c r="H56" i="7" s="1"/>
  <c r="G56" i="7"/>
  <c r="F56" i="7"/>
  <c r="E56" i="7"/>
  <c r="D56" i="7"/>
  <c r="H54" i="7"/>
  <c r="H53" i="7"/>
  <c r="H52" i="7"/>
  <c r="H51" i="7"/>
  <c r="H45" i="7" s="1"/>
  <c r="G51" i="7"/>
  <c r="F51" i="7"/>
  <c r="E51" i="7"/>
  <c r="D51" i="7"/>
  <c r="H49" i="7"/>
  <c r="H48" i="7"/>
  <c r="H47" i="7"/>
  <c r="G47" i="7"/>
  <c r="G45" i="7" s="1"/>
  <c r="F47" i="7"/>
  <c r="F45" i="7" s="1"/>
  <c r="E47" i="7"/>
  <c r="E45" i="7" s="1"/>
  <c r="D47" i="7"/>
  <c r="D45" i="7" s="1"/>
  <c r="H43" i="7"/>
  <c r="H42" i="7"/>
  <c r="H41" i="7"/>
  <c r="H40" i="7"/>
  <c r="G40" i="7"/>
  <c r="F40" i="7"/>
  <c r="E40" i="7"/>
  <c r="D40" i="7"/>
  <c r="H38" i="7"/>
  <c r="H37" i="7"/>
  <c r="H36" i="7"/>
  <c r="H35" i="7"/>
  <c r="H34" i="7"/>
  <c r="H33" i="7"/>
  <c r="H32" i="7"/>
  <c r="H31" i="7"/>
  <c r="G31" i="7"/>
  <c r="F31" i="7"/>
  <c r="E31" i="7"/>
  <c r="D31" i="7"/>
  <c r="H29" i="7"/>
  <c r="H28" i="7"/>
  <c r="H27" i="7" s="1"/>
  <c r="G27" i="7"/>
  <c r="F27" i="7"/>
  <c r="E27" i="7"/>
  <c r="D27" i="7"/>
  <c r="H25" i="7"/>
  <c r="H24" i="7"/>
  <c r="H23" i="7"/>
  <c r="G23" i="7"/>
  <c r="F23" i="7"/>
  <c r="E23" i="7"/>
  <c r="D23" i="7"/>
  <c r="H21" i="7"/>
  <c r="H20" i="7"/>
  <c r="G18" i="7"/>
  <c r="F18" i="7"/>
  <c r="E18" i="7"/>
  <c r="E104" i="7" s="1"/>
  <c r="D18" i="7"/>
  <c r="H16" i="7"/>
  <c r="H14" i="7"/>
  <c r="H18" i="7" s="1"/>
  <c r="B6" i="7"/>
  <c r="O235" i="6"/>
  <c r="N235" i="6"/>
  <c r="M235" i="6"/>
  <c r="L235" i="6"/>
  <c r="K235" i="6"/>
  <c r="J235" i="6"/>
  <c r="I235" i="6"/>
  <c r="H235" i="6"/>
  <c r="G235" i="6"/>
  <c r="F235" i="6"/>
  <c r="E235" i="6"/>
  <c r="D235" i="6"/>
  <c r="F233" i="6"/>
  <c r="E233" i="6"/>
  <c r="D233" i="6"/>
  <c r="O220" i="6"/>
  <c r="N220" i="6"/>
  <c r="M220" i="6"/>
  <c r="L220" i="6"/>
  <c r="K220" i="6"/>
  <c r="J220" i="6"/>
  <c r="I220" i="6"/>
  <c r="H220" i="6"/>
  <c r="G220" i="6"/>
  <c r="F220" i="6"/>
  <c r="E220" i="6"/>
  <c r="D220" i="6"/>
  <c r="O210" i="6"/>
  <c r="N210" i="6"/>
  <c r="M210" i="6"/>
  <c r="L210" i="6"/>
  <c r="K210" i="6"/>
  <c r="J210" i="6"/>
  <c r="I210" i="6"/>
  <c r="H210" i="6"/>
  <c r="G210" i="6"/>
  <c r="F210" i="6"/>
  <c r="E210" i="6"/>
  <c r="D210" i="6"/>
  <c r="O206" i="6"/>
  <c r="N206" i="6"/>
  <c r="M206" i="6"/>
  <c r="L206" i="6"/>
  <c r="K206" i="6"/>
  <c r="J206" i="6"/>
  <c r="I206" i="6"/>
  <c r="H206" i="6"/>
  <c r="G206" i="6"/>
  <c r="F206" i="6"/>
  <c r="E206" i="6"/>
  <c r="D206" i="6"/>
  <c r="O204" i="6"/>
  <c r="N204" i="6"/>
  <c r="M204" i="6"/>
  <c r="L204" i="6"/>
  <c r="K204" i="6"/>
  <c r="J204" i="6"/>
  <c r="I204" i="6"/>
  <c r="H204" i="6"/>
  <c r="G204" i="6"/>
  <c r="F204" i="6"/>
  <c r="E204" i="6"/>
  <c r="D204" i="6"/>
  <c r="O200" i="6"/>
  <c r="O233" i="6" s="1"/>
  <c r="N200" i="6"/>
  <c r="N233" i="6" s="1"/>
  <c r="M200" i="6"/>
  <c r="M233" i="6" s="1"/>
  <c r="L200" i="6"/>
  <c r="L233" i="6" s="1"/>
  <c r="K200" i="6"/>
  <c r="K233" i="6" s="1"/>
  <c r="J200" i="6"/>
  <c r="J233" i="6" s="1"/>
  <c r="I200" i="6"/>
  <c r="I233" i="6" s="1"/>
  <c r="H200" i="6"/>
  <c r="H233" i="6" s="1"/>
  <c r="G200" i="6"/>
  <c r="G233" i="6" s="1"/>
  <c r="F200" i="6"/>
  <c r="E200" i="6"/>
  <c r="D200" i="6"/>
  <c r="O195" i="6"/>
  <c r="N195" i="6"/>
  <c r="M195" i="6"/>
  <c r="L195" i="6"/>
  <c r="K195" i="6"/>
  <c r="J195" i="6"/>
  <c r="I195" i="6"/>
  <c r="H195" i="6"/>
  <c r="G195" i="6"/>
  <c r="F195" i="6"/>
  <c r="E195" i="6"/>
  <c r="D195" i="6"/>
  <c r="O193" i="6"/>
  <c r="N193" i="6"/>
  <c r="M193" i="6"/>
  <c r="L193" i="6"/>
  <c r="K193" i="6"/>
  <c r="J193" i="6"/>
  <c r="I193" i="6"/>
  <c r="H193" i="6"/>
  <c r="G193" i="6"/>
  <c r="F193" i="6"/>
  <c r="E193" i="6"/>
  <c r="D193" i="6"/>
  <c r="O186" i="6"/>
  <c r="N186" i="6"/>
  <c r="M186" i="6"/>
  <c r="L186" i="6"/>
  <c r="K186" i="6"/>
  <c r="J186" i="6"/>
  <c r="I186" i="6"/>
  <c r="H186" i="6"/>
  <c r="G186" i="6"/>
  <c r="F186" i="6"/>
  <c r="E186" i="6"/>
  <c r="D186" i="6"/>
  <c r="O182" i="6"/>
  <c r="N182" i="6"/>
  <c r="M182" i="6"/>
  <c r="L182" i="6"/>
  <c r="K182" i="6"/>
  <c r="J182" i="6"/>
  <c r="I182" i="6"/>
  <c r="H182" i="6"/>
  <c r="G182" i="6"/>
  <c r="F182" i="6"/>
  <c r="E182" i="6"/>
  <c r="D182" i="6"/>
  <c r="O172" i="6"/>
  <c r="N172" i="6"/>
  <c r="M172" i="6"/>
  <c r="L172" i="6"/>
  <c r="K172" i="6"/>
  <c r="J172" i="6"/>
  <c r="I172" i="6"/>
  <c r="H172" i="6"/>
  <c r="G172" i="6"/>
  <c r="F172" i="6"/>
  <c r="E172" i="6"/>
  <c r="D172" i="6"/>
  <c r="O167" i="6"/>
  <c r="O215" i="6" s="1"/>
  <c r="N167" i="6"/>
  <c r="N215" i="6" s="1"/>
  <c r="M167" i="6"/>
  <c r="M215" i="6" s="1"/>
  <c r="L167" i="6"/>
  <c r="L215" i="6" s="1"/>
  <c r="K167" i="6"/>
  <c r="K215" i="6" s="1"/>
  <c r="J167" i="6"/>
  <c r="J215" i="6" s="1"/>
  <c r="I167" i="6"/>
  <c r="I215" i="6" s="1"/>
  <c r="H167" i="6"/>
  <c r="H215" i="6" s="1"/>
  <c r="G167" i="6"/>
  <c r="G215" i="6" s="1"/>
  <c r="F167" i="6"/>
  <c r="F215" i="6" s="1"/>
  <c r="E167" i="6"/>
  <c r="E215" i="6" s="1"/>
  <c r="D167" i="6"/>
  <c r="D215" i="6" s="1"/>
  <c r="O157" i="6"/>
  <c r="N157" i="6"/>
  <c r="M157" i="6"/>
  <c r="L157" i="6"/>
  <c r="K157" i="6"/>
  <c r="J157" i="6"/>
  <c r="I157" i="6"/>
  <c r="H157" i="6"/>
  <c r="G157" i="6"/>
  <c r="F157" i="6"/>
  <c r="E157" i="6"/>
  <c r="D157" i="6"/>
  <c r="O154" i="6"/>
  <c r="N154" i="6"/>
  <c r="M154" i="6"/>
  <c r="L154" i="6"/>
  <c r="K154" i="6"/>
  <c r="J154" i="6"/>
  <c r="I154" i="6"/>
  <c r="H154" i="6"/>
  <c r="G154" i="6"/>
  <c r="F154" i="6"/>
  <c r="E154" i="6"/>
  <c r="D154" i="6"/>
  <c r="O150" i="6"/>
  <c r="N150" i="6"/>
  <c r="M150" i="6"/>
  <c r="L150" i="6"/>
  <c r="K150" i="6"/>
  <c r="J150" i="6"/>
  <c r="I150" i="6"/>
  <c r="H150" i="6"/>
  <c r="G150" i="6"/>
  <c r="F150" i="6"/>
  <c r="E150" i="6"/>
  <c r="D150" i="6"/>
  <c r="O146" i="6"/>
  <c r="N146" i="6"/>
  <c r="M146" i="6"/>
  <c r="L146" i="6"/>
  <c r="K146" i="6"/>
  <c r="J146" i="6"/>
  <c r="I146" i="6"/>
  <c r="H146" i="6"/>
  <c r="G146" i="6"/>
  <c r="F146" i="6"/>
  <c r="E146" i="6"/>
  <c r="D146" i="6"/>
  <c r="O142" i="6"/>
  <c r="N142" i="6"/>
  <c r="M142" i="6"/>
  <c r="L142" i="6"/>
  <c r="K142" i="6"/>
  <c r="J142" i="6"/>
  <c r="I142" i="6"/>
  <c r="H142" i="6"/>
  <c r="G142" i="6"/>
  <c r="F142" i="6"/>
  <c r="E142" i="6"/>
  <c r="D142" i="6"/>
  <c r="O140" i="6"/>
  <c r="N140" i="6"/>
  <c r="M140" i="6"/>
  <c r="L140" i="6"/>
  <c r="K140" i="6"/>
  <c r="J140" i="6"/>
  <c r="I140" i="6"/>
  <c r="H140" i="6"/>
  <c r="G140" i="6"/>
  <c r="F140" i="6"/>
  <c r="E140" i="6"/>
  <c r="D140" i="6"/>
  <c r="O136" i="6"/>
  <c r="O161" i="6" s="1"/>
  <c r="N136" i="6"/>
  <c r="N161" i="6" s="1"/>
  <c r="M136" i="6"/>
  <c r="M161" i="6" s="1"/>
  <c r="L136" i="6"/>
  <c r="L161" i="6" s="1"/>
  <c r="K136" i="6"/>
  <c r="K161" i="6" s="1"/>
  <c r="J136" i="6"/>
  <c r="J161" i="6" s="1"/>
  <c r="I136" i="6"/>
  <c r="I161" i="6" s="1"/>
  <c r="H136" i="6"/>
  <c r="H161" i="6" s="1"/>
  <c r="G136" i="6"/>
  <c r="G161" i="6" s="1"/>
  <c r="F136" i="6"/>
  <c r="F161" i="6" s="1"/>
  <c r="E136" i="6"/>
  <c r="E161" i="6" s="1"/>
  <c r="D136" i="6"/>
  <c r="D161" i="6" s="1"/>
  <c r="O130" i="6"/>
  <c r="O231" i="6" s="1"/>
  <c r="N130" i="6"/>
  <c r="N231" i="6" s="1"/>
  <c r="M130" i="6"/>
  <c r="M231" i="6" s="1"/>
  <c r="L130" i="6"/>
  <c r="L231" i="6" s="1"/>
  <c r="K130" i="6"/>
  <c r="K231" i="6" s="1"/>
  <c r="J130" i="6"/>
  <c r="J231" i="6" s="1"/>
  <c r="I130" i="6"/>
  <c r="I231" i="6" s="1"/>
  <c r="H130" i="6"/>
  <c r="H231" i="6" s="1"/>
  <c r="G130" i="6"/>
  <c r="G231" i="6" s="1"/>
  <c r="F130" i="6"/>
  <c r="F231" i="6" s="1"/>
  <c r="E130" i="6"/>
  <c r="E231" i="6" s="1"/>
  <c r="D130" i="6"/>
  <c r="D231" i="6" s="1"/>
  <c r="O124" i="6"/>
  <c r="N124" i="6"/>
  <c r="M124" i="6"/>
  <c r="L124" i="6"/>
  <c r="K124" i="6"/>
  <c r="J124" i="6"/>
  <c r="I124" i="6"/>
  <c r="H124" i="6"/>
  <c r="G124" i="6"/>
  <c r="F124" i="6"/>
  <c r="E124" i="6"/>
  <c r="D124" i="6"/>
  <c r="O116" i="6"/>
  <c r="N116" i="6"/>
  <c r="M116" i="6"/>
  <c r="L116" i="6"/>
  <c r="K116" i="6"/>
  <c r="J116" i="6"/>
  <c r="I116" i="6"/>
  <c r="H116" i="6"/>
  <c r="G116" i="6"/>
  <c r="F116" i="6"/>
  <c r="E116" i="6"/>
  <c r="D116" i="6"/>
  <c r="O108" i="6"/>
  <c r="O122" i="6" s="1"/>
  <c r="O128" i="6" s="1"/>
  <c r="N108" i="6"/>
  <c r="N122" i="6" s="1"/>
  <c r="N128" i="6" s="1"/>
  <c r="M108" i="6"/>
  <c r="M122" i="6" s="1"/>
  <c r="M128" i="6" s="1"/>
  <c r="L108" i="6"/>
  <c r="L122" i="6" s="1"/>
  <c r="L128" i="6" s="1"/>
  <c r="K108" i="6"/>
  <c r="K122" i="6" s="1"/>
  <c r="K128" i="6" s="1"/>
  <c r="J108" i="6"/>
  <c r="J122" i="6" s="1"/>
  <c r="J128" i="6" s="1"/>
  <c r="I108" i="6"/>
  <c r="I122" i="6" s="1"/>
  <c r="I128" i="6" s="1"/>
  <c r="H108" i="6"/>
  <c r="H122" i="6" s="1"/>
  <c r="H128" i="6" s="1"/>
  <c r="G108" i="6"/>
  <c r="G122" i="6" s="1"/>
  <c r="G128" i="6" s="1"/>
  <c r="F108" i="6"/>
  <c r="F122" i="6" s="1"/>
  <c r="F128" i="6" s="1"/>
  <c r="E108" i="6"/>
  <c r="E122" i="6" s="1"/>
  <c r="E128" i="6" s="1"/>
  <c r="D108" i="6"/>
  <c r="D122" i="6" s="1"/>
  <c r="D128" i="6" s="1"/>
  <c r="O91" i="6"/>
  <c r="N91" i="6"/>
  <c r="M91" i="6"/>
  <c r="L91" i="6"/>
  <c r="K91" i="6"/>
  <c r="J91" i="6"/>
  <c r="I91" i="6"/>
  <c r="H91" i="6"/>
  <c r="G91" i="6"/>
  <c r="F91" i="6"/>
  <c r="E91" i="6"/>
  <c r="D91" i="6"/>
  <c r="O86" i="6"/>
  <c r="N86" i="6"/>
  <c r="M86" i="6"/>
  <c r="L86" i="6"/>
  <c r="K86" i="6"/>
  <c r="J86" i="6"/>
  <c r="I86" i="6"/>
  <c r="H86" i="6"/>
  <c r="G86" i="6"/>
  <c r="F86" i="6"/>
  <c r="E86" i="6"/>
  <c r="D86" i="6"/>
  <c r="O82" i="6"/>
  <c r="N82" i="6"/>
  <c r="M82" i="6"/>
  <c r="L82" i="6"/>
  <c r="K82" i="6"/>
  <c r="J82" i="6"/>
  <c r="I82" i="6"/>
  <c r="H82" i="6"/>
  <c r="G82" i="6"/>
  <c r="F82" i="6"/>
  <c r="E82" i="6"/>
  <c r="D82" i="6"/>
  <c r="O76" i="6"/>
  <c r="N76" i="6"/>
  <c r="M76" i="6"/>
  <c r="L76" i="6"/>
  <c r="K76" i="6"/>
  <c r="J76" i="6"/>
  <c r="I76" i="6"/>
  <c r="H76" i="6"/>
  <c r="G76" i="6"/>
  <c r="F76" i="6"/>
  <c r="E76" i="6"/>
  <c r="D76" i="6"/>
  <c r="O71" i="6"/>
  <c r="N71" i="6"/>
  <c r="M71" i="6"/>
  <c r="L71" i="6"/>
  <c r="K71" i="6"/>
  <c r="J71" i="6"/>
  <c r="I71" i="6"/>
  <c r="H71" i="6"/>
  <c r="G71" i="6"/>
  <c r="F71" i="6"/>
  <c r="E71" i="6"/>
  <c r="D71" i="6"/>
  <c r="O67" i="6"/>
  <c r="O80" i="6" s="1"/>
  <c r="O100" i="6" s="1"/>
  <c r="N67" i="6"/>
  <c r="N80" i="6" s="1"/>
  <c r="N100" i="6" s="1"/>
  <c r="M67" i="6"/>
  <c r="M80" i="6" s="1"/>
  <c r="M100" i="6" s="1"/>
  <c r="L67" i="6"/>
  <c r="L80" i="6" s="1"/>
  <c r="L100" i="6" s="1"/>
  <c r="K67" i="6"/>
  <c r="K80" i="6" s="1"/>
  <c r="K100" i="6" s="1"/>
  <c r="J67" i="6"/>
  <c r="J80" i="6" s="1"/>
  <c r="J100" i="6" s="1"/>
  <c r="I67" i="6"/>
  <c r="I80" i="6" s="1"/>
  <c r="I100" i="6" s="1"/>
  <c r="H67" i="6"/>
  <c r="H80" i="6" s="1"/>
  <c r="H100" i="6" s="1"/>
  <c r="G67" i="6"/>
  <c r="G80" i="6" s="1"/>
  <c r="G100" i="6" s="1"/>
  <c r="F67" i="6"/>
  <c r="F80" i="6" s="1"/>
  <c r="F100" i="6" s="1"/>
  <c r="E67" i="6"/>
  <c r="E80" i="6" s="1"/>
  <c r="E100" i="6" s="1"/>
  <c r="D67" i="6"/>
  <c r="D80" i="6" s="1"/>
  <c r="D100" i="6" s="1"/>
  <c r="O62" i="6"/>
  <c r="N62" i="6"/>
  <c r="M62" i="6"/>
  <c r="L62" i="6"/>
  <c r="K62" i="6"/>
  <c r="J62" i="6"/>
  <c r="I62" i="6"/>
  <c r="H62" i="6"/>
  <c r="G62" i="6"/>
  <c r="F62" i="6"/>
  <c r="E62" i="6"/>
  <c r="D62" i="6"/>
  <c r="O56" i="6"/>
  <c r="N56" i="6"/>
  <c r="M56" i="6"/>
  <c r="L56" i="6"/>
  <c r="K56" i="6"/>
  <c r="J56" i="6"/>
  <c r="I56" i="6"/>
  <c r="H56" i="6"/>
  <c r="G56" i="6"/>
  <c r="F56" i="6"/>
  <c r="E56" i="6"/>
  <c r="D56" i="6"/>
  <c r="O51" i="6"/>
  <c r="N51" i="6"/>
  <c r="M51" i="6"/>
  <c r="L51" i="6"/>
  <c r="K51" i="6"/>
  <c r="J51" i="6"/>
  <c r="I51" i="6"/>
  <c r="H51" i="6"/>
  <c r="G51" i="6"/>
  <c r="F51" i="6"/>
  <c r="E51" i="6"/>
  <c r="D51" i="6"/>
  <c r="O47" i="6"/>
  <c r="N47" i="6"/>
  <c r="M47" i="6"/>
  <c r="L47" i="6"/>
  <c r="K47" i="6"/>
  <c r="J47" i="6"/>
  <c r="I47" i="6"/>
  <c r="H47" i="6"/>
  <c r="G47" i="6"/>
  <c r="F47" i="6"/>
  <c r="E47" i="6"/>
  <c r="D47" i="6"/>
  <c r="O45" i="6"/>
  <c r="N45" i="6"/>
  <c r="M45" i="6"/>
  <c r="L45" i="6"/>
  <c r="K45" i="6"/>
  <c r="J45" i="6"/>
  <c r="I45" i="6"/>
  <c r="H45" i="6"/>
  <c r="G45" i="6"/>
  <c r="F45" i="6"/>
  <c r="E45" i="6"/>
  <c r="D45" i="6"/>
  <c r="O40" i="6"/>
  <c r="N40" i="6"/>
  <c r="M40" i="6"/>
  <c r="L40" i="6"/>
  <c r="K40" i="6"/>
  <c r="J40" i="6"/>
  <c r="I40" i="6"/>
  <c r="H40" i="6"/>
  <c r="G40" i="6"/>
  <c r="F40" i="6"/>
  <c r="E40" i="6"/>
  <c r="D40" i="6"/>
  <c r="O31" i="6"/>
  <c r="N31" i="6"/>
  <c r="M31" i="6"/>
  <c r="L31" i="6"/>
  <c r="K31" i="6"/>
  <c r="J31" i="6"/>
  <c r="I31" i="6"/>
  <c r="H31" i="6"/>
  <c r="G31" i="6"/>
  <c r="F31" i="6"/>
  <c r="E31" i="6"/>
  <c r="D31" i="6"/>
  <c r="O27" i="6"/>
  <c r="N27" i="6"/>
  <c r="M27" i="6"/>
  <c r="L27" i="6"/>
  <c r="K27" i="6"/>
  <c r="J27" i="6"/>
  <c r="I27" i="6"/>
  <c r="H27" i="6"/>
  <c r="G27" i="6"/>
  <c r="F27" i="6"/>
  <c r="E27" i="6"/>
  <c r="D27" i="6"/>
  <c r="O23" i="6"/>
  <c r="N23" i="6"/>
  <c r="M23" i="6"/>
  <c r="L23" i="6"/>
  <c r="K23" i="6"/>
  <c r="J23" i="6"/>
  <c r="I23" i="6"/>
  <c r="H23" i="6"/>
  <c r="G23" i="6"/>
  <c r="F23" i="6"/>
  <c r="E23" i="6"/>
  <c r="D23" i="6"/>
  <c r="O18" i="6"/>
  <c r="O104" i="6" s="1"/>
  <c r="N18" i="6"/>
  <c r="N104" i="6" s="1"/>
  <c r="M18" i="6"/>
  <c r="M104" i="6" s="1"/>
  <c r="L18" i="6"/>
  <c r="L104" i="6" s="1"/>
  <c r="K18" i="6"/>
  <c r="K104" i="6" s="1"/>
  <c r="J18" i="6"/>
  <c r="J104" i="6" s="1"/>
  <c r="I18" i="6"/>
  <c r="I104" i="6" s="1"/>
  <c r="H18" i="6"/>
  <c r="H104" i="6" s="1"/>
  <c r="G18" i="6"/>
  <c r="G104" i="6" s="1"/>
  <c r="F18" i="6"/>
  <c r="F104" i="6" s="1"/>
  <c r="E18" i="6"/>
  <c r="E104" i="6" s="1"/>
  <c r="D18" i="6"/>
  <c r="D104" i="6" s="1"/>
  <c r="B6" i="6"/>
  <c r="O134" i="9" l="1"/>
  <c r="O142" i="9" s="1"/>
  <c r="O150" i="9" s="1"/>
  <c r="O154" i="9" s="1"/>
  <c r="E134" i="9"/>
  <c r="E142" i="9" s="1"/>
  <c r="E150" i="9" s="1"/>
  <c r="E154" i="9" s="1"/>
  <c r="O132" i="9"/>
  <c r="E132" i="9"/>
  <c r="D134" i="8"/>
  <c r="D163" i="8" s="1"/>
  <c r="D230" i="8"/>
  <c r="E134" i="8"/>
  <c r="E230" i="8"/>
  <c r="L104" i="8"/>
  <c r="F230" i="8"/>
  <c r="F134" i="8"/>
  <c r="F163" i="8" s="1"/>
  <c r="P134" i="8"/>
  <c r="P163" i="8" s="1"/>
  <c r="P230" i="8"/>
  <c r="P204" i="8"/>
  <c r="P193" i="8" s="1"/>
  <c r="P215" i="8" s="1"/>
  <c r="G230" i="8"/>
  <c r="G134" i="8"/>
  <c r="G163" i="8" s="1"/>
  <c r="P161" i="8"/>
  <c r="D215" i="8"/>
  <c r="P104" i="8"/>
  <c r="N104" i="8"/>
  <c r="H100" i="8"/>
  <c r="H104" i="8" s="1"/>
  <c r="H230" i="8"/>
  <c r="H134" i="8"/>
  <c r="H163" i="8" s="1"/>
  <c r="E161" i="8"/>
  <c r="K215" i="8"/>
  <c r="J232" i="8"/>
  <c r="J234" i="8" s="1"/>
  <c r="J236" i="8" s="1"/>
  <c r="J217" i="8"/>
  <c r="J225" i="8" s="1"/>
  <c r="P100" i="8"/>
  <c r="J230" i="8"/>
  <c r="J134" i="8"/>
  <c r="J163" i="8" s="1"/>
  <c r="I104" i="8"/>
  <c r="O100" i="8"/>
  <c r="O104" i="8" s="1"/>
  <c r="F104" i="8"/>
  <c r="M104" i="8"/>
  <c r="L230" i="8"/>
  <c r="L134" i="8"/>
  <c r="L163" i="8" s="1"/>
  <c r="L215" i="8"/>
  <c r="O215" i="8"/>
  <c r="I230" i="8"/>
  <c r="I134" i="8"/>
  <c r="I163" i="8" s="1"/>
  <c r="L100" i="8"/>
  <c r="E104" i="8"/>
  <c r="K230" i="8"/>
  <c r="K134" i="8"/>
  <c r="K163" i="8" s="1"/>
  <c r="G104" i="8"/>
  <c r="M230" i="8"/>
  <c r="M134" i="8"/>
  <c r="M163" i="8" s="1"/>
  <c r="D100" i="8"/>
  <c r="D104" i="8" s="1"/>
  <c r="K100" i="8"/>
  <c r="K104" i="8" s="1"/>
  <c r="I100" i="8"/>
  <c r="N134" i="8"/>
  <c r="N163" i="8" s="1"/>
  <c r="N230" i="8"/>
  <c r="I193" i="8"/>
  <c r="I215" i="8" s="1"/>
  <c r="O134" i="8"/>
  <c r="O163" i="8" s="1"/>
  <c r="O230" i="8"/>
  <c r="O193" i="8"/>
  <c r="H193" i="8"/>
  <c r="H215" i="8" s="1"/>
  <c r="H230" i="7"/>
  <c r="H134" i="7"/>
  <c r="F104" i="7"/>
  <c r="G104" i="7"/>
  <c r="H161" i="7"/>
  <c r="D230" i="7"/>
  <c r="D134" i="7"/>
  <c r="D163" i="7" s="1"/>
  <c r="H80" i="7"/>
  <c r="H100" i="7" s="1"/>
  <c r="H104" i="7" s="1"/>
  <c r="E161" i="7"/>
  <c r="E230" i="7"/>
  <c r="E134" i="7"/>
  <c r="E232" i="7"/>
  <c r="E234" i="7" s="1"/>
  <c r="E236" i="7" s="1"/>
  <c r="H204" i="7"/>
  <c r="H193" i="7" s="1"/>
  <c r="H215" i="7" s="1"/>
  <c r="D100" i="7"/>
  <c r="D104" i="7" s="1"/>
  <c r="F230" i="7"/>
  <c r="F134" i="7"/>
  <c r="F163" i="7" s="1"/>
  <c r="D193" i="7"/>
  <c r="D215" i="7" s="1"/>
  <c r="G215" i="7"/>
  <c r="G230" i="7"/>
  <c r="G134" i="7"/>
  <c r="G163" i="7" s="1"/>
  <c r="G230" i="6"/>
  <c r="G232" i="6" s="1"/>
  <c r="G234" i="6" s="1"/>
  <c r="G236" i="6" s="1"/>
  <c r="G134" i="6"/>
  <c r="G163" i="6" s="1"/>
  <c r="G217" i="6" s="1"/>
  <c r="G225" i="6" s="1"/>
  <c r="H230" i="6"/>
  <c r="H232" i="6" s="1"/>
  <c r="H234" i="6" s="1"/>
  <c r="H236" i="6" s="1"/>
  <c r="H134" i="6"/>
  <c r="H163" i="6" s="1"/>
  <c r="H217" i="6" s="1"/>
  <c r="H225" i="6" s="1"/>
  <c r="I230" i="6"/>
  <c r="I232" i="6" s="1"/>
  <c r="I234" i="6" s="1"/>
  <c r="I236" i="6" s="1"/>
  <c r="I134" i="6"/>
  <c r="I163" i="6" s="1"/>
  <c r="I217" i="6" s="1"/>
  <c r="I225" i="6" s="1"/>
  <c r="J134" i="6"/>
  <c r="J163" i="6" s="1"/>
  <c r="J217" i="6" s="1"/>
  <c r="J225" i="6" s="1"/>
  <c r="J230" i="6"/>
  <c r="J232" i="6" s="1"/>
  <c r="J234" i="6" s="1"/>
  <c r="J236" i="6" s="1"/>
  <c r="D230" i="6"/>
  <c r="D232" i="6" s="1"/>
  <c r="D234" i="6" s="1"/>
  <c r="D236" i="6" s="1"/>
  <c r="D134" i="6"/>
  <c r="D163" i="6" s="1"/>
  <c r="D217" i="6" s="1"/>
  <c r="D225" i="6" s="1"/>
  <c r="E230" i="6"/>
  <c r="E232" i="6" s="1"/>
  <c r="E234" i="6" s="1"/>
  <c r="E236" i="6" s="1"/>
  <c r="E134" i="6"/>
  <c r="E163" i="6" s="1"/>
  <c r="E217" i="6" s="1"/>
  <c r="E225" i="6" s="1"/>
  <c r="F230" i="6"/>
  <c r="F232" i="6" s="1"/>
  <c r="F234" i="6" s="1"/>
  <c r="F236" i="6" s="1"/>
  <c r="F134" i="6"/>
  <c r="F163" i="6" s="1"/>
  <c r="F217" i="6" s="1"/>
  <c r="F225" i="6" s="1"/>
  <c r="K230" i="6"/>
  <c r="K232" i="6" s="1"/>
  <c r="K234" i="6" s="1"/>
  <c r="K236" i="6" s="1"/>
  <c r="K134" i="6"/>
  <c r="K163" i="6" s="1"/>
  <c r="K217" i="6" s="1"/>
  <c r="K225" i="6" s="1"/>
  <c r="L230" i="6"/>
  <c r="L232" i="6" s="1"/>
  <c r="L234" i="6" s="1"/>
  <c r="L236" i="6" s="1"/>
  <c r="L134" i="6"/>
  <c r="L163" i="6" s="1"/>
  <c r="L217" i="6" s="1"/>
  <c r="L225" i="6" s="1"/>
  <c r="M230" i="6"/>
  <c r="M232" i="6" s="1"/>
  <c r="M234" i="6" s="1"/>
  <c r="M236" i="6" s="1"/>
  <c r="M134" i="6"/>
  <c r="M163" i="6" s="1"/>
  <c r="M217" i="6" s="1"/>
  <c r="M225" i="6" s="1"/>
  <c r="N230" i="6"/>
  <c r="N134" i="6"/>
  <c r="N163" i="6" s="1"/>
  <c r="O230" i="6"/>
  <c r="O232" i="6" s="1"/>
  <c r="O234" i="6" s="1"/>
  <c r="O236" i="6" s="1"/>
  <c r="O134" i="6"/>
  <c r="O163" i="6" s="1"/>
  <c r="O217" i="6" s="1"/>
  <c r="O225" i="6" s="1"/>
  <c r="N232" i="6"/>
  <c r="N234" i="6" s="1"/>
  <c r="N236" i="6" s="1"/>
  <c r="N217" i="6"/>
  <c r="N225" i="6" s="1"/>
  <c r="K232" i="8" l="1"/>
  <c r="K234" i="8" s="1"/>
  <c r="K236" i="8" s="1"/>
  <c r="K217" i="8"/>
  <c r="K225" i="8" s="1"/>
  <c r="D217" i="8"/>
  <c r="D225" i="8" s="1"/>
  <c r="D232" i="8"/>
  <c r="D234" i="8" s="1"/>
  <c r="D236" i="8" s="1"/>
  <c r="H232" i="8"/>
  <c r="H234" i="8" s="1"/>
  <c r="H236" i="8" s="1"/>
  <c r="H217" i="8"/>
  <c r="H225" i="8" s="1"/>
  <c r="F217" i="8"/>
  <c r="F225" i="8" s="1"/>
  <c r="F232" i="8"/>
  <c r="F234" i="8" s="1"/>
  <c r="F236" i="8" s="1"/>
  <c r="O217" i="8"/>
  <c r="O225" i="8" s="1"/>
  <c r="O232" i="8"/>
  <c r="O234" i="8" s="1"/>
  <c r="O236" i="8" s="1"/>
  <c r="N217" i="8"/>
  <c r="N225" i="8" s="1"/>
  <c r="N232" i="8"/>
  <c r="N234" i="8" s="1"/>
  <c r="N236" i="8" s="1"/>
  <c r="P217" i="8"/>
  <c r="P225" i="8" s="1"/>
  <c r="P232" i="8"/>
  <c r="P234" i="8" s="1"/>
  <c r="P236" i="8" s="1"/>
  <c r="G217" i="8"/>
  <c r="G225" i="8" s="1"/>
  <c r="G232" i="8"/>
  <c r="G234" i="8" s="1"/>
  <c r="G236" i="8" s="1"/>
  <c r="M217" i="8"/>
  <c r="M225" i="8" s="1"/>
  <c r="M232" i="8"/>
  <c r="M234" i="8" s="1"/>
  <c r="M236" i="8" s="1"/>
  <c r="E217" i="8"/>
  <c r="E225" i="8" s="1"/>
  <c r="E232" i="8"/>
  <c r="E234" i="8" s="1"/>
  <c r="E236" i="8" s="1"/>
  <c r="L217" i="8"/>
  <c r="L225" i="8" s="1"/>
  <c r="L232" i="8"/>
  <c r="L234" i="8" s="1"/>
  <c r="L236" i="8" s="1"/>
  <c r="I232" i="8"/>
  <c r="I234" i="8" s="1"/>
  <c r="I236" i="8" s="1"/>
  <c r="I217" i="8"/>
  <c r="I225" i="8" s="1"/>
  <c r="E163" i="8"/>
  <c r="H232" i="7"/>
  <c r="H234" i="7" s="1"/>
  <c r="H236" i="7" s="1"/>
  <c r="D217" i="7"/>
  <c r="D225" i="7" s="1"/>
  <c r="D232" i="7"/>
  <c r="D234" i="7" s="1"/>
  <c r="D236" i="7" s="1"/>
  <c r="G232" i="7"/>
  <c r="G234" i="7" s="1"/>
  <c r="G236" i="7" s="1"/>
  <c r="G217" i="7"/>
  <c r="G225" i="7" s="1"/>
  <c r="F232" i="7"/>
  <c r="F234" i="7" s="1"/>
  <c r="F236" i="7" s="1"/>
  <c r="F217" i="7"/>
  <c r="F225" i="7" s="1"/>
  <c r="E163" i="7"/>
  <c r="E217" i="7" s="1"/>
  <c r="E225" i="7" s="1"/>
  <c r="H163" i="7"/>
  <c r="H217" i="7" s="1"/>
  <c r="H225" i="7" s="1"/>
  <c r="O264" i="5" l="1"/>
  <c r="O268" i="5" s="1"/>
  <c r="N264" i="5"/>
  <c r="N268" i="5" s="1"/>
  <c r="M264" i="5"/>
  <c r="M268" i="5" s="1"/>
  <c r="L264" i="5"/>
  <c r="L268" i="5" s="1"/>
  <c r="K264" i="5"/>
  <c r="K268" i="5" s="1"/>
  <c r="J264" i="5"/>
  <c r="J268" i="5" s="1"/>
  <c r="I264" i="5"/>
  <c r="I268" i="5" s="1"/>
  <c r="H264" i="5"/>
  <c r="H268" i="5" s="1"/>
  <c r="G264" i="5"/>
  <c r="G268" i="5" s="1"/>
  <c r="F264" i="5"/>
  <c r="F268" i="5" s="1"/>
  <c r="E264" i="5"/>
  <c r="E268" i="5" s="1"/>
  <c r="D264" i="5"/>
  <c r="D268" i="5" s="1"/>
  <c r="O218" i="5"/>
  <c r="O232" i="5" s="1"/>
  <c r="N218" i="5"/>
  <c r="N232" i="5" s="1"/>
  <c r="M218" i="5"/>
  <c r="M232" i="5" s="1"/>
  <c r="L218" i="5"/>
  <c r="L232" i="5" s="1"/>
  <c r="K218" i="5"/>
  <c r="K232" i="5" s="1"/>
  <c r="J218" i="5"/>
  <c r="J232" i="5" s="1"/>
  <c r="I218" i="5"/>
  <c r="I232" i="5" s="1"/>
  <c r="H218" i="5"/>
  <c r="H232" i="5" s="1"/>
  <c r="G218" i="5"/>
  <c r="G232" i="5" s="1"/>
  <c r="F218" i="5"/>
  <c r="F232" i="5" s="1"/>
  <c r="E218" i="5"/>
  <c r="E232" i="5" s="1"/>
  <c r="D218" i="5"/>
  <c r="D232" i="5" s="1"/>
  <c r="O204" i="5"/>
  <c r="N204" i="5"/>
  <c r="M204" i="5"/>
  <c r="L204" i="5"/>
  <c r="K204" i="5"/>
  <c r="J204" i="5"/>
  <c r="I204" i="5"/>
  <c r="H204" i="5"/>
  <c r="G204" i="5"/>
  <c r="F204" i="5"/>
  <c r="E204" i="5"/>
  <c r="D204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O170" i="5"/>
  <c r="O210" i="5" s="1"/>
  <c r="O234" i="5" s="1"/>
  <c r="O270" i="5" s="1"/>
  <c r="N170" i="5"/>
  <c r="N210" i="5" s="1"/>
  <c r="N234" i="5" s="1"/>
  <c r="N270" i="5" s="1"/>
  <c r="M170" i="5"/>
  <c r="M210" i="5" s="1"/>
  <c r="M234" i="5" s="1"/>
  <c r="M270" i="5" s="1"/>
  <c r="L170" i="5"/>
  <c r="L210" i="5" s="1"/>
  <c r="L234" i="5" s="1"/>
  <c r="L270" i="5" s="1"/>
  <c r="K170" i="5"/>
  <c r="K210" i="5" s="1"/>
  <c r="J170" i="5"/>
  <c r="J210" i="5" s="1"/>
  <c r="J234" i="5" s="1"/>
  <c r="I170" i="5"/>
  <c r="I210" i="5" s="1"/>
  <c r="H170" i="5"/>
  <c r="H210" i="5" s="1"/>
  <c r="H234" i="5" s="1"/>
  <c r="H270" i="5" s="1"/>
  <c r="G170" i="5"/>
  <c r="G210" i="5" s="1"/>
  <c r="G234" i="5" s="1"/>
  <c r="G270" i="5" s="1"/>
  <c r="F170" i="5"/>
  <c r="F210" i="5" s="1"/>
  <c r="E170" i="5"/>
  <c r="E210" i="5" s="1"/>
  <c r="D170" i="5"/>
  <c r="D210" i="5" s="1"/>
  <c r="D234" i="5" s="1"/>
  <c r="D270" i="5" s="1"/>
  <c r="O156" i="5"/>
  <c r="N156" i="5"/>
  <c r="M156" i="5"/>
  <c r="L156" i="5"/>
  <c r="K156" i="5"/>
  <c r="J156" i="5"/>
  <c r="I156" i="5"/>
  <c r="H156" i="5"/>
  <c r="G156" i="5"/>
  <c r="F156" i="5"/>
  <c r="E156" i="5"/>
  <c r="D156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O122" i="5"/>
  <c r="O144" i="5" s="1"/>
  <c r="N122" i="5"/>
  <c r="N144" i="5" s="1"/>
  <c r="M122" i="5"/>
  <c r="M144" i="5" s="1"/>
  <c r="L122" i="5"/>
  <c r="L144" i="5" s="1"/>
  <c r="K122" i="5"/>
  <c r="K144" i="5" s="1"/>
  <c r="J122" i="5"/>
  <c r="J144" i="5" s="1"/>
  <c r="I122" i="5"/>
  <c r="I144" i="5" s="1"/>
  <c r="H122" i="5"/>
  <c r="H144" i="5" s="1"/>
  <c r="G122" i="5"/>
  <c r="G144" i="5" s="1"/>
  <c r="F122" i="5"/>
  <c r="F144" i="5" s="1"/>
  <c r="E122" i="5"/>
  <c r="E144" i="5" s="1"/>
  <c r="D122" i="5"/>
  <c r="D144" i="5" s="1"/>
  <c r="O113" i="5"/>
  <c r="N113" i="5"/>
  <c r="M113" i="5"/>
  <c r="L113" i="5"/>
  <c r="K113" i="5"/>
  <c r="J113" i="5"/>
  <c r="I113" i="5"/>
  <c r="H113" i="5"/>
  <c r="G113" i="5"/>
  <c r="F113" i="5"/>
  <c r="E113" i="5"/>
  <c r="D113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O98" i="5"/>
  <c r="O114" i="5" s="1"/>
  <c r="N98" i="5"/>
  <c r="N114" i="5" s="1"/>
  <c r="M98" i="5"/>
  <c r="M114" i="5" s="1"/>
  <c r="L98" i="5"/>
  <c r="L114" i="5" s="1"/>
  <c r="K98" i="5"/>
  <c r="K114" i="5" s="1"/>
  <c r="J98" i="5"/>
  <c r="J114" i="5" s="1"/>
  <c r="I98" i="5"/>
  <c r="I114" i="5" s="1"/>
  <c r="H98" i="5"/>
  <c r="H114" i="5" s="1"/>
  <c r="G98" i="5"/>
  <c r="G114" i="5" s="1"/>
  <c r="F98" i="5"/>
  <c r="F114" i="5" s="1"/>
  <c r="E98" i="5"/>
  <c r="E114" i="5" s="1"/>
  <c r="D98" i="5"/>
  <c r="D114" i="5" s="1"/>
  <c r="O93" i="5"/>
  <c r="O117" i="5" s="1"/>
  <c r="N93" i="5"/>
  <c r="N117" i="5" s="1"/>
  <c r="M93" i="5"/>
  <c r="M117" i="5" s="1"/>
  <c r="L93" i="5"/>
  <c r="L117" i="5" s="1"/>
  <c r="K93" i="5"/>
  <c r="K117" i="5" s="1"/>
  <c r="J93" i="5"/>
  <c r="J117" i="5" s="1"/>
  <c r="I93" i="5"/>
  <c r="I117" i="5" s="1"/>
  <c r="H93" i="5"/>
  <c r="H117" i="5" s="1"/>
  <c r="G93" i="5"/>
  <c r="G117" i="5" s="1"/>
  <c r="F93" i="5"/>
  <c r="F117" i="5" s="1"/>
  <c r="E93" i="5"/>
  <c r="E117" i="5" s="1"/>
  <c r="D93" i="5"/>
  <c r="D117" i="5" s="1"/>
  <c r="O92" i="5"/>
  <c r="O116" i="5" s="1"/>
  <c r="N92" i="5"/>
  <c r="N116" i="5" s="1"/>
  <c r="M92" i="5"/>
  <c r="M116" i="5" s="1"/>
  <c r="L92" i="5"/>
  <c r="L116" i="5" s="1"/>
  <c r="K92" i="5"/>
  <c r="K116" i="5" s="1"/>
  <c r="J92" i="5"/>
  <c r="J116" i="5" s="1"/>
  <c r="I92" i="5"/>
  <c r="I116" i="5" s="1"/>
  <c r="H92" i="5"/>
  <c r="H116" i="5" s="1"/>
  <c r="G92" i="5"/>
  <c r="G116" i="5" s="1"/>
  <c r="F92" i="5"/>
  <c r="F116" i="5" s="1"/>
  <c r="E92" i="5"/>
  <c r="E116" i="5" s="1"/>
  <c r="D92" i="5"/>
  <c r="D116" i="5" s="1"/>
  <c r="O90" i="5"/>
  <c r="N90" i="5"/>
  <c r="M90" i="5"/>
  <c r="L90" i="5"/>
  <c r="K90" i="5"/>
  <c r="J90" i="5"/>
  <c r="I90" i="5"/>
  <c r="H90" i="5"/>
  <c r="G90" i="5"/>
  <c r="F90" i="5"/>
  <c r="E90" i="5"/>
  <c r="D90" i="5"/>
  <c r="O87" i="5"/>
  <c r="N87" i="5"/>
  <c r="M87" i="5"/>
  <c r="L87" i="5"/>
  <c r="K87" i="5"/>
  <c r="J87" i="5"/>
  <c r="I87" i="5"/>
  <c r="H87" i="5"/>
  <c r="G87" i="5"/>
  <c r="F87" i="5"/>
  <c r="E87" i="5"/>
  <c r="D87" i="5"/>
  <c r="O84" i="5"/>
  <c r="N84" i="5"/>
  <c r="M84" i="5"/>
  <c r="L84" i="5"/>
  <c r="K84" i="5"/>
  <c r="J84" i="5"/>
  <c r="I84" i="5"/>
  <c r="H84" i="5"/>
  <c r="G84" i="5"/>
  <c r="F84" i="5"/>
  <c r="E84" i="5"/>
  <c r="D84" i="5"/>
  <c r="O81" i="5"/>
  <c r="N81" i="5"/>
  <c r="M81" i="5"/>
  <c r="L81" i="5"/>
  <c r="K81" i="5"/>
  <c r="J81" i="5"/>
  <c r="I81" i="5"/>
  <c r="H81" i="5"/>
  <c r="G81" i="5"/>
  <c r="F81" i="5"/>
  <c r="E81" i="5"/>
  <c r="D81" i="5"/>
  <c r="O78" i="5"/>
  <c r="O94" i="5" s="1"/>
  <c r="O118" i="5" s="1"/>
  <c r="N78" i="5"/>
  <c r="N94" i="5" s="1"/>
  <c r="N118" i="5" s="1"/>
  <c r="M78" i="5"/>
  <c r="M94" i="5" s="1"/>
  <c r="M118" i="5" s="1"/>
  <c r="L78" i="5"/>
  <c r="L94" i="5" s="1"/>
  <c r="L118" i="5" s="1"/>
  <c r="K78" i="5"/>
  <c r="K94" i="5" s="1"/>
  <c r="K118" i="5" s="1"/>
  <c r="J78" i="5"/>
  <c r="J94" i="5" s="1"/>
  <c r="J118" i="5" s="1"/>
  <c r="I78" i="5"/>
  <c r="I94" i="5" s="1"/>
  <c r="I118" i="5" s="1"/>
  <c r="H78" i="5"/>
  <c r="H94" i="5" s="1"/>
  <c r="H118" i="5" s="1"/>
  <c r="G78" i="5"/>
  <c r="G94" i="5" s="1"/>
  <c r="G118" i="5" s="1"/>
  <c r="F78" i="5"/>
  <c r="F94" i="5" s="1"/>
  <c r="F118" i="5" s="1"/>
  <c r="E78" i="5"/>
  <c r="E94" i="5" s="1"/>
  <c r="E118" i="5" s="1"/>
  <c r="D78" i="5"/>
  <c r="D94" i="5" s="1"/>
  <c r="D118" i="5" s="1"/>
  <c r="O72" i="5"/>
  <c r="N72" i="5"/>
  <c r="M72" i="5"/>
  <c r="L72" i="5"/>
  <c r="K72" i="5"/>
  <c r="J72" i="5"/>
  <c r="I72" i="5"/>
  <c r="H72" i="5"/>
  <c r="G72" i="5"/>
  <c r="F72" i="5"/>
  <c r="E72" i="5"/>
  <c r="D72" i="5"/>
  <c r="O68" i="5"/>
  <c r="O162" i="5" s="1"/>
  <c r="N68" i="5"/>
  <c r="N162" i="5" s="1"/>
  <c r="M68" i="5"/>
  <c r="M162" i="5" s="1"/>
  <c r="L68" i="5"/>
  <c r="L162" i="5" s="1"/>
  <c r="K68" i="5"/>
  <c r="K162" i="5" s="1"/>
  <c r="J68" i="5"/>
  <c r="I68" i="5"/>
  <c r="I162" i="5" s="1"/>
  <c r="H68" i="5"/>
  <c r="G68" i="5"/>
  <c r="F68" i="5"/>
  <c r="E68" i="5"/>
  <c r="E162" i="5" s="1"/>
  <c r="D68" i="5"/>
  <c r="O55" i="5"/>
  <c r="N55" i="5"/>
  <c r="M55" i="5"/>
  <c r="L55" i="5"/>
  <c r="K55" i="5"/>
  <c r="J55" i="5"/>
  <c r="I55" i="5"/>
  <c r="H55" i="5"/>
  <c r="G55" i="5"/>
  <c r="F55" i="5"/>
  <c r="E55" i="5"/>
  <c r="D55" i="5"/>
  <c r="O42" i="5"/>
  <c r="N42" i="5"/>
  <c r="M42" i="5"/>
  <c r="L42" i="5"/>
  <c r="K42" i="5"/>
  <c r="J42" i="5"/>
  <c r="I42" i="5"/>
  <c r="H42" i="5"/>
  <c r="G42" i="5"/>
  <c r="F42" i="5"/>
  <c r="E42" i="5"/>
  <c r="D42" i="5"/>
  <c r="O34" i="5"/>
  <c r="N34" i="5"/>
  <c r="M34" i="5"/>
  <c r="L34" i="5"/>
  <c r="K34" i="5"/>
  <c r="J34" i="5"/>
  <c r="I34" i="5"/>
  <c r="H34" i="5"/>
  <c r="G34" i="5"/>
  <c r="F34" i="5"/>
  <c r="E34" i="5"/>
  <c r="D34" i="5"/>
  <c r="O24" i="5"/>
  <c r="N24" i="5"/>
  <c r="M24" i="5"/>
  <c r="L24" i="5"/>
  <c r="K24" i="5"/>
  <c r="J24" i="5"/>
  <c r="I24" i="5"/>
  <c r="H24" i="5"/>
  <c r="G24" i="5"/>
  <c r="F24" i="5"/>
  <c r="E24" i="5"/>
  <c r="D24" i="5"/>
  <c r="O17" i="5"/>
  <c r="N17" i="5"/>
  <c r="M17" i="5"/>
  <c r="L17" i="5"/>
  <c r="K17" i="5"/>
  <c r="J17" i="5"/>
  <c r="I17" i="5"/>
  <c r="H17" i="5"/>
  <c r="G17" i="5"/>
  <c r="F17" i="5"/>
  <c r="E17" i="5"/>
  <c r="D17" i="5"/>
  <c r="O13" i="5"/>
  <c r="O59" i="5" s="1"/>
  <c r="O164" i="5" s="1"/>
  <c r="O273" i="5" s="1"/>
  <c r="N13" i="5"/>
  <c r="N59" i="5" s="1"/>
  <c r="N164" i="5" s="1"/>
  <c r="N273" i="5" s="1"/>
  <c r="M13" i="5"/>
  <c r="M59" i="5" s="1"/>
  <c r="M164" i="5" s="1"/>
  <c r="M273" i="5" s="1"/>
  <c r="L13" i="5"/>
  <c r="L59" i="5" s="1"/>
  <c r="L164" i="5" s="1"/>
  <c r="L273" i="5" s="1"/>
  <c r="K13" i="5"/>
  <c r="K59" i="5" s="1"/>
  <c r="K164" i="5" s="1"/>
  <c r="J13" i="5"/>
  <c r="J59" i="5" s="1"/>
  <c r="I13" i="5"/>
  <c r="I59" i="5" s="1"/>
  <c r="I164" i="5" s="1"/>
  <c r="H13" i="5"/>
  <c r="H59" i="5" s="1"/>
  <c r="G13" i="5"/>
  <c r="G59" i="5" s="1"/>
  <c r="F13" i="5"/>
  <c r="F59" i="5" s="1"/>
  <c r="E13" i="5"/>
  <c r="E59" i="5" s="1"/>
  <c r="E164" i="5" s="1"/>
  <c r="D13" i="5"/>
  <c r="D59" i="5" s="1"/>
  <c r="P153" i="4"/>
  <c r="P149" i="4"/>
  <c r="O147" i="4"/>
  <c r="N147" i="4"/>
  <c r="M147" i="4"/>
  <c r="L147" i="4"/>
  <c r="K147" i="4"/>
  <c r="J147" i="4"/>
  <c r="I147" i="4"/>
  <c r="H147" i="4"/>
  <c r="G147" i="4"/>
  <c r="F147" i="4"/>
  <c r="E147" i="4"/>
  <c r="D147" i="4"/>
  <c r="P146" i="4"/>
  <c r="P145" i="4"/>
  <c r="P147" i="4" s="1"/>
  <c r="O141" i="4"/>
  <c r="N141" i="4"/>
  <c r="M141" i="4"/>
  <c r="L141" i="4"/>
  <c r="K141" i="4"/>
  <c r="J141" i="4"/>
  <c r="I141" i="4"/>
  <c r="H141" i="4"/>
  <c r="G141" i="4"/>
  <c r="F141" i="4"/>
  <c r="E141" i="4"/>
  <c r="D141" i="4"/>
  <c r="P140" i="4"/>
  <c r="P139" i="4"/>
  <c r="P138" i="4"/>
  <c r="P141" i="4" s="1"/>
  <c r="P137" i="4"/>
  <c r="O131" i="4"/>
  <c r="N131" i="4"/>
  <c r="M131" i="4"/>
  <c r="L131" i="4"/>
  <c r="K131" i="4"/>
  <c r="J131" i="4"/>
  <c r="I131" i="4"/>
  <c r="H131" i="4"/>
  <c r="G131" i="4"/>
  <c r="F131" i="4"/>
  <c r="E131" i="4"/>
  <c r="D131" i="4"/>
  <c r="P130" i="4"/>
  <c r="P129" i="4"/>
  <c r="P128" i="4"/>
  <c r="P127" i="4"/>
  <c r="P126" i="4"/>
  <c r="P125" i="4"/>
  <c r="P124" i="4"/>
  <c r="P123" i="4"/>
  <c r="P131" i="4" s="1"/>
  <c r="E121" i="4"/>
  <c r="O119" i="4"/>
  <c r="N119" i="4"/>
  <c r="M119" i="4"/>
  <c r="L119" i="4"/>
  <c r="K119" i="4"/>
  <c r="K121" i="4" s="1"/>
  <c r="K133" i="4" s="1"/>
  <c r="J119" i="4"/>
  <c r="J121" i="4" s="1"/>
  <c r="J133" i="4" s="1"/>
  <c r="I119" i="4"/>
  <c r="I121" i="4" s="1"/>
  <c r="I133" i="4" s="1"/>
  <c r="H119" i="4"/>
  <c r="H121" i="4" s="1"/>
  <c r="H133" i="4" s="1"/>
  <c r="G119" i="4"/>
  <c r="G121" i="4" s="1"/>
  <c r="G133" i="4" s="1"/>
  <c r="F119" i="4"/>
  <c r="F121" i="4" s="1"/>
  <c r="E119" i="4"/>
  <c r="D119" i="4"/>
  <c r="P118" i="4"/>
  <c r="P117" i="4"/>
  <c r="P116" i="4"/>
  <c r="P115" i="4"/>
  <c r="P114" i="4"/>
  <c r="P119" i="4" s="1"/>
  <c r="O112" i="4"/>
  <c r="O121" i="4" s="1"/>
  <c r="O133" i="4" s="1"/>
  <c r="N112" i="4"/>
  <c r="N121" i="4" s="1"/>
  <c r="N133" i="4" s="1"/>
  <c r="M112" i="4"/>
  <c r="M121" i="4" s="1"/>
  <c r="M133" i="4" s="1"/>
  <c r="L112" i="4"/>
  <c r="L121" i="4" s="1"/>
  <c r="L133" i="4" s="1"/>
  <c r="K112" i="4"/>
  <c r="J112" i="4"/>
  <c r="I112" i="4"/>
  <c r="H112" i="4"/>
  <c r="G112" i="4"/>
  <c r="F112" i="4"/>
  <c r="E112" i="4"/>
  <c r="D112" i="4"/>
  <c r="D121" i="4" s="1"/>
  <c r="D133" i="4" s="1"/>
  <c r="P111" i="4"/>
  <c r="P110" i="4"/>
  <c r="P109" i="4"/>
  <c r="P108" i="4"/>
  <c r="P112" i="4" s="1"/>
  <c r="O106" i="4"/>
  <c r="N106" i="4"/>
  <c r="M106" i="4"/>
  <c r="L106" i="4"/>
  <c r="K106" i="4"/>
  <c r="J106" i="4"/>
  <c r="I106" i="4"/>
  <c r="H106" i="4"/>
  <c r="G106" i="4"/>
  <c r="F106" i="4"/>
  <c r="F133" i="4" s="1"/>
  <c r="E106" i="4"/>
  <c r="E133" i="4" s="1"/>
  <c r="D106" i="4"/>
  <c r="P105" i="4"/>
  <c r="P104" i="4"/>
  <c r="P103" i="4"/>
  <c r="P102" i="4"/>
  <c r="P106" i="4" s="1"/>
  <c r="P98" i="4"/>
  <c r="O96" i="4"/>
  <c r="N96" i="4"/>
  <c r="M96" i="4"/>
  <c r="L96" i="4"/>
  <c r="K96" i="4"/>
  <c r="J96" i="4"/>
  <c r="I96" i="4"/>
  <c r="H96" i="4"/>
  <c r="G96" i="4"/>
  <c r="F96" i="4"/>
  <c r="E96" i="4"/>
  <c r="D96" i="4"/>
  <c r="P95" i="4"/>
  <c r="P94" i="4"/>
  <c r="P93" i="4"/>
  <c r="P92" i="4"/>
  <c r="P96" i="4" s="1"/>
  <c r="P91" i="4"/>
  <c r="O89" i="4"/>
  <c r="N89" i="4"/>
  <c r="M89" i="4"/>
  <c r="L89" i="4"/>
  <c r="K89" i="4"/>
  <c r="J89" i="4"/>
  <c r="I89" i="4"/>
  <c r="H89" i="4"/>
  <c r="G89" i="4"/>
  <c r="F89" i="4"/>
  <c r="E89" i="4"/>
  <c r="D89" i="4"/>
  <c r="P88" i="4"/>
  <c r="P87" i="4"/>
  <c r="P86" i="4"/>
  <c r="P85" i="4"/>
  <c r="P84" i="4"/>
  <c r="P89" i="4" s="1"/>
  <c r="P80" i="4"/>
  <c r="P79" i="4"/>
  <c r="P78" i="4"/>
  <c r="P77" i="4"/>
  <c r="P73" i="4"/>
  <c r="P72" i="4"/>
  <c r="P71" i="4"/>
  <c r="O67" i="4"/>
  <c r="N67" i="4"/>
  <c r="M67" i="4"/>
  <c r="L67" i="4"/>
  <c r="K67" i="4"/>
  <c r="J67" i="4"/>
  <c r="I67" i="4"/>
  <c r="H67" i="4"/>
  <c r="G67" i="4"/>
  <c r="F67" i="4"/>
  <c r="E67" i="4"/>
  <c r="D67" i="4"/>
  <c r="P66" i="4"/>
  <c r="P65" i="4"/>
  <c r="P67" i="4" s="1"/>
  <c r="M63" i="4"/>
  <c r="O61" i="4"/>
  <c r="O63" i="4" s="1"/>
  <c r="N61" i="4"/>
  <c r="N63" i="4" s="1"/>
  <c r="M61" i="4"/>
  <c r="L61" i="4"/>
  <c r="K61" i="4"/>
  <c r="J61" i="4"/>
  <c r="I61" i="4"/>
  <c r="H61" i="4"/>
  <c r="H63" i="4" s="1"/>
  <c r="G61" i="4"/>
  <c r="G63" i="4" s="1"/>
  <c r="F61" i="4"/>
  <c r="F63" i="4" s="1"/>
  <c r="E61" i="4"/>
  <c r="E63" i="4" s="1"/>
  <c r="D61" i="4"/>
  <c r="D63" i="4" s="1"/>
  <c r="P60" i="4"/>
  <c r="P59" i="4"/>
  <c r="P61" i="4" s="1"/>
  <c r="P58" i="4"/>
  <c r="P57" i="4"/>
  <c r="P56" i="4"/>
  <c r="P55" i="4"/>
  <c r="O53" i="4"/>
  <c r="N53" i="4"/>
  <c r="M53" i="4"/>
  <c r="L53" i="4"/>
  <c r="L63" i="4" s="1"/>
  <c r="K53" i="4"/>
  <c r="K63" i="4" s="1"/>
  <c r="J53" i="4"/>
  <c r="J63" i="4" s="1"/>
  <c r="I53" i="4"/>
  <c r="I63" i="4" s="1"/>
  <c r="H53" i="4"/>
  <c r="G53" i="4"/>
  <c r="F53" i="4"/>
  <c r="E53" i="4"/>
  <c r="D53" i="4"/>
  <c r="P52" i="4"/>
  <c r="P51" i="4"/>
  <c r="P50" i="4"/>
  <c r="P49" i="4"/>
  <c r="P48" i="4"/>
  <c r="P47" i="4"/>
  <c r="P46" i="4"/>
  <c r="P53" i="4" s="1"/>
  <c r="F42" i="4"/>
  <c r="F44" i="4" s="1"/>
  <c r="F69" i="4" s="1"/>
  <c r="F75" i="4" s="1"/>
  <c r="F82" i="4" s="1"/>
  <c r="F100" i="4" s="1"/>
  <c r="O40" i="4"/>
  <c r="N40" i="4"/>
  <c r="M40" i="4"/>
  <c r="L40" i="4"/>
  <c r="K40" i="4"/>
  <c r="J40" i="4"/>
  <c r="I40" i="4"/>
  <c r="I42" i="4" s="1"/>
  <c r="H40" i="4"/>
  <c r="H42" i="4" s="1"/>
  <c r="G40" i="4"/>
  <c r="G42" i="4" s="1"/>
  <c r="F40" i="4"/>
  <c r="E40" i="4"/>
  <c r="D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40" i="4" s="1"/>
  <c r="O24" i="4"/>
  <c r="O42" i="4" s="1"/>
  <c r="N24" i="4"/>
  <c r="N42" i="4" s="1"/>
  <c r="M24" i="4"/>
  <c r="M42" i="4" s="1"/>
  <c r="L24" i="4"/>
  <c r="L42" i="4" s="1"/>
  <c r="K24" i="4"/>
  <c r="K42" i="4" s="1"/>
  <c r="J24" i="4"/>
  <c r="J42" i="4" s="1"/>
  <c r="I24" i="4"/>
  <c r="H24" i="4"/>
  <c r="G24" i="4"/>
  <c r="F24" i="4"/>
  <c r="E24" i="4"/>
  <c r="E42" i="4" s="1"/>
  <c r="E44" i="4" s="1"/>
  <c r="E69" i="4" s="1"/>
  <c r="E75" i="4" s="1"/>
  <c r="E82" i="4" s="1"/>
  <c r="E100" i="4" s="1"/>
  <c r="E135" i="4" s="1"/>
  <c r="E143" i="4" s="1"/>
  <c r="E151" i="4" s="1"/>
  <c r="E155" i="4" s="1"/>
  <c r="D24" i="4"/>
  <c r="D42" i="4" s="1"/>
  <c r="P23" i="4"/>
  <c r="P22" i="4"/>
  <c r="P21" i="4"/>
  <c r="P20" i="4"/>
  <c r="P19" i="4"/>
  <c r="P18" i="4"/>
  <c r="P24" i="4" s="1"/>
  <c r="P17" i="4"/>
  <c r="P16" i="4"/>
  <c r="O14" i="4"/>
  <c r="N14" i="4"/>
  <c r="M14" i="4"/>
  <c r="L14" i="4"/>
  <c r="K14" i="4"/>
  <c r="J14" i="4"/>
  <c r="J44" i="4" s="1"/>
  <c r="J69" i="4" s="1"/>
  <c r="J75" i="4" s="1"/>
  <c r="J82" i="4" s="1"/>
  <c r="J100" i="4" s="1"/>
  <c r="I14" i="4"/>
  <c r="H14" i="4"/>
  <c r="H44" i="4" s="1"/>
  <c r="H69" i="4" s="1"/>
  <c r="H75" i="4" s="1"/>
  <c r="H82" i="4" s="1"/>
  <c r="H100" i="4" s="1"/>
  <c r="H135" i="4" s="1"/>
  <c r="H143" i="4" s="1"/>
  <c r="H151" i="4" s="1"/>
  <c r="H155" i="4" s="1"/>
  <c r="G14" i="4"/>
  <c r="G44" i="4" s="1"/>
  <c r="G69" i="4" s="1"/>
  <c r="G75" i="4" s="1"/>
  <c r="G82" i="4" s="1"/>
  <c r="G100" i="4" s="1"/>
  <c r="G135" i="4" s="1"/>
  <c r="G143" i="4" s="1"/>
  <c r="G151" i="4" s="1"/>
  <c r="G155" i="4" s="1"/>
  <c r="F14" i="4"/>
  <c r="E14" i="4"/>
  <c r="D14" i="4"/>
  <c r="P13" i="4"/>
  <c r="P12" i="4"/>
  <c r="P11" i="4"/>
  <c r="P14" i="4" s="1"/>
  <c r="H153" i="3"/>
  <c r="H149" i="3"/>
  <c r="G147" i="3"/>
  <c r="F147" i="3"/>
  <c r="E147" i="3"/>
  <c r="D147" i="3"/>
  <c r="H146" i="3"/>
  <c r="H145" i="3"/>
  <c r="H147" i="3" s="1"/>
  <c r="G141" i="3"/>
  <c r="F141" i="3"/>
  <c r="E141" i="3"/>
  <c r="D141" i="3"/>
  <c r="H140" i="3"/>
  <c r="H139" i="3"/>
  <c r="H138" i="3"/>
  <c r="H137" i="3"/>
  <c r="H141" i="3" s="1"/>
  <c r="G131" i="3"/>
  <c r="F131" i="3"/>
  <c r="E131" i="3"/>
  <c r="D131" i="3"/>
  <c r="H130" i="3"/>
  <c r="H129" i="3"/>
  <c r="H128" i="3"/>
  <c r="H127" i="3"/>
  <c r="H126" i="3"/>
  <c r="H125" i="3"/>
  <c r="H124" i="3"/>
  <c r="H123" i="3"/>
  <c r="H131" i="3" s="1"/>
  <c r="G121" i="3"/>
  <c r="F121" i="3"/>
  <c r="E121" i="3"/>
  <c r="G119" i="3"/>
  <c r="F119" i="3"/>
  <c r="E119" i="3"/>
  <c r="D119" i="3"/>
  <c r="H118" i="3"/>
  <c r="H117" i="3"/>
  <c r="H116" i="3"/>
  <c r="H115" i="3"/>
  <c r="H114" i="3"/>
  <c r="H119" i="3" s="1"/>
  <c r="H112" i="3"/>
  <c r="H121" i="3" s="1"/>
  <c r="G112" i="3"/>
  <c r="F112" i="3"/>
  <c r="E112" i="3"/>
  <c r="D112" i="3"/>
  <c r="D121" i="3" s="1"/>
  <c r="D133" i="3" s="1"/>
  <c r="H111" i="3"/>
  <c r="H110" i="3"/>
  <c r="H109" i="3"/>
  <c r="H108" i="3"/>
  <c r="H106" i="3"/>
  <c r="H133" i="3" s="1"/>
  <c r="G106" i="3"/>
  <c r="G133" i="3" s="1"/>
  <c r="F106" i="3"/>
  <c r="F133" i="3" s="1"/>
  <c r="E106" i="3"/>
  <c r="E133" i="3" s="1"/>
  <c r="D106" i="3"/>
  <c r="H105" i="3"/>
  <c r="H104" i="3"/>
  <c r="H103" i="3"/>
  <c r="H102" i="3"/>
  <c r="H98" i="3"/>
  <c r="H96" i="3"/>
  <c r="G96" i="3"/>
  <c r="F96" i="3"/>
  <c r="E96" i="3"/>
  <c r="D96" i="3"/>
  <c r="H95" i="3"/>
  <c r="H94" i="3"/>
  <c r="H93" i="3"/>
  <c r="H92" i="3"/>
  <c r="H91" i="3"/>
  <c r="H89" i="3"/>
  <c r="G89" i="3"/>
  <c r="F89" i="3"/>
  <c r="E89" i="3"/>
  <c r="D89" i="3"/>
  <c r="H88" i="3"/>
  <c r="H87" i="3"/>
  <c r="H86" i="3"/>
  <c r="H85" i="3"/>
  <c r="H84" i="3"/>
  <c r="H80" i="3"/>
  <c r="H79" i="3"/>
  <c r="H78" i="3"/>
  <c r="H77" i="3"/>
  <c r="H73" i="3"/>
  <c r="H72" i="3"/>
  <c r="H71" i="3"/>
  <c r="G67" i="3"/>
  <c r="F67" i="3"/>
  <c r="E67" i="3"/>
  <c r="D67" i="3"/>
  <c r="H66" i="3"/>
  <c r="H65" i="3"/>
  <c r="H67" i="3" s="1"/>
  <c r="G61" i="3"/>
  <c r="F61" i="3"/>
  <c r="E61" i="3"/>
  <c r="D61" i="3"/>
  <c r="H60" i="3"/>
  <c r="H59" i="3"/>
  <c r="H61" i="3" s="1"/>
  <c r="H58" i="3"/>
  <c r="H57" i="3"/>
  <c r="H56" i="3"/>
  <c r="H55" i="3"/>
  <c r="G53" i="3"/>
  <c r="G63" i="3" s="1"/>
  <c r="F53" i="3"/>
  <c r="F63" i="3" s="1"/>
  <c r="E53" i="3"/>
  <c r="E63" i="3" s="1"/>
  <c r="D53" i="3"/>
  <c r="D63" i="3" s="1"/>
  <c r="H52" i="3"/>
  <c r="H51" i="3"/>
  <c r="H50" i="3"/>
  <c r="H49" i="3"/>
  <c r="H48" i="3"/>
  <c r="H47" i="3"/>
  <c r="H46" i="3"/>
  <c r="H53" i="3" s="1"/>
  <c r="G40" i="3"/>
  <c r="F40" i="3"/>
  <c r="E40" i="3"/>
  <c r="D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40" i="3" s="1"/>
  <c r="G24" i="3"/>
  <c r="G42" i="3" s="1"/>
  <c r="F24" i="3"/>
  <c r="F42" i="3" s="1"/>
  <c r="F44" i="3" s="1"/>
  <c r="E24" i="3"/>
  <c r="E42" i="3" s="1"/>
  <c r="E44" i="3" s="1"/>
  <c r="D24" i="3"/>
  <c r="D42" i="3" s="1"/>
  <c r="D44" i="3" s="1"/>
  <c r="H23" i="3"/>
  <c r="H22" i="3"/>
  <c r="H21" i="3"/>
  <c r="H20" i="3"/>
  <c r="H19" i="3"/>
  <c r="H18" i="3"/>
  <c r="H17" i="3"/>
  <c r="H16" i="3"/>
  <c r="H24" i="3" s="1"/>
  <c r="H14" i="3"/>
  <c r="G14" i="3"/>
  <c r="F14" i="3"/>
  <c r="E14" i="3"/>
  <c r="D14" i="3"/>
  <c r="H13" i="3"/>
  <c r="H12" i="3"/>
  <c r="H11" i="3"/>
  <c r="O147" i="2"/>
  <c r="N147" i="2"/>
  <c r="M147" i="2"/>
  <c r="L147" i="2"/>
  <c r="K147" i="2"/>
  <c r="J147" i="2"/>
  <c r="I147" i="2"/>
  <c r="H147" i="2"/>
  <c r="G147" i="2"/>
  <c r="F147" i="2"/>
  <c r="E147" i="2"/>
  <c r="D147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O119" i="2"/>
  <c r="N119" i="2"/>
  <c r="M119" i="2"/>
  <c r="L119" i="2"/>
  <c r="K119" i="2"/>
  <c r="J119" i="2"/>
  <c r="I119" i="2"/>
  <c r="H119" i="2"/>
  <c r="G119" i="2"/>
  <c r="F119" i="2"/>
  <c r="E119" i="2"/>
  <c r="D119" i="2"/>
  <c r="O112" i="2"/>
  <c r="O121" i="2" s="1"/>
  <c r="N112" i="2"/>
  <c r="N121" i="2" s="1"/>
  <c r="M112" i="2"/>
  <c r="M121" i="2" s="1"/>
  <c r="L112" i="2"/>
  <c r="L121" i="2" s="1"/>
  <c r="K112" i="2"/>
  <c r="K121" i="2" s="1"/>
  <c r="J112" i="2"/>
  <c r="J121" i="2" s="1"/>
  <c r="I112" i="2"/>
  <c r="I121" i="2" s="1"/>
  <c r="H112" i="2"/>
  <c r="H121" i="2" s="1"/>
  <c r="G112" i="2"/>
  <c r="G121" i="2" s="1"/>
  <c r="F112" i="2"/>
  <c r="F121" i="2" s="1"/>
  <c r="E112" i="2"/>
  <c r="E121" i="2" s="1"/>
  <c r="D112" i="2"/>
  <c r="D121" i="2" s="1"/>
  <c r="O106" i="2"/>
  <c r="O133" i="2" s="1"/>
  <c r="N106" i="2"/>
  <c r="N133" i="2" s="1"/>
  <c r="M106" i="2"/>
  <c r="M133" i="2" s="1"/>
  <c r="L106" i="2"/>
  <c r="L133" i="2" s="1"/>
  <c r="K106" i="2"/>
  <c r="K133" i="2" s="1"/>
  <c r="J106" i="2"/>
  <c r="J133" i="2" s="1"/>
  <c r="I106" i="2"/>
  <c r="I133" i="2" s="1"/>
  <c r="H106" i="2"/>
  <c r="H133" i="2" s="1"/>
  <c r="G106" i="2"/>
  <c r="G133" i="2" s="1"/>
  <c r="F106" i="2"/>
  <c r="F133" i="2" s="1"/>
  <c r="E106" i="2"/>
  <c r="E133" i="2" s="1"/>
  <c r="D106" i="2"/>
  <c r="O96" i="2"/>
  <c r="N96" i="2"/>
  <c r="M96" i="2"/>
  <c r="L96" i="2"/>
  <c r="K96" i="2"/>
  <c r="J96" i="2"/>
  <c r="I96" i="2"/>
  <c r="H96" i="2"/>
  <c r="G96" i="2"/>
  <c r="F96" i="2"/>
  <c r="E96" i="2"/>
  <c r="D96" i="2"/>
  <c r="O89" i="2"/>
  <c r="N89" i="2"/>
  <c r="M89" i="2"/>
  <c r="L89" i="2"/>
  <c r="K89" i="2"/>
  <c r="J89" i="2"/>
  <c r="I89" i="2"/>
  <c r="H89" i="2"/>
  <c r="G89" i="2"/>
  <c r="F89" i="2"/>
  <c r="E89" i="2"/>
  <c r="D89" i="2"/>
  <c r="O67" i="2"/>
  <c r="N67" i="2"/>
  <c r="M67" i="2"/>
  <c r="L67" i="2"/>
  <c r="K67" i="2"/>
  <c r="J67" i="2"/>
  <c r="I67" i="2"/>
  <c r="H67" i="2"/>
  <c r="G67" i="2"/>
  <c r="F67" i="2"/>
  <c r="E67" i="2"/>
  <c r="D67" i="2"/>
  <c r="O61" i="2"/>
  <c r="N61" i="2"/>
  <c r="M61" i="2"/>
  <c r="L61" i="2"/>
  <c r="K61" i="2"/>
  <c r="J61" i="2"/>
  <c r="I61" i="2"/>
  <c r="H61" i="2"/>
  <c r="G61" i="2"/>
  <c r="F61" i="2"/>
  <c r="E61" i="2"/>
  <c r="D61" i="2"/>
  <c r="O53" i="2"/>
  <c r="O63" i="2" s="1"/>
  <c r="N53" i="2"/>
  <c r="N63" i="2" s="1"/>
  <c r="M53" i="2"/>
  <c r="M63" i="2" s="1"/>
  <c r="L53" i="2"/>
  <c r="L63" i="2" s="1"/>
  <c r="K53" i="2"/>
  <c r="K63" i="2" s="1"/>
  <c r="J53" i="2"/>
  <c r="J63" i="2" s="1"/>
  <c r="I53" i="2"/>
  <c r="I63" i="2" s="1"/>
  <c r="H53" i="2"/>
  <c r="H63" i="2" s="1"/>
  <c r="G53" i="2"/>
  <c r="G63" i="2" s="1"/>
  <c r="F53" i="2"/>
  <c r="F63" i="2" s="1"/>
  <c r="E53" i="2"/>
  <c r="E63" i="2" s="1"/>
  <c r="D53" i="2"/>
  <c r="D63" i="2" s="1"/>
  <c r="O40" i="2"/>
  <c r="N40" i="2"/>
  <c r="M40" i="2"/>
  <c r="L40" i="2"/>
  <c r="K40" i="2"/>
  <c r="J40" i="2"/>
  <c r="I40" i="2"/>
  <c r="H40" i="2"/>
  <c r="G40" i="2"/>
  <c r="F40" i="2"/>
  <c r="E40" i="2"/>
  <c r="D40" i="2"/>
  <c r="O24" i="2"/>
  <c r="O42" i="2" s="1"/>
  <c r="N24" i="2"/>
  <c r="N42" i="2" s="1"/>
  <c r="M24" i="2"/>
  <c r="M42" i="2" s="1"/>
  <c r="L24" i="2"/>
  <c r="L42" i="2" s="1"/>
  <c r="K24" i="2"/>
  <c r="K42" i="2" s="1"/>
  <c r="J24" i="2"/>
  <c r="J42" i="2" s="1"/>
  <c r="I24" i="2"/>
  <c r="I42" i="2" s="1"/>
  <c r="H24" i="2"/>
  <c r="H42" i="2" s="1"/>
  <c r="G24" i="2"/>
  <c r="G42" i="2" s="1"/>
  <c r="F24" i="2"/>
  <c r="F42" i="2" s="1"/>
  <c r="E24" i="2"/>
  <c r="E42" i="2" s="1"/>
  <c r="D24" i="2"/>
  <c r="D42" i="2" s="1"/>
  <c r="O14" i="2"/>
  <c r="O44" i="2" s="1"/>
  <c r="O69" i="2" s="1"/>
  <c r="O75" i="2" s="1"/>
  <c r="O82" i="2" s="1"/>
  <c r="O100" i="2" s="1"/>
  <c r="O135" i="2" s="1"/>
  <c r="O143" i="2" s="1"/>
  <c r="O151" i="2" s="1"/>
  <c r="O155" i="2" s="1"/>
  <c r="N14" i="2"/>
  <c r="N44" i="2" s="1"/>
  <c r="N69" i="2" s="1"/>
  <c r="N75" i="2" s="1"/>
  <c r="N82" i="2" s="1"/>
  <c r="N100" i="2" s="1"/>
  <c r="N135" i="2" s="1"/>
  <c r="N143" i="2" s="1"/>
  <c r="N151" i="2" s="1"/>
  <c r="N155" i="2" s="1"/>
  <c r="M14" i="2"/>
  <c r="M44" i="2" s="1"/>
  <c r="M69" i="2" s="1"/>
  <c r="M75" i="2" s="1"/>
  <c r="M82" i="2" s="1"/>
  <c r="M100" i="2" s="1"/>
  <c r="M135" i="2" s="1"/>
  <c r="M143" i="2" s="1"/>
  <c r="M151" i="2" s="1"/>
  <c r="M155" i="2" s="1"/>
  <c r="L14" i="2"/>
  <c r="L44" i="2" s="1"/>
  <c r="L69" i="2" s="1"/>
  <c r="L75" i="2" s="1"/>
  <c r="L82" i="2" s="1"/>
  <c r="L100" i="2" s="1"/>
  <c r="L135" i="2" s="1"/>
  <c r="L143" i="2" s="1"/>
  <c r="L151" i="2" s="1"/>
  <c r="L155" i="2" s="1"/>
  <c r="K14" i="2"/>
  <c r="K44" i="2" s="1"/>
  <c r="K69" i="2" s="1"/>
  <c r="K75" i="2" s="1"/>
  <c r="K82" i="2" s="1"/>
  <c r="K100" i="2" s="1"/>
  <c r="K135" i="2" s="1"/>
  <c r="K143" i="2" s="1"/>
  <c r="K151" i="2" s="1"/>
  <c r="K155" i="2" s="1"/>
  <c r="J14" i="2"/>
  <c r="J44" i="2" s="1"/>
  <c r="J69" i="2" s="1"/>
  <c r="J75" i="2" s="1"/>
  <c r="J82" i="2" s="1"/>
  <c r="J100" i="2" s="1"/>
  <c r="J135" i="2" s="1"/>
  <c r="J143" i="2" s="1"/>
  <c r="J151" i="2" s="1"/>
  <c r="J155" i="2" s="1"/>
  <c r="I14" i="2"/>
  <c r="I44" i="2" s="1"/>
  <c r="I69" i="2" s="1"/>
  <c r="I75" i="2" s="1"/>
  <c r="I82" i="2" s="1"/>
  <c r="I100" i="2" s="1"/>
  <c r="I135" i="2" s="1"/>
  <c r="I143" i="2" s="1"/>
  <c r="I151" i="2" s="1"/>
  <c r="I155" i="2" s="1"/>
  <c r="H14" i="2"/>
  <c r="H44" i="2" s="1"/>
  <c r="H69" i="2" s="1"/>
  <c r="H75" i="2" s="1"/>
  <c r="H82" i="2" s="1"/>
  <c r="H100" i="2" s="1"/>
  <c r="H135" i="2" s="1"/>
  <c r="H143" i="2" s="1"/>
  <c r="H151" i="2" s="1"/>
  <c r="H155" i="2" s="1"/>
  <c r="G14" i="2"/>
  <c r="G44" i="2" s="1"/>
  <c r="G69" i="2" s="1"/>
  <c r="G75" i="2" s="1"/>
  <c r="G82" i="2" s="1"/>
  <c r="G100" i="2" s="1"/>
  <c r="G135" i="2" s="1"/>
  <c r="G143" i="2" s="1"/>
  <c r="G151" i="2" s="1"/>
  <c r="G155" i="2" s="1"/>
  <c r="F14" i="2"/>
  <c r="F44" i="2" s="1"/>
  <c r="F69" i="2" s="1"/>
  <c r="F75" i="2" s="1"/>
  <c r="F82" i="2" s="1"/>
  <c r="F100" i="2" s="1"/>
  <c r="F135" i="2" s="1"/>
  <c r="F143" i="2" s="1"/>
  <c r="F151" i="2" s="1"/>
  <c r="F155" i="2" s="1"/>
  <c r="E14" i="2"/>
  <c r="E44" i="2" s="1"/>
  <c r="E69" i="2" s="1"/>
  <c r="E75" i="2" s="1"/>
  <c r="E82" i="2" s="1"/>
  <c r="E100" i="2" s="1"/>
  <c r="E135" i="2" s="1"/>
  <c r="E143" i="2" s="1"/>
  <c r="E151" i="2" s="1"/>
  <c r="E155" i="2" s="1"/>
  <c r="D14" i="2"/>
  <c r="D44" i="2" s="1"/>
  <c r="E234" i="5" l="1"/>
  <c r="E270" i="5" s="1"/>
  <c r="E273" i="5" s="1"/>
  <c r="G162" i="5"/>
  <c r="I234" i="5"/>
  <c r="I270" i="5" s="1"/>
  <c r="J270" i="5"/>
  <c r="K234" i="5"/>
  <c r="K270" i="5" s="1"/>
  <c r="K273" i="5" s="1"/>
  <c r="D162" i="5"/>
  <c r="D164" i="5" s="1"/>
  <c r="D273" i="5" s="1"/>
  <c r="F162" i="5"/>
  <c r="F164" i="5" s="1"/>
  <c r="F273" i="5" s="1"/>
  <c r="F234" i="5"/>
  <c r="F270" i="5" s="1"/>
  <c r="H162" i="5"/>
  <c r="G164" i="5"/>
  <c r="G273" i="5" s="1"/>
  <c r="H164" i="5"/>
  <c r="H273" i="5" s="1"/>
  <c r="I273" i="5"/>
  <c r="J162" i="5"/>
  <c r="J164" i="5" s="1"/>
  <c r="J273" i="5" s="1"/>
  <c r="I44" i="4"/>
  <c r="I69" i="4" s="1"/>
  <c r="I75" i="4" s="1"/>
  <c r="I82" i="4" s="1"/>
  <c r="I100" i="4" s="1"/>
  <c r="I135" i="4" s="1"/>
  <c r="I143" i="4" s="1"/>
  <c r="I151" i="4" s="1"/>
  <c r="I155" i="4" s="1"/>
  <c r="N44" i="4"/>
  <c r="N69" i="4" s="1"/>
  <c r="N75" i="4" s="1"/>
  <c r="N82" i="4" s="1"/>
  <c r="N100" i="4" s="1"/>
  <c r="N135" i="4" s="1"/>
  <c r="N143" i="4" s="1"/>
  <c r="N151" i="4" s="1"/>
  <c r="N155" i="4" s="1"/>
  <c r="O44" i="4"/>
  <c r="O69" i="4" s="1"/>
  <c r="O75" i="4" s="1"/>
  <c r="O82" i="4" s="1"/>
  <c r="O100" i="4" s="1"/>
  <c r="O135" i="4" s="1"/>
  <c r="O143" i="4" s="1"/>
  <c r="O151" i="4" s="1"/>
  <c r="O155" i="4" s="1"/>
  <c r="P63" i="4"/>
  <c r="J135" i="4"/>
  <c r="J143" i="4" s="1"/>
  <c r="J151" i="4" s="1"/>
  <c r="J155" i="4" s="1"/>
  <c r="P44" i="4"/>
  <c r="P69" i="4" s="1"/>
  <c r="P75" i="4" s="1"/>
  <c r="P82" i="4" s="1"/>
  <c r="P100" i="4" s="1"/>
  <c r="D44" i="4"/>
  <c r="D69" i="4" s="1"/>
  <c r="D75" i="4" s="1"/>
  <c r="D82" i="4" s="1"/>
  <c r="D100" i="4" s="1"/>
  <c r="D135" i="4" s="1"/>
  <c r="D143" i="4" s="1"/>
  <c r="D151" i="4" s="1"/>
  <c r="D155" i="4" s="1"/>
  <c r="P121" i="4"/>
  <c r="P133" i="4" s="1"/>
  <c r="K44" i="4"/>
  <c r="K69" i="4" s="1"/>
  <c r="K75" i="4" s="1"/>
  <c r="K82" i="4" s="1"/>
  <c r="K100" i="4" s="1"/>
  <c r="K135" i="4" s="1"/>
  <c r="K143" i="4" s="1"/>
  <c r="K151" i="4" s="1"/>
  <c r="K155" i="4" s="1"/>
  <c r="L44" i="4"/>
  <c r="L69" i="4" s="1"/>
  <c r="L75" i="4" s="1"/>
  <c r="L82" i="4" s="1"/>
  <c r="L100" i="4" s="1"/>
  <c r="L135" i="4" s="1"/>
  <c r="L143" i="4" s="1"/>
  <c r="L151" i="4" s="1"/>
  <c r="L155" i="4" s="1"/>
  <c r="M44" i="4"/>
  <c r="M69" i="4" s="1"/>
  <c r="M75" i="4" s="1"/>
  <c r="M82" i="4" s="1"/>
  <c r="M100" i="4" s="1"/>
  <c r="M135" i="4" s="1"/>
  <c r="M143" i="4" s="1"/>
  <c r="M151" i="4" s="1"/>
  <c r="M155" i="4" s="1"/>
  <c r="F135" i="4"/>
  <c r="F143" i="4" s="1"/>
  <c r="F151" i="4" s="1"/>
  <c r="F155" i="4" s="1"/>
  <c r="P42" i="4"/>
  <c r="H63" i="3"/>
  <c r="H44" i="3"/>
  <c r="D69" i="3"/>
  <c r="D75" i="3" s="1"/>
  <c r="D82" i="3" s="1"/>
  <c r="D100" i="3" s="1"/>
  <c r="D135" i="3" s="1"/>
  <c r="D143" i="3" s="1"/>
  <c r="D151" i="3" s="1"/>
  <c r="D155" i="3" s="1"/>
  <c r="H42" i="3"/>
  <c r="E69" i="3"/>
  <c r="E75" i="3" s="1"/>
  <c r="E82" i="3" s="1"/>
  <c r="E100" i="3" s="1"/>
  <c r="E135" i="3" s="1"/>
  <c r="E143" i="3" s="1"/>
  <c r="E151" i="3" s="1"/>
  <c r="E155" i="3" s="1"/>
  <c r="G44" i="3"/>
  <c r="G69" i="3" s="1"/>
  <c r="G75" i="3" s="1"/>
  <c r="G82" i="3" s="1"/>
  <c r="G100" i="3" s="1"/>
  <c r="G135" i="3" s="1"/>
  <c r="G143" i="3" s="1"/>
  <c r="G151" i="3" s="1"/>
  <c r="G155" i="3" s="1"/>
  <c r="F69" i="3"/>
  <c r="F75" i="3" s="1"/>
  <c r="F82" i="3" s="1"/>
  <c r="F100" i="3" s="1"/>
  <c r="F135" i="3" s="1"/>
  <c r="F143" i="3" s="1"/>
  <c r="F151" i="3" s="1"/>
  <c r="F155" i="3" s="1"/>
  <c r="D69" i="2"/>
  <c r="D75" i="2" s="1"/>
  <c r="D82" i="2" s="1"/>
  <c r="D100" i="2" s="1"/>
  <c r="D133" i="2"/>
  <c r="P135" i="4" l="1"/>
  <c r="P143" i="4" s="1"/>
  <c r="P151" i="4" s="1"/>
  <c r="P155" i="4" s="1"/>
  <c r="H69" i="3"/>
  <c r="H75" i="3" s="1"/>
  <c r="H82" i="3" s="1"/>
  <c r="H100" i="3" s="1"/>
  <c r="H135" i="3" s="1"/>
  <c r="H143" i="3" s="1"/>
  <c r="H151" i="3" s="1"/>
  <c r="H155" i="3" s="1"/>
  <c r="D135" i="2"/>
  <c r="D143" i="2" s="1"/>
  <c r="D151" i="2" s="1"/>
  <c r="D155" i="2" s="1"/>
</calcChain>
</file>

<file path=xl/sharedStrings.xml><?xml version="1.0" encoding="utf-8"?>
<sst xmlns="http://schemas.openxmlformats.org/spreadsheetml/2006/main" count="8582" uniqueCount="1709">
  <si>
    <t>Income Statement - YTD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</si>
  <si>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</si>
  <si>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</si>
  <si>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</si>
  <si>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</si>
  <si>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</si>
  <si>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</si>
  <si>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</si>
  <si>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</si>
  <si>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</si>
  <si>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</si>
  <si>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</si>
  <si>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</si>
  <si>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311100</t>
  </si>
  <si>
    <t>Revenues - GR</t>
  </si>
  <si>
    <t>311200</t>
  </si>
  <si>
    <t>Revenues - JV/AS</t>
  </si>
  <si>
    <t>311300</t>
  </si>
  <si>
    <t>Revenues - TP</t>
  </si>
  <si>
    <t>311000</t>
  </si>
  <si>
    <t>Total revenues</t>
  </si>
  <si>
    <t>BR0000</t>
  </si>
  <si>
    <t xml:space="preserve"> </t>
  </si>
  <si>
    <t>IG312110</t>
  </si>
  <si>
    <t xml:space="preserve">Third party transportation </t>
  </si>
  <si>
    <t>IG312120</t>
  </si>
  <si>
    <t>Packing materials</t>
  </si>
  <si>
    <t>IG312130</t>
  </si>
  <si>
    <t>Personnel expenses</t>
  </si>
  <si>
    <t>IG312140</t>
  </si>
  <si>
    <t>Diesel/gasoline</t>
  </si>
  <si>
    <t>IG312150</t>
  </si>
  <si>
    <t>Other distribution expenses</t>
  </si>
  <si>
    <t>IG312161</t>
  </si>
  <si>
    <t xml:space="preserve">Allocation of corporate logistics </t>
  </si>
  <si>
    <t>IG312170</t>
  </si>
  <si>
    <t>Gain (losses) on disposal of PPE</t>
  </si>
  <si>
    <t>320998E</t>
  </si>
  <si>
    <t>Elimination of net revenues - GR (distribution)</t>
  </si>
  <si>
    <t>IG312100</t>
  </si>
  <si>
    <t>Total distribution costs</t>
  </si>
  <si>
    <t>BR0005</t>
  </si>
  <si>
    <t>IG312210</t>
  </si>
  <si>
    <t>Costs of finished goods purchased</t>
  </si>
  <si>
    <t>IG312220</t>
  </si>
  <si>
    <t>Third party raw material costs</t>
  </si>
  <si>
    <t>IG312230</t>
  </si>
  <si>
    <t>Production materials</t>
  </si>
  <si>
    <t>IG312240</t>
  </si>
  <si>
    <t>Fuel expenses</t>
  </si>
  <si>
    <t>IG312250</t>
  </si>
  <si>
    <t>Electricity expenses</t>
  </si>
  <si>
    <t>IG312260</t>
  </si>
  <si>
    <t>Personnel expenses (excl. maintenance)</t>
  </si>
  <si>
    <t>IG312270</t>
  </si>
  <si>
    <t>Maintenance expenses</t>
  </si>
  <si>
    <t>IG312280</t>
  </si>
  <si>
    <t>Other production expenses</t>
  </si>
  <si>
    <t>IG312290</t>
  </si>
  <si>
    <t>Changes in inventory</t>
  </si>
  <si>
    <t>IG312295</t>
  </si>
  <si>
    <t>Cost/revenues from CO2 emissions right</t>
  </si>
  <si>
    <t>IG312296</t>
  </si>
  <si>
    <t>IG312297</t>
  </si>
  <si>
    <t>Gains (losses) on reassesment and modification of leases</t>
  </si>
  <si>
    <t>IG312311</t>
  </si>
  <si>
    <t>Allocation of corporate manufacturing</t>
  </si>
  <si>
    <t>320999E</t>
  </si>
  <si>
    <t>Elimination of net revenues - GR (production)</t>
  </si>
  <si>
    <t>IG312200</t>
  </si>
  <si>
    <t>Total production costs</t>
  </si>
  <si>
    <t>BR0010</t>
  </si>
  <si>
    <t>IG312000</t>
  </si>
  <si>
    <t>Cost of revenues</t>
  </si>
  <si>
    <t>BR0015</t>
  </si>
  <si>
    <t>IG310000</t>
  </si>
  <si>
    <t>Gross profit</t>
  </si>
  <si>
    <t>BR0020</t>
  </si>
  <si>
    <t>IG321000</t>
  </si>
  <si>
    <t>IG322000</t>
  </si>
  <si>
    <t>Third party services</t>
  </si>
  <si>
    <t>IG323000</t>
  </si>
  <si>
    <t>Write-off and allowances for bad and doubtful debt</t>
  </si>
  <si>
    <t>IG324000</t>
  </si>
  <si>
    <t>Other marketing and sales expenses</t>
  </si>
  <si>
    <t>IG325100</t>
  </si>
  <si>
    <t>Total alloc of indirect marketing and sales expenses</t>
  </si>
  <si>
    <t>IG326000</t>
  </si>
  <si>
    <t>Gains (losses) on disposal of PPE</t>
  </si>
  <si>
    <t>320997E</t>
  </si>
  <si>
    <t>Elimination of net revenues - GR (marketing &amp; sales)</t>
  </si>
  <si>
    <t>IG320000</t>
  </si>
  <si>
    <t>Total marketing and sales expenses</t>
  </si>
  <si>
    <t>BR0025</t>
  </si>
  <si>
    <t>IG331000</t>
  </si>
  <si>
    <t>IG332000</t>
  </si>
  <si>
    <t>IG333000</t>
  </si>
  <si>
    <t>Other administration expenses</t>
  </si>
  <si>
    <t>IG334100</t>
  </si>
  <si>
    <t>Allocation of indirect administration expenses</t>
  </si>
  <si>
    <t>IG335000</t>
  </si>
  <si>
    <t>320996E</t>
  </si>
  <si>
    <t>Elimination of net revenues - GR (admin finance)</t>
  </si>
  <si>
    <t>IG330000</t>
  </si>
  <si>
    <t>Total administration expenses</t>
  </si>
  <si>
    <t>BR0030</t>
  </si>
  <si>
    <t>IG315000</t>
  </si>
  <si>
    <t>Mktg, sales, and administration expenses (SG&amp;A)</t>
  </si>
  <si>
    <t>BR0035</t>
  </si>
  <si>
    <t>312500</t>
  </si>
  <si>
    <t>Dividends earned - JV</t>
  </si>
  <si>
    <t>313100</t>
  </si>
  <si>
    <t>Undistributed earnings - JV</t>
  </si>
  <si>
    <t>IG316000</t>
  </si>
  <si>
    <t xml:space="preserve">Share of profit of joint ventures </t>
  </si>
  <si>
    <t>BR0040</t>
  </si>
  <si>
    <t>IG350000</t>
  </si>
  <si>
    <t>Adjusted EBITDA</t>
  </si>
  <si>
    <t>BR0045</t>
  </si>
  <si>
    <t>324510</t>
  </si>
  <si>
    <t>Right-of-Use Assets - depreciation</t>
  </si>
  <si>
    <t>324530</t>
  </si>
  <si>
    <t>393000</t>
  </si>
  <si>
    <t>Allocation of indirect of gain (loss) on lease reassesment + RoUA depr</t>
  </si>
  <si>
    <t>BR0050</t>
  </si>
  <si>
    <t>IG351000</t>
  </si>
  <si>
    <t>Adjusted EBITDA after lease depreciation</t>
  </si>
  <si>
    <t>BR0055</t>
  </si>
  <si>
    <t>324110</t>
  </si>
  <si>
    <t>Depreciation and amortization of PPE</t>
  </si>
  <si>
    <t>324210</t>
  </si>
  <si>
    <t>Depreciation and amortization of other LT assets</t>
  </si>
  <si>
    <t>324130</t>
  </si>
  <si>
    <t>Accretion expense (North America only)</t>
  </si>
  <si>
    <t>392000</t>
  </si>
  <si>
    <t>Allocation of indirect depreciation</t>
  </si>
  <si>
    <t>BR0060</t>
  </si>
  <si>
    <t>IG352000</t>
  </si>
  <si>
    <t>Adjusted EBIT</t>
  </si>
  <si>
    <t>BR0065</t>
  </si>
  <si>
    <t>323510</t>
  </si>
  <si>
    <t>Restructuring and other costs</t>
  </si>
  <si>
    <t>323520</t>
  </si>
  <si>
    <t>Litigation related costs</t>
  </si>
  <si>
    <t>323530</t>
  </si>
  <si>
    <t>Other non-recurring costs</t>
  </si>
  <si>
    <t>323540</t>
  </si>
  <si>
    <t>Acquisition and integration costs</t>
  </si>
  <si>
    <t>323550</t>
  </si>
  <si>
    <t>Spin-off and separation related costs</t>
  </si>
  <si>
    <t>323500</t>
  </si>
  <si>
    <t>Total restructuring, litigation and non-recurring costs</t>
  </si>
  <si>
    <t>BR0070</t>
  </si>
  <si>
    <t>324120</t>
  </si>
  <si>
    <t>Impairment of PPE</t>
  </si>
  <si>
    <t>324220</t>
  </si>
  <si>
    <t>Impairment of other intangible assets</t>
  </si>
  <si>
    <t>324300</t>
  </si>
  <si>
    <t>Impairment of goodwill - GR</t>
  </si>
  <si>
    <t>324400</t>
  </si>
  <si>
    <t>Impairment of investments</t>
  </si>
  <si>
    <t>324520</t>
  </si>
  <si>
    <t>Right-of-Use Assets (RoUA) - impairment</t>
  </si>
  <si>
    <t>324020</t>
  </si>
  <si>
    <t>Total impairment</t>
  </si>
  <si>
    <t>BR0075</t>
  </si>
  <si>
    <t>394000</t>
  </si>
  <si>
    <t>Allocation of indirect impairment</t>
  </si>
  <si>
    <t>BR0077</t>
  </si>
  <si>
    <t>IG360000</t>
  </si>
  <si>
    <t>Operating income</t>
  </si>
  <si>
    <t>BR0080</t>
  </si>
  <si>
    <t>312100</t>
  </si>
  <si>
    <t>Dividends earned - GR</t>
  </si>
  <si>
    <t>312400</t>
  </si>
  <si>
    <t>Dividends earned - AS</t>
  </si>
  <si>
    <t>312300</t>
  </si>
  <si>
    <t>Dividends earned - TP</t>
  </si>
  <si>
    <t>312999E</t>
  </si>
  <si>
    <t>Elim differences of dividends - GR</t>
  </si>
  <si>
    <t>312000</t>
  </si>
  <si>
    <t>Total dividends earned</t>
  </si>
  <si>
    <t>BR0085</t>
  </si>
  <si>
    <t>314100</t>
  </si>
  <si>
    <t>Financial income - GR</t>
  </si>
  <si>
    <t>314199</t>
  </si>
  <si>
    <t>Financial income - JV/AS</t>
  </si>
  <si>
    <t>314400</t>
  </si>
  <si>
    <t>Financial income - TP</t>
  </si>
  <si>
    <t>314999E</t>
  </si>
  <si>
    <t>Elim of financial income</t>
  </si>
  <si>
    <t>314000</t>
  </si>
  <si>
    <t>Total financial income</t>
  </si>
  <si>
    <t>BR0090</t>
  </si>
  <si>
    <t>325100</t>
  </si>
  <si>
    <t>Financial expenses - GR</t>
  </si>
  <si>
    <t>325200</t>
  </si>
  <si>
    <t>Financial expenses - JV/AS</t>
  </si>
  <si>
    <t>325300</t>
  </si>
  <si>
    <t>Financial expenses - TP</t>
  </si>
  <si>
    <t>325470</t>
  </si>
  <si>
    <t>Net interest inc (exp) on net pension liabilities (asset)</t>
  </si>
  <si>
    <t>325420</t>
  </si>
  <si>
    <t>Foreign exchange gains (losses)</t>
  </si>
  <si>
    <t>325000</t>
  </si>
  <si>
    <t>Total financial expenses and FX gains (losses)</t>
  </si>
  <si>
    <t>BR0095</t>
  </si>
  <si>
    <t>IG371000</t>
  </si>
  <si>
    <t>Total net financial income (expense)</t>
  </si>
  <si>
    <t>BR0100</t>
  </si>
  <si>
    <t>331100</t>
  </si>
  <si>
    <t>Income (expense) on non-operating assets - GR</t>
  </si>
  <si>
    <t>331200</t>
  </si>
  <si>
    <t>Income (expense) on non-operating assets - JV/AS</t>
  </si>
  <si>
    <t>331300</t>
  </si>
  <si>
    <t>Income (expense) on non-operating assets - TP</t>
  </si>
  <si>
    <t>313200</t>
  </si>
  <si>
    <t>Undistributed earnings - AS</t>
  </si>
  <si>
    <t>326110</t>
  </si>
  <si>
    <t>Impairment of investments - AS</t>
  </si>
  <si>
    <t>326200</t>
  </si>
  <si>
    <t>Ordinary depreciation of non-operating assets</t>
  </si>
  <si>
    <t>331995E</t>
  </si>
  <si>
    <t>Elim difference industrial franchise fee (IFF)</t>
  </si>
  <si>
    <t>331999E</t>
  </si>
  <si>
    <t>Elim of income (expenses) on non-operating assets</t>
  </si>
  <si>
    <t>IG372000</t>
  </si>
  <si>
    <t xml:space="preserve">Total income (expense) on non-operating assets </t>
  </si>
  <si>
    <t>BR0105</t>
  </si>
  <si>
    <t>IG370000</t>
  </si>
  <si>
    <t>Total additional ordinary income (expenses)</t>
  </si>
  <si>
    <t>BR0110</t>
  </si>
  <si>
    <t>IG301110</t>
  </si>
  <si>
    <t xml:space="preserve">Income (loss) before taxes and unusual items </t>
  </si>
  <si>
    <t>BR0115</t>
  </si>
  <si>
    <t>332120</t>
  </si>
  <si>
    <t>Gains (losses) on disposal of PPE - until 2023.12</t>
  </si>
  <si>
    <t>327000</t>
  </si>
  <si>
    <t>Unusual write-offs</t>
  </si>
  <si>
    <t>332200</t>
  </si>
  <si>
    <t>Other unusual income (expense) - cash-eff</t>
  </si>
  <si>
    <t>332210</t>
  </si>
  <si>
    <t>Other unusual income (expense) - non-cash</t>
  </si>
  <si>
    <t>IG301120</t>
  </si>
  <si>
    <t>Total unusual items</t>
  </si>
  <si>
    <t>BR0120</t>
  </si>
  <si>
    <t>IG301100</t>
  </si>
  <si>
    <t xml:space="preserve">Net income (loss) before income taxes </t>
  </si>
  <si>
    <t>BR0125</t>
  </si>
  <si>
    <t>328100</t>
  </si>
  <si>
    <t>Current taxation</t>
  </si>
  <si>
    <t>328200</t>
  </si>
  <si>
    <t>Deferred taxation</t>
  </si>
  <si>
    <t>328000</t>
  </si>
  <si>
    <t>Total income taxes</t>
  </si>
  <si>
    <t>BR0130</t>
  </si>
  <si>
    <t>329050</t>
  </si>
  <si>
    <t xml:space="preserve">Net income from discontinued operations (net of income tax) </t>
  </si>
  <si>
    <t>BR0135</t>
  </si>
  <si>
    <t>IG301000</t>
  </si>
  <si>
    <t xml:space="preserve">Net income (loss) before NC interest </t>
  </si>
  <si>
    <t>BR0140</t>
  </si>
  <si>
    <t>329100</t>
  </si>
  <si>
    <t xml:space="preserve">Interest of NC shareholders in net income </t>
  </si>
  <si>
    <t>BR0145</t>
  </si>
  <si>
    <t>IG300000</t>
  </si>
  <si>
    <t>Net income (loss) after NC interest</t>
  </si>
  <si>
    <t>Income Statement - QTD</t>
  </si>
  <si>
    <t>Total</t>
  </si>
  <si>
    <t>Income Statement - MTD</t>
  </si>
  <si>
    <t>Reporting unit: USA - USA Cement</t>
  </si>
  <si>
    <t>Scenario: 2026 Consolidated Actuals USD</t>
  </si>
  <si>
    <t xml:space="preserve">Currency: </t>
  </si>
  <si>
    <t>Jan</t>
  </si>
  <si>
    <t>Feb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</si>
  <si>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</si>
  <si>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</si>
  <si>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</si>
  <si>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</si>
  <si>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</si>
  <si>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</si>
  <si>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</si>
  <si>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</si>
  <si>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</si>
  <si>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Statement of Financial Position - YTD</t>
  </si>
  <si>
    <t>111110</t>
  </si>
  <si>
    <t>Cash and cash equivalents - Cash at bank, on hand</t>
  </si>
  <si>
    <t>111120</t>
  </si>
  <si>
    <t>Cash and cash equivalents - ST deposits</t>
  </si>
  <si>
    <t>111100</t>
  </si>
  <si>
    <t>Cash and cash equivalents</t>
  </si>
  <si>
    <t>111210</t>
  </si>
  <si>
    <t>Marketable securities - GR</t>
  </si>
  <si>
    <t>111219</t>
  </si>
  <si>
    <t>Marketable securities - JV/AS/TP</t>
  </si>
  <si>
    <t>111200</t>
  </si>
  <si>
    <t>Total marketable securities</t>
  </si>
  <si>
    <t>BR0002</t>
  </si>
  <si>
    <t>112110</t>
  </si>
  <si>
    <t>ST financial receivables - GR</t>
  </si>
  <si>
    <t>112119</t>
  </si>
  <si>
    <t>ST financial receivables - JV/AS</t>
  </si>
  <si>
    <t>112129</t>
  </si>
  <si>
    <t>ST financial receivables - TP</t>
  </si>
  <si>
    <t>112140</t>
  </si>
  <si>
    <t>Allowance for doubtful ST financial receivables - JV/AS</t>
  </si>
  <si>
    <t>112150</t>
  </si>
  <si>
    <t>Allowance for doubtful ST financial receivables - TP</t>
  </si>
  <si>
    <t>112100</t>
  </si>
  <si>
    <t>Total ST financial receivables</t>
  </si>
  <si>
    <t>BR0004</t>
  </si>
  <si>
    <t>112136</t>
  </si>
  <si>
    <t>ST derivative assets - TP</t>
  </si>
  <si>
    <t>BR0006</t>
  </si>
  <si>
    <t>112210</t>
  </si>
  <si>
    <t>Accounts receivables trade - GR</t>
  </si>
  <si>
    <t>112220</t>
  </si>
  <si>
    <t>Accounts receivables trade - JV/AS</t>
  </si>
  <si>
    <t>112270</t>
  </si>
  <si>
    <t>Accounts receivables trade - TP</t>
  </si>
  <si>
    <t>112240</t>
  </si>
  <si>
    <t>Allowance for doubtful accts trade - JV/AS</t>
  </si>
  <si>
    <t>112250</t>
  </si>
  <si>
    <t>Allowance for doubtful accts trade - TP</t>
  </si>
  <si>
    <t>112280</t>
  </si>
  <si>
    <t>Advance payments to trade suppliers - TP</t>
  </si>
  <si>
    <t>112300</t>
  </si>
  <si>
    <t>Total accounts receivables trade</t>
  </si>
  <si>
    <t>BR0008</t>
  </si>
  <si>
    <t>115100</t>
  </si>
  <si>
    <t>Raw materials</t>
  </si>
  <si>
    <t>115250</t>
  </si>
  <si>
    <t>CO2 emissions rights</t>
  </si>
  <si>
    <t>115200</t>
  </si>
  <si>
    <t>Semi-finished and finished products</t>
  </si>
  <si>
    <t>115300</t>
  </si>
  <si>
    <t>Fuels</t>
  </si>
  <si>
    <t>115400</t>
  </si>
  <si>
    <t>Parts and supplies</t>
  </si>
  <si>
    <t>115500</t>
  </si>
  <si>
    <t>Unbilled services</t>
  </si>
  <si>
    <t>115000</t>
  </si>
  <si>
    <t>Total inventories and unbilled services</t>
  </si>
  <si>
    <t>112212</t>
  </si>
  <si>
    <t>Accounts receivables other - GR</t>
  </si>
  <si>
    <t>112264</t>
  </si>
  <si>
    <t>Accounts receivables other - JV/AS</t>
  </si>
  <si>
    <t>112265</t>
  </si>
  <si>
    <t>Accounts receivables other - TP</t>
  </si>
  <si>
    <t>112266</t>
  </si>
  <si>
    <t>Accounts receivables other - From sold PPE -TP</t>
  </si>
  <si>
    <t>112267</t>
  </si>
  <si>
    <t>Accounts receivables other -  Disposal of Financial investments - TP</t>
  </si>
  <si>
    <t>119110</t>
  </si>
  <si>
    <t>Prepaid int, accrued int and dividends receivables - GR</t>
  </si>
  <si>
    <t>119120</t>
  </si>
  <si>
    <t>Prepaid int, accrued int and dividends receivables - JV/AS</t>
  </si>
  <si>
    <t>119130</t>
  </si>
  <si>
    <t>Prepaid int, accrued int and dividends receivables - TP</t>
  </si>
  <si>
    <t>119200</t>
  </si>
  <si>
    <t>Prepaid expenses</t>
  </si>
  <si>
    <t>119310</t>
  </si>
  <si>
    <t>Current income tax receivables (prepayments)</t>
  </si>
  <si>
    <t>119330</t>
  </si>
  <si>
    <t>Remaining other current assets</t>
  </si>
  <si>
    <t>119000</t>
  </si>
  <si>
    <t>Total prepaid expenses and other current assets</t>
  </si>
  <si>
    <t>BR0012</t>
  </si>
  <si>
    <t>119320</t>
  </si>
  <si>
    <t>Current assets held for sale</t>
  </si>
  <si>
    <t>BR0014</t>
  </si>
  <si>
    <t>110000</t>
  </si>
  <si>
    <t>Total current assets</t>
  </si>
  <si>
    <t>BR0016</t>
  </si>
  <si>
    <t>151110</t>
  </si>
  <si>
    <t>Financial investments - GR</t>
  </si>
  <si>
    <t>151129</t>
  </si>
  <si>
    <t>Financial investments - TP</t>
  </si>
  <si>
    <t>151510</t>
  </si>
  <si>
    <t>LT financial receivables - GR</t>
  </si>
  <si>
    <t>151519</t>
  </si>
  <si>
    <t>LT financial receivables - JV/AS</t>
  </si>
  <si>
    <t>151529</t>
  </si>
  <si>
    <t>LT financial receivables - TP</t>
  </si>
  <si>
    <t>155320</t>
  </si>
  <si>
    <t>Deferred charges</t>
  </si>
  <si>
    <t>155400</t>
  </si>
  <si>
    <t>Other LT assets</t>
  </si>
  <si>
    <t>152000</t>
  </si>
  <si>
    <t>Total financial investments and LT assets</t>
  </si>
  <si>
    <t>BR0018</t>
  </si>
  <si>
    <t>151119</t>
  </si>
  <si>
    <t>Financial investments - JV</t>
  </si>
  <si>
    <t>151120</t>
  </si>
  <si>
    <t>Financial investments - AS</t>
  </si>
  <si>
    <t>151121</t>
  </si>
  <si>
    <t>Financial investments - JV/AS</t>
  </si>
  <si>
    <t>151540</t>
  </si>
  <si>
    <t>LT derivative assets - TP</t>
  </si>
  <si>
    <t>BR0021</t>
  </si>
  <si>
    <t>153110</t>
  </si>
  <si>
    <t>Land and mineral reserves - Gross value</t>
  </si>
  <si>
    <t>153120</t>
  </si>
  <si>
    <t>Land and mineral reserves - Accumulated depletion</t>
  </si>
  <si>
    <t>153100</t>
  </si>
  <si>
    <t>Land and mineral reserves - Net</t>
  </si>
  <si>
    <t>153210</t>
  </si>
  <si>
    <t>Buildings and installations - Gross value</t>
  </si>
  <si>
    <t>153220</t>
  </si>
  <si>
    <t>Buildings and installations - Accumulated depreciation</t>
  </si>
  <si>
    <t>153200</t>
  </si>
  <si>
    <t>Buildings and installations - Net</t>
  </si>
  <si>
    <t>153310</t>
  </si>
  <si>
    <t>Machines - Gross value</t>
  </si>
  <si>
    <t>153320</t>
  </si>
  <si>
    <t>Machines - Accumulated depreciation</t>
  </si>
  <si>
    <t>153300</t>
  </si>
  <si>
    <t>Machines - Net</t>
  </si>
  <si>
    <t>153410</t>
  </si>
  <si>
    <t>Furniture, vehicles and tools - Gross value</t>
  </si>
  <si>
    <t>153420</t>
  </si>
  <si>
    <t>Furniture, vehicles and tools - Accumulated depreciation</t>
  </si>
  <si>
    <t>153400</t>
  </si>
  <si>
    <t>Furniture, vehicles and tools - Net</t>
  </si>
  <si>
    <t>153510</t>
  </si>
  <si>
    <t>Construction in progress (CIP) - Gross value</t>
  </si>
  <si>
    <t>153520</t>
  </si>
  <si>
    <t>Construction in progress (CIP) - Accumulated impairment</t>
  </si>
  <si>
    <t>153500</t>
  </si>
  <si>
    <t>Construction in progress - Net</t>
  </si>
  <si>
    <t>BR0022</t>
  </si>
  <si>
    <t>153010</t>
  </si>
  <si>
    <t>Fixed Asset - Gross value</t>
  </si>
  <si>
    <t>153020</t>
  </si>
  <si>
    <t>Fixed Asset - Accumulated depreciation, depletion &amp; impairment</t>
  </si>
  <si>
    <t>153030</t>
  </si>
  <si>
    <t>Fixed Asset - Net</t>
  </si>
  <si>
    <t>BR0023</t>
  </si>
  <si>
    <t>153160</t>
  </si>
  <si>
    <t>Finance Lease - Land and mineral reserves - Gross value</t>
  </si>
  <si>
    <t>153170</t>
  </si>
  <si>
    <t>Finance Lease - Land and mineral reserves - Accumulated depletion</t>
  </si>
  <si>
    <t>153150</t>
  </si>
  <si>
    <t>Finance Lease - Land and mineral reserves - Net</t>
  </si>
  <si>
    <t>153260</t>
  </si>
  <si>
    <t>Finance Lease - Buildings and installations - Gross value</t>
  </si>
  <si>
    <t>153270</t>
  </si>
  <si>
    <t>Finance Lease - Buildings and installations - Accumulated depreciation</t>
  </si>
  <si>
    <t>153250</t>
  </si>
  <si>
    <t>Finance Lease - Buildings and installations - Net</t>
  </si>
  <si>
    <t>153360</t>
  </si>
  <si>
    <t>Finance Lease  - Machines - Gross value</t>
  </si>
  <si>
    <t>153370</t>
  </si>
  <si>
    <t>Finance Lease - Machines - Accumulated depreciation</t>
  </si>
  <si>
    <t>153350</t>
  </si>
  <si>
    <t>Finance Lease - Machines - Net</t>
  </si>
  <si>
    <t>153460</t>
  </si>
  <si>
    <t>Finance Lease - Furniture, vehicles and tools - Gross value</t>
  </si>
  <si>
    <t>153470</t>
  </si>
  <si>
    <t>Finance Lease - Furniture, vehicles and tools - Accumulated depreciation</t>
  </si>
  <si>
    <t>153450</t>
  </si>
  <si>
    <t>Finance Lease - Furniture, vehicles and tools - Net</t>
  </si>
  <si>
    <t>153610</t>
  </si>
  <si>
    <t>Finance Lease - Prepaid expenses - Gross value</t>
  </si>
  <si>
    <t>153620</t>
  </si>
  <si>
    <t>Finance Lease - Prepaid expenses - Accumulated impairment</t>
  </si>
  <si>
    <t>153600</t>
  </si>
  <si>
    <t>Finance Lease - Prepaid expenses - Net</t>
  </si>
  <si>
    <t>BR0024</t>
  </si>
  <si>
    <t>153060</t>
  </si>
  <si>
    <t>Finance Leases Assets - Gross value</t>
  </si>
  <si>
    <t>153070</t>
  </si>
  <si>
    <t>Finance Leases Assets - Accumulated depreciation, depletion &amp; impairment</t>
  </si>
  <si>
    <t>153080</t>
  </si>
  <si>
    <t>Finance Leases Assets - Net</t>
  </si>
  <si>
    <t xml:space="preserve">   </t>
  </si>
  <si>
    <t>153001</t>
  </si>
  <si>
    <t xml:space="preserve"> Property, plant and equipment - Gross value</t>
  </si>
  <si>
    <t>153002</t>
  </si>
  <si>
    <t xml:space="preserve"> Property, plant and equipment - Accumulated depreciation, depletion &amp; impairment</t>
  </si>
  <si>
    <t>153000</t>
  </si>
  <si>
    <t xml:space="preserve"> Property, plant and equipment - Net</t>
  </si>
  <si>
    <t>BR0026</t>
  </si>
  <si>
    <t>155234</t>
  </si>
  <si>
    <t>Intangible Assets - Customer Relationships - Gross value</t>
  </si>
  <si>
    <t>155238</t>
  </si>
  <si>
    <t xml:space="preserve"> Intangible Assets - Customer Relationships - Accumulated amortization</t>
  </si>
  <si>
    <t>155230</t>
  </si>
  <si>
    <t>Intangible Assets - Customer Relationships - Net</t>
  </si>
  <si>
    <t>155244</t>
  </si>
  <si>
    <t>Intangible Assets - Mining Rights - Gross value</t>
  </si>
  <si>
    <t>155248</t>
  </si>
  <si>
    <t>Intangible Assets - Mining Rights - Accumulated amortization</t>
  </si>
  <si>
    <t>155240</t>
  </si>
  <si>
    <t>Intangible Assets - Mining Rights - Net</t>
  </si>
  <si>
    <t>155254</t>
  </si>
  <si>
    <t>Intangible Assets - Software - Gross value</t>
  </si>
  <si>
    <t>155258</t>
  </si>
  <si>
    <t>Intangible Assets - Software - Accumulated amortization</t>
  </si>
  <si>
    <t>155250</t>
  </si>
  <si>
    <t>Intangible Assets - Software - Net</t>
  </si>
  <si>
    <t>155264</t>
  </si>
  <si>
    <t>Intangible Assets - Developed Technology - Gross value</t>
  </si>
  <si>
    <t>155268</t>
  </si>
  <si>
    <t>Intangible Assets - Developed Technology - Accumulated amortization</t>
  </si>
  <si>
    <t>155260</t>
  </si>
  <si>
    <t>Intangible Assets - Developed Technology - Net</t>
  </si>
  <si>
    <t>155274</t>
  </si>
  <si>
    <t>Intangible Assets - Trademarks - Gross value</t>
  </si>
  <si>
    <t>155278</t>
  </si>
  <si>
    <t>Intangible Assets - Trademarks - Accumulated amortization</t>
  </si>
  <si>
    <t>155270</t>
  </si>
  <si>
    <t>Intangible Assets - Trademarks - Net</t>
  </si>
  <si>
    <t>155284</t>
  </si>
  <si>
    <t>Intangible Assets - Other - Gross value</t>
  </si>
  <si>
    <t>155288</t>
  </si>
  <si>
    <t>Intangible Assets - Other - Accumulated amortization</t>
  </si>
  <si>
    <t>155280</t>
  </si>
  <si>
    <t>Intangible Assets - Other - Net</t>
  </si>
  <si>
    <t>155210</t>
  </si>
  <si>
    <t>Total other intangible assets - Gross value (Until 2026.01)</t>
  </si>
  <si>
    <t>155220</t>
  </si>
  <si>
    <t>Total other intangible assets - Accumulated amortization (Until 2026.01)</t>
  </si>
  <si>
    <t>155290</t>
  </si>
  <si>
    <t>Total other intangible assets - Net (Until 2026.01)</t>
  </si>
  <si>
    <t>BR0027</t>
  </si>
  <si>
    <t>155204</t>
  </si>
  <si>
    <t>Total intangible assets - Gross value</t>
  </si>
  <si>
    <t>155208</t>
  </si>
  <si>
    <t>Total intangible assets - Accumulated amortization</t>
  </si>
  <si>
    <t>155200</t>
  </si>
  <si>
    <t>Total intangible assets - Net</t>
  </si>
  <si>
    <t>BR0028</t>
  </si>
  <si>
    <t>155130</t>
  </si>
  <si>
    <t>Local goodwill -  Gross value</t>
  </si>
  <si>
    <t>155150</t>
  </si>
  <si>
    <t>Local goodwill -  Accumulated impairment</t>
  </si>
  <si>
    <t>155140</t>
  </si>
  <si>
    <t>Corporate goodwill -  Gross value</t>
  </si>
  <si>
    <t>155160</t>
  </si>
  <si>
    <t>Corporate goodwill -  Accumulated impairment</t>
  </si>
  <si>
    <t>155100</t>
  </si>
  <si>
    <t>Goodwill - Net</t>
  </si>
  <si>
    <t>BR0029</t>
  </si>
  <si>
    <t>153169</t>
  </si>
  <si>
    <t>RoUA Op. Lease Land and Mineral reserve</t>
  </si>
  <si>
    <t>153269</t>
  </si>
  <si>
    <t>RoUA Op. Lease Buildings and install</t>
  </si>
  <si>
    <t>153369</t>
  </si>
  <si>
    <t>RoUA Op. Lease Machines</t>
  </si>
  <si>
    <t>153469</t>
  </si>
  <si>
    <t>RoUA Op. Lease Furniture., vehicles, tools</t>
  </si>
  <si>
    <t>153069</t>
  </si>
  <si>
    <t>Operating lease right-of-use assets</t>
  </si>
  <si>
    <t>155310</t>
  </si>
  <si>
    <t>Deferred tax assets</t>
  </si>
  <si>
    <t>BR0031</t>
  </si>
  <si>
    <t>155700</t>
  </si>
  <si>
    <t>Pension assets</t>
  </si>
  <si>
    <t>BR0032</t>
  </si>
  <si>
    <t>150000</t>
  </si>
  <si>
    <t>Total LT assets</t>
  </si>
  <si>
    <t>BR0034</t>
  </si>
  <si>
    <t>100000</t>
  </si>
  <si>
    <t>Total assets</t>
  </si>
  <si>
    <t>BR0036</t>
  </si>
  <si>
    <t>211942</t>
  </si>
  <si>
    <t>Accounts payables trade - GR</t>
  </si>
  <si>
    <t>211952</t>
  </si>
  <si>
    <t>Accounts payables trade - JV/AS</t>
  </si>
  <si>
    <t>211970</t>
  </si>
  <si>
    <t>Accounts payables trade - TP</t>
  </si>
  <si>
    <t>211960</t>
  </si>
  <si>
    <t>Advance payments from customers - TP</t>
  </si>
  <si>
    <t>211200</t>
  </si>
  <si>
    <t>Total trade accounts payables</t>
  </si>
  <si>
    <t>BR0038</t>
  </si>
  <si>
    <t>211110</t>
  </si>
  <si>
    <t>ST financial liabilities - GR</t>
  </si>
  <si>
    <t>211120</t>
  </si>
  <si>
    <t>ST financial liabilities - JV/AS</t>
  </si>
  <si>
    <t>211131</t>
  </si>
  <si>
    <t>ST financial liabilities - TP</t>
  </si>
  <si>
    <t>211132</t>
  </si>
  <si>
    <t>Bank overdrafts</t>
  </si>
  <si>
    <t>211140</t>
  </si>
  <si>
    <t>Current portion of LT financial liabilities - GR</t>
  </si>
  <si>
    <t>211150</t>
  </si>
  <si>
    <t>Current portion of LT financial liabilities - JV/AS</t>
  </si>
  <si>
    <t>211152</t>
  </si>
  <si>
    <t>Current portion of LT lease liabilities - JV/AS</t>
  </si>
  <si>
    <t>211160</t>
  </si>
  <si>
    <t>Current portion of LT financial liabilities - TP</t>
  </si>
  <si>
    <t>211162</t>
  </si>
  <si>
    <t>Current portion of LT lease liabilities - TP</t>
  </si>
  <si>
    <t>211199E</t>
  </si>
  <si>
    <t>Elimination ST financial receivables and liabilities</t>
  </si>
  <si>
    <t>211100</t>
  </si>
  <si>
    <t>Total current financial liabilities</t>
  </si>
  <si>
    <t>211133</t>
  </si>
  <si>
    <t>ST derivative liabilities - TP</t>
  </si>
  <si>
    <t>BR0042</t>
  </si>
  <si>
    <t>211990</t>
  </si>
  <si>
    <t>Current income tax payable</t>
  </si>
  <si>
    <t>211991</t>
  </si>
  <si>
    <t>ST uncertain income tax liabilities</t>
  </si>
  <si>
    <t>211992</t>
  </si>
  <si>
    <t>Current income tax liabilities</t>
  </si>
  <si>
    <t>BR0044</t>
  </si>
  <si>
    <t>211910</t>
  </si>
  <si>
    <t>Advance int received, accrued int, dividends payable - GR</t>
  </si>
  <si>
    <t>211920</t>
  </si>
  <si>
    <t>Advance int received, accrued int, dividends payable - JV/AS</t>
  </si>
  <si>
    <t>211930</t>
  </si>
  <si>
    <t>Advance int received, accrued int, dividends payable - TP</t>
  </si>
  <si>
    <t>211943</t>
  </si>
  <si>
    <t>Oth current liabilities - GR</t>
  </si>
  <si>
    <t>211953</t>
  </si>
  <si>
    <t>Oth current liabilities - JV/AS</t>
  </si>
  <si>
    <t>211981</t>
  </si>
  <si>
    <t>Oth current liabilities - TP - others</t>
  </si>
  <si>
    <t>211976</t>
  </si>
  <si>
    <t>Oth current liabilities - CAPEX payables - TP</t>
  </si>
  <si>
    <t>211977</t>
  </si>
  <si>
    <t>Oth current liabilities - Financial investment payables - TP</t>
  </si>
  <si>
    <t>211978</t>
  </si>
  <si>
    <t>Oth curr liab - Sev pymt + oth non pension empl benefit - TP</t>
  </si>
  <si>
    <t>211959</t>
  </si>
  <si>
    <t>Current portion of LT operating lease liabilities - TP</t>
  </si>
  <si>
    <t>211969</t>
  </si>
  <si>
    <t>ST operating lease liabilities - TP (US GAAP)</t>
  </si>
  <si>
    <t>211997E</t>
  </si>
  <si>
    <t>Elimination of interests</t>
  </si>
  <si>
    <t>211998E</t>
  </si>
  <si>
    <t>Elimination of dividends</t>
  </si>
  <si>
    <t>211999E</t>
  </si>
  <si>
    <t>Elimination of trade</t>
  </si>
  <si>
    <t>211900</t>
  </si>
  <si>
    <t>Total other current liabilities</t>
  </si>
  <si>
    <t>BR0046</t>
  </si>
  <si>
    <t>211982</t>
  </si>
  <si>
    <t>ST provisions from TP</t>
  </si>
  <si>
    <t>BR0048</t>
  </si>
  <si>
    <t>211975</t>
  </si>
  <si>
    <t>Liabilities directly associated with assets classified as held for sale</t>
  </si>
  <si>
    <t>211000</t>
  </si>
  <si>
    <t>Total current liabilities</t>
  </si>
  <si>
    <t>BR0052</t>
  </si>
  <si>
    <t>215110</t>
  </si>
  <si>
    <t>LT financial liabilities - GR</t>
  </si>
  <si>
    <t>215120</t>
  </si>
  <si>
    <t>LT financial liabilities - JV/AS</t>
  </si>
  <si>
    <t>215122</t>
  </si>
  <si>
    <t>LT lease liabilities - JV/AS</t>
  </si>
  <si>
    <t>215130</t>
  </si>
  <si>
    <t>LT financial liabilities- TP</t>
  </si>
  <si>
    <t>215132</t>
  </si>
  <si>
    <t>LT lease liabilities - TP</t>
  </si>
  <si>
    <t>215999E</t>
  </si>
  <si>
    <t>Elimination of LT financial liabilities</t>
  </si>
  <si>
    <t>215100</t>
  </si>
  <si>
    <t>Total LT financial liabilities</t>
  </si>
  <si>
    <t>BR0054</t>
  </si>
  <si>
    <t>215134</t>
  </si>
  <si>
    <t>LT Derivative liabilities - TP</t>
  </si>
  <si>
    <t>BR0056</t>
  </si>
  <si>
    <t>215530</t>
  </si>
  <si>
    <t>Provision for pensions &amp; oth post-employment benefit plans</t>
  </si>
  <si>
    <t>BR0058</t>
  </si>
  <si>
    <t>215510</t>
  </si>
  <si>
    <t>Deferred income taxes</t>
  </si>
  <si>
    <t>215520</t>
  </si>
  <si>
    <t>LT provisions</t>
  </si>
  <si>
    <t>BR0062</t>
  </si>
  <si>
    <t>215569</t>
  </si>
  <si>
    <t>LT operating lease liability - TP (US GAAP)</t>
  </si>
  <si>
    <t>BR0063</t>
  </si>
  <si>
    <t>215610</t>
  </si>
  <si>
    <t>LT income tax liabilities</t>
  </si>
  <si>
    <t>BR0064</t>
  </si>
  <si>
    <t>215000</t>
  </si>
  <si>
    <t>Total LT liabilities</t>
  </si>
  <si>
    <t>BR0066</t>
  </si>
  <si>
    <t>210000</t>
  </si>
  <si>
    <t>Total liabilities</t>
  </si>
  <si>
    <t>BR0068</t>
  </si>
  <si>
    <t>231099</t>
  </si>
  <si>
    <t>Issued capital</t>
  </si>
  <si>
    <t>231300</t>
  </si>
  <si>
    <t>Capital surplus (discount)</t>
  </si>
  <si>
    <t>BR0072</t>
  </si>
  <si>
    <t>233000</t>
  </si>
  <si>
    <t>Treasury shares Amrize Ltd.</t>
  </si>
  <si>
    <t>BR0074</t>
  </si>
  <si>
    <t>235100</t>
  </si>
  <si>
    <t>Reserves</t>
  </si>
  <si>
    <t>235200</t>
  </si>
  <si>
    <t>Prior years retained earnings</t>
  </si>
  <si>
    <t>235201</t>
  </si>
  <si>
    <t>CY retained earnings (Net income)</t>
  </si>
  <si>
    <t>235210</t>
  </si>
  <si>
    <t>Retained earnings - corporate goodwill impact</t>
  </si>
  <si>
    <t>235300</t>
  </si>
  <si>
    <t>Currency translation adjustments</t>
  </si>
  <si>
    <t>235301</t>
  </si>
  <si>
    <t>Tax effect on currency translation adjustments</t>
  </si>
  <si>
    <t>235302</t>
  </si>
  <si>
    <t>Currency translation adjustments - corporate goodwill</t>
  </si>
  <si>
    <t>235305</t>
  </si>
  <si>
    <t>Net investment hedge</t>
  </si>
  <si>
    <t>235310</t>
  </si>
  <si>
    <t>Tax effect on net investment hedge</t>
  </si>
  <si>
    <t>235405</t>
  </si>
  <si>
    <t>Deferred cost of hedging equity reserve</t>
  </si>
  <si>
    <t>235505</t>
  </si>
  <si>
    <t>Perpetual bond</t>
  </si>
  <si>
    <t>235606</t>
  </si>
  <si>
    <t>Fair value through OCE equity reserve</t>
  </si>
  <si>
    <t>235611</t>
  </si>
  <si>
    <t>Tax effect on strategic equity inv at fair value through OCE</t>
  </si>
  <si>
    <t>235705</t>
  </si>
  <si>
    <t>Cash flow hedges</t>
  </si>
  <si>
    <t>235710</t>
  </si>
  <si>
    <t>Tax effect on cash flow hedges</t>
  </si>
  <si>
    <t>235805</t>
  </si>
  <si>
    <t>Actual (gain) loss on prov pensions &amp; oth post-employment benef plans</t>
  </si>
  <si>
    <t>235810</t>
  </si>
  <si>
    <t>Return on plan assets excl int income</t>
  </si>
  <si>
    <t>235815</t>
  </si>
  <si>
    <t>Change in the eff of the asset ceiling excl int income</t>
  </si>
  <si>
    <t>235820</t>
  </si>
  <si>
    <t>Tax eff on prov pensions &amp; oth post-employment benef plans</t>
  </si>
  <si>
    <t>235905</t>
  </si>
  <si>
    <t>Amounts recognized in equity rel to AHFS</t>
  </si>
  <si>
    <t>235910</t>
  </si>
  <si>
    <t>Tax effect on amounts recognized in equity rel to AHFS</t>
  </si>
  <si>
    <t>235920</t>
  </si>
  <si>
    <t>Charges (credit) arising on transactions with NC int</t>
  </si>
  <si>
    <t>235000</t>
  </si>
  <si>
    <t>Total reserves and retained earnings</t>
  </si>
  <si>
    <t>BR0076</t>
  </si>
  <si>
    <t>250000</t>
  </si>
  <si>
    <t>Interest of NC shareholders in equity</t>
  </si>
  <si>
    <t>BR0078</t>
  </si>
  <si>
    <t>220000</t>
  </si>
  <si>
    <t>Total shareholders equity (including NCI)</t>
  </si>
  <si>
    <t>200000</t>
  </si>
  <si>
    <t>Total liabilities and shareholders equity</t>
  </si>
  <si>
    <t>BR0082</t>
  </si>
  <si>
    <t>BR0084</t>
  </si>
  <si>
    <t>CH0000</t>
  </si>
  <si>
    <t>Check (s/b zero)</t>
  </si>
  <si>
    <t>Statement of Cash Flow - YTD</t>
  </si>
  <si>
    <t>Period length: Cumulated</t>
  </si>
  <si>
    <t>CASH FLOW FROM OPERATING ACTIVITIES</t>
  </si>
  <si>
    <t>601</t>
  </si>
  <si>
    <t>602</t>
  </si>
  <si>
    <t>Depreciation of PPE and LT assets</t>
  </si>
  <si>
    <t>603</t>
  </si>
  <si>
    <t>604</t>
  </si>
  <si>
    <t>Depreciation of RoUA</t>
  </si>
  <si>
    <t>604A</t>
  </si>
  <si>
    <t>Right-of-Use Assets - Operating Expense (US GAAP)</t>
  </si>
  <si>
    <t>Share of profits of joint ventures</t>
  </si>
  <si>
    <t>605</t>
  </si>
  <si>
    <t>606</t>
  </si>
  <si>
    <t>Restructuring, litigations and other non-recurring costs</t>
  </si>
  <si>
    <t>607</t>
  </si>
  <si>
    <t>Restructuring, litigation and other one-offs</t>
  </si>
  <si>
    <t>608</t>
  </si>
  <si>
    <t>Non cash effective litigation and restructuring ST and LT provisions</t>
  </si>
  <si>
    <t>Employee benefits and other operating items</t>
  </si>
  <si>
    <t>609</t>
  </si>
  <si>
    <t>610</t>
  </si>
  <si>
    <t>Gain (losses) on reassesment and modification of leases</t>
  </si>
  <si>
    <t>611</t>
  </si>
  <si>
    <t>Cash effective litigation of ST and LT provisions</t>
  </si>
  <si>
    <t>612</t>
  </si>
  <si>
    <t>Cash effective pensions provisions</t>
  </si>
  <si>
    <t>613</t>
  </si>
  <si>
    <t>Non cash effective pensions provIsions</t>
  </si>
  <si>
    <t>614</t>
  </si>
  <si>
    <t>Non cash effective site restoration and other provisions</t>
  </si>
  <si>
    <t>614_01</t>
  </si>
  <si>
    <t>Share-based compensation</t>
  </si>
  <si>
    <t>Dividends received</t>
  </si>
  <si>
    <t>615</t>
  </si>
  <si>
    <t>Dividends received - GR</t>
  </si>
  <si>
    <t>616</t>
  </si>
  <si>
    <t>Dividends received - JV</t>
  </si>
  <si>
    <t>617</t>
  </si>
  <si>
    <t>Dividends received - AS/TP</t>
  </si>
  <si>
    <t>Net financial expenses paid</t>
  </si>
  <si>
    <t>Financial income received</t>
  </si>
  <si>
    <t>619</t>
  </si>
  <si>
    <t>Financial income received - GR</t>
  </si>
  <si>
    <t>620</t>
  </si>
  <si>
    <t>Financial income received - JV/AS/TP</t>
  </si>
  <si>
    <t>Financial expenses paid</t>
  </si>
  <si>
    <t>621</t>
  </si>
  <si>
    <t>Financial expenses paid - GR</t>
  </si>
  <si>
    <t>622</t>
  </si>
  <si>
    <t>Financial expenses paid - JV/AS/TP</t>
  </si>
  <si>
    <t>623</t>
  </si>
  <si>
    <t>Financial expenses paid - Interests on leases - JV/AS/TP</t>
  </si>
  <si>
    <t>Cash effective exchange gains (losses)</t>
  </si>
  <si>
    <t>624</t>
  </si>
  <si>
    <t>625</t>
  </si>
  <si>
    <t>Elim of cash effective exchange gains (losses)</t>
  </si>
  <si>
    <t>626</t>
  </si>
  <si>
    <t>Income taxes (paid)</t>
  </si>
  <si>
    <t>Cash impact of other non operating inc (exp)</t>
  </si>
  <si>
    <t>627</t>
  </si>
  <si>
    <t>Cash effective inc (exp) on non-oper assets - GR</t>
  </si>
  <si>
    <t>628</t>
  </si>
  <si>
    <t>Cash effective inc (exp) on non-oper assets - JV/AS/TP</t>
  </si>
  <si>
    <t>629</t>
  </si>
  <si>
    <t>Unusual items</t>
  </si>
  <si>
    <t>630</t>
  </si>
  <si>
    <t>Change in inventories</t>
  </si>
  <si>
    <t>630_01</t>
  </si>
  <si>
    <t>Inventories</t>
  </si>
  <si>
    <t>630_02</t>
  </si>
  <si>
    <t>Inventory value adjustments</t>
  </si>
  <si>
    <t>Change in accounts receivable trade</t>
  </si>
  <si>
    <t>631</t>
  </si>
  <si>
    <t>De(In)crease accounts receivable trade - GR</t>
  </si>
  <si>
    <t>632</t>
  </si>
  <si>
    <t>De(In)crease accounts receivable trade - JV/AS/TP</t>
  </si>
  <si>
    <t>633</t>
  </si>
  <si>
    <t>Other provisions, write-offs and non-cash items - AR</t>
  </si>
  <si>
    <t>Change in accounts payable trade</t>
  </si>
  <si>
    <t>634</t>
  </si>
  <si>
    <t>In(De)crease accounts payable trade - GR</t>
  </si>
  <si>
    <t>635</t>
  </si>
  <si>
    <t>In(De)crease accounts payable trade - JV/AS/TP</t>
  </si>
  <si>
    <t>Change in net working capital</t>
  </si>
  <si>
    <t>Change in other receivables and liabilities</t>
  </si>
  <si>
    <t>636</t>
  </si>
  <si>
    <t>Cash effective restructuring of ST and LT provisions</t>
  </si>
  <si>
    <t>De(In)crease other current receivables</t>
  </si>
  <si>
    <t>637</t>
  </si>
  <si>
    <t>De(In)crease accounts receivable other - JV/AS/TP</t>
  </si>
  <si>
    <t>638</t>
  </si>
  <si>
    <t>De(In)crease accounts receivable other - GR</t>
  </si>
  <si>
    <t>639</t>
  </si>
  <si>
    <t>De(In)crease prepaid exp and other current assets</t>
  </si>
  <si>
    <t>In(De)crease other current liabilities</t>
  </si>
  <si>
    <t>640</t>
  </si>
  <si>
    <t>In(De)crease other current liabilities - GR</t>
  </si>
  <si>
    <t>641</t>
  </si>
  <si>
    <t>642</t>
  </si>
  <si>
    <t>In(De)crease other current liabilities - JV/AS/TP</t>
  </si>
  <si>
    <t>643</t>
  </si>
  <si>
    <t>Site restoration provision cash out</t>
  </si>
  <si>
    <t>644</t>
  </si>
  <si>
    <t>Cash effective other provisions</t>
  </si>
  <si>
    <t>Total change in working capital</t>
  </si>
  <si>
    <t>698</t>
  </si>
  <si>
    <t>Operating lease liabilities - US GAAP</t>
  </si>
  <si>
    <t>Cash flow from operating activities</t>
  </si>
  <si>
    <t>CASH FLOW FROM INVESTING ACTIVITIES</t>
  </si>
  <si>
    <t>Investment to maintain production capacity and competition</t>
  </si>
  <si>
    <t>645</t>
  </si>
  <si>
    <t>Addit to PPE strict maintenance - Maintain</t>
  </si>
  <si>
    <t>646</t>
  </si>
  <si>
    <t>Addit to PPE compliance - Sustain</t>
  </si>
  <si>
    <t>647</t>
  </si>
  <si>
    <t>Addit to PPE safety - Sustain</t>
  </si>
  <si>
    <t>648</t>
  </si>
  <si>
    <t>Addit to PPE land and mineral reserves - Replace</t>
  </si>
  <si>
    <t>649</t>
  </si>
  <si>
    <t>Addit to PPE revamping - Replace</t>
  </si>
  <si>
    <t>650</t>
  </si>
  <si>
    <t>Addit to PPE GR infra - Replace</t>
  </si>
  <si>
    <t>Investment to develop</t>
  </si>
  <si>
    <t>651</t>
  </si>
  <si>
    <t>Addit to PPE Efficiency - CAPEX to improv cost and perf</t>
  </si>
  <si>
    <t>652</t>
  </si>
  <si>
    <t>Addit to PPE Productivity - CAPEX to improv cost and perf</t>
  </si>
  <si>
    <t>653</t>
  </si>
  <si>
    <t>Addit to PPE GR infra -Transf and innov - CAPEX to innovate</t>
  </si>
  <si>
    <t>654</t>
  </si>
  <si>
    <t>Addit to PPE capacity expansion - CAPEX to grow organic</t>
  </si>
  <si>
    <t>Purchase of PPE (before grants)</t>
  </si>
  <si>
    <t>Grants</t>
  </si>
  <si>
    <t>691</t>
  </si>
  <si>
    <t>Grants - Investment to maintain production capacity and competitiveness</t>
  </si>
  <si>
    <t>693</t>
  </si>
  <si>
    <t>Grants - Investment to develop</t>
  </si>
  <si>
    <t>Purchase of PPE (net of grants)</t>
  </si>
  <si>
    <t>655</t>
  </si>
  <si>
    <t>Proceeds from sale of PPE</t>
  </si>
  <si>
    <t>655_01</t>
  </si>
  <si>
    <t>Disposal of PPE - A/R</t>
  </si>
  <si>
    <t>655_02</t>
  </si>
  <si>
    <t>Cash effective proceeds from sale of PPE</t>
  </si>
  <si>
    <t>Net (additions) proceeds from PPE</t>
  </si>
  <si>
    <t>Disp (Acq) of GR/Subsidiaries</t>
  </si>
  <si>
    <t>656</t>
  </si>
  <si>
    <t>Disp (Acq) of GR/Subsidiaries - Sold to (Acq from) - GR</t>
  </si>
  <si>
    <t>657</t>
  </si>
  <si>
    <t>Disp (Acq) of GR/Subsidiaries - Sold to (Acq from) - JV/AS/TP</t>
  </si>
  <si>
    <t>De(In)crease in partic in JV/AS/TP</t>
  </si>
  <si>
    <t>658</t>
  </si>
  <si>
    <t>De(In)crease in partic in JV/AS/TP - Sold to (Acq from) GR</t>
  </si>
  <si>
    <t>659</t>
  </si>
  <si>
    <t>De(In)crease in partic in JV/AS/TP - Sold (Acq) JV/AS/TP</t>
  </si>
  <si>
    <t>659_01</t>
  </si>
  <si>
    <t>Fin investment - TP - acq cost increase/purchase</t>
  </si>
  <si>
    <t>659_02</t>
  </si>
  <si>
    <t>Fin investment - JV/AS/TP - cash effective sale/purchase price</t>
  </si>
  <si>
    <t>De(In)crease ST financial receivables</t>
  </si>
  <si>
    <t>660</t>
  </si>
  <si>
    <t>De(In)crease ST financial receivables - GR</t>
  </si>
  <si>
    <t>661</t>
  </si>
  <si>
    <t>De(In)crease ST financial receivables - JV/AS/TP</t>
  </si>
  <si>
    <t>De(In)crease LT financial receivables</t>
  </si>
  <si>
    <t>662</t>
  </si>
  <si>
    <t>De(In)crease LT financial receivables - GR</t>
  </si>
  <si>
    <t>663</t>
  </si>
  <si>
    <t>De(In)crease LT financial receivables - JV/AS/TP</t>
  </si>
  <si>
    <t>De(In)crease intangible assets</t>
  </si>
  <si>
    <t>664</t>
  </si>
  <si>
    <t>De(In)crease intg assets, other LT, non-current assets HFS</t>
  </si>
  <si>
    <t>De(In)crease marketable securities</t>
  </si>
  <si>
    <t>665</t>
  </si>
  <si>
    <t>De(In)crease marketable securities - GR</t>
  </si>
  <si>
    <t>666</t>
  </si>
  <si>
    <t>De(In)crease marketable securities - JV/AS/TP</t>
  </si>
  <si>
    <t>Net financial (in)divestments</t>
  </si>
  <si>
    <t>Cash flow from investing activities</t>
  </si>
  <si>
    <t>CASH FLOW FROM FINANCING ACTIVITIES</t>
  </si>
  <si>
    <t>Dividends paid</t>
  </si>
  <si>
    <t>667</t>
  </si>
  <si>
    <t>Dividends paid - GR</t>
  </si>
  <si>
    <t>668</t>
  </si>
  <si>
    <t>Dividends paid - JV/AS/TP</t>
  </si>
  <si>
    <t>669</t>
  </si>
  <si>
    <t>Elimination diff dividends (paid) - GR</t>
  </si>
  <si>
    <t>Equity capital paid in (repaid)</t>
  </si>
  <si>
    <t>670</t>
  </si>
  <si>
    <t>Equity capital paid in (repaid) - GR</t>
  </si>
  <si>
    <t>671</t>
  </si>
  <si>
    <t>Equity capital paid in (repaid) - JV/AS/TP</t>
  </si>
  <si>
    <t>672</t>
  </si>
  <si>
    <t>Proceeds from (repayments of) perpetual bond</t>
  </si>
  <si>
    <t>673</t>
  </si>
  <si>
    <t>Coupon paid on perpetual bond</t>
  </si>
  <si>
    <t>674</t>
  </si>
  <si>
    <t>Cash flow from treasury shares Amrize Ltd.</t>
  </si>
  <si>
    <t>De(In)crease in partic in GR and Subsidiary</t>
  </si>
  <si>
    <t>675</t>
  </si>
  <si>
    <t>De(In)crease in partic in GR/Subsidiary - Sold (Acq) GR</t>
  </si>
  <si>
    <t>676</t>
  </si>
  <si>
    <t>De(In)crease in partic in GR/Subsid - Sold (Acq) JV/AS/TP</t>
  </si>
  <si>
    <t>In(De)crease ST financial liabilities</t>
  </si>
  <si>
    <t>677</t>
  </si>
  <si>
    <t>Increase ST financial liabilities - GR</t>
  </si>
  <si>
    <t>678</t>
  </si>
  <si>
    <t>Increase ST financial liabilities - JV/AS/TP</t>
  </si>
  <si>
    <t>679</t>
  </si>
  <si>
    <t>Decrease ST financial liabilities - GR</t>
  </si>
  <si>
    <t>680</t>
  </si>
  <si>
    <t>Decrease ST financial liabilities - JV/AS/TP</t>
  </si>
  <si>
    <t>681</t>
  </si>
  <si>
    <t>Elim diff in ST financial receivables + liabilities - GR</t>
  </si>
  <si>
    <t>Change in LT financial liabilities</t>
  </si>
  <si>
    <t>Proceeds from LT financial liabilities (incl. ST portion)</t>
  </si>
  <si>
    <t>682</t>
  </si>
  <si>
    <t>Proceeds from LT financial liab - GR</t>
  </si>
  <si>
    <t>683</t>
  </si>
  <si>
    <t>Proceeds from LT financial liab - JV/AS/TP</t>
  </si>
  <si>
    <t>684</t>
  </si>
  <si>
    <t>Elim diff in LT financial receivable and liab - GR</t>
  </si>
  <si>
    <t>685</t>
  </si>
  <si>
    <t>Repayment of LT leases JV/AS/TP</t>
  </si>
  <si>
    <t>685_01</t>
  </si>
  <si>
    <t>Lease liability decrease/disposal</t>
  </si>
  <si>
    <t>685_02</t>
  </si>
  <si>
    <t>Fin exp - interest on lease liabilities</t>
  </si>
  <si>
    <t>Repayment of LT financial liabilities</t>
  </si>
  <si>
    <t>Repayment of LT financial liabilities (incl ST portion)</t>
  </si>
  <si>
    <t>686</t>
  </si>
  <si>
    <t>Repayment of LT financial liab - GR</t>
  </si>
  <si>
    <t>687</t>
  </si>
  <si>
    <t>Repayment of LT financial liab JV/AS/TP</t>
  </si>
  <si>
    <t>Repayment of LT financial liabilities (incl LT portion)</t>
  </si>
  <si>
    <t>688</t>
  </si>
  <si>
    <t>Repayment of LT financing liab - GR</t>
  </si>
  <si>
    <t>689</t>
  </si>
  <si>
    <t>Repayment of LT financing liab - JV/AS/TP</t>
  </si>
  <si>
    <t>690</t>
  </si>
  <si>
    <t>Elim diff in LT financial receivables and liabilities - GR</t>
  </si>
  <si>
    <t>Cash flow from financing activities</t>
  </si>
  <si>
    <t>692</t>
  </si>
  <si>
    <t>In(De)crease in cash and cash equivalents</t>
  </si>
  <si>
    <t>600</t>
  </si>
  <si>
    <t>Cash and cash equivalents at the start of the year</t>
  </si>
  <si>
    <t>697</t>
  </si>
  <si>
    <t>694</t>
  </si>
  <si>
    <t>Effects of exchange rate changes on cash and cash equivalents</t>
  </si>
  <si>
    <t>696</t>
  </si>
  <si>
    <t>Cash and cash equivalents at the end of the period</t>
  </si>
  <si>
    <t>FREE CASH FLOW</t>
  </si>
  <si>
    <t>Free cash flow</t>
  </si>
  <si>
    <t>Free cash flow after leases</t>
  </si>
  <si>
    <t>Free cash flow after leases (before group fees)</t>
  </si>
  <si>
    <t>Cash conversion ratio after lease (before group fees)</t>
  </si>
  <si>
    <t>Cash conversion ratio (new)</t>
  </si>
  <si>
    <t>Free cash flow margin</t>
  </si>
  <si>
    <t>Statement of Cash Flow - QTD</t>
  </si>
  <si>
    <t>Period length: Quarter to date</t>
  </si>
  <si>
    <t>Statement of Cash Flow - MTD</t>
  </si>
  <si>
    <t>Period length: Monthly</t>
  </si>
  <si>
    <t>Income Statement By Segment - YTD</t>
  </si>
  <si>
    <t>Reporting period: May  2026</t>
  </si>
  <si>
    <t>TOTAL</t>
  </si>
  <si>
    <t>CLC</t>
  </si>
  <si>
    <t>MIC</t>
  </si>
  <si>
    <t>TRD</t>
  </si>
  <si>
    <t>CEM Elim</t>
  </si>
  <si>
    <t>Total CEM</t>
  </si>
  <si>
    <t>AGG</t>
  </si>
  <si>
    <t>RMX</t>
  </si>
  <si>
    <t>CEM/AGG/RMX Elim</t>
  </si>
  <si>
    <t>Building Materials</t>
  </si>
  <si>
    <t>CPR</t>
  </si>
  <si>
    <t>ASP</t>
  </si>
  <si>
    <t>COP</t>
  </si>
  <si>
    <t>RFG</t>
  </si>
  <si>
    <t>WPR</t>
  </si>
  <si>
    <t>DRM</t>
  </si>
  <si>
    <t>OSP</t>
  </si>
  <si>
    <t>S&amp;P Elim</t>
  </si>
  <si>
    <t>S&amp;P</t>
  </si>
  <si>
    <t>BM/S&amp;P Elim</t>
  </si>
  <si>
    <t>NOP</t>
  </si>
  <si>
    <t>NOP/OPS Elim</t>
  </si>
  <si>
    <t>Total NOP</t>
  </si>
  <si>
    <t>CEM</t>
  </si>
  <si>
    <t>205 - Statement of Cash Flows By Segment</t>
  </si>
  <si>
    <t>NOC</t>
  </si>
  <si>
    <t>Balance Sheet by Segment - YTD</t>
  </si>
  <si>
    <t>Reporting Period: May</t>
  </si>
  <si>
    <t>210B - Income Statement By Entity - Component</t>
  </si>
  <si>
    <t>Scenario: 2026 Actuals</t>
  </si>
  <si>
    <t>CA26(PARENT SEGM.)</t>
  </si>
  <si>
    <t>US11(PARENT SEGM.)</t>
  </si>
  <si>
    <t>US21(PARENT SEGM.)</t>
  </si>
  <si>
    <t>US23(PARENT SEGM.)</t>
  </si>
  <si>
    <t>US24(PARENT SEGM.)</t>
  </si>
  <si>
    <t>US25(PARENT SEGM.)</t>
  </si>
  <si>
    <t>US26(PARENT SEGM.)</t>
  </si>
  <si>
    <t>US27(PARENT SEGM.)</t>
  </si>
  <si>
    <t>US29(PARENT SEGM.)</t>
  </si>
  <si>
    <t>US33(PARENT SEGM.)</t>
  </si>
  <si>
    <t>321100</t>
  </si>
  <si>
    <t>321150</t>
  </si>
  <si>
    <t>Fuels/thermal energy (kiln)</t>
  </si>
  <si>
    <t>321160</t>
  </si>
  <si>
    <t>CO2 Emissions Costs (Cash)</t>
  </si>
  <si>
    <t>321170</t>
  </si>
  <si>
    <t>CO2 Emissions Costs (Non-Cash)</t>
  </si>
  <si>
    <t>321180</t>
  </si>
  <si>
    <t>CO2 Emissions Allowances Granted</t>
  </si>
  <si>
    <t>321200</t>
  </si>
  <si>
    <t>321250</t>
  </si>
  <si>
    <t>Electrical energy variable</t>
  </si>
  <si>
    <t>321300</t>
  </si>
  <si>
    <t>Production and distribution material</t>
  </si>
  <si>
    <t>321350</t>
  </si>
  <si>
    <t>Packing material</t>
  </si>
  <si>
    <t>321400</t>
  </si>
  <si>
    <t>Wear parts</t>
  </si>
  <si>
    <t>321490</t>
  </si>
  <si>
    <t>Labor expenses own variable</t>
  </si>
  <si>
    <t>321500</t>
  </si>
  <si>
    <t>Labor expenses subcontracted variable</t>
  </si>
  <si>
    <t>321540</t>
  </si>
  <si>
    <t>Labor expenses maintenance own variable</t>
  </si>
  <si>
    <t>321550</t>
  </si>
  <si>
    <t>Labor expenses maintenance subcontracted variable</t>
  </si>
  <si>
    <t>321600</t>
  </si>
  <si>
    <t>Third party transportation</t>
  </si>
  <si>
    <t>321650</t>
  </si>
  <si>
    <t>Outsourced activities</t>
  </si>
  <si>
    <t>321700</t>
  </si>
  <si>
    <t>Mining concessions and royalities</t>
  </si>
  <si>
    <t>323400</t>
  </si>
  <si>
    <t>Write-offs and allow. for bad and doubtful debts</t>
  </si>
  <si>
    <t>322100</t>
  </si>
  <si>
    <t>Electrical energy fixed</t>
  </si>
  <si>
    <t>322150</t>
  </si>
  <si>
    <t>Maintenance material</t>
  </si>
  <si>
    <t>322200</t>
  </si>
  <si>
    <t>Labor expenses own fixed</t>
  </si>
  <si>
    <t>322250</t>
  </si>
  <si>
    <t>Labor expenses subcontracted fixed</t>
  </si>
  <si>
    <t>322300</t>
  </si>
  <si>
    <t>Labor expenses maintenance own fixed</t>
  </si>
  <si>
    <t>322350</t>
  </si>
  <si>
    <t xml:space="preserve">Labor expenses maintenance subcontracted fixed	</t>
  </si>
  <si>
    <t>322400</t>
  </si>
  <si>
    <t>Other personnel expenses</t>
  </si>
  <si>
    <t>322450</t>
  </si>
  <si>
    <t>322459</t>
  </si>
  <si>
    <t>322500</t>
  </si>
  <si>
    <t>Third party services  maintenance</t>
  </si>
  <si>
    <t>322550</t>
  </si>
  <si>
    <t>Other cost center expenses</t>
  </si>
  <si>
    <t>322600</t>
  </si>
  <si>
    <t>By-products and other revenues</t>
  </si>
  <si>
    <t>322700</t>
  </si>
  <si>
    <t>Other provisions and write-offs</t>
  </si>
  <si>
    <t>322710</t>
  </si>
  <si>
    <t xml:space="preserve">Provision for inventory obsolescence </t>
  </si>
  <si>
    <t>322800</t>
  </si>
  <si>
    <t>322810</t>
  </si>
  <si>
    <t>323100</t>
  </si>
  <si>
    <t>323150</t>
  </si>
  <si>
    <t>Inter-unit production freight</t>
  </si>
  <si>
    <t>323200</t>
  </si>
  <si>
    <t>323300</t>
  </si>
  <si>
    <t>Inventory movements finished products</t>
  </si>
  <si>
    <t>323600</t>
  </si>
  <si>
    <t>Cost/revenues of CO2 emissions rights</t>
  </si>
  <si>
    <t xml:space="preserve">Other non-recurring costs </t>
  </si>
  <si>
    <t>Impairment of investment</t>
  </si>
  <si>
    <t>Impairment of right of use assets</t>
  </si>
  <si>
    <t>Accretion of asset retirement obligation (ARO) (NA only)</t>
  </si>
  <si>
    <t>Depreciation and amortization of RoUA</t>
  </si>
  <si>
    <t>391000</t>
  </si>
  <si>
    <t>Allocation of indirect costs before depreciation</t>
  </si>
  <si>
    <t>Allocation of indirect gains (losses) on reassesment, modification of leases and RoUA depreciation</t>
  </si>
  <si>
    <t>Elimination of net sales - GR (admin finance)</t>
  </si>
  <si>
    <t>Elimination of net sales - GR (marketing &amp; sales)</t>
  </si>
  <si>
    <t>Elimination of net sales - GR (distribution)</t>
  </si>
  <si>
    <t>Elimination of revenues - GR (production)</t>
  </si>
  <si>
    <t>Other unusual income (expenses) - Cash effective</t>
  </si>
  <si>
    <t>Other unusual income (expenses) - Non cash effective</t>
  </si>
  <si>
    <t>332220</t>
  </si>
  <si>
    <t>Other unusual income (expenses)</t>
  </si>
  <si>
    <t>Dividends earned - JV/AS</t>
  </si>
  <si>
    <t>314210</t>
  </si>
  <si>
    <t>Fin inc - JV/AS - Int earned on cash, cash equivalents</t>
  </si>
  <si>
    <t>314212</t>
  </si>
  <si>
    <t>Fin inc - JV/AS - Int earned on marketable securities</t>
  </si>
  <si>
    <t>314220</t>
  </si>
  <si>
    <t>Fin inc - JV/AS - Other fin inc</t>
  </si>
  <si>
    <t>314231</t>
  </si>
  <si>
    <t>Fin inc - JV/AS - Amortization</t>
  </si>
  <si>
    <t>314232</t>
  </si>
  <si>
    <t>Fin inc - JV/AS - Fair value change</t>
  </si>
  <si>
    <t>314240</t>
  </si>
  <si>
    <t>Fin inc - JV/AS - Int earned on fin assets</t>
  </si>
  <si>
    <t>314411</t>
  </si>
  <si>
    <t>Fin inc - TP - Int earned on cash, cash equivalents</t>
  </si>
  <si>
    <t>314412</t>
  </si>
  <si>
    <t>Fin inc - TP - Int earned on marketable securities</t>
  </si>
  <si>
    <t>314420</t>
  </si>
  <si>
    <t>Fin inc - TP - Other fin inc</t>
  </si>
  <si>
    <t>314431</t>
  </si>
  <si>
    <t>Fin inc - TP - Amortization</t>
  </si>
  <si>
    <t>314432</t>
  </si>
  <si>
    <t>Fin inc - TP - Fair value change</t>
  </si>
  <si>
    <t>314440</t>
  </si>
  <si>
    <t>Fin inc - TP - Int earned on other fin assets</t>
  </si>
  <si>
    <t>Elimination of financial income</t>
  </si>
  <si>
    <t>325210</t>
  </si>
  <si>
    <t>Fin exp - JV/AS - Int on fin liab</t>
  </si>
  <si>
    <t>325220</t>
  </si>
  <si>
    <t>Fin exp - JV/AS - Int on other liab</t>
  </si>
  <si>
    <t>325230</t>
  </si>
  <si>
    <t>Fin exp - JV/AS - Amortization</t>
  </si>
  <si>
    <t>325240</t>
  </si>
  <si>
    <t>Fin exp - JV/AS - Fair value change</t>
  </si>
  <si>
    <t>325250</t>
  </si>
  <si>
    <t>Fin exp - JV/AS - Other direct rel to a fin trans</t>
  </si>
  <si>
    <t>325260</t>
  </si>
  <si>
    <t>Fin exp - JV/AS - Other not direct rel to a fin trans</t>
  </si>
  <si>
    <t>325270</t>
  </si>
  <si>
    <t>Fin exp - JV/AS - Impairment</t>
  </si>
  <si>
    <t>325295</t>
  </si>
  <si>
    <t>Fin exp - JV/AS - Interest expense on lease liabilities - cash eff</t>
  </si>
  <si>
    <t>325296</t>
  </si>
  <si>
    <t>Fin exp - JV/AS - Interest expense on lease liabilities -non-cash eff</t>
  </si>
  <si>
    <t>325310</t>
  </si>
  <si>
    <t>Fin exp - TP - Int on fin liab</t>
  </si>
  <si>
    <t>325320</t>
  </si>
  <si>
    <t>Fin exp - TP - Int on other liab</t>
  </si>
  <si>
    <t>325330</t>
  </si>
  <si>
    <t>Fin exp - TP - Amortization</t>
  </si>
  <si>
    <t>325340</t>
  </si>
  <si>
    <t>Fin exp - TP - Fair value change</t>
  </si>
  <si>
    <t>325350</t>
  </si>
  <si>
    <t>Fin exp - TP - Other directly rel to a fin trans</t>
  </si>
  <si>
    <t>325360</t>
  </si>
  <si>
    <t>Fin expenses - TP - Other not direct rel to fin trans -cash eff</t>
  </si>
  <si>
    <t>325361</t>
  </si>
  <si>
    <t>Fin exp - TP -Other not direct rel to fin trans non-cash eff</t>
  </si>
  <si>
    <t>325362</t>
  </si>
  <si>
    <t>Fin. Expenses - TP - Unwinding of provisions cash eff</t>
  </si>
  <si>
    <t>325371</t>
  </si>
  <si>
    <t>Fin exp - TP - Impairment</t>
  </si>
  <si>
    <t>325390</t>
  </si>
  <si>
    <t>Capitalized financial expenses</t>
  </si>
  <si>
    <t>325395</t>
  </si>
  <si>
    <t>Fin exp - TP - Interest expense on lease liabilities - cash eff</t>
  </si>
  <si>
    <t>325396</t>
  </si>
  <si>
    <t>Fin exp - TP - Interest expense on lease liabilities -non-cash eff</t>
  </si>
  <si>
    <t>325400</t>
  </si>
  <si>
    <t>Foreign exchange gains (losses) - Realised</t>
  </si>
  <si>
    <t>325410</t>
  </si>
  <si>
    <t>Foreign exchange gains (losses) - Unrealised</t>
  </si>
  <si>
    <t>325451</t>
  </si>
  <si>
    <t>Net int inc (exp) on net pension liab/asset</t>
  </si>
  <si>
    <t>Undistributed earnings - JV/AS</t>
  </si>
  <si>
    <t>331180</t>
  </si>
  <si>
    <t>Other fees - GR</t>
  </si>
  <si>
    <t>331190</t>
  </si>
  <si>
    <t>Industrial Franchise Fee (IFF) - GR</t>
  </si>
  <si>
    <t>331210</t>
  </si>
  <si>
    <t>Rental income related to investment property - JV/AS</t>
  </si>
  <si>
    <t>331220</t>
  </si>
  <si>
    <t>Direct expenses related to invest property - JV/AS</t>
  </si>
  <si>
    <t>331230</t>
  </si>
  <si>
    <t>Oth inc (exp) on non-operating assets - JV/AS - Cash eff</t>
  </si>
  <si>
    <t>331231</t>
  </si>
  <si>
    <t>Oth inc (exp) on non-operating assets - JV/AS - Non-cash eff</t>
  </si>
  <si>
    <t>331310</t>
  </si>
  <si>
    <t>Rental income related to investment property - TP</t>
  </si>
  <si>
    <t>331320</t>
  </si>
  <si>
    <t>Direct expenses related to invest property - TP</t>
  </si>
  <si>
    <t>331330</t>
  </si>
  <si>
    <t>Oth inc (exp) on non-operating assets - TP - Cash eff</t>
  </si>
  <si>
    <t>331331</t>
  </si>
  <si>
    <t>Oth inc (exp) on non-operating assets - TP - Non-cash eff</t>
  </si>
  <si>
    <t>331332</t>
  </si>
  <si>
    <t>Cost of finished goods purchased - Elim Trading - TP</t>
  </si>
  <si>
    <t>Impairment of investment - AS</t>
  </si>
  <si>
    <t>Net income from discontinued operations (net of income tax)</t>
  </si>
  <si>
    <t>Int of NC shareholders in net income</t>
  </si>
  <si>
    <t>399999</t>
  </si>
  <si>
    <t>Net income (loss)</t>
  </si>
  <si>
    <t>211B - Balance Sheet By Entity - Component</t>
  </si>
  <si>
    <t>A-GU11(PARENT SEGM.)</t>
  </si>
  <si>
    <t>US20(PARENT SEGM.)</t>
  </si>
  <si>
    <t>111220</t>
  </si>
  <si>
    <t>Market securities - JV/AS/TP - Acq cost</t>
  </si>
  <si>
    <t>111225</t>
  </si>
  <si>
    <t>Market securities - JV/AS/TP - Impairment</t>
  </si>
  <si>
    <t>112120</t>
  </si>
  <si>
    <t>ST financial receiv - JV/AS - Acq cost</t>
  </si>
  <si>
    <t>112125</t>
  </si>
  <si>
    <t>ST financial receiv - JV/AS - Impairment</t>
  </si>
  <si>
    <t>112130</t>
  </si>
  <si>
    <t>ST financial receiv - TP - Acq cost</t>
  </si>
  <si>
    <t>112135</t>
  </si>
  <si>
    <t>ST financial receiv - TP - Impairment</t>
  </si>
  <si>
    <t>Allowances for doubtful financial receivables - JV/AS</t>
  </si>
  <si>
    <t>Allowances for doubtful financial receivables - TP</t>
  </si>
  <si>
    <t>Accounts receivable trade - GR</t>
  </si>
  <si>
    <t>Accounts receivable trade - JV/AS</t>
  </si>
  <si>
    <t xml:space="preserve">Allowances for doubtful accounts trade - JV/AS </t>
  </si>
  <si>
    <t>Allowances for doubtful accounts trade - TP</t>
  </si>
  <si>
    <t>Accounts receivable trade - TP</t>
  </si>
  <si>
    <t>Accounts receivable other – GR</t>
  </si>
  <si>
    <t>Accounts receivable other – JV/AS</t>
  </si>
  <si>
    <t>Accounts receivable other – TP</t>
  </si>
  <si>
    <t>Accounts receivable other – Disposal of PPE - TP</t>
  </si>
  <si>
    <t>Accounts receivable other – Disposal of Financial investments - TP</t>
  </si>
  <si>
    <t>119111</t>
  </si>
  <si>
    <t>Accrued dividends receivable - GR</t>
  </si>
  <si>
    <t>119112</t>
  </si>
  <si>
    <t>Prepaid int and accrued int receiv - GR</t>
  </si>
  <si>
    <t>119121</t>
  </si>
  <si>
    <t>Accrued dividends receivable - JV/AS</t>
  </si>
  <si>
    <t>119122</t>
  </si>
  <si>
    <t>Prepaid int and accrued int receiv - JV/AS</t>
  </si>
  <si>
    <t>119131</t>
  </si>
  <si>
    <t>Accrued dividends receivable - TP</t>
  </si>
  <si>
    <t>119132</t>
  </si>
  <si>
    <t>Prepaid int and accrued int receiv - TP</t>
  </si>
  <si>
    <t>119205</t>
  </si>
  <si>
    <t>Prepaid property taxes</t>
  </si>
  <si>
    <t>119210</t>
  </si>
  <si>
    <t>Prepaid indirect taxes</t>
  </si>
  <si>
    <t>119215</t>
  </si>
  <si>
    <t>Prepaid insurance</t>
  </si>
  <si>
    <t>119220</t>
  </si>
  <si>
    <t>Prepaid IT</t>
  </si>
  <si>
    <t>119225</t>
  </si>
  <si>
    <t>Prepaid rent</t>
  </si>
  <si>
    <t>119230</t>
  </si>
  <si>
    <t>Prepaid Royalties</t>
  </si>
  <si>
    <t>119235</t>
  </si>
  <si>
    <t>Pre-paid manufacturing - preventative maintenance costs</t>
  </si>
  <si>
    <t>Current income tax receivable/prepayment</t>
  </si>
  <si>
    <t>LT derivative assets – TP</t>
  </si>
  <si>
    <t>151111</t>
  </si>
  <si>
    <t>151111A</t>
  </si>
  <si>
    <t>Fin investments - GR - Adjust</t>
  </si>
  <si>
    <t>151111C</t>
  </si>
  <si>
    <t>Fin investment - GR - Elimination - Company</t>
  </si>
  <si>
    <t>151111H</t>
  </si>
  <si>
    <t>Fin investment - GR - Elimination - Holding</t>
  </si>
  <si>
    <t>151130</t>
  </si>
  <si>
    <t>Financial investments - TP - Acq cost</t>
  </si>
  <si>
    <t>151135</t>
  </si>
  <si>
    <t>Financial investments - TP - Impairment</t>
  </si>
  <si>
    <t>151520</t>
  </si>
  <si>
    <t>LT financial receiv - JV/AS - Acq cost</t>
  </si>
  <si>
    <t>151525</t>
  </si>
  <si>
    <t>LT financial receiv - JV/AS - Impairment</t>
  </si>
  <si>
    <t>151526</t>
  </si>
  <si>
    <t>Allow for doubtful LT fin receiv - JV/AS</t>
  </si>
  <si>
    <t>151530</t>
  </si>
  <si>
    <t>LT financial receiv - TP - Acq cost</t>
  </si>
  <si>
    <t>151535</t>
  </si>
  <si>
    <t>LT financial receiv - TP - Impairment</t>
  </si>
  <si>
    <t>151536</t>
  </si>
  <si>
    <t>Allow for doubtful LT financial receiv - TP</t>
  </si>
  <si>
    <t>Land and mineral reserves - Accumulated depreciation</t>
  </si>
  <si>
    <t>RoUA - Land and Mineral reserve - Gross value</t>
  </si>
  <si>
    <t>RoUA - Operating  Lease Land and Mineral reserve - Gross value - US GAAP</t>
  </si>
  <si>
    <t>RoUA - Land and mineral reserves - Accumulated depreciation</t>
  </si>
  <si>
    <t>RoUA - Buildings and installations - Gross value</t>
  </si>
  <si>
    <t>RoUA - Operating  Lease Buildings and installations - Gross value  - US GAAP</t>
  </si>
  <si>
    <t>RoUA - Buildings and installations - Accumulated depreciation</t>
  </si>
  <si>
    <t>RoUA - Machines - Gross value</t>
  </si>
  <si>
    <t>RoUA - Operating Lease Machines - Gross value - US GAAP</t>
  </si>
  <si>
    <t>RoUA - Machines - Accumulated depreciation</t>
  </si>
  <si>
    <t>RoUA - Furniture, vehicles and tools - Gross value</t>
  </si>
  <si>
    <t>RoUA - Operating  Lease Furniture, vehicles and tools - Gross value - US GAAP</t>
  </si>
  <si>
    <t>RoUA - Furniture, vehicles and tools - Accumulated depreciation</t>
  </si>
  <si>
    <t>Construction in progress - Gross value</t>
  </si>
  <si>
    <t>Construction in progress - Accumulated impairment</t>
  </si>
  <si>
    <t>RoUA - Prepaid Expenses - Gross value</t>
  </si>
  <si>
    <t>RoUA - Prepaid Expenses - Accumulated impairment</t>
  </si>
  <si>
    <t>Local goodwill - Gross value</t>
  </si>
  <si>
    <t>Corporate goodwill - Gross value</t>
  </si>
  <si>
    <t>Local goodwill - Acct impairment</t>
  </si>
  <si>
    <t>Corporate goodwill - Acct impairment</t>
  </si>
  <si>
    <t>Other intangible assets - Gross value</t>
  </si>
  <si>
    <t>Other intangible assets - Accumulated amortization</t>
  </si>
  <si>
    <t>Intangible Assets - Customer Relationships - Gross</t>
  </si>
  <si>
    <t>Intangible Assets - Customer Relationships - Acc Am</t>
  </si>
  <si>
    <t>Intangible Assets -  Mining Rights - Gross</t>
  </si>
  <si>
    <t>Intangible Assets -  Mining Rights - Acc Am</t>
  </si>
  <si>
    <t>Intangible Assets -  Software - Gross</t>
  </si>
  <si>
    <t>Intangible Assets -  Software - Acc Am</t>
  </si>
  <si>
    <t>Intangible Assets -  Developed Technology - Gross</t>
  </si>
  <si>
    <t>Intangible Assets -  Developed Technology - Acc Am</t>
  </si>
  <si>
    <t>Intangible Assets -  Trademarks - Gross</t>
  </si>
  <si>
    <t>Intangible Assets -  Trademarks - Acc Am</t>
  </si>
  <si>
    <t>Intangible Assets -  Other - Gross</t>
  </si>
  <si>
    <t>Intangible Assets -  Other - Acc Am</t>
  </si>
  <si>
    <t>Assets</t>
  </si>
  <si>
    <t>Liabilities from ST financing - JV/AS</t>
  </si>
  <si>
    <t>Liabilities from ST financing - TP</t>
  </si>
  <si>
    <t>Current portion of LT financing - JV/AS</t>
  </si>
  <si>
    <t>Current portion of LT lease liability - JV/AS</t>
  </si>
  <si>
    <t>Current portion of LT financing - TP</t>
  </si>
  <si>
    <t>Current portion of LT finance lease liability - TP</t>
  </si>
  <si>
    <t>Liabilities from ST financing - GR</t>
  </si>
  <si>
    <t>Current portion of LT financing - GR</t>
  </si>
  <si>
    <t>Elimination ST financial liabilities</t>
  </si>
  <si>
    <t>ST Derivative liabilities - TP</t>
  </si>
  <si>
    <t>Accounts payable trade - GR</t>
  </si>
  <si>
    <t>Accounts payable trade -  JV/AS</t>
  </si>
  <si>
    <t>ST operating lease liabilities TP - US GAAP</t>
  </si>
  <si>
    <t>Accounts payable trade - TP</t>
  </si>
  <si>
    <t>211911</t>
  </si>
  <si>
    <t>Dividends payable - GR</t>
  </si>
  <si>
    <t>211912</t>
  </si>
  <si>
    <t>Adv int rcvd, accrued int payable - GR</t>
  </si>
  <si>
    <t>211921</t>
  </si>
  <si>
    <t>Dividends payable - JV/AS</t>
  </si>
  <si>
    <t>211922</t>
  </si>
  <si>
    <t>Adv int rcvd and accrued int payable - JV/AS</t>
  </si>
  <si>
    <t>211931</t>
  </si>
  <si>
    <t>Dividends payable - TP</t>
  </si>
  <si>
    <t>211932</t>
  </si>
  <si>
    <t>Adv int rcvd and accrued int payable - TP</t>
  </si>
  <si>
    <t>Other current liabilities – CAPEX Payables – TP</t>
  </si>
  <si>
    <t>Other current liabilities – Financial investment Payables - TP</t>
  </si>
  <si>
    <t>Oth current liab - Severance payment and other employee benefit other than pension - TP</t>
  </si>
  <si>
    <t>Oth current liab - TP - others</t>
  </si>
  <si>
    <t>Other current liabilities - GR</t>
  </si>
  <si>
    <t>Oth current liab - JV/AS</t>
  </si>
  <si>
    <t>Current portion of LT operating lease liability - TP - US GAAP</t>
  </si>
  <si>
    <t>Liab classified as held for sale</t>
  </si>
  <si>
    <t>211983</t>
  </si>
  <si>
    <t>ST prov - Contingent liab arising from bus comb</t>
  </si>
  <si>
    <t>211984</t>
  </si>
  <si>
    <t>ST prov - Site restoration and other environ liab</t>
  </si>
  <si>
    <t>211985</t>
  </si>
  <si>
    <t>ST prov - Others</t>
  </si>
  <si>
    <t>211986</t>
  </si>
  <si>
    <t>ST prov - Litigation</t>
  </si>
  <si>
    <t>211987</t>
  </si>
  <si>
    <t>ST prov - Prov for restructuring</t>
  </si>
  <si>
    <t>211989</t>
  </si>
  <si>
    <t>ST prov - Liab arising from share-based payment trans</t>
  </si>
  <si>
    <t>211994</t>
  </si>
  <si>
    <t>ST prov - Prod and services warranties</t>
  </si>
  <si>
    <t>Current income taxes payable</t>
  </si>
  <si>
    <t>Short term uncertain income tax liabilities</t>
  </si>
  <si>
    <t>LT financing liabilities - JV/AS</t>
  </si>
  <si>
    <t>LT lease liability - JV/AS</t>
  </si>
  <si>
    <t>LT financing liabilities - TP</t>
  </si>
  <si>
    <t>LT lease liability - TP</t>
  </si>
  <si>
    <t>LT financing liabilities - GR</t>
  </si>
  <si>
    <t>215522</t>
  </si>
  <si>
    <t>LT prov - Site restoration and other environ liabilities</t>
  </si>
  <si>
    <t>215523</t>
  </si>
  <si>
    <t>LT prov - Litigation</t>
  </si>
  <si>
    <t>215524</t>
  </si>
  <si>
    <t>LT prov - Provisions for restructuring</t>
  </si>
  <si>
    <t>215525</t>
  </si>
  <si>
    <t>LT prov - Severance pay oth employee ben oth than pension</t>
  </si>
  <si>
    <t>215526</t>
  </si>
  <si>
    <t>LT prov - Others</t>
  </si>
  <si>
    <t>215527</t>
  </si>
  <si>
    <t>LT prov - Liabilities from share-based payment trans</t>
  </si>
  <si>
    <t>215528</t>
  </si>
  <si>
    <t>LT prov - Contingent liabilities arise from business comb</t>
  </si>
  <si>
    <t>215531</t>
  </si>
  <si>
    <t>LT prov - Prod and services warranties</t>
  </si>
  <si>
    <t>215521</t>
  </si>
  <si>
    <t>LT prov - Pensions and similar retirement plans</t>
  </si>
  <si>
    <t>LT operating lease liability - TP - US GAAP</t>
  </si>
  <si>
    <t>231100</t>
  </si>
  <si>
    <t>Authorized capital</t>
  </si>
  <si>
    <t>231200</t>
  </si>
  <si>
    <t>Uncalled capital</t>
  </si>
  <si>
    <t>Capital surplus/(discount)</t>
  </si>
  <si>
    <t>Retained earnings</t>
  </si>
  <si>
    <t>CY retained earnings - Net income (loss)</t>
  </si>
  <si>
    <t>Retained earnings - Corporate goodwill impact</t>
  </si>
  <si>
    <t>Currency translation adj (CTA)</t>
  </si>
  <si>
    <t>Currency translation adj - corporate goodwill</t>
  </si>
  <si>
    <t>Net parent investment</t>
  </si>
  <si>
    <t>Fair Value through OCE equity reserve</t>
  </si>
  <si>
    <t>Tax effect on strategic equity investment  at Fair Value through OCE</t>
  </si>
  <si>
    <t>Actuarial (gains) losses on defined benefit obligations</t>
  </si>
  <si>
    <t>Change in the eff of the asset ceiling excl int inc</t>
  </si>
  <si>
    <t>Tax effect on defined benefit plans</t>
  </si>
  <si>
    <t>Amounts recognized in equity rel to assets classif as HFS</t>
  </si>
  <si>
    <t>Tax effect on amt recognized  in eq rel to assets HFS</t>
  </si>
  <si>
    <t>Charges/credit arising on trans with NC int</t>
  </si>
  <si>
    <t>250010</t>
  </si>
  <si>
    <t>Int of NC shareholders in equity - Reserves</t>
  </si>
  <si>
    <t>250011</t>
  </si>
  <si>
    <t>Int of NC shareholders in equity - CY reserves</t>
  </si>
  <si>
    <t>250020</t>
  </si>
  <si>
    <t>Int of NC shareholders in equity - CTA</t>
  </si>
  <si>
    <t>250030</t>
  </si>
  <si>
    <t>Int of NC shareholders in equity - Treasury shares</t>
  </si>
  <si>
    <t>250040</t>
  </si>
  <si>
    <t>Int of NC shareholders in equity - Other OCI</t>
  </si>
  <si>
    <t>250041</t>
  </si>
  <si>
    <t>Int of NC shareholders in equity - Act gains/loss on Pension</t>
  </si>
  <si>
    <t>250045</t>
  </si>
  <si>
    <t>Int of NC shareholders in equity - Tax on Act gains/losses</t>
  </si>
  <si>
    <t>250050</t>
  </si>
  <si>
    <t>Int of NC shareholders in equity - GR</t>
  </si>
  <si>
    <t>Liabilities and equity</t>
  </si>
  <si>
    <t>212B - Statement of Cash Flows By Entity - Component</t>
  </si>
  <si>
    <t>Scenario:</t>
  </si>
  <si>
    <t>2026 Consolidated Actuals USD</t>
  </si>
  <si>
    <t>H00</t>
  </si>
  <si>
    <t>B00</t>
  </si>
  <si>
    <t>B71</t>
  </si>
  <si>
    <t>B72</t>
  </si>
  <si>
    <t>B03</t>
  </si>
  <si>
    <t>04A</t>
  </si>
  <si>
    <t>B04</t>
  </si>
  <si>
    <t>S00</t>
  </si>
  <si>
    <t>B05</t>
  </si>
  <si>
    <t>S01</t>
  </si>
  <si>
    <t>B06</t>
  </si>
  <si>
    <t>S02</t>
  </si>
  <si>
    <t>_01</t>
  </si>
  <si>
    <t>B07</t>
  </si>
  <si>
    <t>S03</t>
  </si>
  <si>
    <t>B08</t>
  </si>
  <si>
    <t>S04</t>
  </si>
  <si>
    <t>B09</t>
  </si>
  <si>
    <t>S05</t>
  </si>
  <si>
    <t>B10</t>
  </si>
  <si>
    <t>S06</t>
  </si>
  <si>
    <t>B11</t>
  </si>
  <si>
    <t>S07</t>
  </si>
  <si>
    <t>B12</t>
  </si>
  <si>
    <t>B13</t>
  </si>
  <si>
    <t>S08</t>
  </si>
  <si>
    <t>B14</t>
  </si>
  <si>
    <t>_02</t>
  </si>
  <si>
    <t>B15</t>
  </si>
  <si>
    <t>S09</t>
  </si>
  <si>
    <t>B16</t>
  </si>
  <si>
    <t>S10</t>
  </si>
  <si>
    <t>B17</t>
  </si>
  <si>
    <t>S11</t>
  </si>
  <si>
    <t>B18</t>
  </si>
  <si>
    <t>S12</t>
  </si>
  <si>
    <t>B02</t>
  </si>
  <si>
    <t>B19</t>
  </si>
  <si>
    <t>S13</t>
  </si>
  <si>
    <t>B20</t>
  </si>
  <si>
    <t>S14</t>
  </si>
  <si>
    <t>B67</t>
  </si>
  <si>
    <t>B69</t>
  </si>
  <si>
    <t>B21</t>
  </si>
  <si>
    <t>S15</t>
  </si>
  <si>
    <t>B22</t>
  </si>
  <si>
    <t>B70</t>
  </si>
  <si>
    <t>S16</t>
  </si>
  <si>
    <t>B23</t>
  </si>
  <si>
    <t>H01</t>
  </si>
  <si>
    <t>B24</t>
  </si>
  <si>
    <t>S17</t>
  </si>
  <si>
    <t>B25</t>
  </si>
  <si>
    <t>S18</t>
  </si>
  <si>
    <t>B26</t>
  </si>
  <si>
    <t>S19</t>
  </si>
  <si>
    <t>B27</t>
  </si>
  <si>
    <t>S20</t>
  </si>
  <si>
    <t>B28</t>
  </si>
  <si>
    <t>S21</t>
  </si>
  <si>
    <t>B29</t>
  </si>
  <si>
    <t>B30</t>
  </si>
  <si>
    <t>S22</t>
  </si>
  <si>
    <t>B31</t>
  </si>
  <si>
    <t>S23</t>
  </si>
  <si>
    <t>B32</t>
  </si>
  <si>
    <t>S24</t>
  </si>
  <si>
    <t>B33</t>
  </si>
  <si>
    <t>S25</t>
  </si>
  <si>
    <t>B34</t>
  </si>
  <si>
    <t>S26</t>
  </si>
  <si>
    <t>B35</t>
  </si>
  <si>
    <t>S27</t>
  </si>
  <si>
    <t>B36</t>
  </si>
  <si>
    <t>S28</t>
  </si>
  <si>
    <t>B37</t>
  </si>
  <si>
    <t>S29</t>
  </si>
  <si>
    <t>B38</t>
  </si>
  <si>
    <t>S30</t>
  </si>
  <si>
    <t>B39</t>
  </si>
  <si>
    <t>H02</t>
  </si>
  <si>
    <t>B40</t>
  </si>
  <si>
    <t>S31</t>
  </si>
  <si>
    <t>B41</t>
  </si>
  <si>
    <t>S32</t>
  </si>
  <si>
    <t>B42</t>
  </si>
  <si>
    <t>B43</t>
  </si>
  <si>
    <t>B59</t>
  </si>
  <si>
    <t>B44</t>
  </si>
  <si>
    <t>S33</t>
  </si>
  <si>
    <t>B45</t>
  </si>
  <si>
    <t>S34</t>
  </si>
  <si>
    <t>B46</t>
  </si>
  <si>
    <t>S35</t>
  </si>
  <si>
    <t>B47</t>
  </si>
  <si>
    <t>S36</t>
  </si>
  <si>
    <t>B48</t>
  </si>
  <si>
    <t>B49</t>
  </si>
  <si>
    <t>S37</t>
  </si>
  <si>
    <t>B50</t>
  </si>
  <si>
    <t>S39</t>
  </si>
  <si>
    <t>B51</t>
  </si>
  <si>
    <t>S40</t>
  </si>
  <si>
    <t>B52</t>
  </si>
  <si>
    <t>S41</t>
  </si>
  <si>
    <t>B53</t>
  </si>
  <si>
    <t>B54</t>
  </si>
  <si>
    <t>B55</t>
  </si>
  <si>
    <t>B56</t>
  </si>
  <si>
    <t>C01</t>
  </si>
  <si>
    <t>B57</t>
  </si>
  <si>
    <t>B58</t>
  </si>
  <si>
    <t>750</t>
  </si>
  <si>
    <t>B60</t>
  </si>
  <si>
    <t>752</t>
  </si>
  <si>
    <t>754</t>
  </si>
  <si>
    <t>756</t>
  </si>
  <si>
    <t>758</t>
  </si>
  <si>
    <t>760</t>
  </si>
  <si>
    <t>762</t>
  </si>
  <si>
    <t>764</t>
  </si>
  <si>
    <t>B65</t>
  </si>
  <si>
    <t>766</t>
  </si>
  <si>
    <t>770</t>
  </si>
  <si>
    <t>768</t>
  </si>
  <si>
    <t>B75</t>
  </si>
  <si>
    <t>Income Statement: CY &amp; PY Comparison - YTD</t>
  </si>
  <si>
    <t>Comparison period: May</t>
  </si>
  <si>
    <t>2026ACT_CONSUSD</t>
  </si>
  <si>
    <t>2025ACT_CONSUSD</t>
  </si>
  <si>
    <t>Current Year</t>
  </si>
  <si>
    <t>% of Revenues</t>
  </si>
  <si>
    <t>Prior Year</t>
  </si>
  <si>
    <t>Variance $</t>
  </si>
  <si>
    <t>Variance %</t>
  </si>
  <si>
    <t>Income Statement: CY &amp; PY Comparison - QTD</t>
  </si>
  <si>
    <t>Income Statement: CY &amp; PY Comparison - MTD</t>
  </si>
  <si>
    <t>316 - Balance Sheet - CY vs PY Comp</t>
  </si>
  <si>
    <t>2025 Consolidated Actuals USD</t>
  </si>
  <si>
    <t>Variance to prior year ($)</t>
  </si>
  <si>
    <t>Variance to prior year (%)</t>
  </si>
  <si>
    <t>317 - Statement of Cash Flow - CY vs PY Comp</t>
  </si>
  <si>
    <t xml:space="preserve">Flow Balance </t>
  </si>
  <si>
    <t xml:space="preserve">Segment:  - </t>
  </si>
  <si>
    <t>Ending balance</t>
  </si>
  <si>
    <t>Sum of Flows</t>
  </si>
  <si>
    <t>Opening</t>
  </si>
  <si>
    <t>Opening Balance Reclassification</t>
  </si>
  <si>
    <t>Result transfer</t>
  </si>
  <si>
    <t>Net profit (loss) for the period</t>
  </si>
  <si>
    <t>Net variation, Net variation - CAPEX</t>
  </si>
  <si>
    <t>Increase / Purchase, Increase / Purchase - CAPEX, Increase / Purchase - JV/AS/TP</t>
  </si>
  <si>
    <t>Capitalization of LT leases</t>
  </si>
  <si>
    <t>Capex to Develop - Grants</t>
  </si>
  <si>
    <t>Capex to Maintain - Grants</t>
  </si>
  <si>
    <t>Increase in depreciation and provision</t>
  </si>
  <si>
    <t>Decrease/ Disposal, Decrease/ Disposal - JV/AS/TP</t>
  </si>
  <si>
    <t>Decrease used</t>
  </si>
  <si>
    <t>Unwind discount</t>
  </si>
  <si>
    <t>W-D net realizable value</t>
  </si>
  <si>
    <t>Amortization</t>
  </si>
  <si>
    <t>Reclassification</t>
  </si>
  <si>
    <t>Value adjustment</t>
  </si>
  <si>
    <t>Fair value recycling</t>
  </si>
  <si>
    <t>Internal mergers</t>
  </si>
  <si>
    <t>Currency translation adjustment</t>
  </si>
  <si>
    <t>$EB</t>
  </si>
  <si>
    <t>F00</t>
  </si>
  <si>
    <t>F00A</t>
  </si>
  <si>
    <t>F07</t>
  </si>
  <si>
    <t>F10</t>
  </si>
  <si>
    <t>F15, F15A</t>
  </si>
  <si>
    <t>F20, F20A, F20-TP</t>
  </si>
  <si>
    <t>F21</t>
  </si>
  <si>
    <t>F23-DE</t>
  </si>
  <si>
    <t>F23-MA</t>
  </si>
  <si>
    <t>F25</t>
  </si>
  <si>
    <t>F30, F30-TP</t>
  </si>
  <si>
    <t>F36</t>
  </si>
  <si>
    <t>F37</t>
  </si>
  <si>
    <t>F38</t>
  </si>
  <si>
    <t>F39</t>
  </si>
  <si>
    <t>F50</t>
  </si>
  <si>
    <t>F55</t>
  </si>
  <si>
    <t>F57</t>
  </si>
  <si>
    <t>F70</t>
  </si>
  <si>
    <t>F80</t>
  </si>
  <si>
    <t>ST fin receiv - JV/AS - Acq cost</t>
  </si>
  <si>
    <t>ST fin receiv - JV/AS - Impairment</t>
  </si>
  <si>
    <t>ST fin receiv - TP - Acq cost</t>
  </si>
  <si>
    <t>ST fin receiv - TP - Impairment</t>
  </si>
  <si>
    <t xml:space="preserve">Semi-finished and finished products   </t>
  </si>
  <si>
    <t xml:space="preserve">Prepaid expenses   </t>
  </si>
  <si>
    <t>Current assets held for revenue</t>
  </si>
  <si>
    <t>Fin investment - TP - Acq cost</t>
  </si>
  <si>
    <t>Fin investment - TP - Impairment</t>
  </si>
  <si>
    <t>LT fin receiv - JV/AS - Acq cost</t>
  </si>
  <si>
    <t>LT fin receiv - JV/AS - Impairment</t>
  </si>
  <si>
    <t>LT fin receiv - TP - Acq cost</t>
  </si>
  <si>
    <t>LT fin receiv - TP - Impairment</t>
  </si>
  <si>
    <t>Allow for doubtful LT fin receiv - TP</t>
  </si>
  <si>
    <t>Long-term derivative assets – TP</t>
  </si>
  <si>
    <t>ST Operating Lease Liabilities TP - US GAAP</t>
  </si>
  <si>
    <t>Liab classified as held for revenue</t>
  </si>
  <si>
    <t xml:space="preserve">Other current liabilities – CAPEX Payables – TP  </t>
  </si>
  <si>
    <t xml:space="preserve">LT financing liabilities - JV/AS   </t>
  </si>
  <si>
    <t xml:space="preserve">LT lease liability - JV/AS  </t>
  </si>
  <si>
    <t>LT derivative liabilities - TP</t>
  </si>
  <si>
    <t>Treasury shares LafargeHolcim Ltd</t>
  </si>
  <si>
    <t>Net parent investment (Perpetual bond)</t>
  </si>
  <si>
    <t>Liabilities and Equity</t>
  </si>
  <si>
    <t>Dividends - Third party</t>
  </si>
  <si>
    <t>F05</t>
  </si>
  <si>
    <t>404 - Cost By Functional Area</t>
  </si>
  <si>
    <t>Distribution</t>
  </si>
  <si>
    <t>Corporate logistics</t>
  </si>
  <si>
    <t>Production</t>
  </si>
  <si>
    <t>Corporate manufacturing</t>
  </si>
  <si>
    <t>Marketing and sales</t>
  </si>
  <si>
    <t>Admin: General management</t>
  </si>
  <si>
    <t>Admin: Finance and controlling</t>
  </si>
  <si>
    <t>Admin: Human resources</t>
  </si>
  <si>
    <t>Admin: Information services</t>
  </si>
  <si>
    <t>Admin: Purchasing</t>
  </si>
  <si>
    <t>DICO</t>
  </si>
  <si>
    <t>CRPL</t>
  </si>
  <si>
    <t>PRCO</t>
  </si>
  <si>
    <t>CRPM</t>
  </si>
  <si>
    <t>MASE</t>
  </si>
  <si>
    <t>ADGM</t>
  </si>
  <si>
    <t>ADFC</t>
  </si>
  <si>
    <t>ADHR</t>
  </si>
  <si>
    <t>ADIT</t>
  </si>
  <si>
    <t>ADPU</t>
  </si>
  <si>
    <t>Total variable costs</t>
  </si>
  <si>
    <t>Total fixed costs</t>
  </si>
  <si>
    <t>Total actual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</si>
</sst>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Timestamp: &quot;\ [$-409]m/d/yy\ h:mm\ AM/PM;@"/>
    <numFmt numFmtId="165" formatCode="#,##0.00%"/>
    <numFmt numFmtId="166" formatCode="m/d/yyyy\ \ \ h:mm\ AM/PM"/>
    <numFmt numFmtId="167" formatCode="&quot;Timestamp: &quot;[$-409]m/d/yy\ h:mm\ AM/PM;@"/>
  </numFmts>
  <fonts count="12" x14ac:knownFonts="1">
    <font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theme="1"/>
      <name val="Roboto"/>
    </font>
    <font>
      <b/>
      <sz val="12"/>
      <color theme="1"/>
      <name val="Roboto"/>
    </font>
    <font>
      <sz val="10"/>
      <color rgb="FFC00000"/>
      <name val="Roboto"/>
    </font>
    <font>
      <sz val="10"/>
      <color theme="0"/>
      <name val="Roboto"/>
    </font>
    <font>
      <sz val="8"/>
      <color rgb="FFC00000"/>
      <name val="Roboto"/>
    </font>
    <font>
      <b/>
      <sz val="10"/>
      <color theme="1"/>
      <name val="Roboto"/>
    </font>
    <font>
      <sz val="8"/>
      <color theme="0"/>
      <name val="Roboto"/>
    </font>
    <font>
      <sz val="9"/>
      <color rgb="FFC00000"/>
      <name val="Roboto"/>
    </font>
    <font>
      <b/>
      <sz val="10"/>
      <color rgb="FF000000"/>
      <name val="Roboto"/>
    </font>
    <font>
      <sz val="9"/>
      <color theme="1"/>
      <name val="Roboto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dotted">
        <color theme="0" tint="-0.1499679555650502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medium">
        <color rgb="FFC00000"/>
      </top>
      <bottom style="medium">
        <color rgb="FFC00000"/>
      </bottom>
      <diagonal/>
    </border>
  </borders>
  <cellStyleXfs count="13">
    <xf numFmtId="0" fontId="0" fillId="0" borderId="0"/>
    <xf numFmtId="0" fontId="1" fillId="0" borderId="0"/>
    <xf numFmtId="0" fontId="2" fillId="0" borderId="0" applyNumberFormat="0" applyFill="0" applyBorder="0">
      <alignment vertical="center"/>
    </xf>
    <xf numFmtId="0" fontId="7" fillId="0" borderId="1" applyNumberFormat="0" applyFill="0">
      <alignment horizontal="center" vertical="center" wrapText="1"/>
    </xf>
    <xf numFmtId="0" fontId="5" fillId="2" borderId="0" applyNumberFormat="0" applyAlignment="0"/>
    <xf numFmtId="0" fontId="1" fillId="0" borderId="2" applyNumberFormat="0" applyFont="0" applyFill="0" applyAlignment="0"/>
    <xf numFmtId="0" fontId="1" fillId="0" borderId="3" applyNumberFormat="0" applyFont="0" applyFill="0" applyAlignment="0"/>
    <xf numFmtId="0" fontId="1" fillId="0" borderId="4" applyNumberFormat="0" applyFont="0" applyFill="0" applyAlignment="0"/>
    <xf numFmtId="9" fontId="1" fillId="3" borderId="0" applyNumberFormat="0" applyFont="0" applyBorder="0" applyAlignment="0"/>
    <xf numFmtId="0" fontId="7" fillId="0" borderId="0" applyNumberFormat="0" applyFill="0" applyAlignment="0" applyProtection="0">
      <alignment vertical="center"/>
    </xf>
    <xf numFmtId="9" fontId="6" fillId="0" borderId="0" applyNumberFormat="0" applyFill="0" applyAlignment="0" applyProtection="0"/>
    <xf numFmtId="165" fontId="1" fillId="0" borderId="0" applyFont="0" applyFill="0" applyBorder="0" applyAlignment="0" applyProtection="0"/>
    <xf numFmtId="9" fontId="6" fillId="0" borderId="0" applyNumberFormat="0" applyFill="0" applyAlignment="0" applyProtection="0"/>
  </cellStyleXfs>
  <cellXfs count="106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quotePrefix="1" applyFont="1" applyAlignment="1">
      <alignment vertical="center"/>
    </xf>
    <xf numFmtId="0" fontId="4" fillId="0" borderId="0" xfId="1" applyFont="1" applyAlignment="1">
      <alignment vertical="center"/>
    </xf>
    <xf numFmtId="0" fontId="2" fillId="0" borderId="0" xfId="1" quotePrefix="1" applyFont="1" applyAlignment="1">
      <alignment vertical="center"/>
    </xf>
    <xf numFmtId="0" fontId="5" fillId="0" borderId="0" xfId="1" quotePrefix="1" applyFont="1" applyAlignment="1">
      <alignment horizontal="left" vertical="center"/>
    </xf>
    <xf numFmtId="164" fontId="6" fillId="0" borderId="0" xfId="1" quotePrefix="1" applyNumberFormat="1" applyFont="1" applyAlignment="1">
      <alignment horizontal="left" vertical="center"/>
    </xf>
    <xf numFmtId="0" fontId="2" fillId="0" borderId="0" xfId="2" applyFill="1" applyBorder="1">
      <alignment vertical="center"/>
    </xf>
    <xf numFmtId="0" fontId="7" fillId="0" borderId="1" xfId="3" quotePrefix="1" applyFill="1">
      <alignment horizontal="center" vertical="center" wrapText="1"/>
    </xf>
    <xf numFmtId="0" fontId="1" fillId="0" borderId="0" xfId="1" quotePrefix="1"/>
    <xf numFmtId="0" fontId="5" fillId="2" borderId="0" xfId="4" applyAlignment="1">
      <alignment vertical="center"/>
    </xf>
    <xf numFmtId="0" fontId="5" fillId="2" borderId="0" xfId="4" quotePrefix="1" applyAlignment="1">
      <alignment vertical="center"/>
    </xf>
    <xf numFmtId="4" fontId="5" fillId="2" borderId="0" xfId="4" applyNumberFormat="1" applyAlignment="1">
      <alignment vertical="center"/>
    </xf>
    <xf numFmtId="0" fontId="1" fillId="0" borderId="0" xfId="1"/>
    <xf numFmtId="0" fontId="2" fillId="0" borderId="2" xfId="5" quotePrefix="1" applyFont="1" applyFill="1" applyAlignment="1">
      <alignment vertical="center"/>
    </xf>
    <xf numFmtId="4" fontId="2" fillId="0" borderId="2" xfId="5" applyNumberFormat="1" applyFont="1" applyFill="1" applyAlignment="1">
      <alignment vertical="center"/>
    </xf>
    <xf numFmtId="0" fontId="7" fillId="0" borderId="3" xfId="6" quotePrefix="1" applyFont="1" applyFill="1" applyAlignment="1">
      <alignment vertical="center"/>
    </xf>
    <xf numFmtId="4" fontId="7" fillId="0" borderId="3" xfId="6" applyNumberFormat="1" applyFont="1" applyFill="1" applyAlignment="1">
      <alignment vertical="center"/>
    </xf>
    <xf numFmtId="0" fontId="7" fillId="0" borderId="4" xfId="7" quotePrefix="1" applyFont="1" applyFill="1" applyAlignment="1">
      <alignment vertical="center"/>
    </xf>
    <xf numFmtId="4" fontId="7" fillId="0" borderId="4" xfId="7" applyNumberFormat="1" applyFont="1" applyFill="1" applyAlignment="1">
      <alignment vertical="center"/>
    </xf>
    <xf numFmtId="0" fontId="8" fillId="0" borderId="0" xfId="1" quotePrefix="1" applyFont="1" applyAlignment="1">
      <alignment horizontal="left" vertical="center"/>
    </xf>
    <xf numFmtId="0" fontId="7" fillId="3" borderId="1" xfId="8" quotePrefix="1" applyNumberFormat="1" applyFont="1" applyBorder="1" applyAlignment="1">
      <alignment horizontal="center" vertical="center" wrapText="1"/>
    </xf>
    <xf numFmtId="4" fontId="5" fillId="3" borderId="0" xfId="8" applyNumberFormat="1" applyFont="1" applyAlignment="1">
      <alignment vertical="center"/>
    </xf>
    <xf numFmtId="4" fontId="2" fillId="3" borderId="2" xfId="8" applyNumberFormat="1" applyFont="1" applyBorder="1" applyAlignment="1">
      <alignment vertical="center"/>
    </xf>
    <xf numFmtId="4" fontId="7" fillId="3" borderId="3" xfId="8" applyNumberFormat="1" applyFont="1" applyBorder="1" applyAlignment="1">
      <alignment vertical="center"/>
    </xf>
    <xf numFmtId="4" fontId="7" fillId="3" borderId="4" xfId="8" applyNumberFormat="1" applyFont="1" applyBorder="1" applyAlignment="1">
      <alignment vertical="center"/>
    </xf>
    <xf numFmtId="0" fontId="2" fillId="0" borderId="0" xfId="1" quotePrefix="1" applyFont="1" applyAlignment="1">
      <alignment vertical="center" wrapText="1"/>
    </xf>
    <xf numFmtId="0" fontId="5" fillId="0" borderId="0" xfId="1" quotePrefix="1" applyFont="1" applyAlignment="1">
      <alignment vertical="center"/>
    </xf>
    <xf numFmtId="0" fontId="2" fillId="0" borderId="0" xfId="2" quotePrefix="1" applyFill="1" applyBorder="1">
      <alignment vertical="center"/>
    </xf>
    <xf numFmtId="4" fontId="5" fillId="2" borderId="0" xfId="4" quotePrefix="1" applyNumberFormat="1" applyAlignment="1">
      <alignment vertical="center"/>
    </xf>
    <xf numFmtId="4" fontId="2" fillId="0" borderId="2" xfId="5" quotePrefix="1" applyNumberFormat="1" applyFont="1" applyFill="1" applyAlignment="1">
      <alignment vertical="center"/>
    </xf>
    <xf numFmtId="4" fontId="7" fillId="0" borderId="3" xfId="6" quotePrefix="1" applyNumberFormat="1" applyFont="1" applyFill="1" applyAlignment="1">
      <alignment vertical="center"/>
    </xf>
    <xf numFmtId="4" fontId="7" fillId="0" borderId="4" xfId="7" quotePrefix="1" applyNumberFormat="1" applyFont="1" applyFill="1" applyAlignment="1">
      <alignment vertical="center"/>
    </xf>
    <xf numFmtId="0" fontId="2" fillId="0" borderId="0" xfId="1" quotePrefix="1" applyFont="1" applyAlignment="1">
      <alignment horizontal="left" vertical="center" wrapText="1"/>
    </xf>
    <xf numFmtId="0" fontId="7" fillId="0" borderId="0" xfId="9" quotePrefix="1" applyFill="1" applyAlignment="1">
      <alignment vertical="center"/>
    </xf>
    <xf numFmtId="4" fontId="7" fillId="0" borderId="0" xfId="9" applyNumberFormat="1" applyFill="1" applyAlignment="1">
      <alignment vertical="center"/>
    </xf>
    <xf numFmtId="0" fontId="6" fillId="0" borderId="0" xfId="10" quotePrefix="1" applyNumberFormat="1" applyFill="1" applyAlignment="1">
      <alignment vertical="center"/>
    </xf>
    <xf numFmtId="4" fontId="6" fillId="0" borderId="0" xfId="10" applyNumberFormat="1" applyFill="1" applyAlignment="1">
      <alignment vertical="center"/>
    </xf>
    <xf numFmtId="0" fontId="7" fillId="0" borderId="0" xfId="9" applyFill="1" applyAlignment="1">
      <alignment vertical="center"/>
    </xf>
    <xf numFmtId="0" fontId="7" fillId="3" borderId="3" xfId="8" applyNumberFormat="1" applyFont="1" applyBorder="1" applyAlignment="1">
      <alignment vertical="center"/>
    </xf>
    <xf numFmtId="0" fontId="7" fillId="3" borderId="3" xfId="8" quotePrefix="1" applyNumberFormat="1" applyFont="1" applyBorder="1" applyAlignment="1">
      <alignment vertical="center"/>
    </xf>
    <xf numFmtId="0" fontId="6" fillId="0" borderId="0" xfId="10" applyNumberFormat="1" applyFill="1" applyAlignment="1">
      <alignment vertical="center"/>
    </xf>
    <xf numFmtId="0" fontId="2" fillId="0" borderId="2" xfId="5" applyFont="1" applyFill="1" applyAlignment="1">
      <alignment vertical="center"/>
    </xf>
    <xf numFmtId="0" fontId="7" fillId="0" borderId="2" xfId="5" applyFont="1" applyFill="1" applyAlignment="1">
      <alignment vertical="center"/>
    </xf>
    <xf numFmtId="0" fontId="7" fillId="0" borderId="2" xfId="5" quotePrefix="1" applyFont="1" applyFill="1" applyAlignment="1">
      <alignment vertical="center"/>
    </xf>
    <xf numFmtId="165" fontId="2" fillId="0" borderId="2" xfId="11" applyFont="1" applyFill="1" applyBorder="1" applyAlignment="1">
      <alignment vertical="center"/>
    </xf>
    <xf numFmtId="4" fontId="7" fillId="3" borderId="0" xfId="8" applyNumberFormat="1" applyFont="1" applyAlignment="1">
      <alignment vertical="center"/>
    </xf>
    <xf numFmtId="4" fontId="6" fillId="3" borderId="0" xfId="8" applyNumberFormat="1" applyFont="1" applyAlignment="1">
      <alignment vertical="center"/>
    </xf>
    <xf numFmtId="165" fontId="2" fillId="3" borderId="2" xfId="8" applyNumberFormat="1" applyFont="1" applyBorder="1" applyAlignment="1">
      <alignment vertical="center"/>
    </xf>
    <xf numFmtId="166" fontId="4" fillId="0" borderId="0" xfId="1" applyNumberFormat="1" applyFont="1" applyAlignment="1">
      <alignment horizontal="centerContinuous" vertical="center"/>
    </xf>
    <xf numFmtId="0" fontId="2" fillId="0" borderId="0" xfId="1" applyFont="1" applyAlignment="1">
      <alignment horizontal="centerContinuous" vertical="center"/>
    </xf>
    <xf numFmtId="166" fontId="4" fillId="0" borderId="0" xfId="1" quotePrefix="1" applyNumberFormat="1" applyFont="1" applyAlignment="1">
      <alignment horizontal="left" vertical="center"/>
    </xf>
    <xf numFmtId="4" fontId="7" fillId="0" borderId="0" xfId="9" quotePrefix="1" applyNumberFormat="1" applyFill="1" applyAlignment="1">
      <alignment vertical="center"/>
    </xf>
    <xf numFmtId="4" fontId="7" fillId="3" borderId="3" xfId="8" quotePrefix="1" applyNumberFormat="1" applyFont="1" applyBorder="1" applyAlignment="1">
      <alignment vertical="center"/>
    </xf>
    <xf numFmtId="4" fontId="6" fillId="0" borderId="0" xfId="10" quotePrefix="1" applyNumberFormat="1" applyFill="1" applyAlignment="1">
      <alignment vertical="center"/>
    </xf>
    <xf numFmtId="165" fontId="2" fillId="0" borderId="2" xfId="11" quotePrefix="1" applyFont="1" applyFill="1" applyBorder="1" applyAlignment="1">
      <alignment vertical="center"/>
    </xf>
    <xf numFmtId="164" fontId="9" fillId="0" borderId="0" xfId="1" quotePrefix="1" applyNumberFormat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7" fillId="0" borderId="1" xfId="3" quotePrefix="1">
      <alignment horizontal="center" vertical="center" wrapText="1"/>
    </xf>
    <xf numFmtId="0" fontId="5" fillId="2" borderId="0" xfId="4" quotePrefix="1" applyAlignment="1">
      <alignment horizontal="center" vertical="center" wrapText="1"/>
    </xf>
    <xf numFmtId="4" fontId="5" fillId="3" borderId="0" xfId="8" quotePrefix="1" applyNumberFormat="1" applyFont="1" applyAlignment="1">
      <alignment vertical="center"/>
    </xf>
    <xf numFmtId="4" fontId="5" fillId="2" borderId="2" xfId="5" quotePrefix="1" applyNumberFormat="1" applyFont="1" applyFill="1" applyAlignment="1">
      <alignment vertical="center"/>
    </xf>
    <xf numFmtId="4" fontId="2" fillId="3" borderId="2" xfId="8" quotePrefix="1" applyNumberFormat="1" applyFont="1" applyBorder="1" applyAlignment="1">
      <alignment vertical="center"/>
    </xf>
    <xf numFmtId="4" fontId="5" fillId="2" borderId="2" xfId="5" applyNumberFormat="1" applyFont="1" applyFill="1" applyAlignment="1">
      <alignment vertical="center"/>
    </xf>
    <xf numFmtId="4" fontId="7" fillId="2" borderId="3" xfId="6" quotePrefix="1" applyNumberFormat="1" applyFont="1" applyFill="1" applyAlignment="1">
      <alignment vertical="center"/>
    </xf>
    <xf numFmtId="4" fontId="7" fillId="2" borderId="3" xfId="6" applyNumberFormat="1" applyFont="1" applyFill="1" applyAlignment="1">
      <alignment vertical="center"/>
    </xf>
    <xf numFmtId="4" fontId="7" fillId="2" borderId="4" xfId="7" quotePrefix="1" applyNumberFormat="1" applyFont="1" applyFill="1" applyAlignment="1">
      <alignment vertical="center"/>
    </xf>
    <xf numFmtId="4" fontId="7" fillId="3" borderId="4" xfId="8" quotePrefix="1" applyNumberFormat="1" applyFont="1" applyBorder="1" applyAlignment="1">
      <alignment vertical="center"/>
    </xf>
    <xf numFmtId="4" fontId="7" fillId="2" borderId="4" xfId="7" applyNumberFormat="1" applyFont="1" applyFill="1" applyAlignment="1">
      <alignment vertical="center"/>
    </xf>
    <xf numFmtId="4" fontId="7" fillId="2" borderId="0" xfId="9" quotePrefix="1" applyNumberFormat="1" applyFill="1" applyAlignment="1">
      <alignment vertical="center"/>
    </xf>
    <xf numFmtId="4" fontId="7" fillId="3" borderId="0" xfId="8" quotePrefix="1" applyNumberFormat="1" applyFont="1" applyAlignment="1">
      <alignment vertical="center"/>
    </xf>
    <xf numFmtId="4" fontId="6" fillId="2" borderId="0" xfId="10" quotePrefix="1" applyNumberFormat="1" applyFill="1" applyAlignment="1">
      <alignment vertical="center"/>
    </xf>
    <xf numFmtId="4" fontId="6" fillId="3" borderId="0" xfId="8" quotePrefix="1" applyNumberFormat="1" applyFont="1" applyAlignment="1">
      <alignment vertical="center"/>
    </xf>
    <xf numFmtId="165" fontId="5" fillId="2" borderId="2" xfId="11" quotePrefix="1" applyFont="1" applyFill="1" applyBorder="1" applyAlignment="1">
      <alignment vertical="center"/>
    </xf>
    <xf numFmtId="165" fontId="2" fillId="3" borderId="2" xfId="8" quotePrefix="1" applyNumberFormat="1" applyFont="1" applyBorder="1" applyAlignment="1">
      <alignment vertical="center"/>
    </xf>
    <xf numFmtId="0" fontId="2" fillId="0" borderId="0" xfId="1" applyFont="1" applyAlignment="1">
      <alignment horizontal="right" vertical="center"/>
    </xf>
    <xf numFmtId="0" fontId="2" fillId="0" borderId="0" xfId="1" quotePrefix="1" applyFont="1" applyAlignment="1">
      <alignment horizontal="right" vertical="center"/>
    </xf>
    <xf numFmtId="4" fontId="7" fillId="3" borderId="0" xfId="9" applyNumberFormat="1" applyFill="1" applyAlignment="1">
      <alignment vertical="center"/>
    </xf>
    <xf numFmtId="4" fontId="7" fillId="2" borderId="0" xfId="9" applyNumberFormat="1" applyFill="1" applyAlignment="1">
      <alignment vertical="center"/>
    </xf>
    <xf numFmtId="0" fontId="8" fillId="0" borderId="0" xfId="1" quotePrefix="1" applyFont="1" applyAlignment="1">
      <alignment vertical="center"/>
    </xf>
    <xf numFmtId="0" fontId="7" fillId="0" borderId="0" xfId="1" quotePrefix="1" applyFont="1" applyAlignment="1">
      <alignment horizontal="right" vertical="center"/>
    </xf>
    <xf numFmtId="0" fontId="7" fillId="0" borderId="0" xfId="1" applyFont="1" applyAlignment="1">
      <alignment horizontal="right" vertical="center"/>
    </xf>
    <xf numFmtId="0" fontId="10" fillId="0" borderId="1" xfId="1" applyFont="1" applyBorder="1" applyAlignment="1">
      <alignment horizontal="right" vertical="center"/>
    </xf>
    <xf numFmtId="0" fontId="7" fillId="0" borderId="1" xfId="1" applyFont="1" applyBorder="1" applyAlignment="1">
      <alignment horizontal="right" vertical="center"/>
    </xf>
    <xf numFmtId="165" fontId="7" fillId="0" borderId="3" xfId="11" applyFont="1" applyFill="1" applyBorder="1" applyAlignment="1">
      <alignment vertical="center"/>
    </xf>
    <xf numFmtId="165" fontId="5" fillId="2" borderId="0" xfId="11" applyFont="1" applyFill="1" applyAlignment="1">
      <alignment vertical="center"/>
    </xf>
    <xf numFmtId="165" fontId="7" fillId="0" borderId="4" xfId="11" applyFont="1" applyFill="1" applyBorder="1" applyAlignment="1">
      <alignment vertical="center"/>
    </xf>
    <xf numFmtId="164" fontId="9" fillId="0" borderId="0" xfId="1" quotePrefix="1" applyNumberFormat="1" applyFont="1" applyAlignment="1">
      <alignment horizontal="left" vertical="center"/>
    </xf>
    <xf numFmtId="0" fontId="11" fillId="0" borderId="0" xfId="1" quotePrefix="1" applyFont="1" applyAlignment="1">
      <alignment horizontal="left" vertical="center" wrapText="1"/>
    </xf>
    <xf numFmtId="0" fontId="11" fillId="0" borderId="0" xfId="1" quotePrefix="1" applyFont="1" applyAlignment="1">
      <alignment vertical="center"/>
    </xf>
    <xf numFmtId="165" fontId="7" fillId="0" borderId="0" xfId="11" applyFont="1" applyFill="1" applyAlignment="1">
      <alignment vertical="center"/>
    </xf>
    <xf numFmtId="4" fontId="6" fillId="2" borderId="0" xfId="10" applyNumberFormat="1" applyFill="1" applyAlignment="1">
      <alignment vertical="center"/>
    </xf>
    <xf numFmtId="165" fontId="6" fillId="0" borderId="0" xfId="11" applyFont="1" applyFill="1" applyAlignment="1">
      <alignment vertical="center"/>
    </xf>
    <xf numFmtId="165" fontId="5" fillId="2" borderId="0" xfId="11" quotePrefix="1" applyFont="1" applyFill="1" applyAlignment="1">
      <alignment vertical="center"/>
    </xf>
    <xf numFmtId="165" fontId="7" fillId="0" borderId="0" xfId="11" quotePrefix="1" applyFont="1" applyFill="1" applyAlignment="1">
      <alignment vertical="center"/>
    </xf>
    <xf numFmtId="165" fontId="7" fillId="3" borderId="3" xfId="11" quotePrefix="1" applyFont="1" applyFill="1" applyBorder="1" applyAlignment="1">
      <alignment vertical="center"/>
    </xf>
    <xf numFmtId="165" fontId="6" fillId="0" borderId="0" xfId="11" quotePrefix="1" applyFont="1" applyFill="1" applyAlignment="1">
      <alignment vertical="center"/>
    </xf>
    <xf numFmtId="0" fontId="2" fillId="0" borderId="0" xfId="1" quotePrefix="1" applyFont="1"/>
    <xf numFmtId="0" fontId="2" fillId="0" borderId="0" xfId="1" applyFont="1"/>
    <xf numFmtId="0" fontId="6" fillId="0" borderId="0" xfId="12" quotePrefix="1" applyNumberFormat="1" applyFill="1" applyAlignment="1">
      <alignment vertical="center"/>
    </xf>
    <xf numFmtId="4" fontId="6" fillId="2" borderId="0" xfId="12" quotePrefix="1" applyNumberFormat="1" applyFill="1" applyAlignment="1">
      <alignment vertical="center"/>
    </xf>
    <xf numFmtId="4" fontId="6" fillId="0" borderId="0" xfId="12" quotePrefix="1" applyNumberFormat="1" applyFill="1" applyAlignment="1">
      <alignment vertical="center"/>
    </xf>
    <xf numFmtId="4" fontId="6" fillId="2" borderId="0" xfId="12" applyNumberFormat="1" applyFill="1" applyAlignment="1">
      <alignment vertical="center"/>
    </xf>
    <xf numFmtId="4" fontId="6" fillId="0" borderId="0" xfId="12" applyNumberFormat="1" applyFill="1" applyAlignment="1">
      <alignment vertical="center"/>
    </xf>
    <xf numFmtId="167" fontId="9" fillId="0" borderId="0" xfId="1" quotePrefix="1" applyNumberFormat="1" applyFont="1" applyAlignment="1">
      <alignment horizontal="left" vertical="center"/>
    </xf>
    <xf numFmtId="0" fontId="7" fillId="0" borderId="3" xfId="6" applyFont="1" applyFill="1" applyAlignment="1">
      <alignment vertical="center"/>
    </xf>
  </cellXfs>
  <cellStyles count="13">
    <cellStyle name="0.00%" xfId="11" xr:uid="{9C379696-E661-4F6C-A166-30667457B33F}"/>
    <cellStyle name="Border_dotted bottom (grey)" xfId="5" xr:uid="{BEEDCA07-0A0A-4647-AFA1-BD537F571EF7}"/>
    <cellStyle name="Border_top and bottom" xfId="6" xr:uid="{469DC4BB-2E13-4A07-89DE-22B55D1668BB}"/>
    <cellStyle name="Border_top and bottom II (red)" xfId="7" xr:uid="{90EDCDB3-03AA-427B-92BA-DCBD1997BE99}"/>
    <cellStyle name="Fill_grey" xfId="8" xr:uid="{DDB6888E-5C7D-4CE7-AE00-961CE42A3C32}"/>
    <cellStyle name="Font_Roboto 10" xfId="2" xr:uid="{C08EED33-E1C2-4A6E-88FF-7D8B2517F771}"/>
    <cellStyle name="Font_Roboto 10 bold" xfId="9" xr:uid="{AB07A398-6EE1-401F-BD85-0C832F82BC83}"/>
    <cellStyle name="Font_Roboto 8 dark red" xfId="12" xr:uid="{AB54C82D-4738-47A0-BF00-2D866B04E3E1}"/>
    <cellStyle name="Font_Roboto 8 italic dark red" xfId="10" xr:uid="{4A580546-CCCF-4189-8DE5-0C83D374846A}"/>
    <cellStyle name="Headers_column" xfId="3" xr:uid="{EA768863-AB5F-4D57-B130-ADA3650B6C14}"/>
    <cellStyle name="Normal" xfId="0" builtinId="0"/>
    <cellStyle name="Normal 2" xfId="1" xr:uid="{6BD0B15B-5461-40BD-932F-29B4B7D46594}"/>
    <cellStyle name="Placeholder (white font)" xfId="4" xr:uid="{C69DE9FD-FF77-437B-9FD2-C5552497531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380999</xdr:colOff>
      <xdr:row>0</xdr:row>
      <xdr:rowOff>0</xdr:rowOff>
    </xdr:from>
    <xdr:to>
      <xdr:col>2</xdr:col>
      <xdr:colOff>744307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9DF13-8677-4E80-88C4-CA06EFEF33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7799" y="0"/>
          <a:ext cx="1493608" cy="3841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707841</xdr:colOff>
      <xdr:row>1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78018-8AEA-40D2-920A-2D9AEA4E93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7800" y="0"/>
          <a:ext cx="1457141" cy="3746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495299</xdr:colOff>
      <xdr:row>0</xdr:row>
      <xdr:rowOff>0</xdr:rowOff>
    </xdr:from>
    <xdr:to>
      <xdr:col>2</xdr:col>
      <xdr:colOff>744307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6CDA4E-2B86-4EA8-AEB7-9116124ADF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8749" y="0"/>
          <a:ext cx="1493608" cy="3841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0F5915-1168-41C1-8D16-35B9A4879D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0050" y="0"/>
          <a:ext cx="1493608" cy="3841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FB53A-F391-4B29-B446-13E2D1509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0"/>
          <a:ext cx="1493608" cy="3841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830033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B88E42-6150-4E09-AFC2-CB91B22E6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2250" y="0"/>
          <a:ext cx="1579333" cy="38417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D3849C-3CD8-4A2A-891F-855B107F7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0"/>
          <a:ext cx="1493608" cy="38417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747483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2847A4-1EEC-45EA-9126-08C10A4A2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000" y="0"/>
          <a:ext cx="1496783" cy="3841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741133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7A69FE-F158-45CA-9ADC-366D0A77A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0"/>
          <a:ext cx="1490433" cy="38417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989DF4-AB5D-49FC-B3E2-A43841FBE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0050" y="0"/>
          <a:ext cx="1493608" cy="38417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390A7C-DB8E-4A69-87E7-0D6AE3D07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8750" y="0"/>
          <a:ext cx="1493608" cy="38417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24D5BD-7272-4E78-9B08-4B38B27040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0050" y="0"/>
          <a:ext cx="1493608" cy="38417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746425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96B42A-D1DE-45AC-A1FE-0108F560C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0" y="0"/>
          <a:ext cx="1495725" cy="384175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134055</xdr:colOff>
      <xdr:row>0</xdr:row>
      <xdr:rowOff>7056</xdr:rowOff>
    </xdr:from>
    <xdr:to>
      <xdr:col>2</xdr:col>
      <xdr:colOff>741485</xdr:colOff>
      <xdr:row>1</xdr:row>
      <xdr:rowOff>188031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9D9FC5-C188-40A3-A895-781C868D85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055" y="7056"/>
          <a:ext cx="1775830" cy="384175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78092A-3714-4881-ABD0-447FD4FF9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0"/>
          <a:ext cx="1493608" cy="384175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41584-A7A9-4E0D-AA16-3A2D19AF2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0" y="0"/>
          <a:ext cx="1493608" cy="384175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339098-AB54-4E02-8C84-F63503C235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0" y="0"/>
          <a:ext cx="1493608" cy="384175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E770A5-F935-4CE7-9CD3-482C005157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0"/>
          <a:ext cx="1493608" cy="371475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744308</xdr:colOff>
      <xdr:row>1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008C5A-2565-4D3E-AD5B-626AB47D7D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0"/>
          <a:ext cx="1493608" cy="371475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613835</xdr:colOff>
      <xdr:row>1</xdr:row>
      <xdr:rowOff>147544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209C75-7D14-4BCD-8E50-6E1525FA00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1" y="0"/>
          <a:ext cx="1363134" cy="35074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613835</xdr:colOff>
      <xdr:row>1</xdr:row>
      <xdr:rowOff>147544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0F972B-CB97-44AD-8E87-9CEB667DC4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1" y="0"/>
          <a:ext cx="1363134" cy="350744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0</xdr:row>
      <xdr:rowOff>0</xdr:rowOff>
    </xdr:from>
    <xdr:to>
      <xdr:col>2</xdr:col>
      <xdr:colOff>613835</xdr:colOff>
      <xdr:row>1</xdr:row>
      <xdr:rowOff>147544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286C6C-2DD3-4D56-A5A9-0DA68A4C0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1" y="0"/>
          <a:ext cx="1363134" cy="35074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613833</xdr:colOff>
      <xdr:row>1</xdr:row>
      <xdr:rowOff>147544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8C0481-FE1F-4FD0-884F-2176B3A667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000" y="0"/>
          <a:ext cx="1363133" cy="35074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2</xdr:col>
      <xdr:colOff>613834</xdr:colOff>
      <xdr:row>1</xdr:row>
      <xdr:rowOff>147544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FCE0A9-E49E-434F-9C27-9FAAE484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0"/>
          <a:ext cx="1363134" cy="35074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4A6D-7475-47D5-B21D-6C5737AD1395}">
  <dimension ref="A2:Q155"/>
  <sheetViews>
    <sheetView showGridLines="0" workbookViewId="0">
      <pane xSplit="3" ySplit="9" topLeftCell="D10" activePane="bottomRight" state="frozen"/>
      <selection pane="topRight" activeCell="D1" sqref="D1"/>
      <selection pane="bottomLeft" activeCell="A7" sqref="A7"/>
      <selection pane="bottomRight" activeCell="B4" sqref="B4"/>
    </sheetView>
  </sheetViews>
  <sheetFormatPr defaultColWidth="9.1796875" defaultRowHeight="16" customHeight="1" x14ac:dyDescent="0.35"/>
  <cols>
    <col min="1" max="1" width="2.54296875" style="1" customWidth="1"/>
    <col min="2" max="2" width="10.7265625" style="1" customWidth="1"/>
    <col min="3" max="3" width="55.7265625" style="1" customWidth="1"/>
    <col min="4" max="26" width="14.7265625" style="1" customWidth="1"/>
    <col min="27" max="16384" width="9.1796875" style="1"/>
  </cols>
  <sheetData>
    <row r="2" spans="1:17" ht="15" customHeight="1" x14ac:dyDescent="0.35"/>
    <row r="3" spans="1:17" ht="16" customHeight="1" x14ac:dyDescent="0.35">
      <c r="B3" s="2" t="s">
        <v>0</v>
      </c>
      <c r="G3" s="3"/>
    </row>
    <row r="4" spans="1:17" ht="16" customHeight="1" x14ac:dyDescent="0.35">
      <c r="B4" s="4" t="s">
        <v>270</v>
      </c>
    </row>
    <row r="5" spans="1:17" ht="16" customHeight="1" x14ac:dyDescent="0.35">
      <c r="B5" s="4" t="s">
        <v>271</v>
      </c>
    </row>
    <row r="6" spans="1:17" ht="16" customHeight="1" x14ac:dyDescent="0.35">
      <c r="A6" s="5"/>
      <c r="B6" s="1" t="s">
        <v>272</v>
      </c>
    </row>
    <row r="7" spans="1:17" ht="16" customHeight="1" x14ac:dyDescent="0.35">
      <c r="A7" s="5"/>
      <c r="B7" s="6">
        <v>46189.33861515046</v>
      </c>
      <c r="C7" s="6"/>
    </row>
    <row r="9" spans="1:17" ht="16" customHeight="1" thickBot="1" x14ac:dyDescent="0.5">
      <c r="B9" s="7"/>
      <c r="C9" s="7"/>
      <c r="D9" s="8" t="s">
        <v>1</v>
      </c>
      <c r="E9" s="8" t="s">
        <v>2</v>
      </c>
      <c r="F9" s="8" t="s">
        <v>3</v>
      </c>
      <c r="G9" s="8" t="s">
        <v>4</v>
      </c>
      <c r="H9" s="8" t="s">
        <v>5</v>
      </c>
      <c r="I9" s="8" t="s">
        <v>6</v>
      </c>
      <c r="J9" s="8" t="s">
        <v>7</v>
      </c>
      <c r="K9" s="8" t="s">
        <v>8</v>
      </c>
      <c r="L9" s="8" t="s">
        <v>9</v>
      </c>
      <c r="M9" s="8" t="s">
        <v>10</v>
      </c>
      <c r="N9" s="8" t="s">
        <v>11</v>
      </c>
      <c r="O9" s="8" t="s">
        <v>12</v>
      </c>
      <c r="P9" s="9"/>
      <c r="Q9" s="9"/>
    </row>
    <row r="10" spans="1:17" ht="16" customHeight="1" x14ac:dyDescent="0.45">
      <c r="B10" s="10"/>
      <c r="C10" s="11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3"/>
      <c r="Q10" s="13"/>
    </row>
    <row r="11" spans="1:17" ht="16" customHeight="1" x14ac:dyDescent="0.45">
      <c r="B11" s="14" t="s">
        <v>13</v>
      </c>
      <c r="C11" s="14" t="s">
        <v>14</v>
      </c>
      <c r="D11" s="15">
        <v>13203.206560000001</v>
      </c>
      <c r="E11" s="15">
        <v>32627.608189999999</v>
      </c>
      <c r="F11" s="15">
        <v>52051.656660000001</v>
      </c>
      <c r="G11" s="15">
        <v>74512.959839999996</v>
      </c>
      <c r="H11" s="15">
        <v>97145.869120000003</v>
      </c>
      <c r="I11" s="15">
        <v>109951.54037</v>
      </c>
      <c r="J11" s="15"/>
      <c r="K11" s="15"/>
      <c r="L11" s="15"/>
      <c r="M11" s="15"/>
      <c r="N11" s="15"/>
      <c r="O11" s="15"/>
      <c r="P11" s="13"/>
    </row>
    <row r="12" spans="1:17" ht="16" customHeight="1" x14ac:dyDescent="0.35">
      <c r="B12" s="14" t="s">
        <v>15</v>
      </c>
      <c r="C12" s="14" t="s">
        <v>16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 spans="1:17" ht="16" customHeight="1" x14ac:dyDescent="0.35">
      <c r="B13" s="14" t="s">
        <v>17</v>
      </c>
      <c r="C13" s="14" t="s">
        <v>18</v>
      </c>
      <c r="D13" s="15">
        <v>164566.82389999999</v>
      </c>
      <c r="E13" s="15">
        <v>357420.97506999999</v>
      </c>
      <c r="F13" s="15">
        <v>609992.24499000004</v>
      </c>
      <c r="G13" s="15">
        <v>917180.92507999996</v>
      </c>
      <c r="H13" s="15">
        <v>1213250.0488100001</v>
      </c>
      <c r="I13" s="15">
        <v>1348161.5634399999</v>
      </c>
      <c r="J13" s="15"/>
      <c r="K13" s="15"/>
      <c r="L13" s="15"/>
      <c r="M13" s="15"/>
      <c r="N13" s="15"/>
      <c r="O13" s="15"/>
    </row>
    <row r="14" spans="1:17" ht="16" customHeight="1" x14ac:dyDescent="0.35">
      <c r="B14" s="16" t="s">
        <v>19</v>
      </c>
      <c r="C14" s="16" t="s">
        <v>20</v>
      </c>
      <c r="D14" s="17">
        <f t="shared" ref="D14:O14" si="0">-(-(D11+D12)-D13)</f>
        <v>177770.03045999998</v>
      </c>
      <c r="E14" s="17">
        <f t="shared" si="0"/>
        <v>390048.58325999998</v>
      </c>
      <c r="F14" s="17">
        <f t="shared" si="0"/>
        <v>662043.90165000001</v>
      </c>
      <c r="G14" s="17">
        <f t="shared" si="0"/>
        <v>991693.88491999998</v>
      </c>
      <c r="H14" s="17">
        <f t="shared" si="0"/>
        <v>1310395.91793</v>
      </c>
      <c r="I14" s="17">
        <f t="shared" si="0"/>
        <v>1458113.10381</v>
      </c>
      <c r="J14" s="17">
        <f t="shared" si="0"/>
        <v>0</v>
      </c>
      <c r="K14" s="17">
        <f t="shared" si="0"/>
        <v>0</v>
      </c>
      <c r="L14" s="17">
        <f t="shared" si="0"/>
        <v>0</v>
      </c>
      <c r="M14" s="17">
        <f t="shared" si="0"/>
        <v>0</v>
      </c>
      <c r="N14" s="17">
        <f t="shared" si="0"/>
        <v>0</v>
      </c>
      <c r="O14" s="17">
        <f t="shared" si="0"/>
        <v>0</v>
      </c>
    </row>
    <row r="15" spans="1:17" ht="16" customHeight="1" x14ac:dyDescent="0.35">
      <c r="B15" s="11" t="s">
        <v>21</v>
      </c>
      <c r="C15" s="11" t="s">
        <v>22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spans="1:17" ht="16" customHeight="1" x14ac:dyDescent="0.35">
      <c r="B16" s="14" t="s">
        <v>23</v>
      </c>
      <c r="C16" s="14" t="s">
        <v>24</v>
      </c>
      <c r="D16" s="15">
        <v>-18863.2261</v>
      </c>
      <c r="E16" s="15">
        <v>-42708.374620000002</v>
      </c>
      <c r="F16" s="15">
        <v>-71583.813349999997</v>
      </c>
      <c r="G16" s="15">
        <v>-105667.68101</v>
      </c>
      <c r="H16" s="15">
        <v>-138573.78228000001</v>
      </c>
      <c r="I16" s="15">
        <v>-156181.16961000001</v>
      </c>
      <c r="J16" s="15"/>
      <c r="K16" s="15"/>
      <c r="L16" s="15"/>
      <c r="M16" s="15"/>
      <c r="N16" s="15"/>
      <c r="O16" s="15"/>
    </row>
    <row r="17" spans="2:15" ht="16" customHeight="1" x14ac:dyDescent="0.35">
      <c r="B17" s="14" t="s">
        <v>25</v>
      </c>
      <c r="C17" s="14" t="s">
        <v>26</v>
      </c>
      <c r="D17" s="15">
        <v>-434.05187999999998</v>
      </c>
      <c r="E17" s="15">
        <v>-756.55840999999998</v>
      </c>
      <c r="F17" s="15">
        <v>-1186.17283</v>
      </c>
      <c r="G17" s="15">
        <v>-1808.4918</v>
      </c>
      <c r="H17" s="15">
        <v>-2312.0261700000001</v>
      </c>
      <c r="I17" s="15">
        <v>-2582.9614900000001</v>
      </c>
      <c r="J17" s="15"/>
      <c r="K17" s="15"/>
      <c r="L17" s="15"/>
      <c r="M17" s="15"/>
      <c r="N17" s="15"/>
      <c r="O17" s="15"/>
    </row>
    <row r="18" spans="2:15" ht="16" customHeight="1" x14ac:dyDescent="0.35">
      <c r="B18" s="14" t="s">
        <v>27</v>
      </c>
      <c r="C18" s="14" t="s">
        <v>28</v>
      </c>
      <c r="D18" s="15">
        <v>-7740.3024100000002</v>
      </c>
      <c r="E18" s="15">
        <v>-14496.67172</v>
      </c>
      <c r="F18" s="15">
        <v>-23784.925179999998</v>
      </c>
      <c r="G18" s="15">
        <v>-31505.585149999999</v>
      </c>
      <c r="H18" s="15">
        <v>-39348.453110000002</v>
      </c>
      <c r="I18" s="15">
        <v>-40277.953249999999</v>
      </c>
      <c r="J18" s="15"/>
      <c r="K18" s="15"/>
      <c r="L18" s="15"/>
      <c r="M18" s="15"/>
      <c r="N18" s="15"/>
      <c r="O18" s="15"/>
    </row>
    <row r="19" spans="2:15" ht="16" customHeight="1" x14ac:dyDescent="0.35">
      <c r="B19" s="14" t="s">
        <v>29</v>
      </c>
      <c r="C19" s="14" t="s">
        <v>30</v>
      </c>
      <c r="D19" s="15">
        <v>-249.36153999999999</v>
      </c>
      <c r="E19" s="15">
        <v>-747.88939000000005</v>
      </c>
      <c r="F19" s="15">
        <v>-1834.5878</v>
      </c>
      <c r="G19" s="15">
        <v>-3061.32348</v>
      </c>
      <c r="H19" s="15">
        <v>-5312.5511100000003</v>
      </c>
      <c r="I19" s="15">
        <v>-6002.5556200000001</v>
      </c>
      <c r="J19" s="15"/>
      <c r="K19" s="15"/>
      <c r="L19" s="15"/>
      <c r="M19" s="15"/>
      <c r="N19" s="15"/>
      <c r="O19" s="15"/>
    </row>
    <row r="20" spans="2:15" ht="16" customHeight="1" x14ac:dyDescent="0.35">
      <c r="B20" s="14" t="s">
        <v>31</v>
      </c>
      <c r="C20" s="14" t="s">
        <v>32</v>
      </c>
      <c r="D20" s="15">
        <v>-16791.839650000002</v>
      </c>
      <c r="E20" s="15">
        <v>-31788.316190000001</v>
      </c>
      <c r="F20" s="15">
        <v>-47643.847159999998</v>
      </c>
      <c r="G20" s="15">
        <v>-63959.302159999999</v>
      </c>
      <c r="H20" s="15">
        <v>-79576.840670000005</v>
      </c>
      <c r="I20" s="15">
        <v>-85652.765629999994</v>
      </c>
      <c r="J20" s="15"/>
      <c r="K20" s="15"/>
      <c r="L20" s="15"/>
      <c r="M20" s="15"/>
      <c r="N20" s="15"/>
      <c r="O20" s="15"/>
    </row>
    <row r="21" spans="2:15" ht="16" customHeight="1" x14ac:dyDescent="0.35">
      <c r="B21" s="14" t="s">
        <v>33</v>
      </c>
      <c r="C21" s="14" t="s">
        <v>34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 spans="2:15" ht="16" customHeight="1" x14ac:dyDescent="0.35">
      <c r="B22" s="14" t="s">
        <v>35</v>
      </c>
      <c r="C22" s="14" t="s">
        <v>36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 spans="2:15" ht="16" customHeight="1" x14ac:dyDescent="0.35">
      <c r="B23" s="14" t="s">
        <v>37</v>
      </c>
      <c r="C23" s="14" t="s">
        <v>38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spans="2:15" ht="16" customHeight="1" x14ac:dyDescent="0.35">
      <c r="B24" s="16" t="s">
        <v>39</v>
      </c>
      <c r="C24" s="16" t="s">
        <v>40</v>
      </c>
      <c r="D24" s="17">
        <f t="shared" ref="D24:O24" si="1">-(-(D16+D17)-D18-D19-D20-D22-D21)</f>
        <v>-44078.781580000003</v>
      </c>
      <c r="E24" s="17">
        <f t="shared" si="1"/>
        <v>-90497.810329999993</v>
      </c>
      <c r="F24" s="17">
        <f t="shared" si="1"/>
        <v>-146033.34631999998</v>
      </c>
      <c r="G24" s="17">
        <f t="shared" si="1"/>
        <v>-206002.3836</v>
      </c>
      <c r="H24" s="17">
        <f t="shared" si="1"/>
        <v>-265123.65334000002</v>
      </c>
      <c r="I24" s="17">
        <f t="shared" si="1"/>
        <v>-290697.4056</v>
      </c>
      <c r="J24" s="17">
        <f t="shared" si="1"/>
        <v>0</v>
      </c>
      <c r="K24" s="17">
        <f t="shared" si="1"/>
        <v>0</v>
      </c>
      <c r="L24" s="17">
        <f t="shared" si="1"/>
        <v>0</v>
      </c>
      <c r="M24" s="17">
        <f t="shared" si="1"/>
        <v>0</v>
      </c>
      <c r="N24" s="17">
        <f t="shared" si="1"/>
        <v>0</v>
      </c>
      <c r="O24" s="17">
        <f t="shared" si="1"/>
        <v>0</v>
      </c>
    </row>
    <row r="25" spans="2:15" ht="16" customHeight="1" x14ac:dyDescent="0.35">
      <c r="B25" s="11" t="s">
        <v>41</v>
      </c>
      <c r="C25" s="11" t="s">
        <v>22</v>
      </c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</row>
    <row r="26" spans="2:15" ht="16" customHeight="1" x14ac:dyDescent="0.35">
      <c r="B26" s="14" t="s">
        <v>42</v>
      </c>
      <c r="C26" s="14" t="s">
        <v>43</v>
      </c>
      <c r="D26" s="15">
        <v>-19609.912250000001</v>
      </c>
      <c r="E26" s="15">
        <v>-37770.357609999999</v>
      </c>
      <c r="F26" s="15">
        <v>-59207.681239999998</v>
      </c>
      <c r="G26" s="15">
        <v>-89290.199829999998</v>
      </c>
      <c r="H26" s="15">
        <v>-117833.28932</v>
      </c>
      <c r="I26" s="15">
        <v>-126122.51914</v>
      </c>
      <c r="J26" s="15"/>
      <c r="K26" s="15"/>
      <c r="L26" s="15"/>
      <c r="M26" s="15"/>
      <c r="N26" s="15"/>
      <c r="O26" s="15"/>
    </row>
    <row r="27" spans="2:15" ht="16" customHeight="1" x14ac:dyDescent="0.35">
      <c r="B27" s="14" t="s">
        <v>44</v>
      </c>
      <c r="C27" s="14" t="s">
        <v>45</v>
      </c>
      <c r="D27" s="15">
        <v>-13714.645350000001</v>
      </c>
      <c r="E27" s="15">
        <v>-25069.224620000001</v>
      </c>
      <c r="F27" s="15">
        <v>-37093.508269999998</v>
      </c>
      <c r="G27" s="15">
        <v>-56047.647539999998</v>
      </c>
      <c r="H27" s="15">
        <v>-75713.894549999997</v>
      </c>
      <c r="I27" s="15">
        <v>-83047.319350000005</v>
      </c>
      <c r="J27" s="15"/>
      <c r="K27" s="15"/>
      <c r="L27" s="15"/>
      <c r="M27" s="15"/>
      <c r="N27" s="15"/>
      <c r="O27" s="15"/>
    </row>
    <row r="28" spans="2:15" ht="16" customHeight="1" x14ac:dyDescent="0.35">
      <c r="B28" s="14" t="s">
        <v>46</v>
      </c>
      <c r="C28" s="14" t="s">
        <v>47</v>
      </c>
      <c r="D28" s="15">
        <v>-2983.3860500000001</v>
      </c>
      <c r="E28" s="15">
        <v>-7212.0666099999999</v>
      </c>
      <c r="F28" s="15">
        <v>-11426.694820000001</v>
      </c>
      <c r="G28" s="15">
        <v>-16051.63221</v>
      </c>
      <c r="H28" s="15">
        <v>-20591.710650000001</v>
      </c>
      <c r="I28" s="15">
        <v>-22425.620080000001</v>
      </c>
      <c r="J28" s="15"/>
      <c r="K28" s="15"/>
      <c r="L28" s="15"/>
      <c r="M28" s="15"/>
      <c r="N28" s="15"/>
      <c r="O28" s="15"/>
    </row>
    <row r="29" spans="2:15" ht="16" customHeight="1" x14ac:dyDescent="0.35">
      <c r="B29" s="14" t="s">
        <v>48</v>
      </c>
      <c r="C29" s="14" t="s">
        <v>49</v>
      </c>
      <c r="D29" s="15">
        <v>-10304.62232</v>
      </c>
      <c r="E29" s="15">
        <v>-22474.948380000002</v>
      </c>
      <c r="F29" s="15">
        <v>-29537.228800000001</v>
      </c>
      <c r="G29" s="15">
        <v>-40463.860249999998</v>
      </c>
      <c r="H29" s="15">
        <v>-53203.67366</v>
      </c>
      <c r="I29" s="15">
        <v>-56728.92297</v>
      </c>
      <c r="J29" s="15"/>
      <c r="K29" s="15"/>
      <c r="L29" s="15"/>
      <c r="M29" s="15"/>
      <c r="N29" s="15"/>
      <c r="O29" s="15"/>
    </row>
    <row r="30" spans="2:15" ht="16" customHeight="1" x14ac:dyDescent="0.35">
      <c r="B30" s="14" t="s">
        <v>50</v>
      </c>
      <c r="C30" s="14" t="s">
        <v>51</v>
      </c>
      <c r="D30" s="15">
        <v>-13377.368689999999</v>
      </c>
      <c r="E30" s="15">
        <v>-25412.394189999999</v>
      </c>
      <c r="F30" s="15">
        <v>-32950.683010000001</v>
      </c>
      <c r="G30" s="15">
        <v>-44709.94513</v>
      </c>
      <c r="H30" s="15">
        <v>-56826.477440000002</v>
      </c>
      <c r="I30" s="15">
        <v>-56965.960659999997</v>
      </c>
      <c r="J30" s="15"/>
      <c r="K30" s="15"/>
      <c r="L30" s="15"/>
      <c r="M30" s="15"/>
      <c r="N30" s="15"/>
      <c r="O30" s="15"/>
    </row>
    <row r="31" spans="2:15" ht="16" customHeight="1" x14ac:dyDescent="0.35">
      <c r="B31" s="14" t="s">
        <v>52</v>
      </c>
      <c r="C31" s="14" t="s">
        <v>53</v>
      </c>
      <c r="D31" s="15">
        <v>-27891.043020000001</v>
      </c>
      <c r="E31" s="15">
        <v>-50822.7353</v>
      </c>
      <c r="F31" s="15">
        <v>-78811.68737</v>
      </c>
      <c r="G31" s="15">
        <v>-103165.33387</v>
      </c>
      <c r="H31" s="15">
        <v>-134986.15779999999</v>
      </c>
      <c r="I31" s="15">
        <v>-142319.74158</v>
      </c>
      <c r="J31" s="15"/>
      <c r="K31" s="15"/>
      <c r="L31" s="15"/>
      <c r="M31" s="15"/>
      <c r="N31" s="15"/>
      <c r="O31" s="15"/>
    </row>
    <row r="32" spans="2:15" ht="16" customHeight="1" x14ac:dyDescent="0.35">
      <c r="B32" s="14" t="s">
        <v>54</v>
      </c>
      <c r="C32" s="14" t="s">
        <v>55</v>
      </c>
      <c r="D32" s="15">
        <v>-25018.05558</v>
      </c>
      <c r="E32" s="15">
        <v>-62833.644030000003</v>
      </c>
      <c r="F32" s="15">
        <v>-114641.49802</v>
      </c>
      <c r="G32" s="15">
        <v>-146393.53627000001</v>
      </c>
      <c r="H32" s="15">
        <v>-161003.67264999999</v>
      </c>
      <c r="I32" s="15">
        <v>-172791.14887999999</v>
      </c>
      <c r="J32" s="15"/>
      <c r="K32" s="15"/>
      <c r="L32" s="15"/>
      <c r="M32" s="15"/>
      <c r="N32" s="15"/>
      <c r="O32" s="15"/>
    </row>
    <row r="33" spans="2:15" ht="16" customHeight="1" x14ac:dyDescent="0.35">
      <c r="B33" s="14" t="s">
        <v>56</v>
      </c>
      <c r="C33" s="14" t="s">
        <v>57</v>
      </c>
      <c r="D33" s="15">
        <v>-5862.9244900000003</v>
      </c>
      <c r="E33" s="15">
        <v>-18698.514660000001</v>
      </c>
      <c r="F33" s="15">
        <v>-26356.078119999998</v>
      </c>
      <c r="G33" s="15">
        <v>-34266.895259999998</v>
      </c>
      <c r="H33" s="15">
        <v>-32306.614539999999</v>
      </c>
      <c r="I33" s="15">
        <v>-33927.206480000001</v>
      </c>
      <c r="J33" s="15"/>
      <c r="K33" s="15"/>
      <c r="L33" s="15"/>
      <c r="M33" s="15"/>
      <c r="N33" s="15"/>
      <c r="O33" s="15"/>
    </row>
    <row r="34" spans="2:15" ht="16" customHeight="1" x14ac:dyDescent="0.35">
      <c r="B34" s="14" t="s">
        <v>58</v>
      </c>
      <c r="C34" s="14" t="s">
        <v>59</v>
      </c>
      <c r="D34" s="15">
        <v>15618.864939999999</v>
      </c>
      <c r="E34" s="15">
        <v>9846.5846899999997</v>
      </c>
      <c r="F34" s="15">
        <v>9838.7805100000005</v>
      </c>
      <c r="G34" s="15">
        <v>3592.6651200000001</v>
      </c>
      <c r="H34" s="15">
        <v>1368.3778299999999</v>
      </c>
      <c r="I34" s="15">
        <v>-25527.213779999998</v>
      </c>
      <c r="J34" s="15"/>
      <c r="K34" s="15"/>
      <c r="L34" s="15"/>
      <c r="M34" s="15"/>
      <c r="N34" s="15"/>
      <c r="O34" s="15"/>
    </row>
    <row r="35" spans="2:15" ht="16" customHeight="1" x14ac:dyDescent="0.35">
      <c r="B35" s="14" t="s">
        <v>60</v>
      </c>
      <c r="C35" s="14" t="s">
        <v>61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</row>
    <row r="36" spans="2:15" ht="16" customHeight="1" x14ac:dyDescent="0.35">
      <c r="B36" s="14" t="s">
        <v>62</v>
      </c>
      <c r="C36" s="14" t="s">
        <v>36</v>
      </c>
      <c r="D36" s="15"/>
      <c r="E36" s="15">
        <v>60</v>
      </c>
      <c r="F36" s="15">
        <v>1893.3</v>
      </c>
      <c r="G36" s="15">
        <v>2158.8922699999998</v>
      </c>
      <c r="H36" s="15">
        <v>2158.8922699999998</v>
      </c>
      <c r="I36" s="15">
        <v>2158.8922699999998</v>
      </c>
      <c r="J36" s="15"/>
      <c r="K36" s="15"/>
      <c r="L36" s="15"/>
      <c r="M36" s="15"/>
      <c r="N36" s="15"/>
      <c r="O36" s="15"/>
    </row>
    <row r="37" spans="2:15" ht="16" customHeight="1" x14ac:dyDescent="0.35">
      <c r="B37" s="14" t="s">
        <v>63</v>
      </c>
      <c r="C37" s="14" t="s">
        <v>64</v>
      </c>
      <c r="D37" s="15"/>
      <c r="E37" s="15"/>
      <c r="F37" s="15">
        <v>39.624450000000003</v>
      </c>
      <c r="G37" s="15">
        <v>84.570980000000006</v>
      </c>
      <c r="H37" s="15">
        <v>84.691779999999994</v>
      </c>
      <c r="I37" s="15">
        <v>84.691779999999994</v>
      </c>
      <c r="J37" s="15"/>
      <c r="K37" s="15"/>
      <c r="L37" s="15"/>
      <c r="M37" s="15"/>
      <c r="N37" s="15"/>
      <c r="O37" s="15"/>
    </row>
    <row r="38" spans="2:15" ht="16" customHeight="1" x14ac:dyDescent="0.35">
      <c r="B38" s="14" t="s">
        <v>65</v>
      </c>
      <c r="C38" s="14" t="s">
        <v>66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</row>
    <row r="39" spans="2:15" ht="16" customHeight="1" x14ac:dyDescent="0.35">
      <c r="B39" s="14" t="s">
        <v>67</v>
      </c>
      <c r="C39" s="14" t="s">
        <v>68</v>
      </c>
      <c r="D39" s="15">
        <v>4405.9250000000002</v>
      </c>
      <c r="E39" s="15">
        <v>10734.416999999999</v>
      </c>
      <c r="F39" s="15">
        <v>13493.195</v>
      </c>
      <c r="G39" s="15">
        <v>15743.154</v>
      </c>
      <c r="H39" s="15">
        <v>18050.170999999998</v>
      </c>
      <c r="I39" s="15">
        <v>18429.692999999999</v>
      </c>
      <c r="J39" s="15"/>
      <c r="K39" s="15"/>
      <c r="L39" s="15"/>
      <c r="M39" s="15"/>
      <c r="N39" s="15"/>
      <c r="O39" s="15"/>
    </row>
    <row r="40" spans="2:15" ht="16" customHeight="1" x14ac:dyDescent="0.35">
      <c r="B40" s="16" t="s">
        <v>69</v>
      </c>
      <c r="C40" s="16" t="s">
        <v>70</v>
      </c>
      <c r="D40" s="17">
        <f t="shared" ref="D40:O40" si="2">-(-(D26+D27)-D28-D29-D30-D31-D32-D33-D34-D35-D36-D37-D38-D39)</f>
        <v>-98737.167809999999</v>
      </c>
      <c r="E40" s="17">
        <f t="shared" si="2"/>
        <v>-229652.88370999999</v>
      </c>
      <c r="F40" s="17">
        <f t="shared" si="2"/>
        <v>-364760.15969</v>
      </c>
      <c r="G40" s="17">
        <f t="shared" si="2"/>
        <v>-508809.7679900002</v>
      </c>
      <c r="H40" s="17">
        <f t="shared" si="2"/>
        <v>-630803.35773000005</v>
      </c>
      <c r="I40" s="17">
        <f t="shared" si="2"/>
        <v>-699182.37587000011</v>
      </c>
      <c r="J40" s="17">
        <f t="shared" si="2"/>
        <v>0</v>
      </c>
      <c r="K40" s="17">
        <f t="shared" si="2"/>
        <v>0</v>
      </c>
      <c r="L40" s="17">
        <f t="shared" si="2"/>
        <v>0</v>
      </c>
      <c r="M40" s="17">
        <f t="shared" si="2"/>
        <v>0</v>
      </c>
      <c r="N40" s="17">
        <f t="shared" si="2"/>
        <v>0</v>
      </c>
      <c r="O40" s="17">
        <f t="shared" si="2"/>
        <v>0</v>
      </c>
    </row>
    <row r="41" spans="2:15" ht="16" customHeight="1" x14ac:dyDescent="0.35">
      <c r="B41" s="11" t="s">
        <v>71</v>
      </c>
      <c r="C41" s="11" t="s">
        <v>22</v>
      </c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</row>
    <row r="42" spans="2:15" ht="16" customHeight="1" x14ac:dyDescent="0.35">
      <c r="B42" s="16" t="s">
        <v>72</v>
      </c>
      <c r="C42" s="16" t="s">
        <v>73</v>
      </c>
      <c r="D42" s="17">
        <f t="shared" ref="D42:O42" si="3">D24+D40</f>
        <v>-142815.94938999999</v>
      </c>
      <c r="E42" s="17">
        <f t="shared" si="3"/>
        <v>-320150.69403999997</v>
      </c>
      <c r="F42" s="17">
        <f t="shared" si="3"/>
        <v>-510793.50601000001</v>
      </c>
      <c r="G42" s="17">
        <f t="shared" si="3"/>
        <v>-714812.15159000014</v>
      </c>
      <c r="H42" s="17">
        <f t="shared" si="3"/>
        <v>-895927.01107000001</v>
      </c>
      <c r="I42" s="17">
        <f t="shared" si="3"/>
        <v>-989879.78147000005</v>
      </c>
      <c r="J42" s="17">
        <f t="shared" si="3"/>
        <v>0</v>
      </c>
      <c r="K42" s="17">
        <f t="shared" si="3"/>
        <v>0</v>
      </c>
      <c r="L42" s="17">
        <f t="shared" si="3"/>
        <v>0</v>
      </c>
      <c r="M42" s="17">
        <f t="shared" si="3"/>
        <v>0</v>
      </c>
      <c r="N42" s="17">
        <f t="shared" si="3"/>
        <v>0</v>
      </c>
      <c r="O42" s="17">
        <f t="shared" si="3"/>
        <v>0</v>
      </c>
    </row>
    <row r="43" spans="2:15" ht="16" customHeight="1" thickBot="1" x14ac:dyDescent="0.4">
      <c r="B43" s="11" t="s">
        <v>74</v>
      </c>
      <c r="C43" s="11" t="s">
        <v>22</v>
      </c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</row>
    <row r="44" spans="2:15" ht="16" customHeight="1" thickBot="1" x14ac:dyDescent="0.4">
      <c r="B44" s="18" t="s">
        <v>75</v>
      </c>
      <c r="C44" s="18" t="s">
        <v>76</v>
      </c>
      <c r="D44" s="19">
        <f t="shared" ref="D44:O44" si="4">D14+D42</f>
        <v>34954.081069999986</v>
      </c>
      <c r="E44" s="19">
        <f t="shared" si="4"/>
        <v>69897.889220000012</v>
      </c>
      <c r="F44" s="19">
        <f t="shared" si="4"/>
        <v>151250.39564</v>
      </c>
      <c r="G44" s="19">
        <f t="shared" si="4"/>
        <v>276881.73332999984</v>
      </c>
      <c r="H44" s="19">
        <f t="shared" si="4"/>
        <v>414468.90685999999</v>
      </c>
      <c r="I44" s="19">
        <f t="shared" si="4"/>
        <v>468233.32233999996</v>
      </c>
      <c r="J44" s="19">
        <f t="shared" si="4"/>
        <v>0</v>
      </c>
      <c r="K44" s="19">
        <f t="shared" si="4"/>
        <v>0</v>
      </c>
      <c r="L44" s="19">
        <f t="shared" si="4"/>
        <v>0</v>
      </c>
      <c r="M44" s="19">
        <f t="shared" si="4"/>
        <v>0</v>
      </c>
      <c r="N44" s="19">
        <f t="shared" si="4"/>
        <v>0</v>
      </c>
      <c r="O44" s="19">
        <f t="shared" si="4"/>
        <v>0</v>
      </c>
    </row>
    <row r="45" spans="2:15" ht="16" customHeight="1" x14ac:dyDescent="0.35">
      <c r="B45" s="11" t="s">
        <v>77</v>
      </c>
      <c r="C45" s="11" t="s">
        <v>22</v>
      </c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</row>
    <row r="46" spans="2:15" ht="16" customHeight="1" x14ac:dyDescent="0.35">
      <c r="B46" s="14" t="s">
        <v>78</v>
      </c>
      <c r="C46" s="14" t="s">
        <v>28</v>
      </c>
      <c r="D46" s="15">
        <v>-1996.5594000000001</v>
      </c>
      <c r="E46" s="15">
        <v>-3973.8688999999999</v>
      </c>
      <c r="F46" s="15">
        <v>-7596.4324999999999</v>
      </c>
      <c r="G46" s="15">
        <v>-10001.540559999999</v>
      </c>
      <c r="H46" s="15">
        <v>-12174.12407</v>
      </c>
      <c r="I46" s="15">
        <v>-12483.99451</v>
      </c>
      <c r="J46" s="15"/>
      <c r="K46" s="15"/>
      <c r="L46" s="15"/>
      <c r="M46" s="15"/>
      <c r="N46" s="15"/>
      <c r="O46" s="15"/>
    </row>
    <row r="47" spans="2:15" ht="16" customHeight="1" x14ac:dyDescent="0.35">
      <c r="B47" s="14" t="s">
        <v>79</v>
      </c>
      <c r="C47" s="14" t="s">
        <v>80</v>
      </c>
      <c r="D47" s="15">
        <v>-243.76861</v>
      </c>
      <c r="E47" s="15">
        <v>-863.84700999999995</v>
      </c>
      <c r="F47" s="15">
        <v>-1271.1425200000001</v>
      </c>
      <c r="G47" s="15">
        <v>-1875.5844999999999</v>
      </c>
      <c r="H47" s="15">
        <v>-2007.41284</v>
      </c>
      <c r="I47" s="15">
        <v>-2057.9157</v>
      </c>
      <c r="J47" s="15"/>
      <c r="K47" s="15"/>
      <c r="L47" s="15"/>
      <c r="M47" s="15"/>
      <c r="N47" s="15"/>
      <c r="O47" s="15"/>
    </row>
    <row r="48" spans="2:15" ht="16" customHeight="1" x14ac:dyDescent="0.35">
      <c r="B48" s="14" t="s">
        <v>81</v>
      </c>
      <c r="C48" s="14" t="s">
        <v>82</v>
      </c>
      <c r="D48" s="15"/>
      <c r="E48" s="15">
        <v>-41.961919999999999</v>
      </c>
      <c r="F48" s="15">
        <v>-294.42059</v>
      </c>
      <c r="G48" s="15">
        <v>-318.32839999999999</v>
      </c>
      <c r="H48" s="15">
        <v>-346.44763</v>
      </c>
      <c r="I48" s="15">
        <v>-346.44763</v>
      </c>
      <c r="J48" s="15"/>
      <c r="K48" s="15"/>
      <c r="L48" s="15"/>
      <c r="M48" s="15"/>
      <c r="N48" s="15"/>
      <c r="O48" s="15"/>
    </row>
    <row r="49" spans="2:15" ht="16" customHeight="1" x14ac:dyDescent="0.35">
      <c r="B49" s="14" t="s">
        <v>83</v>
      </c>
      <c r="C49" s="14" t="s">
        <v>84</v>
      </c>
      <c r="D49" s="15">
        <v>-558.04823999999996</v>
      </c>
      <c r="E49" s="15">
        <v>-507.62205</v>
      </c>
      <c r="F49" s="15">
        <v>-731.95006000000001</v>
      </c>
      <c r="G49" s="15">
        <v>-605.62302</v>
      </c>
      <c r="H49" s="15">
        <v>-656.76592000000005</v>
      </c>
      <c r="I49" s="15">
        <v>-721.20016999999996</v>
      </c>
      <c r="J49" s="15"/>
      <c r="K49" s="15"/>
      <c r="L49" s="15"/>
      <c r="M49" s="15"/>
      <c r="N49" s="15"/>
      <c r="O49" s="15"/>
    </row>
    <row r="50" spans="2:15" ht="16" customHeight="1" x14ac:dyDescent="0.35">
      <c r="B50" s="14" t="s">
        <v>85</v>
      </c>
      <c r="C50" s="14" t="s">
        <v>86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</row>
    <row r="51" spans="2:15" ht="16" customHeight="1" x14ac:dyDescent="0.35">
      <c r="B51" s="14" t="s">
        <v>87</v>
      </c>
      <c r="C51" s="14" t="s">
        <v>88</v>
      </c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</row>
    <row r="52" spans="2:15" ht="16" customHeight="1" x14ac:dyDescent="0.35">
      <c r="B52" s="14" t="s">
        <v>89</v>
      </c>
      <c r="C52" s="14" t="s">
        <v>90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 spans="2:15" ht="16" customHeight="1" x14ac:dyDescent="0.35">
      <c r="B53" s="16" t="s">
        <v>91</v>
      </c>
      <c r="C53" s="16" t="s">
        <v>92</v>
      </c>
      <c r="D53" s="17">
        <f t="shared" ref="D53:O53" si="5">-(-(D46+D47)-D48-D49-D51-D50)</f>
        <v>-2798.3762500000003</v>
      </c>
      <c r="E53" s="17">
        <f t="shared" si="5"/>
        <v>-5387.2998799999996</v>
      </c>
      <c r="F53" s="17">
        <f t="shared" si="5"/>
        <v>-9893.9456699999992</v>
      </c>
      <c r="G53" s="17">
        <f t="shared" si="5"/>
        <v>-12801.07648</v>
      </c>
      <c r="H53" s="17">
        <f t="shared" si="5"/>
        <v>-15184.750459999999</v>
      </c>
      <c r="I53" s="17">
        <f t="shared" si="5"/>
        <v>-15609.558010000001</v>
      </c>
      <c r="J53" s="17">
        <f t="shared" si="5"/>
        <v>0</v>
      </c>
      <c r="K53" s="17">
        <f t="shared" si="5"/>
        <v>0</v>
      </c>
      <c r="L53" s="17">
        <f t="shared" si="5"/>
        <v>0</v>
      </c>
      <c r="M53" s="17">
        <f t="shared" si="5"/>
        <v>0</v>
      </c>
      <c r="N53" s="17">
        <f t="shared" si="5"/>
        <v>0</v>
      </c>
      <c r="O53" s="17">
        <f t="shared" si="5"/>
        <v>0</v>
      </c>
    </row>
    <row r="54" spans="2:15" ht="16" customHeight="1" x14ac:dyDescent="0.35">
      <c r="B54" s="11" t="s">
        <v>93</v>
      </c>
      <c r="C54" s="11" t="s">
        <v>22</v>
      </c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</row>
    <row r="55" spans="2:15" ht="16" customHeight="1" x14ac:dyDescent="0.35">
      <c r="B55" s="14" t="s">
        <v>94</v>
      </c>
      <c r="C55" s="14" t="s">
        <v>28</v>
      </c>
      <c r="D55" s="15">
        <v>-3893.16912</v>
      </c>
      <c r="E55" s="15">
        <v>-6642.1055900000001</v>
      </c>
      <c r="F55" s="15">
        <v>-9350.60455</v>
      </c>
      <c r="G55" s="15">
        <v>-13231.661889999999</v>
      </c>
      <c r="H55" s="15">
        <v>-17419.420620000001</v>
      </c>
      <c r="I55" s="15">
        <v>-18002.706610000001</v>
      </c>
      <c r="J55" s="15"/>
      <c r="K55" s="15"/>
      <c r="L55" s="15"/>
      <c r="M55" s="15"/>
      <c r="N55" s="15"/>
      <c r="O55" s="15"/>
    </row>
    <row r="56" spans="2:15" ht="16" customHeight="1" x14ac:dyDescent="0.35">
      <c r="B56" s="14" t="s">
        <v>95</v>
      </c>
      <c r="C56" s="14" t="s">
        <v>80</v>
      </c>
      <c r="D56" s="15">
        <v>-3676.39471</v>
      </c>
      <c r="E56" s="15">
        <v>-6820.82845</v>
      </c>
      <c r="F56" s="15">
        <v>-8892.1906799999997</v>
      </c>
      <c r="G56" s="15">
        <v>-11485.24395</v>
      </c>
      <c r="H56" s="15">
        <v>-14406.346600000001</v>
      </c>
      <c r="I56" s="15">
        <v>-13620.02569</v>
      </c>
      <c r="J56" s="15"/>
      <c r="K56" s="15"/>
      <c r="L56" s="15"/>
      <c r="M56" s="15"/>
      <c r="N56" s="15"/>
      <c r="O56" s="15"/>
    </row>
    <row r="57" spans="2:15" ht="16" customHeight="1" x14ac:dyDescent="0.35">
      <c r="B57" s="14" t="s">
        <v>96</v>
      </c>
      <c r="C57" s="14" t="s">
        <v>97</v>
      </c>
      <c r="D57" s="15">
        <v>505.00425999999999</v>
      </c>
      <c r="E57" s="15">
        <v>1541.0702799999999</v>
      </c>
      <c r="F57" s="15">
        <v>463.24301000000003</v>
      </c>
      <c r="G57" s="15">
        <v>-932.88157999999999</v>
      </c>
      <c r="H57" s="15">
        <v>-172.04365999999999</v>
      </c>
      <c r="I57" s="15">
        <v>-616.09159</v>
      </c>
      <c r="J57" s="15"/>
      <c r="K57" s="15"/>
      <c r="L57" s="15"/>
      <c r="M57" s="15"/>
      <c r="N57" s="15"/>
      <c r="O57" s="15"/>
    </row>
    <row r="58" spans="2:15" ht="16" customHeight="1" x14ac:dyDescent="0.35">
      <c r="B58" s="14" t="s">
        <v>98</v>
      </c>
      <c r="C58" s="14" t="s">
        <v>99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</row>
    <row r="59" spans="2:15" ht="16" customHeight="1" x14ac:dyDescent="0.35">
      <c r="B59" s="14" t="s">
        <v>100</v>
      </c>
      <c r="C59" s="14" t="s">
        <v>88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</row>
    <row r="60" spans="2:15" ht="16" customHeight="1" x14ac:dyDescent="0.35">
      <c r="B60" s="14" t="s">
        <v>101</v>
      </c>
      <c r="C60" s="14" t="s">
        <v>102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</row>
    <row r="61" spans="2:15" ht="16" customHeight="1" x14ac:dyDescent="0.35">
      <c r="B61" s="16" t="s">
        <v>103</v>
      </c>
      <c r="C61" s="16" t="s">
        <v>104</v>
      </c>
      <c r="D61" s="17">
        <f t="shared" ref="D61:O61" si="6">-(-(D55+D56)-D57-D59-D58)</f>
        <v>-7064.5595700000003</v>
      </c>
      <c r="E61" s="17">
        <f t="shared" si="6"/>
        <v>-11921.86376</v>
      </c>
      <c r="F61" s="17">
        <f t="shared" si="6"/>
        <v>-17779.552220000001</v>
      </c>
      <c r="G61" s="17">
        <f t="shared" si="6"/>
        <v>-25649.787420000001</v>
      </c>
      <c r="H61" s="17">
        <f t="shared" si="6"/>
        <v>-31997.810880000001</v>
      </c>
      <c r="I61" s="17">
        <f t="shared" si="6"/>
        <v>-32238.823890000003</v>
      </c>
      <c r="J61" s="17">
        <f t="shared" si="6"/>
        <v>0</v>
      </c>
      <c r="K61" s="17">
        <f t="shared" si="6"/>
        <v>0</v>
      </c>
      <c r="L61" s="17">
        <f t="shared" si="6"/>
        <v>0</v>
      </c>
      <c r="M61" s="17">
        <f t="shared" si="6"/>
        <v>0</v>
      </c>
      <c r="N61" s="17">
        <f t="shared" si="6"/>
        <v>0</v>
      </c>
      <c r="O61" s="17">
        <f t="shared" si="6"/>
        <v>0</v>
      </c>
    </row>
    <row r="62" spans="2:15" ht="16" customHeight="1" thickBot="1" x14ac:dyDescent="0.4">
      <c r="B62" s="11" t="s">
        <v>105</v>
      </c>
      <c r="C62" s="11" t="s">
        <v>22</v>
      </c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</row>
    <row r="63" spans="2:15" ht="16" customHeight="1" thickBot="1" x14ac:dyDescent="0.4">
      <c r="B63" s="18" t="s">
        <v>106</v>
      </c>
      <c r="C63" s="18" t="s">
        <v>107</v>
      </c>
      <c r="D63" s="19">
        <f t="shared" ref="D63:O63" si="7">D53+D61</f>
        <v>-9862.9358200000006</v>
      </c>
      <c r="E63" s="19">
        <f t="shared" si="7"/>
        <v>-17309.163639999999</v>
      </c>
      <c r="F63" s="19">
        <f t="shared" si="7"/>
        <v>-27673.497889999999</v>
      </c>
      <c r="G63" s="19">
        <f t="shared" si="7"/>
        <v>-38450.863899999997</v>
      </c>
      <c r="H63" s="19">
        <f t="shared" si="7"/>
        <v>-47182.56134</v>
      </c>
      <c r="I63" s="19">
        <f t="shared" si="7"/>
        <v>-47848.381900000008</v>
      </c>
      <c r="J63" s="19">
        <f t="shared" si="7"/>
        <v>0</v>
      </c>
      <c r="K63" s="19">
        <f t="shared" si="7"/>
        <v>0</v>
      </c>
      <c r="L63" s="19">
        <f t="shared" si="7"/>
        <v>0</v>
      </c>
      <c r="M63" s="19">
        <f t="shared" si="7"/>
        <v>0</v>
      </c>
      <c r="N63" s="19">
        <f t="shared" si="7"/>
        <v>0</v>
      </c>
      <c r="O63" s="19">
        <f t="shared" si="7"/>
        <v>0</v>
      </c>
    </row>
    <row r="64" spans="2:15" ht="16" customHeight="1" x14ac:dyDescent="0.35">
      <c r="B64" s="11" t="s">
        <v>108</v>
      </c>
      <c r="C64" s="11" t="s">
        <v>22</v>
      </c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</row>
    <row r="65" spans="2:15" ht="16" customHeight="1" x14ac:dyDescent="0.35">
      <c r="B65" s="14" t="s">
        <v>109</v>
      </c>
      <c r="C65" s="14" t="s">
        <v>110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 spans="2:15" ht="16" customHeight="1" x14ac:dyDescent="0.35">
      <c r="B66" s="14" t="s">
        <v>111</v>
      </c>
      <c r="C66" s="14" t="s">
        <v>112</v>
      </c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</row>
    <row r="67" spans="2:15" ht="16" customHeight="1" x14ac:dyDescent="0.35">
      <c r="B67" s="16" t="s">
        <v>113</v>
      </c>
      <c r="C67" s="16" t="s">
        <v>114</v>
      </c>
      <c r="D67" s="17">
        <f t="shared" ref="D67:O67" si="8">D65+D66</f>
        <v>0</v>
      </c>
      <c r="E67" s="17">
        <f t="shared" si="8"/>
        <v>0</v>
      </c>
      <c r="F67" s="17">
        <f t="shared" si="8"/>
        <v>0</v>
      </c>
      <c r="G67" s="17">
        <f t="shared" si="8"/>
        <v>0</v>
      </c>
      <c r="H67" s="17">
        <f t="shared" si="8"/>
        <v>0</v>
      </c>
      <c r="I67" s="17">
        <f t="shared" si="8"/>
        <v>0</v>
      </c>
      <c r="J67" s="17">
        <f t="shared" si="8"/>
        <v>0</v>
      </c>
      <c r="K67" s="17">
        <f t="shared" si="8"/>
        <v>0</v>
      </c>
      <c r="L67" s="17">
        <f t="shared" si="8"/>
        <v>0</v>
      </c>
      <c r="M67" s="17">
        <f t="shared" si="8"/>
        <v>0</v>
      </c>
      <c r="N67" s="17">
        <f t="shared" si="8"/>
        <v>0</v>
      </c>
      <c r="O67" s="17">
        <f t="shared" si="8"/>
        <v>0</v>
      </c>
    </row>
    <row r="68" spans="2:15" ht="16" customHeight="1" thickBot="1" x14ac:dyDescent="0.4">
      <c r="B68" s="11" t="s">
        <v>115</v>
      </c>
      <c r="C68" s="11" t="s">
        <v>22</v>
      </c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</row>
    <row r="69" spans="2:15" ht="16" customHeight="1" thickBot="1" x14ac:dyDescent="0.4">
      <c r="B69" s="18" t="s">
        <v>116</v>
      </c>
      <c r="C69" s="18" t="s">
        <v>117</v>
      </c>
      <c r="D69" s="19">
        <f t="shared" ref="D69:O69" si="9">-(-(D44+D63)-D67)</f>
        <v>25091.145249999987</v>
      </c>
      <c r="E69" s="19">
        <f t="shared" si="9"/>
        <v>52588.725580000013</v>
      </c>
      <c r="F69" s="19">
        <f t="shared" si="9"/>
        <v>123576.89775</v>
      </c>
      <c r="G69" s="19">
        <f t="shared" si="9"/>
        <v>238430.86942999985</v>
      </c>
      <c r="H69" s="19">
        <f t="shared" si="9"/>
        <v>367286.34551999997</v>
      </c>
      <c r="I69" s="19">
        <f t="shared" si="9"/>
        <v>420384.94043999992</v>
      </c>
      <c r="J69" s="19">
        <f t="shared" si="9"/>
        <v>0</v>
      </c>
      <c r="K69" s="19">
        <f t="shared" si="9"/>
        <v>0</v>
      </c>
      <c r="L69" s="19">
        <f t="shared" si="9"/>
        <v>0</v>
      </c>
      <c r="M69" s="19">
        <f t="shared" si="9"/>
        <v>0</v>
      </c>
      <c r="N69" s="19">
        <f t="shared" si="9"/>
        <v>0</v>
      </c>
      <c r="O69" s="19">
        <f t="shared" si="9"/>
        <v>0</v>
      </c>
    </row>
    <row r="70" spans="2:15" ht="16" customHeight="1" x14ac:dyDescent="0.35">
      <c r="B70" s="11" t="s">
        <v>118</v>
      </c>
      <c r="C70" s="11" t="s">
        <v>22</v>
      </c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</row>
    <row r="71" spans="2:15" ht="16" customHeight="1" x14ac:dyDescent="0.35">
      <c r="B71" s="14" t="s">
        <v>119</v>
      </c>
      <c r="C71" s="14" t="s">
        <v>120</v>
      </c>
      <c r="D71" s="15">
        <v>-1356.7952499999999</v>
      </c>
      <c r="E71" s="15">
        <v>-2713.24865</v>
      </c>
      <c r="F71" s="15">
        <v>-4111.8356599999997</v>
      </c>
      <c r="G71" s="15">
        <v>-5681.8782899999997</v>
      </c>
      <c r="H71" s="15">
        <v>-7181.7586300000003</v>
      </c>
      <c r="I71" s="15">
        <v>-7181.7586300000003</v>
      </c>
      <c r="J71" s="15"/>
      <c r="K71" s="15"/>
      <c r="L71" s="15"/>
      <c r="M71" s="15"/>
      <c r="N71" s="15"/>
      <c r="O71" s="15"/>
    </row>
    <row r="72" spans="2:15" ht="16" customHeight="1" x14ac:dyDescent="0.35">
      <c r="B72" s="14" t="s">
        <v>121</v>
      </c>
      <c r="C72" s="14" t="s">
        <v>64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</row>
    <row r="73" spans="2:15" ht="16" customHeight="1" x14ac:dyDescent="0.35">
      <c r="B73" s="14" t="s">
        <v>122</v>
      </c>
      <c r="C73" s="14" t="s">
        <v>123</v>
      </c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</row>
    <row r="74" spans="2:15" ht="16" customHeight="1" thickBot="1" x14ac:dyDescent="0.4">
      <c r="B74" s="11" t="s">
        <v>124</v>
      </c>
      <c r="C74" s="11" t="s">
        <v>22</v>
      </c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</row>
    <row r="75" spans="2:15" ht="16" customHeight="1" thickBot="1" x14ac:dyDescent="0.4">
      <c r="B75" s="18" t="s">
        <v>125</v>
      </c>
      <c r="C75" s="18" t="s">
        <v>126</v>
      </c>
      <c r="D75" s="19">
        <f t="shared" ref="D75:O75" si="10">-(-(D69+D72)-D71-D73)</f>
        <v>23734.349999999988</v>
      </c>
      <c r="E75" s="19">
        <f t="shared" si="10"/>
        <v>49875.476930000012</v>
      </c>
      <c r="F75" s="19">
        <f t="shared" si="10"/>
        <v>119465.06209000001</v>
      </c>
      <c r="G75" s="19">
        <f t="shared" si="10"/>
        <v>232748.99113999985</v>
      </c>
      <c r="H75" s="19">
        <f t="shared" si="10"/>
        <v>360104.58688999998</v>
      </c>
      <c r="I75" s="19">
        <f t="shared" si="10"/>
        <v>413203.18180999992</v>
      </c>
      <c r="J75" s="19">
        <f t="shared" si="10"/>
        <v>0</v>
      </c>
      <c r="K75" s="19">
        <f t="shared" si="10"/>
        <v>0</v>
      </c>
      <c r="L75" s="19">
        <f t="shared" si="10"/>
        <v>0</v>
      </c>
      <c r="M75" s="19">
        <f t="shared" si="10"/>
        <v>0</v>
      </c>
      <c r="N75" s="19">
        <f t="shared" si="10"/>
        <v>0</v>
      </c>
      <c r="O75" s="19">
        <f t="shared" si="10"/>
        <v>0</v>
      </c>
    </row>
    <row r="76" spans="2:15" ht="16" customHeight="1" x14ac:dyDescent="0.35">
      <c r="B76" s="11" t="s">
        <v>127</v>
      </c>
      <c r="C76" s="11" t="s">
        <v>22</v>
      </c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</row>
    <row r="77" spans="2:15" ht="16" customHeight="1" x14ac:dyDescent="0.35">
      <c r="B77" s="14" t="s">
        <v>128</v>
      </c>
      <c r="C77" s="14" t="s">
        <v>129</v>
      </c>
      <c r="D77" s="15">
        <v>-28137.367730000002</v>
      </c>
      <c r="E77" s="15">
        <v>-55482.40597</v>
      </c>
      <c r="F77" s="15">
        <v>-84982.433180000007</v>
      </c>
      <c r="G77" s="15">
        <v>-114081.64754999999</v>
      </c>
      <c r="H77" s="15">
        <v>-144052.22508999999</v>
      </c>
      <c r="I77" s="15">
        <v>-144052.22508999999</v>
      </c>
      <c r="J77" s="15"/>
      <c r="K77" s="15"/>
      <c r="L77" s="15"/>
      <c r="M77" s="15"/>
      <c r="N77" s="15"/>
      <c r="O77" s="15"/>
    </row>
    <row r="78" spans="2:15" ht="16" customHeight="1" x14ac:dyDescent="0.35">
      <c r="B78" s="14" t="s">
        <v>130</v>
      </c>
      <c r="C78" s="14" t="s">
        <v>131</v>
      </c>
      <c r="D78" s="15">
        <v>-50.918999999999997</v>
      </c>
      <c r="E78" s="15">
        <v>-96.911000000000001</v>
      </c>
      <c r="F78" s="15">
        <v>-147.83000000000001</v>
      </c>
      <c r="G78" s="15">
        <v>-200.89717999999999</v>
      </c>
      <c r="H78" s="15">
        <v>-252.79517999999999</v>
      </c>
      <c r="I78" s="15">
        <v>-252.79517999999999</v>
      </c>
      <c r="J78" s="15"/>
      <c r="K78" s="15"/>
      <c r="L78" s="15"/>
      <c r="M78" s="15"/>
      <c r="N78" s="15"/>
      <c r="O78" s="15"/>
    </row>
    <row r="79" spans="2:15" ht="16" customHeight="1" x14ac:dyDescent="0.35">
      <c r="B79" s="14" t="s">
        <v>132</v>
      </c>
      <c r="C79" s="14" t="s">
        <v>133</v>
      </c>
      <c r="D79" s="15">
        <v>-113.45824</v>
      </c>
      <c r="E79" s="15">
        <v>-228.38704999999999</v>
      </c>
      <c r="F79" s="15">
        <v>-343.82605999999998</v>
      </c>
      <c r="G79" s="15">
        <v>-459.77794</v>
      </c>
      <c r="H79" s="15">
        <v>-565.29398000000003</v>
      </c>
      <c r="I79" s="15">
        <v>-565.29398000000003</v>
      </c>
      <c r="J79" s="15"/>
      <c r="K79" s="15"/>
      <c r="L79" s="15"/>
      <c r="M79" s="15"/>
      <c r="N79" s="15"/>
      <c r="O79" s="15"/>
    </row>
    <row r="80" spans="2:15" ht="16" customHeight="1" x14ac:dyDescent="0.35">
      <c r="B80" s="14" t="s">
        <v>134</v>
      </c>
      <c r="C80" s="14" t="s">
        <v>135</v>
      </c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</row>
    <row r="81" spans="2:15" ht="16" customHeight="1" thickBot="1" x14ac:dyDescent="0.4">
      <c r="B81" s="11" t="s">
        <v>136</v>
      </c>
      <c r="C81" s="11" t="s">
        <v>22</v>
      </c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</row>
    <row r="82" spans="2:15" ht="16" customHeight="1" thickBot="1" x14ac:dyDescent="0.4">
      <c r="B82" s="18" t="s">
        <v>137</v>
      </c>
      <c r="C82" s="18" t="s">
        <v>138</v>
      </c>
      <c r="D82" s="19">
        <f t="shared" ref="D82:O82" si="11">-(-(D75+D77)-D78-D79-D80)</f>
        <v>-4567.3949700000139</v>
      </c>
      <c r="E82" s="19">
        <f t="shared" si="11"/>
        <v>-5932.2270899999885</v>
      </c>
      <c r="F82" s="19">
        <f t="shared" si="11"/>
        <v>33990.972849999998</v>
      </c>
      <c r="G82" s="19">
        <f t="shared" si="11"/>
        <v>118006.66846999986</v>
      </c>
      <c r="H82" s="19">
        <f t="shared" si="11"/>
        <v>215234.27264000001</v>
      </c>
      <c r="I82" s="19">
        <f t="shared" si="11"/>
        <v>268332.86755999987</v>
      </c>
      <c r="J82" s="19">
        <f t="shared" si="11"/>
        <v>0</v>
      </c>
      <c r="K82" s="19">
        <f t="shared" si="11"/>
        <v>0</v>
      </c>
      <c r="L82" s="19">
        <f t="shared" si="11"/>
        <v>0</v>
      </c>
      <c r="M82" s="19">
        <f t="shared" si="11"/>
        <v>0</v>
      </c>
      <c r="N82" s="19">
        <f t="shared" si="11"/>
        <v>0</v>
      </c>
      <c r="O82" s="19">
        <f t="shared" si="11"/>
        <v>0</v>
      </c>
    </row>
    <row r="83" spans="2:15" ht="16" customHeight="1" x14ac:dyDescent="0.35">
      <c r="B83" s="11" t="s">
        <v>139</v>
      </c>
      <c r="C83" s="11" t="s">
        <v>22</v>
      </c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</row>
    <row r="84" spans="2:15" ht="16" customHeight="1" x14ac:dyDescent="0.35">
      <c r="B84" s="14" t="s">
        <v>140</v>
      </c>
      <c r="C84" s="14" t="s">
        <v>141</v>
      </c>
      <c r="D84" s="15">
        <v>-85.361959999999996</v>
      </c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</row>
    <row r="85" spans="2:15" ht="16" customHeight="1" x14ac:dyDescent="0.35">
      <c r="B85" s="14" t="s">
        <v>142</v>
      </c>
      <c r="C85" s="14" t="s">
        <v>143</v>
      </c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</row>
    <row r="86" spans="2:15" ht="16" customHeight="1" x14ac:dyDescent="0.35">
      <c r="B86" s="14" t="s">
        <v>144</v>
      </c>
      <c r="C86" s="14" t="s">
        <v>145</v>
      </c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</row>
    <row r="87" spans="2:15" ht="16" customHeight="1" x14ac:dyDescent="0.35">
      <c r="B87" s="14" t="s">
        <v>146</v>
      </c>
      <c r="C87" s="14" t="s">
        <v>147</v>
      </c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</row>
    <row r="88" spans="2:15" ht="16" customHeight="1" x14ac:dyDescent="0.35">
      <c r="B88" s="14" t="s">
        <v>148</v>
      </c>
      <c r="C88" s="14" t="s">
        <v>149</v>
      </c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</row>
    <row r="89" spans="2:15" ht="16" customHeight="1" x14ac:dyDescent="0.35">
      <c r="B89" s="16" t="s">
        <v>150</v>
      </c>
      <c r="C89" s="16" t="s">
        <v>151</v>
      </c>
      <c r="D89" s="17">
        <f t="shared" ref="D89:O89" si="12">-(-(D84+D85)-D86-D87-D88)</f>
        <v>-85.361959999999996</v>
      </c>
      <c r="E89" s="17">
        <f t="shared" si="12"/>
        <v>0</v>
      </c>
      <c r="F89" s="17">
        <f t="shared" si="12"/>
        <v>0</v>
      </c>
      <c r="G89" s="17">
        <f t="shared" si="12"/>
        <v>0</v>
      </c>
      <c r="H89" s="17">
        <f t="shared" si="12"/>
        <v>0</v>
      </c>
      <c r="I89" s="17">
        <f t="shared" si="12"/>
        <v>0</v>
      </c>
      <c r="J89" s="17">
        <f t="shared" si="12"/>
        <v>0</v>
      </c>
      <c r="K89" s="17">
        <f t="shared" si="12"/>
        <v>0</v>
      </c>
      <c r="L89" s="17">
        <f t="shared" si="12"/>
        <v>0</v>
      </c>
      <c r="M89" s="17">
        <f t="shared" si="12"/>
        <v>0</v>
      </c>
      <c r="N89" s="17">
        <f t="shared" si="12"/>
        <v>0</v>
      </c>
      <c r="O89" s="17">
        <f t="shared" si="12"/>
        <v>0</v>
      </c>
    </row>
    <row r="90" spans="2:15" ht="16" customHeight="1" x14ac:dyDescent="0.35">
      <c r="B90" s="11" t="s">
        <v>152</v>
      </c>
      <c r="C90" s="11" t="s">
        <v>22</v>
      </c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</row>
    <row r="91" spans="2:15" ht="16" customHeight="1" x14ac:dyDescent="0.35">
      <c r="B91" s="14" t="s">
        <v>153</v>
      </c>
      <c r="C91" s="14" t="s">
        <v>154</v>
      </c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</row>
    <row r="92" spans="2:15" ht="16" customHeight="1" x14ac:dyDescent="0.35">
      <c r="B92" s="14" t="s">
        <v>155</v>
      </c>
      <c r="C92" s="14" t="s">
        <v>156</v>
      </c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</row>
    <row r="93" spans="2:15" ht="16" customHeight="1" x14ac:dyDescent="0.35">
      <c r="B93" s="14" t="s">
        <v>157</v>
      </c>
      <c r="C93" s="14" t="s">
        <v>158</v>
      </c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</row>
    <row r="94" spans="2:15" ht="16" customHeight="1" x14ac:dyDescent="0.35">
      <c r="B94" s="14" t="s">
        <v>159</v>
      </c>
      <c r="C94" s="14" t="s">
        <v>160</v>
      </c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</row>
    <row r="95" spans="2:15" ht="16" customHeight="1" x14ac:dyDescent="0.35">
      <c r="B95" s="14" t="s">
        <v>161</v>
      </c>
      <c r="C95" s="14" t="s">
        <v>162</v>
      </c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</row>
    <row r="96" spans="2:15" ht="16" customHeight="1" x14ac:dyDescent="0.35">
      <c r="B96" s="16" t="s">
        <v>163</v>
      </c>
      <c r="C96" s="16" t="s">
        <v>164</v>
      </c>
      <c r="D96" s="17">
        <f t="shared" ref="D96:O96" si="13">-(-(D91+D92)-D93-D94-D95)</f>
        <v>0</v>
      </c>
      <c r="E96" s="17">
        <f t="shared" si="13"/>
        <v>0</v>
      </c>
      <c r="F96" s="17">
        <f t="shared" si="13"/>
        <v>0</v>
      </c>
      <c r="G96" s="17">
        <f t="shared" si="13"/>
        <v>0</v>
      </c>
      <c r="H96" s="17">
        <f t="shared" si="13"/>
        <v>0</v>
      </c>
      <c r="I96" s="17">
        <f t="shared" si="13"/>
        <v>0</v>
      </c>
      <c r="J96" s="17">
        <f t="shared" si="13"/>
        <v>0</v>
      </c>
      <c r="K96" s="17">
        <f t="shared" si="13"/>
        <v>0</v>
      </c>
      <c r="L96" s="17">
        <f t="shared" si="13"/>
        <v>0</v>
      </c>
      <c r="M96" s="17">
        <f t="shared" si="13"/>
        <v>0</v>
      </c>
      <c r="N96" s="17">
        <f t="shared" si="13"/>
        <v>0</v>
      </c>
      <c r="O96" s="17">
        <f t="shared" si="13"/>
        <v>0</v>
      </c>
    </row>
    <row r="97" spans="2:15" ht="16" customHeight="1" x14ac:dyDescent="0.35">
      <c r="B97" s="11" t="s">
        <v>165</v>
      </c>
      <c r="C97" s="11" t="s">
        <v>22</v>
      </c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</row>
    <row r="98" spans="2:15" ht="16" customHeight="1" x14ac:dyDescent="0.35">
      <c r="B98" s="14" t="s">
        <v>166</v>
      </c>
      <c r="C98" s="14" t="s">
        <v>167</v>
      </c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</row>
    <row r="99" spans="2:15" ht="16" customHeight="1" thickBot="1" x14ac:dyDescent="0.4">
      <c r="B99" s="11" t="s">
        <v>168</v>
      </c>
      <c r="C99" s="11" t="s">
        <v>22</v>
      </c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</row>
    <row r="100" spans="2:15" ht="16" customHeight="1" thickBot="1" x14ac:dyDescent="0.4">
      <c r="B100" s="18" t="s">
        <v>169</v>
      </c>
      <c r="C100" s="18" t="s">
        <v>170</v>
      </c>
      <c r="D100" s="19">
        <f t="shared" ref="D100:O100" si="14">-(-(D82+D89)-D96-D98)</f>
        <v>-4652.7569300000141</v>
      </c>
      <c r="E100" s="19">
        <f t="shared" si="14"/>
        <v>-5932.2270899999885</v>
      </c>
      <c r="F100" s="19">
        <f t="shared" si="14"/>
        <v>33990.972849999998</v>
      </c>
      <c r="G100" s="19">
        <f t="shared" si="14"/>
        <v>118006.66846999986</v>
      </c>
      <c r="H100" s="19">
        <f t="shared" si="14"/>
        <v>215234.27264000001</v>
      </c>
      <c r="I100" s="19">
        <f t="shared" si="14"/>
        <v>268332.86755999987</v>
      </c>
      <c r="J100" s="19">
        <f t="shared" si="14"/>
        <v>0</v>
      </c>
      <c r="K100" s="19">
        <f t="shared" si="14"/>
        <v>0</v>
      </c>
      <c r="L100" s="19">
        <f t="shared" si="14"/>
        <v>0</v>
      </c>
      <c r="M100" s="19">
        <f t="shared" si="14"/>
        <v>0</v>
      </c>
      <c r="N100" s="19">
        <f t="shared" si="14"/>
        <v>0</v>
      </c>
      <c r="O100" s="19">
        <f t="shared" si="14"/>
        <v>0</v>
      </c>
    </row>
    <row r="101" spans="2:15" ht="16" customHeight="1" x14ac:dyDescent="0.35">
      <c r="B101" s="11" t="s">
        <v>171</v>
      </c>
      <c r="C101" s="11" t="s">
        <v>22</v>
      </c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</row>
    <row r="102" spans="2:15" ht="16" customHeight="1" x14ac:dyDescent="0.35">
      <c r="B102" s="14" t="s">
        <v>172</v>
      </c>
      <c r="C102" s="14" t="s">
        <v>173</v>
      </c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</row>
    <row r="103" spans="2:15" ht="16" customHeight="1" x14ac:dyDescent="0.35">
      <c r="B103" s="14" t="s">
        <v>174</v>
      </c>
      <c r="C103" s="14" t="s">
        <v>175</v>
      </c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</row>
    <row r="104" spans="2:15" ht="16" customHeight="1" x14ac:dyDescent="0.35">
      <c r="B104" s="14" t="s">
        <v>176</v>
      </c>
      <c r="C104" s="14" t="s">
        <v>177</v>
      </c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</row>
    <row r="105" spans="2:15" ht="16" customHeight="1" x14ac:dyDescent="0.35">
      <c r="B105" s="14" t="s">
        <v>178</v>
      </c>
      <c r="C105" s="14" t="s">
        <v>179</v>
      </c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</row>
    <row r="106" spans="2:15" ht="16" customHeight="1" x14ac:dyDescent="0.35">
      <c r="B106" s="16" t="s">
        <v>180</v>
      </c>
      <c r="C106" s="16" t="s">
        <v>181</v>
      </c>
      <c r="D106" s="17">
        <f t="shared" ref="D106:O106" si="15">-(-(D102+D103)-D104-D105)</f>
        <v>0</v>
      </c>
      <c r="E106" s="17">
        <f t="shared" si="15"/>
        <v>0</v>
      </c>
      <c r="F106" s="17">
        <f t="shared" si="15"/>
        <v>0</v>
      </c>
      <c r="G106" s="17">
        <f t="shared" si="15"/>
        <v>0</v>
      </c>
      <c r="H106" s="17">
        <f t="shared" si="15"/>
        <v>0</v>
      </c>
      <c r="I106" s="17">
        <f t="shared" si="15"/>
        <v>0</v>
      </c>
      <c r="J106" s="17">
        <f t="shared" si="15"/>
        <v>0</v>
      </c>
      <c r="K106" s="17">
        <f t="shared" si="15"/>
        <v>0</v>
      </c>
      <c r="L106" s="17">
        <f t="shared" si="15"/>
        <v>0</v>
      </c>
      <c r="M106" s="17">
        <f t="shared" si="15"/>
        <v>0</v>
      </c>
      <c r="N106" s="17">
        <f t="shared" si="15"/>
        <v>0</v>
      </c>
      <c r="O106" s="17">
        <f t="shared" si="15"/>
        <v>0</v>
      </c>
    </row>
    <row r="107" spans="2:15" ht="16" customHeight="1" x14ac:dyDescent="0.35">
      <c r="B107" s="11" t="s">
        <v>182</v>
      </c>
      <c r="C107" s="11" t="s">
        <v>22</v>
      </c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</row>
    <row r="108" spans="2:15" ht="16" customHeight="1" x14ac:dyDescent="0.35">
      <c r="B108" s="14" t="s">
        <v>183</v>
      </c>
      <c r="C108" s="14" t="s">
        <v>184</v>
      </c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</row>
    <row r="109" spans="2:15" ht="16" customHeight="1" x14ac:dyDescent="0.35">
      <c r="B109" s="14" t="s">
        <v>185</v>
      </c>
      <c r="C109" s="14" t="s">
        <v>186</v>
      </c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</row>
    <row r="110" spans="2:15" ht="16" customHeight="1" x14ac:dyDescent="0.35">
      <c r="B110" s="14" t="s">
        <v>187</v>
      </c>
      <c r="C110" s="14" t="s">
        <v>188</v>
      </c>
      <c r="D110" s="15">
        <v>52.873179999999998</v>
      </c>
      <c r="E110" s="15">
        <v>52.873179999999998</v>
      </c>
      <c r="F110" s="15"/>
      <c r="G110" s="15"/>
      <c r="H110" s="15"/>
      <c r="I110" s="15"/>
      <c r="J110" s="15"/>
      <c r="K110" s="15"/>
      <c r="L110" s="15"/>
      <c r="M110" s="15"/>
      <c r="N110" s="15"/>
      <c r="O110" s="15"/>
    </row>
    <row r="111" spans="2:15" ht="16" customHeight="1" x14ac:dyDescent="0.35">
      <c r="B111" s="14" t="s">
        <v>189</v>
      </c>
      <c r="C111" s="14" t="s">
        <v>190</v>
      </c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</row>
    <row r="112" spans="2:15" ht="16" customHeight="1" x14ac:dyDescent="0.35">
      <c r="B112" s="16" t="s">
        <v>191</v>
      </c>
      <c r="C112" s="16" t="s">
        <v>192</v>
      </c>
      <c r="D112" s="17">
        <f t="shared" ref="D112:O112" si="16">-(-(D108+D109)-D110-D111)</f>
        <v>52.873179999999998</v>
      </c>
      <c r="E112" s="17">
        <f t="shared" si="16"/>
        <v>52.873179999999998</v>
      </c>
      <c r="F112" s="17">
        <f t="shared" si="16"/>
        <v>0</v>
      </c>
      <c r="G112" s="17">
        <f t="shared" si="16"/>
        <v>0</v>
      </c>
      <c r="H112" s="17">
        <f t="shared" si="16"/>
        <v>0</v>
      </c>
      <c r="I112" s="17">
        <f t="shared" si="16"/>
        <v>0</v>
      </c>
      <c r="J112" s="17">
        <f t="shared" si="16"/>
        <v>0</v>
      </c>
      <c r="K112" s="17">
        <f t="shared" si="16"/>
        <v>0</v>
      </c>
      <c r="L112" s="17">
        <f t="shared" si="16"/>
        <v>0</v>
      </c>
      <c r="M112" s="17">
        <f t="shared" si="16"/>
        <v>0</v>
      </c>
      <c r="N112" s="17">
        <f t="shared" si="16"/>
        <v>0</v>
      </c>
      <c r="O112" s="17">
        <f t="shared" si="16"/>
        <v>0</v>
      </c>
    </row>
    <row r="113" spans="2:15" ht="16" customHeight="1" x14ac:dyDescent="0.35">
      <c r="B113" s="11" t="s">
        <v>193</v>
      </c>
      <c r="C113" s="11" t="s">
        <v>22</v>
      </c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</row>
    <row r="114" spans="2:15" ht="16" customHeight="1" x14ac:dyDescent="0.35">
      <c r="B114" s="14" t="s">
        <v>194</v>
      </c>
      <c r="C114" s="14" t="s">
        <v>195</v>
      </c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</row>
    <row r="115" spans="2:15" ht="16" customHeight="1" x14ac:dyDescent="0.35">
      <c r="B115" s="14" t="s">
        <v>196</v>
      </c>
      <c r="C115" s="14" t="s">
        <v>197</v>
      </c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</row>
    <row r="116" spans="2:15" ht="16" customHeight="1" x14ac:dyDescent="0.35">
      <c r="B116" s="14" t="s">
        <v>198</v>
      </c>
      <c r="C116" s="14" t="s">
        <v>199</v>
      </c>
      <c r="D116" s="15">
        <v>7483.9178000000002</v>
      </c>
      <c r="E116" s="15">
        <v>6849.6441800000002</v>
      </c>
      <c r="F116" s="15">
        <v>6477.1662200000001</v>
      </c>
      <c r="G116" s="15">
        <v>6068.6871799999999</v>
      </c>
      <c r="H116" s="15">
        <v>5686.5890799999997</v>
      </c>
      <c r="I116" s="15">
        <v>-2356.6093599999999</v>
      </c>
      <c r="J116" s="15"/>
      <c r="K116" s="15"/>
      <c r="L116" s="15"/>
      <c r="M116" s="15"/>
      <c r="N116" s="15"/>
      <c r="O116" s="15"/>
    </row>
    <row r="117" spans="2:15" ht="16" customHeight="1" x14ac:dyDescent="0.35">
      <c r="B117" s="14" t="s">
        <v>200</v>
      </c>
      <c r="C117" s="14" t="s">
        <v>201</v>
      </c>
      <c r="D117" s="15">
        <v>-455.41699999999997</v>
      </c>
      <c r="E117" s="15">
        <v>-910.83399999999995</v>
      </c>
      <c r="F117" s="15">
        <v>-1366.251</v>
      </c>
      <c r="G117" s="15">
        <v>-1821.6679999999999</v>
      </c>
      <c r="H117" s="15">
        <v>-2277.085</v>
      </c>
      <c r="I117" s="15">
        <v>-2277.085</v>
      </c>
      <c r="J117" s="15"/>
      <c r="K117" s="15"/>
      <c r="L117" s="15"/>
      <c r="M117" s="15"/>
      <c r="N117" s="15"/>
      <c r="O117" s="15"/>
    </row>
    <row r="118" spans="2:15" ht="16" customHeight="1" x14ac:dyDescent="0.35">
      <c r="B118" s="14" t="s">
        <v>202</v>
      </c>
      <c r="C118" s="14" t="s">
        <v>203</v>
      </c>
      <c r="D118" s="15">
        <v>75.751900000000006</v>
      </c>
      <c r="E118" s="15">
        <v>-1188.0807500000001</v>
      </c>
      <c r="F118" s="15">
        <v>66.819640000000007</v>
      </c>
      <c r="G118" s="15">
        <v>67.818359999999998</v>
      </c>
      <c r="H118" s="15">
        <v>73.328819999999993</v>
      </c>
      <c r="I118" s="15">
        <v>67.579819999999998</v>
      </c>
      <c r="J118" s="15"/>
      <c r="K118" s="15"/>
      <c r="L118" s="15"/>
      <c r="M118" s="15"/>
      <c r="N118" s="15"/>
      <c r="O118" s="15"/>
    </row>
    <row r="119" spans="2:15" ht="16" customHeight="1" x14ac:dyDescent="0.35">
      <c r="B119" s="16" t="s">
        <v>204</v>
      </c>
      <c r="C119" s="16" t="s">
        <v>205</v>
      </c>
      <c r="D119" s="17">
        <f t="shared" ref="D119:O119" si="17">-(-(D114+D115)-D116-D117-D118)</f>
        <v>7104.2527</v>
      </c>
      <c r="E119" s="17">
        <f t="shared" si="17"/>
        <v>4750.7294300000003</v>
      </c>
      <c r="F119" s="17">
        <f t="shared" si="17"/>
        <v>5177.7348599999996</v>
      </c>
      <c r="G119" s="17">
        <f t="shared" si="17"/>
        <v>4314.8375400000004</v>
      </c>
      <c r="H119" s="17">
        <f t="shared" si="17"/>
        <v>3482.8328999999999</v>
      </c>
      <c r="I119" s="17">
        <f t="shared" si="17"/>
        <v>-4566.1145399999996</v>
      </c>
      <c r="J119" s="17">
        <f t="shared" si="17"/>
        <v>0</v>
      </c>
      <c r="K119" s="17">
        <f t="shared" si="17"/>
        <v>0</v>
      </c>
      <c r="L119" s="17">
        <f t="shared" si="17"/>
        <v>0</v>
      </c>
      <c r="M119" s="17">
        <f t="shared" si="17"/>
        <v>0</v>
      </c>
      <c r="N119" s="17">
        <f t="shared" si="17"/>
        <v>0</v>
      </c>
      <c r="O119" s="17">
        <f t="shared" si="17"/>
        <v>0</v>
      </c>
    </row>
    <row r="120" spans="2:15" ht="16" customHeight="1" thickBot="1" x14ac:dyDescent="0.4">
      <c r="B120" s="11" t="s">
        <v>206</v>
      </c>
      <c r="C120" s="11" t="s">
        <v>22</v>
      </c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</row>
    <row r="121" spans="2:15" ht="16" customHeight="1" thickBot="1" x14ac:dyDescent="0.4">
      <c r="B121" s="18" t="s">
        <v>207</v>
      </c>
      <c r="C121" s="18" t="s">
        <v>208</v>
      </c>
      <c r="D121" s="19">
        <f t="shared" ref="D121:O121" si="18">D112+D119</f>
        <v>7157.1258799999996</v>
      </c>
      <c r="E121" s="19">
        <f t="shared" si="18"/>
        <v>4803.6026099999999</v>
      </c>
      <c r="F121" s="19">
        <f t="shared" si="18"/>
        <v>5177.7348599999996</v>
      </c>
      <c r="G121" s="19">
        <f t="shared" si="18"/>
        <v>4314.8375400000004</v>
      </c>
      <c r="H121" s="19">
        <f t="shared" si="18"/>
        <v>3482.8328999999999</v>
      </c>
      <c r="I121" s="19">
        <f t="shared" si="18"/>
        <v>-4566.1145399999996</v>
      </c>
      <c r="J121" s="19">
        <f t="shared" si="18"/>
        <v>0</v>
      </c>
      <c r="K121" s="19">
        <f t="shared" si="18"/>
        <v>0</v>
      </c>
      <c r="L121" s="19">
        <f t="shared" si="18"/>
        <v>0</v>
      </c>
      <c r="M121" s="19">
        <f t="shared" si="18"/>
        <v>0</v>
      </c>
      <c r="N121" s="19">
        <f t="shared" si="18"/>
        <v>0</v>
      </c>
      <c r="O121" s="19">
        <f t="shared" si="18"/>
        <v>0</v>
      </c>
    </row>
    <row r="122" spans="2:15" ht="16" customHeight="1" x14ac:dyDescent="0.35">
      <c r="B122" s="11" t="s">
        <v>209</v>
      </c>
      <c r="C122" s="11" t="s">
        <v>22</v>
      </c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</row>
    <row r="123" spans="2:15" ht="16" customHeight="1" x14ac:dyDescent="0.35">
      <c r="B123" s="14" t="s">
        <v>210</v>
      </c>
      <c r="C123" s="14" t="s">
        <v>211</v>
      </c>
      <c r="D123" s="15"/>
      <c r="E123" s="15">
        <v>-44911.874159999999</v>
      </c>
      <c r="F123" s="15">
        <v>-44948.564960000003</v>
      </c>
      <c r="G123" s="15">
        <v>-45327.306960000002</v>
      </c>
      <c r="H123" s="15">
        <v>-45327.306960000002</v>
      </c>
      <c r="I123" s="15">
        <v>-45327.306960000002</v>
      </c>
      <c r="J123" s="15"/>
      <c r="K123" s="15"/>
      <c r="L123" s="15"/>
      <c r="M123" s="15"/>
      <c r="N123" s="15"/>
      <c r="O123" s="15"/>
    </row>
    <row r="124" spans="2:15" ht="16" customHeight="1" x14ac:dyDescent="0.35">
      <c r="B124" s="14" t="s">
        <v>212</v>
      </c>
      <c r="C124" s="14" t="s">
        <v>213</v>
      </c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</row>
    <row r="125" spans="2:15" ht="16" customHeight="1" x14ac:dyDescent="0.35">
      <c r="B125" s="14" t="s">
        <v>214</v>
      </c>
      <c r="C125" s="14" t="s">
        <v>215</v>
      </c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</row>
    <row r="126" spans="2:15" ht="16" customHeight="1" x14ac:dyDescent="0.35">
      <c r="B126" s="14" t="s">
        <v>216</v>
      </c>
      <c r="C126" s="14" t="s">
        <v>217</v>
      </c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</row>
    <row r="127" spans="2:15" ht="16" customHeight="1" x14ac:dyDescent="0.35">
      <c r="B127" s="14" t="s">
        <v>218</v>
      </c>
      <c r="C127" s="14" t="s">
        <v>219</v>
      </c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</row>
    <row r="128" spans="2:15" ht="16" customHeight="1" x14ac:dyDescent="0.35">
      <c r="B128" s="14" t="s">
        <v>220</v>
      </c>
      <c r="C128" s="14" t="s">
        <v>221</v>
      </c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</row>
    <row r="129" spans="2:15" ht="16" customHeight="1" x14ac:dyDescent="0.35">
      <c r="B129" s="14" t="s">
        <v>222</v>
      </c>
      <c r="C129" s="14" t="s">
        <v>223</v>
      </c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</row>
    <row r="130" spans="2:15" ht="16" customHeight="1" x14ac:dyDescent="0.35">
      <c r="B130" s="14" t="s">
        <v>224</v>
      </c>
      <c r="C130" s="14" t="s">
        <v>225</v>
      </c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</row>
    <row r="131" spans="2:15" ht="16" customHeight="1" x14ac:dyDescent="0.35">
      <c r="B131" s="16" t="s">
        <v>226</v>
      </c>
      <c r="C131" s="16" t="s">
        <v>227</v>
      </c>
      <c r="D131" s="17">
        <f t="shared" ref="D131:O131" si="19">-(-(D123+D124)-D125-D126-D127-D128-D129-D130)</f>
        <v>0</v>
      </c>
      <c r="E131" s="17">
        <f t="shared" si="19"/>
        <v>-44911.874159999999</v>
      </c>
      <c r="F131" s="17">
        <f t="shared" si="19"/>
        <v>-44948.564960000003</v>
      </c>
      <c r="G131" s="17">
        <f t="shared" si="19"/>
        <v>-45327.306960000002</v>
      </c>
      <c r="H131" s="17">
        <f t="shared" si="19"/>
        <v>-45327.306960000002</v>
      </c>
      <c r="I131" s="17">
        <f t="shared" si="19"/>
        <v>-45327.306960000002</v>
      </c>
      <c r="J131" s="17">
        <f t="shared" si="19"/>
        <v>0</v>
      </c>
      <c r="K131" s="17">
        <f t="shared" si="19"/>
        <v>0</v>
      </c>
      <c r="L131" s="17">
        <f t="shared" si="19"/>
        <v>0</v>
      </c>
      <c r="M131" s="17">
        <f t="shared" si="19"/>
        <v>0</v>
      </c>
      <c r="N131" s="17">
        <f t="shared" si="19"/>
        <v>0</v>
      </c>
      <c r="O131" s="17">
        <f t="shared" si="19"/>
        <v>0</v>
      </c>
    </row>
    <row r="132" spans="2:15" ht="16" customHeight="1" thickBot="1" x14ac:dyDescent="0.4">
      <c r="B132" s="11" t="s">
        <v>228</v>
      </c>
      <c r="C132" s="11" t="s">
        <v>22</v>
      </c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</row>
    <row r="133" spans="2:15" ht="16" customHeight="1" thickBot="1" x14ac:dyDescent="0.4">
      <c r="B133" s="18" t="s">
        <v>229</v>
      </c>
      <c r="C133" s="18" t="s">
        <v>230</v>
      </c>
      <c r="D133" s="19">
        <f t="shared" ref="D133:O133" si="20">-(-(D106+D121)-D131)</f>
        <v>7157.1258799999996</v>
      </c>
      <c r="E133" s="19">
        <f t="shared" si="20"/>
        <v>-40108.271549999998</v>
      </c>
      <c r="F133" s="19">
        <f t="shared" si="20"/>
        <v>-39770.830100000006</v>
      </c>
      <c r="G133" s="19">
        <f t="shared" si="20"/>
        <v>-41012.469420000001</v>
      </c>
      <c r="H133" s="19">
        <f t="shared" si="20"/>
        <v>-41844.47406</v>
      </c>
      <c r="I133" s="19">
        <f t="shared" si="20"/>
        <v>-49893.421500000004</v>
      </c>
      <c r="J133" s="19">
        <f t="shared" si="20"/>
        <v>0</v>
      </c>
      <c r="K133" s="19">
        <f t="shared" si="20"/>
        <v>0</v>
      </c>
      <c r="L133" s="19">
        <f t="shared" si="20"/>
        <v>0</v>
      </c>
      <c r="M133" s="19">
        <f t="shared" si="20"/>
        <v>0</v>
      </c>
      <c r="N133" s="19">
        <f t="shared" si="20"/>
        <v>0</v>
      </c>
      <c r="O133" s="19">
        <f t="shared" si="20"/>
        <v>0</v>
      </c>
    </row>
    <row r="134" spans="2:15" ht="16" customHeight="1" thickBot="1" x14ac:dyDescent="0.4">
      <c r="B134" s="11" t="s">
        <v>231</v>
      </c>
      <c r="C134" s="11" t="s">
        <v>22</v>
      </c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</row>
    <row r="135" spans="2:15" ht="16" customHeight="1" thickBot="1" x14ac:dyDescent="0.4">
      <c r="B135" s="18" t="s">
        <v>232</v>
      </c>
      <c r="C135" s="18" t="s">
        <v>233</v>
      </c>
      <c r="D135" s="19">
        <f t="shared" ref="D135:O135" si="21">D100+D133</f>
        <v>2504.3689499999855</v>
      </c>
      <c r="E135" s="19">
        <f t="shared" si="21"/>
        <v>-46040.498639999983</v>
      </c>
      <c r="F135" s="19">
        <f t="shared" si="21"/>
        <v>-5779.8572500000082</v>
      </c>
      <c r="G135" s="19">
        <f t="shared" si="21"/>
        <v>76994.19904999985</v>
      </c>
      <c r="H135" s="19">
        <f t="shared" si="21"/>
        <v>173389.79858</v>
      </c>
      <c r="I135" s="19">
        <f t="shared" si="21"/>
        <v>218439.44605999987</v>
      </c>
      <c r="J135" s="19">
        <f t="shared" si="21"/>
        <v>0</v>
      </c>
      <c r="K135" s="19">
        <f t="shared" si="21"/>
        <v>0</v>
      </c>
      <c r="L135" s="19">
        <f t="shared" si="21"/>
        <v>0</v>
      </c>
      <c r="M135" s="19">
        <f t="shared" si="21"/>
        <v>0</v>
      </c>
      <c r="N135" s="19">
        <f t="shared" si="21"/>
        <v>0</v>
      </c>
      <c r="O135" s="19">
        <f t="shared" si="21"/>
        <v>0</v>
      </c>
    </row>
    <row r="136" spans="2:15" ht="16" customHeight="1" x14ac:dyDescent="0.35">
      <c r="B136" s="11" t="s">
        <v>234</v>
      </c>
      <c r="C136" s="11" t="s">
        <v>22</v>
      </c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</row>
    <row r="137" spans="2:15" ht="16" customHeight="1" x14ac:dyDescent="0.35">
      <c r="B137" s="14" t="s">
        <v>235</v>
      </c>
      <c r="C137" s="14" t="s">
        <v>236</v>
      </c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</row>
    <row r="138" spans="2:15" ht="16" customHeight="1" x14ac:dyDescent="0.35">
      <c r="B138" s="14" t="s">
        <v>237</v>
      </c>
      <c r="C138" s="14" t="s">
        <v>238</v>
      </c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</row>
    <row r="139" spans="2:15" ht="16" customHeight="1" x14ac:dyDescent="0.35">
      <c r="B139" s="14" t="s">
        <v>239</v>
      </c>
      <c r="C139" s="14" t="s">
        <v>240</v>
      </c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</row>
    <row r="140" spans="2:15" ht="16" customHeight="1" x14ac:dyDescent="0.35">
      <c r="B140" s="14" t="s">
        <v>241</v>
      </c>
      <c r="C140" s="14" t="s">
        <v>242</v>
      </c>
      <c r="D140" s="15">
        <v>203.667</v>
      </c>
      <c r="E140" s="15">
        <v>407.334</v>
      </c>
      <c r="F140" s="15">
        <v>-1888.498</v>
      </c>
      <c r="G140" s="15">
        <v>-1684.664</v>
      </c>
      <c r="H140" s="15">
        <v>-1480.83</v>
      </c>
      <c r="I140" s="15">
        <v>-1480.83</v>
      </c>
      <c r="J140" s="15"/>
      <c r="K140" s="15"/>
      <c r="L140" s="15"/>
      <c r="M140" s="15"/>
      <c r="N140" s="15"/>
      <c r="O140" s="15"/>
    </row>
    <row r="141" spans="2:15" ht="16" customHeight="1" x14ac:dyDescent="0.35">
      <c r="B141" s="16" t="s">
        <v>243</v>
      </c>
      <c r="C141" s="16" t="s">
        <v>244</v>
      </c>
      <c r="D141" s="17">
        <f t="shared" ref="D141:O141" si="22">-(-(D137+D138)-D139-D140)</f>
        <v>203.667</v>
      </c>
      <c r="E141" s="17">
        <f t="shared" si="22"/>
        <v>407.334</v>
      </c>
      <c r="F141" s="17">
        <f t="shared" si="22"/>
        <v>-1888.498</v>
      </c>
      <c r="G141" s="17">
        <f t="shared" si="22"/>
        <v>-1684.664</v>
      </c>
      <c r="H141" s="17">
        <f t="shared" si="22"/>
        <v>-1480.83</v>
      </c>
      <c r="I141" s="17">
        <f t="shared" si="22"/>
        <v>-1480.83</v>
      </c>
      <c r="J141" s="17">
        <f t="shared" si="22"/>
        <v>0</v>
      </c>
      <c r="K141" s="17">
        <f t="shared" si="22"/>
        <v>0</v>
      </c>
      <c r="L141" s="17">
        <f t="shared" si="22"/>
        <v>0</v>
      </c>
      <c r="M141" s="17">
        <f t="shared" si="22"/>
        <v>0</v>
      </c>
      <c r="N141" s="17">
        <f t="shared" si="22"/>
        <v>0</v>
      </c>
      <c r="O141" s="17">
        <f t="shared" si="22"/>
        <v>0</v>
      </c>
    </row>
    <row r="142" spans="2:15" ht="16" customHeight="1" thickBot="1" x14ac:dyDescent="0.4">
      <c r="B142" s="11" t="s">
        <v>245</v>
      </c>
      <c r="C142" s="11" t="s">
        <v>22</v>
      </c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</row>
    <row r="143" spans="2:15" ht="16" customHeight="1" thickBot="1" x14ac:dyDescent="0.4">
      <c r="B143" s="18" t="s">
        <v>246</v>
      </c>
      <c r="C143" s="18" t="s">
        <v>247</v>
      </c>
      <c r="D143" s="19">
        <f t="shared" ref="D143:O143" si="23">D135+D141</f>
        <v>2708.0359499999854</v>
      </c>
      <c r="E143" s="19">
        <f t="shared" si="23"/>
        <v>-45633.164639999981</v>
      </c>
      <c r="F143" s="19">
        <f t="shared" si="23"/>
        <v>-7668.3552500000078</v>
      </c>
      <c r="G143" s="19">
        <f t="shared" si="23"/>
        <v>75309.535049999846</v>
      </c>
      <c r="H143" s="19">
        <f t="shared" si="23"/>
        <v>171908.96858000002</v>
      </c>
      <c r="I143" s="19">
        <f t="shared" si="23"/>
        <v>216958.61605999988</v>
      </c>
      <c r="J143" s="19">
        <f t="shared" si="23"/>
        <v>0</v>
      </c>
      <c r="K143" s="19">
        <f t="shared" si="23"/>
        <v>0</v>
      </c>
      <c r="L143" s="19">
        <f t="shared" si="23"/>
        <v>0</v>
      </c>
      <c r="M143" s="19">
        <f t="shared" si="23"/>
        <v>0</v>
      </c>
      <c r="N143" s="19">
        <f t="shared" si="23"/>
        <v>0</v>
      </c>
      <c r="O143" s="19">
        <f t="shared" si="23"/>
        <v>0</v>
      </c>
    </row>
    <row r="144" spans="2:15" ht="16" customHeight="1" x14ac:dyDescent="0.35">
      <c r="B144" s="11" t="s">
        <v>248</v>
      </c>
      <c r="C144" s="11" t="s">
        <v>22</v>
      </c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</row>
    <row r="145" spans="2:15" ht="16" customHeight="1" x14ac:dyDescent="0.35">
      <c r="B145" s="14" t="s">
        <v>249</v>
      </c>
      <c r="C145" s="14" t="s">
        <v>250</v>
      </c>
      <c r="D145" s="15">
        <v>9854.8981399999993</v>
      </c>
      <c r="E145" s="15">
        <v>30943.645039999999</v>
      </c>
      <c r="F145" s="15">
        <v>19340.580679999999</v>
      </c>
      <c r="G145" s="15">
        <v>4594.6068599999999</v>
      </c>
      <c r="H145" s="15">
        <v>4594.6062599999996</v>
      </c>
      <c r="I145" s="15">
        <v>4594.6062599999996</v>
      </c>
      <c r="J145" s="15"/>
      <c r="K145" s="15"/>
      <c r="L145" s="15"/>
      <c r="M145" s="15"/>
      <c r="N145" s="15"/>
      <c r="O145" s="15"/>
    </row>
    <row r="146" spans="2:15" ht="16" customHeight="1" x14ac:dyDescent="0.35">
      <c r="B146" s="14" t="s">
        <v>251</v>
      </c>
      <c r="C146" s="14" t="s">
        <v>252</v>
      </c>
      <c r="D146" s="15"/>
      <c r="E146" s="15"/>
      <c r="F146" s="15">
        <v>15927.105</v>
      </c>
      <c r="G146" s="15">
        <v>19457.502</v>
      </c>
      <c r="H146" s="15">
        <v>19457.502</v>
      </c>
      <c r="I146" s="15">
        <v>19457.502</v>
      </c>
      <c r="J146" s="15"/>
      <c r="K146" s="15"/>
      <c r="L146" s="15"/>
      <c r="M146" s="15"/>
      <c r="N146" s="15"/>
      <c r="O146" s="15"/>
    </row>
    <row r="147" spans="2:15" ht="16" customHeight="1" x14ac:dyDescent="0.35">
      <c r="B147" s="16" t="s">
        <v>253</v>
      </c>
      <c r="C147" s="16" t="s">
        <v>254</v>
      </c>
      <c r="D147" s="17">
        <f t="shared" ref="D147:O147" si="24">D145+D146</f>
        <v>9854.8981399999993</v>
      </c>
      <c r="E147" s="17">
        <f t="shared" si="24"/>
        <v>30943.645039999999</v>
      </c>
      <c r="F147" s="17">
        <f t="shared" si="24"/>
        <v>35267.685679999995</v>
      </c>
      <c r="G147" s="17">
        <f t="shared" si="24"/>
        <v>24052.10886</v>
      </c>
      <c r="H147" s="17">
        <f t="shared" si="24"/>
        <v>24052.108260000001</v>
      </c>
      <c r="I147" s="17">
        <f t="shared" si="24"/>
        <v>24052.108260000001</v>
      </c>
      <c r="J147" s="17">
        <f t="shared" si="24"/>
        <v>0</v>
      </c>
      <c r="K147" s="17">
        <f t="shared" si="24"/>
        <v>0</v>
      </c>
      <c r="L147" s="17">
        <f t="shared" si="24"/>
        <v>0</v>
      </c>
      <c r="M147" s="17">
        <f t="shared" si="24"/>
        <v>0</v>
      </c>
      <c r="N147" s="17">
        <f t="shared" si="24"/>
        <v>0</v>
      </c>
      <c r="O147" s="17">
        <f t="shared" si="24"/>
        <v>0</v>
      </c>
    </row>
    <row r="148" spans="2:15" ht="16" customHeight="1" x14ac:dyDescent="0.35">
      <c r="B148" s="11" t="s">
        <v>255</v>
      </c>
      <c r="C148" s="11" t="s">
        <v>22</v>
      </c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</row>
    <row r="149" spans="2:15" ht="16" customHeight="1" x14ac:dyDescent="0.35">
      <c r="B149" s="14" t="s">
        <v>256</v>
      </c>
      <c r="C149" s="14" t="s">
        <v>257</v>
      </c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</row>
    <row r="150" spans="2:15" ht="16" customHeight="1" thickBot="1" x14ac:dyDescent="0.4">
      <c r="B150" s="11" t="s">
        <v>258</v>
      </c>
      <c r="C150" s="11" t="s">
        <v>22</v>
      </c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</row>
    <row r="151" spans="2:15" ht="16" customHeight="1" thickBot="1" x14ac:dyDescent="0.4">
      <c r="B151" s="18" t="s">
        <v>259</v>
      </c>
      <c r="C151" s="18" t="s">
        <v>260</v>
      </c>
      <c r="D151" s="19">
        <f t="shared" ref="D151:O151" si="25">-(-(D143+D147)-D149)</f>
        <v>12562.934089999984</v>
      </c>
      <c r="E151" s="19">
        <f t="shared" si="25"/>
        <v>-14689.519599999981</v>
      </c>
      <c r="F151" s="19">
        <f t="shared" si="25"/>
        <v>27599.330429999987</v>
      </c>
      <c r="G151" s="19">
        <f t="shared" si="25"/>
        <v>99361.643909999839</v>
      </c>
      <c r="H151" s="19">
        <f t="shared" si="25"/>
        <v>195961.07684000002</v>
      </c>
      <c r="I151" s="19">
        <f t="shared" si="25"/>
        <v>241010.72431999989</v>
      </c>
      <c r="J151" s="19">
        <f t="shared" si="25"/>
        <v>0</v>
      </c>
      <c r="K151" s="19">
        <f t="shared" si="25"/>
        <v>0</v>
      </c>
      <c r="L151" s="19">
        <f t="shared" si="25"/>
        <v>0</v>
      </c>
      <c r="M151" s="19">
        <f t="shared" si="25"/>
        <v>0</v>
      </c>
      <c r="N151" s="19">
        <f t="shared" si="25"/>
        <v>0</v>
      </c>
      <c r="O151" s="19">
        <f t="shared" si="25"/>
        <v>0</v>
      </c>
    </row>
    <row r="152" spans="2:15" ht="16" customHeight="1" x14ac:dyDescent="0.35">
      <c r="B152" s="11" t="s">
        <v>261</v>
      </c>
      <c r="C152" s="11" t="s">
        <v>22</v>
      </c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</row>
    <row r="153" spans="2:15" ht="16" customHeight="1" x14ac:dyDescent="0.35">
      <c r="B153" s="14" t="s">
        <v>262</v>
      </c>
      <c r="C153" s="14" t="s">
        <v>263</v>
      </c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</row>
    <row r="154" spans="2:15" ht="16" customHeight="1" thickBot="1" x14ac:dyDescent="0.4">
      <c r="B154" s="11" t="s">
        <v>264</v>
      </c>
      <c r="C154" s="11" t="s">
        <v>22</v>
      </c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</row>
    <row r="155" spans="2:15" ht="16" customHeight="1" thickBot="1" x14ac:dyDescent="0.4">
      <c r="B155" s="18" t="s">
        <v>265</v>
      </c>
      <c r="C155" s="18" t="s">
        <v>266</v>
      </c>
      <c r="D155" s="19">
        <f t="shared" ref="D155:O155" si="26">D151+D153</f>
        <v>12562.934089999984</v>
      </c>
      <c r="E155" s="19">
        <f t="shared" si="26"/>
        <v>-14689.519599999981</v>
      </c>
      <c r="F155" s="19">
        <f t="shared" si="26"/>
        <v>27599.330429999987</v>
      </c>
      <c r="G155" s="19">
        <f t="shared" si="26"/>
        <v>99361.643909999839</v>
      </c>
      <c r="H155" s="19">
        <f t="shared" si="26"/>
        <v>195961.07684000002</v>
      </c>
      <c r="I155" s="19">
        <f t="shared" si="26"/>
        <v>241010.72431999989</v>
      </c>
      <c r="J155" s="19">
        <f t="shared" si="26"/>
        <v>0</v>
      </c>
      <c r="K155" s="19">
        <f t="shared" si="26"/>
        <v>0</v>
      </c>
      <c r="L155" s="19">
        <f t="shared" si="26"/>
        <v>0</v>
      </c>
      <c r="M155" s="19">
        <f t="shared" si="26"/>
        <v>0</v>
      </c>
      <c r="N155" s="19">
        <f t="shared" si="26"/>
        <v>0</v>
      </c>
      <c r="O155" s="19">
        <f t="shared" si="26"/>
        <v>0</v>
      </c>
    </row>
  </sheetData>
  <mergeCells count="1">
    <mergeCell ref="B7:C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D4827-2657-47CF-82EF-563BEF6F2706}">
  <dimension ref="A3:Q155"/>
  <sheetViews>
    <sheetView showGridLines="0" workbookViewId="0">
      <pane ySplit="9" topLeftCell="A10" activePane="bottomLeft" state="frozen"/>
      <selection pane="bottomLeft" activeCell="B4" sqref="B4"/>
    </sheetView>
  </sheetViews>
  <sheetFormatPr defaultColWidth="9.1796875" defaultRowHeight="16" customHeight="1" x14ac:dyDescent="0.35"/>
  <cols>
    <col min="1" max="1" width="2.54296875" style="1" customWidth="1"/>
    <col min="2" max="2" width="10.7265625" style="1" customWidth="1"/>
    <col min="3" max="3" width="55.7265625" style="1" customWidth="1"/>
    <col min="4" max="26" width="15.7265625" style="1" customWidth="1"/>
    <col min="27" max="16384" width="9.1796875" style="1"/>
  </cols>
  <sheetData>
    <row r="3" spans="1:17" ht="16" customHeight="1" x14ac:dyDescent="0.35">
      <c r="B3" s="2" t="s">
        <v>267</v>
      </c>
    </row>
    <row r="4" spans="1:17" ht="16" customHeight="1" x14ac:dyDescent="0.35">
      <c r="B4" s="4" t="s">
        <v>270</v>
      </c>
    </row>
    <row r="5" spans="1:17" ht="16" customHeight="1" x14ac:dyDescent="0.35">
      <c r="B5" s="4" t="s">
        <v>271</v>
      </c>
    </row>
    <row r="6" spans="1:17" ht="16" customHeight="1" x14ac:dyDescent="0.35">
      <c r="A6" s="20"/>
      <c r="B6" s="1" t="s">
        <v>272</v>
      </c>
    </row>
    <row r="7" spans="1:17" ht="16" customHeight="1" x14ac:dyDescent="0.35">
      <c r="A7" s="20"/>
      <c r="B7" s="6">
        <v>46189.33861515046</v>
      </c>
      <c r="C7" s="6"/>
    </row>
    <row r="9" spans="1:17" ht="16" customHeight="1" thickBot="1" x14ac:dyDescent="0.5">
      <c r="B9" s="7"/>
      <c r="C9" s="7"/>
      <c r="D9" s="8" t="s">
        <v>3</v>
      </c>
      <c r="E9" s="8" t="s">
        <v>6</v>
      </c>
      <c r="F9" s="8" t="s">
        <v>9</v>
      </c>
      <c r="G9" s="8" t="s">
        <v>12</v>
      </c>
      <c r="H9" s="21" t="s">
        <v>268</v>
      </c>
      <c r="I9" s="9"/>
      <c r="J9" s="9"/>
      <c r="K9" s="9"/>
      <c r="L9" s="9"/>
      <c r="M9" s="9"/>
      <c r="N9" s="9"/>
      <c r="O9" s="9"/>
      <c r="P9" s="13"/>
      <c r="Q9" s="9"/>
    </row>
    <row r="10" spans="1:17" ht="16" customHeight="1" x14ac:dyDescent="0.45">
      <c r="B10" s="10"/>
      <c r="C10" s="11"/>
      <c r="D10" s="12"/>
      <c r="E10" s="12"/>
      <c r="F10" s="12"/>
      <c r="G10" s="12"/>
      <c r="H10" s="22"/>
      <c r="I10" s="13"/>
      <c r="J10" s="13"/>
      <c r="K10" s="13"/>
      <c r="L10" s="13"/>
      <c r="M10" s="13"/>
      <c r="N10" s="13"/>
      <c r="O10" s="13"/>
      <c r="P10" s="13"/>
      <c r="Q10" s="13"/>
    </row>
    <row r="11" spans="1:17" ht="16" customHeight="1" x14ac:dyDescent="0.35">
      <c r="B11" s="14" t="s">
        <v>13</v>
      </c>
      <c r="C11" s="14" t="s">
        <v>14</v>
      </c>
      <c r="D11" s="15">
        <v>52051.656660000001</v>
      </c>
      <c r="E11" s="15">
        <v>57899.883710000002</v>
      </c>
      <c r="F11" s="15">
        <v>-109951.54037</v>
      </c>
      <c r="G11" s="15"/>
      <c r="H11" s="23">
        <f>SUM(D11:G11)</f>
        <v>0</v>
      </c>
    </row>
    <row r="12" spans="1:17" ht="16" customHeight="1" x14ac:dyDescent="0.35">
      <c r="B12" s="14" t="s">
        <v>15</v>
      </c>
      <c r="C12" s="14" t="s">
        <v>16</v>
      </c>
      <c r="D12" s="15"/>
      <c r="E12" s="15"/>
      <c r="F12" s="15"/>
      <c r="G12" s="15"/>
      <c r="H12" s="23">
        <f>SUM(D12:G12)</f>
        <v>0</v>
      </c>
    </row>
    <row r="13" spans="1:17" ht="16" customHeight="1" x14ac:dyDescent="0.35">
      <c r="B13" s="14" t="s">
        <v>17</v>
      </c>
      <c r="C13" s="14" t="s">
        <v>18</v>
      </c>
      <c r="D13" s="15">
        <v>609992.24499000004</v>
      </c>
      <c r="E13" s="15">
        <v>738169.31845000002</v>
      </c>
      <c r="F13" s="15">
        <v>-1348161.5634399999</v>
      </c>
      <c r="G13" s="15"/>
      <c r="H13" s="23">
        <f>SUM(D13:G13)</f>
        <v>0</v>
      </c>
    </row>
    <row r="14" spans="1:17" ht="16" customHeight="1" x14ac:dyDescent="0.35">
      <c r="B14" s="16" t="s">
        <v>19</v>
      </c>
      <c r="C14" s="16" t="s">
        <v>20</v>
      </c>
      <c r="D14" s="17">
        <f>-(-(D11+D12)-D13)</f>
        <v>662043.90165000001</v>
      </c>
      <c r="E14" s="17">
        <f>-(-(E11+E12)-E13)</f>
        <v>796069.20215999999</v>
      </c>
      <c r="F14" s="17">
        <f>-(-(F11+F12)-F13)</f>
        <v>-1458113.10381</v>
      </c>
      <c r="G14" s="17">
        <f>-(-(G11+G12)-G13)</f>
        <v>0</v>
      </c>
      <c r="H14" s="24">
        <f>-(-(H11+H12)-H13)</f>
        <v>0</v>
      </c>
    </row>
    <row r="15" spans="1:17" ht="16" customHeight="1" x14ac:dyDescent="0.35">
      <c r="B15" s="11" t="s">
        <v>21</v>
      </c>
      <c r="C15" s="11" t="s">
        <v>22</v>
      </c>
      <c r="D15" s="12"/>
      <c r="E15" s="12"/>
      <c r="F15" s="12"/>
      <c r="G15" s="12"/>
      <c r="H15" s="22"/>
    </row>
    <row r="16" spans="1:17" ht="16" customHeight="1" x14ac:dyDescent="0.35">
      <c r="B16" s="14" t="s">
        <v>23</v>
      </c>
      <c r="C16" s="14" t="s">
        <v>24</v>
      </c>
      <c r="D16" s="15">
        <v>-71583.813349999997</v>
      </c>
      <c r="E16" s="15">
        <v>-84597.35626</v>
      </c>
      <c r="F16" s="15">
        <v>156181.16961000001</v>
      </c>
      <c r="G16" s="15"/>
      <c r="H16" s="23">
        <f t="shared" ref="H16:H23" si="0">SUM(D16:G16)</f>
        <v>0</v>
      </c>
    </row>
    <row r="17" spans="2:8" ht="16" customHeight="1" x14ac:dyDescent="0.35">
      <c r="B17" s="14" t="s">
        <v>25</v>
      </c>
      <c r="C17" s="14" t="s">
        <v>26</v>
      </c>
      <c r="D17" s="15">
        <v>-1186.17283</v>
      </c>
      <c r="E17" s="15">
        <v>-1396.7886599999999</v>
      </c>
      <c r="F17" s="15">
        <v>2582.9614900000001</v>
      </c>
      <c r="G17" s="15"/>
      <c r="H17" s="23">
        <f t="shared" si="0"/>
        <v>0</v>
      </c>
    </row>
    <row r="18" spans="2:8" ht="16" customHeight="1" x14ac:dyDescent="0.35">
      <c r="B18" s="14" t="s">
        <v>27</v>
      </c>
      <c r="C18" s="14" t="s">
        <v>28</v>
      </c>
      <c r="D18" s="15">
        <v>-23784.925179999998</v>
      </c>
      <c r="E18" s="15">
        <v>-16493.02807</v>
      </c>
      <c r="F18" s="15">
        <v>40277.953249999999</v>
      </c>
      <c r="G18" s="15"/>
      <c r="H18" s="23">
        <f t="shared" si="0"/>
        <v>0</v>
      </c>
    </row>
    <row r="19" spans="2:8" ht="16" customHeight="1" x14ac:dyDescent="0.35">
      <c r="B19" s="14" t="s">
        <v>29</v>
      </c>
      <c r="C19" s="14" t="s">
        <v>30</v>
      </c>
      <c r="D19" s="15">
        <v>-1834.5878</v>
      </c>
      <c r="E19" s="15">
        <v>-4167.9678199999998</v>
      </c>
      <c r="F19" s="15">
        <v>6002.5556200000001</v>
      </c>
      <c r="G19" s="15"/>
      <c r="H19" s="23">
        <f t="shared" si="0"/>
        <v>0</v>
      </c>
    </row>
    <row r="20" spans="2:8" ht="16" customHeight="1" x14ac:dyDescent="0.35">
      <c r="B20" s="14" t="s">
        <v>31</v>
      </c>
      <c r="C20" s="14" t="s">
        <v>32</v>
      </c>
      <c r="D20" s="15">
        <v>-47643.847159999998</v>
      </c>
      <c r="E20" s="15">
        <v>-38008.918469999997</v>
      </c>
      <c r="F20" s="15">
        <v>85652.765629999994</v>
      </c>
      <c r="G20" s="15"/>
      <c r="H20" s="23">
        <f t="shared" si="0"/>
        <v>0</v>
      </c>
    </row>
    <row r="21" spans="2:8" ht="16" customHeight="1" x14ac:dyDescent="0.35">
      <c r="B21" s="14" t="s">
        <v>33</v>
      </c>
      <c r="C21" s="14" t="s">
        <v>34</v>
      </c>
      <c r="D21" s="15"/>
      <c r="E21" s="15"/>
      <c r="F21" s="15"/>
      <c r="G21" s="15"/>
      <c r="H21" s="23">
        <f t="shared" si="0"/>
        <v>0</v>
      </c>
    </row>
    <row r="22" spans="2:8" ht="16" customHeight="1" x14ac:dyDescent="0.35">
      <c r="B22" s="14" t="s">
        <v>35</v>
      </c>
      <c r="C22" s="14" t="s">
        <v>36</v>
      </c>
      <c r="D22" s="15"/>
      <c r="E22" s="15"/>
      <c r="F22" s="15"/>
      <c r="G22" s="15"/>
      <c r="H22" s="23">
        <f t="shared" si="0"/>
        <v>0</v>
      </c>
    </row>
    <row r="23" spans="2:8" ht="16" customHeight="1" x14ac:dyDescent="0.35">
      <c r="B23" s="14" t="s">
        <v>37</v>
      </c>
      <c r="C23" s="14" t="s">
        <v>38</v>
      </c>
      <c r="D23" s="15"/>
      <c r="E23" s="15"/>
      <c r="F23" s="15"/>
      <c r="G23" s="15"/>
      <c r="H23" s="23">
        <f t="shared" si="0"/>
        <v>0</v>
      </c>
    </row>
    <row r="24" spans="2:8" ht="16" customHeight="1" x14ac:dyDescent="0.35">
      <c r="B24" s="16" t="s">
        <v>39</v>
      </c>
      <c r="C24" s="16" t="s">
        <v>40</v>
      </c>
      <c r="D24" s="17">
        <f>-(-(D16+D17)-D18-D19-D20-D22-D21)</f>
        <v>-146033.34631999998</v>
      </c>
      <c r="E24" s="17">
        <f>-(-(E16+E17)-E18-E19-E20-E22-E21)</f>
        <v>-144664.05928000002</v>
      </c>
      <c r="F24" s="17">
        <f>-(-(F16+F17)-F18-F19-F20-F22-F21)</f>
        <v>290697.4056</v>
      </c>
      <c r="G24" s="17">
        <f>-(-(G16+G17)-G18-G19-G20-G22-G21)</f>
        <v>0</v>
      </c>
      <c r="H24" s="24">
        <f>-(-(H16+H17)-H18-H19-H20-H22-H21)</f>
        <v>0</v>
      </c>
    </row>
    <row r="25" spans="2:8" ht="16" customHeight="1" x14ac:dyDescent="0.35">
      <c r="B25" s="11" t="s">
        <v>41</v>
      </c>
      <c r="C25" s="11" t="s">
        <v>22</v>
      </c>
      <c r="D25" s="12"/>
      <c r="E25" s="12"/>
      <c r="F25" s="12"/>
      <c r="G25" s="12"/>
      <c r="H25" s="22"/>
    </row>
    <row r="26" spans="2:8" ht="16" customHeight="1" x14ac:dyDescent="0.35">
      <c r="B26" s="14" t="s">
        <v>42</v>
      </c>
      <c r="C26" s="14" t="s">
        <v>43</v>
      </c>
      <c r="D26" s="15">
        <v>-59207.681239999998</v>
      </c>
      <c r="E26" s="15">
        <v>-66914.837899999999</v>
      </c>
      <c r="F26" s="15">
        <v>126122.51914</v>
      </c>
      <c r="G26" s="15"/>
      <c r="H26" s="23">
        <f t="shared" ref="H26:H39" si="1">SUM(D26:G26)</f>
        <v>0</v>
      </c>
    </row>
    <row r="27" spans="2:8" ht="16" customHeight="1" x14ac:dyDescent="0.35">
      <c r="B27" s="14" t="s">
        <v>44</v>
      </c>
      <c r="C27" s="14" t="s">
        <v>45</v>
      </c>
      <c r="D27" s="15">
        <v>-37093.508269999998</v>
      </c>
      <c r="E27" s="15">
        <v>-45953.811079999999</v>
      </c>
      <c r="F27" s="15">
        <v>83047.319350000005</v>
      </c>
      <c r="G27" s="15"/>
      <c r="H27" s="23">
        <f t="shared" si="1"/>
        <v>0</v>
      </c>
    </row>
    <row r="28" spans="2:8" ht="16" customHeight="1" x14ac:dyDescent="0.35">
      <c r="B28" s="14" t="s">
        <v>46</v>
      </c>
      <c r="C28" s="14" t="s">
        <v>47</v>
      </c>
      <c r="D28" s="15">
        <v>-11426.694820000001</v>
      </c>
      <c r="E28" s="15">
        <v>-10998.92526</v>
      </c>
      <c r="F28" s="15">
        <v>22425.620080000001</v>
      </c>
      <c r="G28" s="15"/>
      <c r="H28" s="23">
        <f t="shared" si="1"/>
        <v>0</v>
      </c>
    </row>
    <row r="29" spans="2:8" ht="16" customHeight="1" x14ac:dyDescent="0.35">
      <c r="B29" s="14" t="s">
        <v>48</v>
      </c>
      <c r="C29" s="14" t="s">
        <v>49</v>
      </c>
      <c r="D29" s="15">
        <v>-29537.228800000001</v>
      </c>
      <c r="E29" s="15">
        <v>-27191.694169999999</v>
      </c>
      <c r="F29" s="15">
        <v>56728.92297</v>
      </c>
      <c r="G29" s="15"/>
      <c r="H29" s="23">
        <f t="shared" si="1"/>
        <v>0</v>
      </c>
    </row>
    <row r="30" spans="2:8" ht="16" customHeight="1" x14ac:dyDescent="0.35">
      <c r="B30" s="14" t="s">
        <v>50</v>
      </c>
      <c r="C30" s="14" t="s">
        <v>51</v>
      </c>
      <c r="D30" s="15">
        <v>-32950.683010000001</v>
      </c>
      <c r="E30" s="15">
        <v>-24015.27765</v>
      </c>
      <c r="F30" s="15">
        <v>56965.960659999997</v>
      </c>
      <c r="G30" s="15"/>
      <c r="H30" s="23">
        <f t="shared" si="1"/>
        <v>0</v>
      </c>
    </row>
    <row r="31" spans="2:8" ht="16" customHeight="1" x14ac:dyDescent="0.35">
      <c r="B31" s="14" t="s">
        <v>52</v>
      </c>
      <c r="C31" s="14" t="s">
        <v>53</v>
      </c>
      <c r="D31" s="15">
        <v>-78811.68737</v>
      </c>
      <c r="E31" s="15">
        <v>-63508.054210000002</v>
      </c>
      <c r="F31" s="15">
        <v>142319.74158</v>
      </c>
      <c r="G31" s="15"/>
      <c r="H31" s="23">
        <f t="shared" si="1"/>
        <v>0</v>
      </c>
    </row>
    <row r="32" spans="2:8" ht="16" customHeight="1" x14ac:dyDescent="0.35">
      <c r="B32" s="14" t="s">
        <v>54</v>
      </c>
      <c r="C32" s="14" t="s">
        <v>55</v>
      </c>
      <c r="D32" s="15">
        <v>-114641.49802</v>
      </c>
      <c r="E32" s="15">
        <v>-58149.650860000002</v>
      </c>
      <c r="F32" s="15">
        <v>172791.14887999999</v>
      </c>
      <c r="G32" s="15"/>
      <c r="H32" s="23">
        <f t="shared" si="1"/>
        <v>0</v>
      </c>
    </row>
    <row r="33" spans="2:8" ht="16" customHeight="1" x14ac:dyDescent="0.35">
      <c r="B33" s="14" t="s">
        <v>56</v>
      </c>
      <c r="C33" s="14" t="s">
        <v>57</v>
      </c>
      <c r="D33" s="15">
        <v>-26356.078119999998</v>
      </c>
      <c r="E33" s="15">
        <v>-7571.1283599999997</v>
      </c>
      <c r="F33" s="15">
        <v>33927.206480000001</v>
      </c>
      <c r="G33" s="15"/>
      <c r="H33" s="23">
        <f t="shared" si="1"/>
        <v>0</v>
      </c>
    </row>
    <row r="34" spans="2:8" ht="16" customHeight="1" x14ac:dyDescent="0.35">
      <c r="B34" s="14" t="s">
        <v>58</v>
      </c>
      <c r="C34" s="14" t="s">
        <v>59</v>
      </c>
      <c r="D34" s="15">
        <v>9838.7805100000005</v>
      </c>
      <c r="E34" s="15">
        <v>-35365.994290000002</v>
      </c>
      <c r="F34" s="15">
        <v>25527.213779999998</v>
      </c>
      <c r="G34" s="15"/>
      <c r="H34" s="23">
        <f t="shared" si="1"/>
        <v>0</v>
      </c>
    </row>
    <row r="35" spans="2:8" ht="16" customHeight="1" x14ac:dyDescent="0.35">
      <c r="B35" s="14" t="s">
        <v>60</v>
      </c>
      <c r="C35" s="14" t="s">
        <v>61</v>
      </c>
      <c r="D35" s="15"/>
      <c r="E35" s="15"/>
      <c r="F35" s="15"/>
      <c r="G35" s="15"/>
      <c r="H35" s="23">
        <f t="shared" si="1"/>
        <v>0</v>
      </c>
    </row>
    <row r="36" spans="2:8" ht="16" customHeight="1" x14ac:dyDescent="0.35">
      <c r="B36" s="14" t="s">
        <v>62</v>
      </c>
      <c r="C36" s="14" t="s">
        <v>36</v>
      </c>
      <c r="D36" s="15">
        <v>1893.3</v>
      </c>
      <c r="E36" s="15">
        <v>265.59226999999998</v>
      </c>
      <c r="F36" s="15">
        <v>-2158.8922699999998</v>
      </c>
      <c r="G36" s="15"/>
      <c r="H36" s="23">
        <f t="shared" si="1"/>
        <v>0</v>
      </c>
    </row>
    <row r="37" spans="2:8" ht="16" customHeight="1" x14ac:dyDescent="0.35">
      <c r="B37" s="14" t="s">
        <v>63</v>
      </c>
      <c r="C37" s="14" t="s">
        <v>64</v>
      </c>
      <c r="D37" s="15">
        <v>39.624450000000003</v>
      </c>
      <c r="E37" s="15">
        <v>45.067329999999998</v>
      </c>
      <c r="F37" s="15">
        <v>-84.691779999999994</v>
      </c>
      <c r="G37" s="15"/>
      <c r="H37" s="23">
        <f t="shared" si="1"/>
        <v>0</v>
      </c>
    </row>
    <row r="38" spans="2:8" ht="16" customHeight="1" x14ac:dyDescent="0.35">
      <c r="B38" s="14" t="s">
        <v>65</v>
      </c>
      <c r="C38" s="14" t="s">
        <v>66</v>
      </c>
      <c r="D38" s="15"/>
      <c r="E38" s="15"/>
      <c r="F38" s="15"/>
      <c r="G38" s="15"/>
      <c r="H38" s="23">
        <f t="shared" si="1"/>
        <v>0</v>
      </c>
    </row>
    <row r="39" spans="2:8" ht="16" customHeight="1" x14ac:dyDescent="0.35">
      <c r="B39" s="14" t="s">
        <v>67</v>
      </c>
      <c r="C39" s="14" t="s">
        <v>68</v>
      </c>
      <c r="D39" s="15">
        <v>13493.195</v>
      </c>
      <c r="E39" s="15">
        <v>4936.4979999999996</v>
      </c>
      <c r="F39" s="15">
        <v>-18429.692999999999</v>
      </c>
      <c r="G39" s="15"/>
      <c r="H39" s="23">
        <f t="shared" si="1"/>
        <v>0</v>
      </c>
    </row>
    <row r="40" spans="2:8" ht="16" customHeight="1" x14ac:dyDescent="0.35">
      <c r="B40" s="16" t="s">
        <v>69</v>
      </c>
      <c r="C40" s="16" t="s">
        <v>70</v>
      </c>
      <c r="D40" s="17">
        <f>-(-(D26+D27)-D28-D29-D30-D31-D32-D33-D34-D35-D36-D37-D38-D39)</f>
        <v>-364760.15969</v>
      </c>
      <c r="E40" s="17">
        <f>-(-(E26+E27)-E28-E29-E30-E31-E32-E33-E34-E35-E36-E37-E38-E39)</f>
        <v>-334422.21617999993</v>
      </c>
      <c r="F40" s="17">
        <f>-(-(F26+F27)-F28-F29-F30-F31-F32-F33-F34-F35-F36-F37-F38-F39)</f>
        <v>699182.37587000011</v>
      </c>
      <c r="G40" s="17">
        <f>-(-(G26+G27)-G28-G29-G30-G31-G32-G33-G34-G35-G36-G37-G38-G39)</f>
        <v>0</v>
      </c>
      <c r="H40" s="24">
        <f>-(-(H26+H27)-H28-H29-H30-H31-H32-H33-H34-H35-H36-H37-H38-H39)</f>
        <v>0</v>
      </c>
    </row>
    <row r="41" spans="2:8" ht="16" customHeight="1" x14ac:dyDescent="0.35">
      <c r="B41" s="11" t="s">
        <v>71</v>
      </c>
      <c r="C41" s="11" t="s">
        <v>22</v>
      </c>
      <c r="D41" s="12"/>
      <c r="E41" s="12"/>
      <c r="F41" s="12"/>
      <c r="G41" s="12"/>
      <c r="H41" s="22"/>
    </row>
    <row r="42" spans="2:8" ht="16" customHeight="1" x14ac:dyDescent="0.35">
      <c r="B42" s="16" t="s">
        <v>72</v>
      </c>
      <c r="C42" s="16" t="s">
        <v>73</v>
      </c>
      <c r="D42" s="17">
        <f>D24+D40</f>
        <v>-510793.50601000001</v>
      </c>
      <c r="E42" s="17">
        <f>E24+E40</f>
        <v>-479086.27545999992</v>
      </c>
      <c r="F42" s="17">
        <f>F24+F40</f>
        <v>989879.78147000005</v>
      </c>
      <c r="G42" s="17">
        <f>G24+G40</f>
        <v>0</v>
      </c>
      <c r="H42" s="24">
        <f>H24+H40</f>
        <v>0</v>
      </c>
    </row>
    <row r="43" spans="2:8" ht="16" customHeight="1" thickBot="1" x14ac:dyDescent="0.4">
      <c r="B43" s="11" t="s">
        <v>74</v>
      </c>
      <c r="C43" s="11" t="s">
        <v>22</v>
      </c>
      <c r="D43" s="12"/>
      <c r="E43" s="12"/>
      <c r="F43" s="12"/>
      <c r="G43" s="12"/>
      <c r="H43" s="22"/>
    </row>
    <row r="44" spans="2:8" ht="16" customHeight="1" thickBot="1" x14ac:dyDescent="0.4">
      <c r="B44" s="18" t="s">
        <v>75</v>
      </c>
      <c r="C44" s="18" t="s">
        <v>76</v>
      </c>
      <c r="D44" s="19">
        <f>D14+D42</f>
        <v>151250.39564</v>
      </c>
      <c r="E44" s="19">
        <f>E14+E42</f>
        <v>316982.92670000007</v>
      </c>
      <c r="F44" s="19">
        <f>F14+F42</f>
        <v>-468233.32233999996</v>
      </c>
      <c r="G44" s="19">
        <f>G14+G42</f>
        <v>0</v>
      </c>
      <c r="H44" s="25">
        <f>H14+H42</f>
        <v>0</v>
      </c>
    </row>
    <row r="45" spans="2:8" ht="16" customHeight="1" x14ac:dyDescent="0.35">
      <c r="B45" s="11" t="s">
        <v>77</v>
      </c>
      <c r="C45" s="11" t="s">
        <v>22</v>
      </c>
      <c r="D45" s="12"/>
      <c r="E45" s="12"/>
      <c r="F45" s="12"/>
      <c r="G45" s="12"/>
      <c r="H45" s="22"/>
    </row>
    <row r="46" spans="2:8" ht="16" customHeight="1" x14ac:dyDescent="0.35">
      <c r="B46" s="14" t="s">
        <v>78</v>
      </c>
      <c r="C46" s="14" t="s">
        <v>28</v>
      </c>
      <c r="D46" s="15">
        <v>-7596.4324999999999</v>
      </c>
      <c r="E46" s="15">
        <v>-4887.5620099999996</v>
      </c>
      <c r="F46" s="15">
        <v>12483.99451</v>
      </c>
      <c r="G46" s="15"/>
      <c r="H46" s="23">
        <f t="shared" ref="H46:H52" si="2">SUM(D46:G46)</f>
        <v>0</v>
      </c>
    </row>
    <row r="47" spans="2:8" ht="16" customHeight="1" x14ac:dyDescent="0.35">
      <c r="B47" s="14" t="s">
        <v>79</v>
      </c>
      <c r="C47" s="14" t="s">
        <v>80</v>
      </c>
      <c r="D47" s="15">
        <v>-1271.1425200000001</v>
      </c>
      <c r="E47" s="15">
        <v>-786.77318000000002</v>
      </c>
      <c r="F47" s="15">
        <v>2057.9157</v>
      </c>
      <c r="G47" s="15"/>
      <c r="H47" s="23">
        <f t="shared" si="2"/>
        <v>0</v>
      </c>
    </row>
    <row r="48" spans="2:8" ht="16" customHeight="1" x14ac:dyDescent="0.35">
      <c r="B48" s="14" t="s">
        <v>81</v>
      </c>
      <c r="C48" s="14" t="s">
        <v>82</v>
      </c>
      <c r="D48" s="15">
        <v>-294.42059</v>
      </c>
      <c r="E48" s="15">
        <v>-52.02704</v>
      </c>
      <c r="F48" s="15">
        <v>346.44763</v>
      </c>
      <c r="G48" s="15"/>
      <c r="H48" s="23">
        <f t="shared" si="2"/>
        <v>0</v>
      </c>
    </row>
    <row r="49" spans="2:8" ht="16" customHeight="1" x14ac:dyDescent="0.35">
      <c r="B49" s="14" t="s">
        <v>83</v>
      </c>
      <c r="C49" s="14" t="s">
        <v>84</v>
      </c>
      <c r="D49" s="15">
        <v>-731.95006000000001</v>
      </c>
      <c r="E49" s="15">
        <v>10.749890000000001</v>
      </c>
      <c r="F49" s="15">
        <v>721.20016999999996</v>
      </c>
      <c r="G49" s="15"/>
      <c r="H49" s="23">
        <f t="shared" si="2"/>
        <v>0</v>
      </c>
    </row>
    <row r="50" spans="2:8" ht="16" customHeight="1" x14ac:dyDescent="0.35">
      <c r="B50" s="14" t="s">
        <v>85</v>
      </c>
      <c r="C50" s="14" t="s">
        <v>86</v>
      </c>
      <c r="D50" s="15"/>
      <c r="E50" s="15"/>
      <c r="F50" s="15"/>
      <c r="G50" s="15"/>
      <c r="H50" s="23">
        <f t="shared" si="2"/>
        <v>0</v>
      </c>
    </row>
    <row r="51" spans="2:8" ht="16" customHeight="1" x14ac:dyDescent="0.35">
      <c r="B51" s="14" t="s">
        <v>87</v>
      </c>
      <c r="C51" s="14" t="s">
        <v>88</v>
      </c>
      <c r="D51" s="15"/>
      <c r="E51" s="15"/>
      <c r="F51" s="15"/>
      <c r="G51" s="15"/>
      <c r="H51" s="23">
        <f t="shared" si="2"/>
        <v>0</v>
      </c>
    </row>
    <row r="52" spans="2:8" ht="16" customHeight="1" x14ac:dyDescent="0.35">
      <c r="B52" s="14" t="s">
        <v>89</v>
      </c>
      <c r="C52" s="14" t="s">
        <v>90</v>
      </c>
      <c r="D52" s="15"/>
      <c r="E52" s="15"/>
      <c r="F52" s="15"/>
      <c r="G52" s="15"/>
      <c r="H52" s="23">
        <f t="shared" si="2"/>
        <v>0</v>
      </c>
    </row>
    <row r="53" spans="2:8" ht="16" customHeight="1" x14ac:dyDescent="0.35">
      <c r="B53" s="16" t="s">
        <v>91</v>
      </c>
      <c r="C53" s="16" t="s">
        <v>92</v>
      </c>
      <c r="D53" s="17">
        <f>-(-(D46+D47)-D48-D49-D51-D50)</f>
        <v>-9893.9456699999992</v>
      </c>
      <c r="E53" s="17">
        <f>-(-(E46+E47)-E48-E49-E51-E50)</f>
        <v>-5715.6123399999997</v>
      </c>
      <c r="F53" s="17">
        <f>-(-(F46+F47)-F48-F49-F51-F50)</f>
        <v>15609.558010000001</v>
      </c>
      <c r="G53" s="17">
        <f>-(-(G46+G47)-G48-G49-G51-G50)</f>
        <v>0</v>
      </c>
      <c r="H53" s="24">
        <f>-(-(H46+H47)-H48-H49-H51-H50)</f>
        <v>0</v>
      </c>
    </row>
    <row r="54" spans="2:8" ht="16" customHeight="1" x14ac:dyDescent="0.35">
      <c r="B54" s="11" t="s">
        <v>93</v>
      </c>
      <c r="C54" s="11" t="s">
        <v>22</v>
      </c>
      <c r="D54" s="12"/>
      <c r="E54" s="12"/>
      <c r="F54" s="12"/>
      <c r="G54" s="12"/>
      <c r="H54" s="22"/>
    </row>
    <row r="55" spans="2:8" ht="16" customHeight="1" x14ac:dyDescent="0.35">
      <c r="B55" s="14" t="s">
        <v>94</v>
      </c>
      <c r="C55" s="14" t="s">
        <v>28</v>
      </c>
      <c r="D55" s="15">
        <v>-9350.60455</v>
      </c>
      <c r="E55" s="15">
        <v>-8652.1020599999993</v>
      </c>
      <c r="F55" s="15">
        <v>18002.706610000001</v>
      </c>
      <c r="G55" s="15"/>
      <c r="H55" s="23">
        <f t="shared" ref="H55:H60" si="3">SUM(D55:G55)</f>
        <v>0</v>
      </c>
    </row>
    <row r="56" spans="2:8" ht="16" customHeight="1" x14ac:dyDescent="0.35">
      <c r="B56" s="14" t="s">
        <v>95</v>
      </c>
      <c r="C56" s="14" t="s">
        <v>80</v>
      </c>
      <c r="D56" s="15">
        <v>-8892.1906799999997</v>
      </c>
      <c r="E56" s="15">
        <v>-4727.8350099999998</v>
      </c>
      <c r="F56" s="15">
        <v>13620.02569</v>
      </c>
      <c r="G56" s="15"/>
      <c r="H56" s="23">
        <f t="shared" si="3"/>
        <v>0</v>
      </c>
    </row>
    <row r="57" spans="2:8" ht="16" customHeight="1" x14ac:dyDescent="0.35">
      <c r="B57" s="14" t="s">
        <v>96</v>
      </c>
      <c r="C57" s="14" t="s">
        <v>97</v>
      </c>
      <c r="D57" s="15">
        <v>463.24301000000003</v>
      </c>
      <c r="E57" s="15">
        <v>-1079.3345999999999</v>
      </c>
      <c r="F57" s="15">
        <v>616.09159</v>
      </c>
      <c r="G57" s="15"/>
      <c r="H57" s="23">
        <f t="shared" si="3"/>
        <v>0</v>
      </c>
    </row>
    <row r="58" spans="2:8" ht="16" customHeight="1" x14ac:dyDescent="0.35">
      <c r="B58" s="14" t="s">
        <v>98</v>
      </c>
      <c r="C58" s="14" t="s">
        <v>99</v>
      </c>
      <c r="D58" s="15"/>
      <c r="E58" s="15"/>
      <c r="F58" s="15"/>
      <c r="G58" s="15"/>
      <c r="H58" s="23">
        <f t="shared" si="3"/>
        <v>0</v>
      </c>
    </row>
    <row r="59" spans="2:8" ht="16" customHeight="1" x14ac:dyDescent="0.35">
      <c r="B59" s="14" t="s">
        <v>100</v>
      </c>
      <c r="C59" s="14" t="s">
        <v>88</v>
      </c>
      <c r="D59" s="15"/>
      <c r="E59" s="15"/>
      <c r="F59" s="15"/>
      <c r="G59" s="15"/>
      <c r="H59" s="23">
        <f t="shared" si="3"/>
        <v>0</v>
      </c>
    </row>
    <row r="60" spans="2:8" ht="16" customHeight="1" x14ac:dyDescent="0.35">
      <c r="B60" s="14" t="s">
        <v>101</v>
      </c>
      <c r="C60" s="14" t="s">
        <v>102</v>
      </c>
      <c r="D60" s="15"/>
      <c r="E60" s="15"/>
      <c r="F60" s="15"/>
      <c r="G60" s="15"/>
      <c r="H60" s="23">
        <f t="shared" si="3"/>
        <v>0</v>
      </c>
    </row>
    <row r="61" spans="2:8" ht="16" customHeight="1" x14ac:dyDescent="0.35">
      <c r="B61" s="16" t="s">
        <v>103</v>
      </c>
      <c r="C61" s="16" t="s">
        <v>104</v>
      </c>
      <c r="D61" s="17">
        <f>-(-(D55+D56)-D57-D59-D58)</f>
        <v>-17779.552220000001</v>
      </c>
      <c r="E61" s="17">
        <f>-(-(E55+E56)-E57-E59-E58)</f>
        <v>-14459.27167</v>
      </c>
      <c r="F61" s="17">
        <f>-(-(F55+F56)-F57-F59-F58)</f>
        <v>32238.823890000003</v>
      </c>
      <c r="G61" s="17">
        <f>-(-(G55+G56)-G57-G59-G58)</f>
        <v>0</v>
      </c>
      <c r="H61" s="24">
        <f>-(-(H55+H56)-H57-H59-H58)</f>
        <v>0</v>
      </c>
    </row>
    <row r="62" spans="2:8" ht="16" customHeight="1" thickBot="1" x14ac:dyDescent="0.4">
      <c r="B62" s="11" t="s">
        <v>105</v>
      </c>
      <c r="C62" s="11" t="s">
        <v>22</v>
      </c>
      <c r="D62" s="12"/>
      <c r="E62" s="12"/>
      <c r="F62" s="12"/>
      <c r="G62" s="12"/>
      <c r="H62" s="22"/>
    </row>
    <row r="63" spans="2:8" ht="16" customHeight="1" thickBot="1" x14ac:dyDescent="0.4">
      <c r="B63" s="18" t="s">
        <v>106</v>
      </c>
      <c r="C63" s="18" t="s">
        <v>107</v>
      </c>
      <c r="D63" s="19">
        <f>D53+D61</f>
        <v>-27673.497889999999</v>
      </c>
      <c r="E63" s="19">
        <f>E53+E61</f>
        <v>-20174.884010000002</v>
      </c>
      <c r="F63" s="19">
        <f>F53+F61</f>
        <v>47848.381900000008</v>
      </c>
      <c r="G63" s="19">
        <f>G53+G61</f>
        <v>0</v>
      </c>
      <c r="H63" s="25">
        <f>H53+H61</f>
        <v>0</v>
      </c>
    </row>
    <row r="64" spans="2:8" ht="16" customHeight="1" x14ac:dyDescent="0.35">
      <c r="B64" s="11" t="s">
        <v>108</v>
      </c>
      <c r="C64" s="11" t="s">
        <v>22</v>
      </c>
      <c r="D64" s="12"/>
      <c r="E64" s="12"/>
      <c r="F64" s="12"/>
      <c r="G64" s="12"/>
      <c r="H64" s="22"/>
    </row>
    <row r="65" spans="2:8" ht="16" customHeight="1" x14ac:dyDescent="0.35">
      <c r="B65" s="14" t="s">
        <v>109</v>
      </c>
      <c r="C65" s="14" t="s">
        <v>110</v>
      </c>
      <c r="D65" s="15"/>
      <c r="E65" s="15"/>
      <c r="F65" s="15"/>
      <c r="G65" s="15"/>
      <c r="H65" s="23">
        <f>SUM(D65:G65)</f>
        <v>0</v>
      </c>
    </row>
    <row r="66" spans="2:8" ht="16" customHeight="1" x14ac:dyDescent="0.35">
      <c r="B66" s="14" t="s">
        <v>111</v>
      </c>
      <c r="C66" s="14" t="s">
        <v>112</v>
      </c>
      <c r="D66" s="15"/>
      <c r="E66" s="15"/>
      <c r="F66" s="15"/>
      <c r="G66" s="15"/>
      <c r="H66" s="23">
        <f>SUM(D66:G66)</f>
        <v>0</v>
      </c>
    </row>
    <row r="67" spans="2:8" ht="16" customHeight="1" x14ac:dyDescent="0.35">
      <c r="B67" s="16" t="s">
        <v>113</v>
      </c>
      <c r="C67" s="16" t="s">
        <v>114</v>
      </c>
      <c r="D67" s="17">
        <f>D65+D66</f>
        <v>0</v>
      </c>
      <c r="E67" s="17">
        <f>E65+E66</f>
        <v>0</v>
      </c>
      <c r="F67" s="17">
        <f>F65+F66</f>
        <v>0</v>
      </c>
      <c r="G67" s="17">
        <f>G65+G66</f>
        <v>0</v>
      </c>
      <c r="H67" s="24">
        <f>H65+H66</f>
        <v>0</v>
      </c>
    </row>
    <row r="68" spans="2:8" ht="16" customHeight="1" thickBot="1" x14ac:dyDescent="0.4">
      <c r="B68" s="11" t="s">
        <v>115</v>
      </c>
      <c r="C68" s="11" t="s">
        <v>22</v>
      </c>
      <c r="D68" s="12"/>
      <c r="E68" s="12"/>
      <c r="F68" s="12"/>
      <c r="G68" s="12"/>
      <c r="H68" s="22"/>
    </row>
    <row r="69" spans="2:8" ht="16" customHeight="1" thickBot="1" x14ac:dyDescent="0.4">
      <c r="B69" s="18" t="s">
        <v>116</v>
      </c>
      <c r="C69" s="18" t="s">
        <v>117</v>
      </c>
      <c r="D69" s="19">
        <f>-(-(D44+D63)-D67)</f>
        <v>123576.89775</v>
      </c>
      <c r="E69" s="19">
        <f>-(-(E44+E63)-E67)</f>
        <v>296808.04269000009</v>
      </c>
      <c r="F69" s="19">
        <f>-(-(F44+F63)-F67)</f>
        <v>-420384.94043999992</v>
      </c>
      <c r="G69" s="19">
        <f>-(-(G44+G63)-G67)</f>
        <v>0</v>
      </c>
      <c r="H69" s="25">
        <f>-(-(H44+H63)-H67)</f>
        <v>0</v>
      </c>
    </row>
    <row r="70" spans="2:8" ht="16" customHeight="1" x14ac:dyDescent="0.35">
      <c r="B70" s="11" t="s">
        <v>118</v>
      </c>
      <c r="C70" s="11" t="s">
        <v>22</v>
      </c>
      <c r="D70" s="12"/>
      <c r="E70" s="12"/>
      <c r="F70" s="12"/>
      <c r="G70" s="12"/>
      <c r="H70" s="22"/>
    </row>
    <row r="71" spans="2:8" ht="16" customHeight="1" x14ac:dyDescent="0.35">
      <c r="B71" s="14" t="s">
        <v>119</v>
      </c>
      <c r="C71" s="14" t="s">
        <v>120</v>
      </c>
      <c r="D71" s="15">
        <v>-4111.8356599999997</v>
      </c>
      <c r="E71" s="15">
        <v>-3069.9229700000001</v>
      </c>
      <c r="F71" s="15">
        <v>7181.7586300000003</v>
      </c>
      <c r="G71" s="15"/>
      <c r="H71" s="23">
        <f>SUM(D71:G71)</f>
        <v>0</v>
      </c>
    </row>
    <row r="72" spans="2:8" ht="16" customHeight="1" x14ac:dyDescent="0.35">
      <c r="B72" s="14" t="s">
        <v>121</v>
      </c>
      <c r="C72" s="14" t="s">
        <v>64</v>
      </c>
      <c r="D72" s="15"/>
      <c r="E72" s="15"/>
      <c r="F72" s="15"/>
      <c r="G72" s="15"/>
      <c r="H72" s="23">
        <f>SUM(D72:G72)</f>
        <v>0</v>
      </c>
    </row>
    <row r="73" spans="2:8" ht="16" customHeight="1" x14ac:dyDescent="0.35">
      <c r="B73" s="14" t="s">
        <v>122</v>
      </c>
      <c r="C73" s="14" t="s">
        <v>123</v>
      </c>
      <c r="D73" s="15"/>
      <c r="E73" s="15"/>
      <c r="F73" s="15"/>
      <c r="G73" s="15"/>
      <c r="H73" s="23">
        <f>SUM(D73:G73)</f>
        <v>0</v>
      </c>
    </row>
    <row r="74" spans="2:8" ht="16" customHeight="1" thickBot="1" x14ac:dyDescent="0.4">
      <c r="B74" s="11" t="s">
        <v>124</v>
      </c>
      <c r="C74" s="11" t="s">
        <v>22</v>
      </c>
      <c r="D74" s="12"/>
      <c r="E74" s="12"/>
      <c r="F74" s="12"/>
      <c r="G74" s="12"/>
      <c r="H74" s="22"/>
    </row>
    <row r="75" spans="2:8" ht="16" customHeight="1" thickBot="1" x14ac:dyDescent="0.4">
      <c r="B75" s="18" t="s">
        <v>125</v>
      </c>
      <c r="C75" s="18" t="s">
        <v>126</v>
      </c>
      <c r="D75" s="19">
        <f>-(-(D69+D72)-D71-D73)</f>
        <v>119465.06209000001</v>
      </c>
      <c r="E75" s="19">
        <f>-(-(E69+E72)-E71-E73)</f>
        <v>293738.11972000008</v>
      </c>
      <c r="F75" s="19">
        <f>-(-(F69+F72)-F71-F73)</f>
        <v>-413203.18180999992</v>
      </c>
      <c r="G75" s="19">
        <f>-(-(G69+G72)-G71-G73)</f>
        <v>0</v>
      </c>
      <c r="H75" s="25">
        <f>-(-(H69+H72)-H71-H73)</f>
        <v>0</v>
      </c>
    </row>
    <row r="76" spans="2:8" ht="16" customHeight="1" x14ac:dyDescent="0.35">
      <c r="B76" s="11" t="s">
        <v>127</v>
      </c>
      <c r="C76" s="11" t="s">
        <v>22</v>
      </c>
      <c r="D76" s="12"/>
      <c r="E76" s="12"/>
      <c r="F76" s="12"/>
      <c r="G76" s="12"/>
      <c r="H76" s="22"/>
    </row>
    <row r="77" spans="2:8" ht="16" customHeight="1" x14ac:dyDescent="0.35">
      <c r="B77" s="14" t="s">
        <v>128</v>
      </c>
      <c r="C77" s="14" t="s">
        <v>129</v>
      </c>
      <c r="D77" s="15">
        <v>-84982.433180000007</v>
      </c>
      <c r="E77" s="15">
        <v>-59069.79191</v>
      </c>
      <c r="F77" s="15">
        <v>144052.22508999999</v>
      </c>
      <c r="G77" s="15"/>
      <c r="H77" s="23">
        <f>SUM(D77:G77)</f>
        <v>0</v>
      </c>
    </row>
    <row r="78" spans="2:8" ht="16" customHeight="1" x14ac:dyDescent="0.35">
      <c r="B78" s="14" t="s">
        <v>130</v>
      </c>
      <c r="C78" s="14" t="s">
        <v>131</v>
      </c>
      <c r="D78" s="15">
        <v>-147.83000000000001</v>
      </c>
      <c r="E78" s="15">
        <v>-104.96518</v>
      </c>
      <c r="F78" s="15">
        <v>252.79517999999999</v>
      </c>
      <c r="G78" s="15"/>
      <c r="H78" s="23">
        <f>SUM(D78:G78)</f>
        <v>0</v>
      </c>
    </row>
    <row r="79" spans="2:8" ht="16" customHeight="1" x14ac:dyDescent="0.35">
      <c r="B79" s="14" t="s">
        <v>132</v>
      </c>
      <c r="C79" s="14" t="s">
        <v>133</v>
      </c>
      <c r="D79" s="15">
        <v>-343.82605999999998</v>
      </c>
      <c r="E79" s="15">
        <v>-221.46791999999999</v>
      </c>
      <c r="F79" s="15">
        <v>565.29398000000003</v>
      </c>
      <c r="G79" s="15"/>
      <c r="H79" s="23">
        <f>SUM(D79:G79)</f>
        <v>0</v>
      </c>
    </row>
    <row r="80" spans="2:8" ht="16" customHeight="1" x14ac:dyDescent="0.35">
      <c r="B80" s="14" t="s">
        <v>134</v>
      </c>
      <c r="C80" s="14" t="s">
        <v>135</v>
      </c>
      <c r="D80" s="15"/>
      <c r="E80" s="15"/>
      <c r="F80" s="15"/>
      <c r="G80" s="15"/>
      <c r="H80" s="23">
        <f>SUM(D80:G80)</f>
        <v>0</v>
      </c>
    </row>
    <row r="81" spans="2:8" ht="16" customHeight="1" thickBot="1" x14ac:dyDescent="0.4">
      <c r="B81" s="11" t="s">
        <v>136</v>
      </c>
      <c r="C81" s="11" t="s">
        <v>22</v>
      </c>
      <c r="D81" s="12"/>
      <c r="E81" s="12"/>
      <c r="F81" s="12"/>
      <c r="G81" s="12"/>
      <c r="H81" s="22"/>
    </row>
    <row r="82" spans="2:8" ht="16" customHeight="1" thickBot="1" x14ac:dyDescent="0.4">
      <c r="B82" s="18" t="s">
        <v>137</v>
      </c>
      <c r="C82" s="18" t="s">
        <v>138</v>
      </c>
      <c r="D82" s="19">
        <f>-(-(D75+D77)-D78-D79-D80)</f>
        <v>33990.972849999998</v>
      </c>
      <c r="E82" s="19">
        <f>-(-(E75+E77)-E78-E79-E80)</f>
        <v>234341.89471000008</v>
      </c>
      <c r="F82" s="19">
        <f>-(-(F75+F77)-F78-F79-F80)</f>
        <v>-268332.86755999987</v>
      </c>
      <c r="G82" s="19">
        <f>-(-(G75+G77)-G78-G79-G80)</f>
        <v>0</v>
      </c>
      <c r="H82" s="25">
        <f>-(-(H75+H77)-H78-H79-H80)</f>
        <v>0</v>
      </c>
    </row>
    <row r="83" spans="2:8" ht="16" customHeight="1" x14ac:dyDescent="0.35">
      <c r="B83" s="11" t="s">
        <v>139</v>
      </c>
      <c r="C83" s="11" t="s">
        <v>22</v>
      </c>
      <c r="D83" s="12"/>
      <c r="E83" s="12"/>
      <c r="F83" s="12"/>
      <c r="G83" s="12"/>
      <c r="H83" s="22"/>
    </row>
    <row r="84" spans="2:8" ht="16" customHeight="1" x14ac:dyDescent="0.35">
      <c r="B84" s="14" t="s">
        <v>140</v>
      </c>
      <c r="C84" s="14" t="s">
        <v>141</v>
      </c>
      <c r="D84" s="15"/>
      <c r="E84" s="15"/>
      <c r="F84" s="15"/>
      <c r="G84" s="15"/>
      <c r="H84" s="23">
        <f>SUM(D84:G84)</f>
        <v>0</v>
      </c>
    </row>
    <row r="85" spans="2:8" ht="16" customHeight="1" x14ac:dyDescent="0.35">
      <c r="B85" s="14" t="s">
        <v>142</v>
      </c>
      <c r="C85" s="14" t="s">
        <v>143</v>
      </c>
      <c r="D85" s="15"/>
      <c r="E85" s="15"/>
      <c r="F85" s="15"/>
      <c r="G85" s="15"/>
      <c r="H85" s="23">
        <f>SUM(D85:G85)</f>
        <v>0</v>
      </c>
    </row>
    <row r="86" spans="2:8" ht="16" customHeight="1" x14ac:dyDescent="0.35">
      <c r="B86" s="14" t="s">
        <v>144</v>
      </c>
      <c r="C86" s="14" t="s">
        <v>145</v>
      </c>
      <c r="D86" s="15"/>
      <c r="E86" s="15"/>
      <c r="F86" s="15"/>
      <c r="G86" s="15"/>
      <c r="H86" s="23">
        <f>SUM(D86:G86)</f>
        <v>0</v>
      </c>
    </row>
    <row r="87" spans="2:8" ht="16" customHeight="1" x14ac:dyDescent="0.35">
      <c r="B87" s="14" t="s">
        <v>146</v>
      </c>
      <c r="C87" s="14" t="s">
        <v>147</v>
      </c>
      <c r="D87" s="15"/>
      <c r="E87" s="15"/>
      <c r="F87" s="15"/>
      <c r="G87" s="15"/>
      <c r="H87" s="23">
        <f>SUM(D87:G87)</f>
        <v>0</v>
      </c>
    </row>
    <row r="88" spans="2:8" ht="16" customHeight="1" x14ac:dyDescent="0.35">
      <c r="B88" s="14" t="s">
        <v>148</v>
      </c>
      <c r="C88" s="14" t="s">
        <v>149</v>
      </c>
      <c r="D88" s="15"/>
      <c r="E88" s="15"/>
      <c r="F88" s="15"/>
      <c r="G88" s="15"/>
      <c r="H88" s="23">
        <f>SUM(D88:G88)</f>
        <v>0</v>
      </c>
    </row>
    <row r="89" spans="2:8" ht="16" customHeight="1" x14ac:dyDescent="0.35">
      <c r="B89" s="16" t="s">
        <v>150</v>
      </c>
      <c r="C89" s="16" t="s">
        <v>151</v>
      </c>
      <c r="D89" s="17">
        <f>-(-(D84+D85)-D86-D87-D88)</f>
        <v>0</v>
      </c>
      <c r="E89" s="17">
        <f>-(-(E84+E85)-E86-E87-E88)</f>
        <v>0</v>
      </c>
      <c r="F89" s="17">
        <f>-(-(F84+F85)-F86-F87-F88)</f>
        <v>0</v>
      </c>
      <c r="G89" s="17">
        <f>-(-(G84+G85)-G86-G87-G88)</f>
        <v>0</v>
      </c>
      <c r="H89" s="24">
        <f>-(-(H84+H85)-H86-H87-H88)</f>
        <v>0</v>
      </c>
    </row>
    <row r="90" spans="2:8" ht="16" customHeight="1" x14ac:dyDescent="0.35">
      <c r="B90" s="11" t="s">
        <v>152</v>
      </c>
      <c r="C90" s="11" t="s">
        <v>22</v>
      </c>
      <c r="D90" s="12"/>
      <c r="E90" s="12"/>
      <c r="F90" s="12"/>
      <c r="G90" s="12"/>
      <c r="H90" s="22"/>
    </row>
    <row r="91" spans="2:8" ht="16" customHeight="1" x14ac:dyDescent="0.35">
      <c r="B91" s="14" t="s">
        <v>153</v>
      </c>
      <c r="C91" s="14" t="s">
        <v>154</v>
      </c>
      <c r="D91" s="15"/>
      <c r="E91" s="15"/>
      <c r="F91" s="15"/>
      <c r="G91" s="15"/>
      <c r="H91" s="23">
        <f>SUM(D91:G91)</f>
        <v>0</v>
      </c>
    </row>
    <row r="92" spans="2:8" ht="16" customHeight="1" x14ac:dyDescent="0.35">
      <c r="B92" s="14" t="s">
        <v>155</v>
      </c>
      <c r="C92" s="14" t="s">
        <v>156</v>
      </c>
      <c r="D92" s="15"/>
      <c r="E92" s="15"/>
      <c r="F92" s="15"/>
      <c r="G92" s="15"/>
      <c r="H92" s="23">
        <f>SUM(D92:G92)</f>
        <v>0</v>
      </c>
    </row>
    <row r="93" spans="2:8" ht="16" customHeight="1" x14ac:dyDescent="0.35">
      <c r="B93" s="14" t="s">
        <v>157</v>
      </c>
      <c r="C93" s="14" t="s">
        <v>158</v>
      </c>
      <c r="D93" s="15"/>
      <c r="E93" s="15"/>
      <c r="F93" s="15"/>
      <c r="G93" s="15"/>
      <c r="H93" s="23">
        <f>SUM(D93:G93)</f>
        <v>0</v>
      </c>
    </row>
    <row r="94" spans="2:8" ht="16" customHeight="1" x14ac:dyDescent="0.35">
      <c r="B94" s="14" t="s">
        <v>159</v>
      </c>
      <c r="C94" s="14" t="s">
        <v>160</v>
      </c>
      <c r="D94" s="15"/>
      <c r="E94" s="15"/>
      <c r="F94" s="15"/>
      <c r="G94" s="15"/>
      <c r="H94" s="23">
        <f>SUM(D94:G94)</f>
        <v>0</v>
      </c>
    </row>
    <row r="95" spans="2:8" ht="16" customHeight="1" x14ac:dyDescent="0.35">
      <c r="B95" s="14" t="s">
        <v>161</v>
      </c>
      <c r="C95" s="14" t="s">
        <v>162</v>
      </c>
      <c r="D95" s="15"/>
      <c r="E95" s="15"/>
      <c r="F95" s="15"/>
      <c r="G95" s="15"/>
      <c r="H95" s="23">
        <f>SUM(D95:G95)</f>
        <v>0</v>
      </c>
    </row>
    <row r="96" spans="2:8" ht="16" customHeight="1" x14ac:dyDescent="0.35">
      <c r="B96" s="16" t="s">
        <v>163</v>
      </c>
      <c r="C96" s="16" t="s">
        <v>164</v>
      </c>
      <c r="D96" s="17">
        <f>-(-(D91+D92)-D93-D94-D95)</f>
        <v>0</v>
      </c>
      <c r="E96" s="17">
        <f>-(-(E91+E92)-E93-E94-E95)</f>
        <v>0</v>
      </c>
      <c r="F96" s="17">
        <f>-(-(F91+F92)-F93-F94-F95)</f>
        <v>0</v>
      </c>
      <c r="G96" s="17">
        <f>-(-(G91+G92)-G93-G94-G95)</f>
        <v>0</v>
      </c>
      <c r="H96" s="24">
        <f>-(-(H91+H92)-H93-H94-H95)</f>
        <v>0</v>
      </c>
    </row>
    <row r="97" spans="2:8" ht="16" customHeight="1" x14ac:dyDescent="0.35">
      <c r="B97" s="11" t="s">
        <v>165</v>
      </c>
      <c r="C97" s="11" t="s">
        <v>22</v>
      </c>
      <c r="D97" s="12"/>
      <c r="E97" s="12"/>
      <c r="F97" s="12"/>
      <c r="G97" s="12"/>
      <c r="H97" s="22"/>
    </row>
    <row r="98" spans="2:8" ht="16" customHeight="1" x14ac:dyDescent="0.35">
      <c r="B98" s="14" t="s">
        <v>166</v>
      </c>
      <c r="C98" s="14" t="s">
        <v>167</v>
      </c>
      <c r="D98" s="15"/>
      <c r="E98" s="15"/>
      <c r="F98" s="15"/>
      <c r="G98" s="15"/>
      <c r="H98" s="23">
        <f>SUM(D98:G98)</f>
        <v>0</v>
      </c>
    </row>
    <row r="99" spans="2:8" ht="16" customHeight="1" thickBot="1" x14ac:dyDescent="0.4">
      <c r="B99" s="11" t="s">
        <v>168</v>
      </c>
      <c r="C99" s="11" t="s">
        <v>22</v>
      </c>
      <c r="D99" s="12"/>
      <c r="E99" s="12"/>
      <c r="F99" s="12"/>
      <c r="G99" s="12"/>
      <c r="H99" s="22"/>
    </row>
    <row r="100" spans="2:8" ht="16" customHeight="1" thickBot="1" x14ac:dyDescent="0.4">
      <c r="B100" s="18" t="s">
        <v>169</v>
      </c>
      <c r="C100" s="18" t="s">
        <v>170</v>
      </c>
      <c r="D100" s="19">
        <f>-(-(D82+D89)-D96-D98)</f>
        <v>33990.972849999998</v>
      </c>
      <c r="E100" s="19">
        <f>-(-(E82+E89)-E96-E98)</f>
        <v>234341.89471000008</v>
      </c>
      <c r="F100" s="19">
        <f>-(-(F82+F89)-F96-F98)</f>
        <v>-268332.86755999987</v>
      </c>
      <c r="G100" s="19">
        <f>-(-(G82+G89)-G96-G98)</f>
        <v>0</v>
      </c>
      <c r="H100" s="25">
        <f>-(-(H82+H89)-H96-H98)</f>
        <v>0</v>
      </c>
    </row>
    <row r="101" spans="2:8" ht="16" customHeight="1" x14ac:dyDescent="0.35">
      <c r="B101" s="11" t="s">
        <v>171</v>
      </c>
      <c r="C101" s="11" t="s">
        <v>22</v>
      </c>
      <c r="D101" s="12"/>
      <c r="E101" s="12"/>
      <c r="F101" s="12"/>
      <c r="G101" s="12"/>
      <c r="H101" s="22"/>
    </row>
    <row r="102" spans="2:8" ht="16" customHeight="1" x14ac:dyDescent="0.35">
      <c r="B102" s="14" t="s">
        <v>172</v>
      </c>
      <c r="C102" s="14" t="s">
        <v>173</v>
      </c>
      <c r="D102" s="15"/>
      <c r="E102" s="15"/>
      <c r="F102" s="15"/>
      <c r="G102" s="15"/>
      <c r="H102" s="23">
        <f>SUM(D102:G102)</f>
        <v>0</v>
      </c>
    </row>
    <row r="103" spans="2:8" ht="16" customHeight="1" x14ac:dyDescent="0.35">
      <c r="B103" s="14" t="s">
        <v>174</v>
      </c>
      <c r="C103" s="14" t="s">
        <v>175</v>
      </c>
      <c r="D103" s="15"/>
      <c r="E103" s="15"/>
      <c r="F103" s="15"/>
      <c r="G103" s="15"/>
      <c r="H103" s="23">
        <f>SUM(D103:G103)</f>
        <v>0</v>
      </c>
    </row>
    <row r="104" spans="2:8" ht="16" customHeight="1" x14ac:dyDescent="0.35">
      <c r="B104" s="14" t="s">
        <v>176</v>
      </c>
      <c r="C104" s="14" t="s">
        <v>177</v>
      </c>
      <c r="D104" s="15"/>
      <c r="E104" s="15"/>
      <c r="F104" s="15"/>
      <c r="G104" s="15"/>
      <c r="H104" s="23">
        <f>SUM(D104:G104)</f>
        <v>0</v>
      </c>
    </row>
    <row r="105" spans="2:8" ht="16" customHeight="1" x14ac:dyDescent="0.35">
      <c r="B105" s="14" t="s">
        <v>178</v>
      </c>
      <c r="C105" s="14" t="s">
        <v>179</v>
      </c>
      <c r="D105" s="15"/>
      <c r="E105" s="15"/>
      <c r="F105" s="15"/>
      <c r="G105" s="15"/>
      <c r="H105" s="23">
        <f>SUM(D105:G105)</f>
        <v>0</v>
      </c>
    </row>
    <row r="106" spans="2:8" ht="16" customHeight="1" x14ac:dyDescent="0.35">
      <c r="B106" s="16" t="s">
        <v>180</v>
      </c>
      <c r="C106" s="16" t="s">
        <v>181</v>
      </c>
      <c r="D106" s="17">
        <f>-(-(D102+D103)-D104-D105)</f>
        <v>0</v>
      </c>
      <c r="E106" s="17">
        <f>-(-(E102+E103)-E104-E105)</f>
        <v>0</v>
      </c>
      <c r="F106" s="17">
        <f>-(-(F102+F103)-F104-F105)</f>
        <v>0</v>
      </c>
      <c r="G106" s="17">
        <f>-(-(G102+G103)-G104-G105)</f>
        <v>0</v>
      </c>
      <c r="H106" s="24">
        <f>-(-(H102+H103)-H104-H105)</f>
        <v>0</v>
      </c>
    </row>
    <row r="107" spans="2:8" ht="16" customHeight="1" x14ac:dyDescent="0.35">
      <c r="B107" s="11" t="s">
        <v>182</v>
      </c>
      <c r="C107" s="11" t="s">
        <v>22</v>
      </c>
      <c r="D107" s="12"/>
      <c r="E107" s="12"/>
      <c r="F107" s="12"/>
      <c r="G107" s="12"/>
      <c r="H107" s="22"/>
    </row>
    <row r="108" spans="2:8" ht="16" customHeight="1" x14ac:dyDescent="0.35">
      <c r="B108" s="14" t="s">
        <v>183</v>
      </c>
      <c r="C108" s="14" t="s">
        <v>184</v>
      </c>
      <c r="D108" s="15"/>
      <c r="E108" s="15"/>
      <c r="F108" s="15"/>
      <c r="G108" s="15"/>
      <c r="H108" s="23">
        <f>SUM(D108:G108)</f>
        <v>0</v>
      </c>
    </row>
    <row r="109" spans="2:8" ht="16" customHeight="1" x14ac:dyDescent="0.35">
      <c r="B109" s="14" t="s">
        <v>185</v>
      </c>
      <c r="C109" s="14" t="s">
        <v>186</v>
      </c>
      <c r="D109" s="15"/>
      <c r="E109" s="15"/>
      <c r="F109" s="15"/>
      <c r="G109" s="15"/>
      <c r="H109" s="23">
        <f>SUM(D109:G109)</f>
        <v>0</v>
      </c>
    </row>
    <row r="110" spans="2:8" ht="16" customHeight="1" x14ac:dyDescent="0.35">
      <c r="B110" s="14" t="s">
        <v>187</v>
      </c>
      <c r="C110" s="14" t="s">
        <v>188</v>
      </c>
      <c r="D110" s="15"/>
      <c r="E110" s="15"/>
      <c r="F110" s="15"/>
      <c r="G110" s="15"/>
      <c r="H110" s="23">
        <f>SUM(D110:G110)</f>
        <v>0</v>
      </c>
    </row>
    <row r="111" spans="2:8" ht="16" customHeight="1" x14ac:dyDescent="0.35">
      <c r="B111" s="14" t="s">
        <v>189</v>
      </c>
      <c r="C111" s="14" t="s">
        <v>190</v>
      </c>
      <c r="D111" s="15"/>
      <c r="E111" s="15"/>
      <c r="F111" s="15"/>
      <c r="G111" s="15"/>
      <c r="H111" s="23">
        <f>SUM(D111:G111)</f>
        <v>0</v>
      </c>
    </row>
    <row r="112" spans="2:8" ht="16" customHeight="1" x14ac:dyDescent="0.35">
      <c r="B112" s="16" t="s">
        <v>191</v>
      </c>
      <c r="C112" s="16" t="s">
        <v>192</v>
      </c>
      <c r="D112" s="17">
        <f>-(-(D108+D109)-D110-D111)</f>
        <v>0</v>
      </c>
      <c r="E112" s="17">
        <f>-(-(E108+E109)-E110-E111)</f>
        <v>0</v>
      </c>
      <c r="F112" s="17">
        <f>-(-(F108+F109)-F110-F111)</f>
        <v>0</v>
      </c>
      <c r="G112" s="17">
        <f>-(-(G108+G109)-G110-G111)</f>
        <v>0</v>
      </c>
      <c r="H112" s="24">
        <f>-(-(H108+H109)-H110-H111)</f>
        <v>0</v>
      </c>
    </row>
    <row r="113" spans="2:8" ht="16" customHeight="1" x14ac:dyDescent="0.35">
      <c r="B113" s="11" t="s">
        <v>193</v>
      </c>
      <c r="C113" s="11" t="s">
        <v>22</v>
      </c>
      <c r="D113" s="12"/>
      <c r="E113" s="12"/>
      <c r="F113" s="12"/>
      <c r="G113" s="12"/>
      <c r="H113" s="22"/>
    </row>
    <row r="114" spans="2:8" ht="16" customHeight="1" x14ac:dyDescent="0.35">
      <c r="B114" s="14" t="s">
        <v>194</v>
      </c>
      <c r="C114" s="14" t="s">
        <v>195</v>
      </c>
      <c r="D114" s="15"/>
      <c r="E114" s="15"/>
      <c r="F114" s="15"/>
      <c r="G114" s="15"/>
      <c r="H114" s="23">
        <f>SUM(D114:G114)</f>
        <v>0</v>
      </c>
    </row>
    <row r="115" spans="2:8" ht="16" customHeight="1" x14ac:dyDescent="0.35">
      <c r="B115" s="14" t="s">
        <v>196</v>
      </c>
      <c r="C115" s="14" t="s">
        <v>197</v>
      </c>
      <c r="D115" s="15"/>
      <c r="E115" s="15"/>
      <c r="F115" s="15"/>
      <c r="G115" s="15"/>
      <c r="H115" s="23">
        <f>SUM(D115:G115)</f>
        <v>0</v>
      </c>
    </row>
    <row r="116" spans="2:8" ht="16" customHeight="1" x14ac:dyDescent="0.35">
      <c r="B116" s="14" t="s">
        <v>198</v>
      </c>
      <c r="C116" s="14" t="s">
        <v>199</v>
      </c>
      <c r="D116" s="15">
        <v>6477.1662200000001</v>
      </c>
      <c r="E116" s="15">
        <v>-8833.7755799999995</v>
      </c>
      <c r="F116" s="15">
        <v>2356.6093599999999</v>
      </c>
      <c r="G116" s="15"/>
      <c r="H116" s="23">
        <f>SUM(D116:G116)</f>
        <v>0</v>
      </c>
    </row>
    <row r="117" spans="2:8" ht="16" customHeight="1" x14ac:dyDescent="0.35">
      <c r="B117" s="14" t="s">
        <v>200</v>
      </c>
      <c r="C117" s="14" t="s">
        <v>201</v>
      </c>
      <c r="D117" s="15">
        <v>-1366.251</v>
      </c>
      <c r="E117" s="15">
        <v>-910.83399999999995</v>
      </c>
      <c r="F117" s="15">
        <v>2277.085</v>
      </c>
      <c r="G117" s="15"/>
      <c r="H117" s="23">
        <f>SUM(D117:G117)</f>
        <v>0</v>
      </c>
    </row>
    <row r="118" spans="2:8" ht="16" customHeight="1" x14ac:dyDescent="0.35">
      <c r="B118" s="14" t="s">
        <v>202</v>
      </c>
      <c r="C118" s="14" t="s">
        <v>203</v>
      </c>
      <c r="D118" s="15">
        <v>66.819640000000007</v>
      </c>
      <c r="E118" s="15">
        <v>0.76017999999999997</v>
      </c>
      <c r="F118" s="15">
        <v>-67.579819999999998</v>
      </c>
      <c r="G118" s="15"/>
      <c r="H118" s="23">
        <f>SUM(D118:G118)</f>
        <v>0</v>
      </c>
    </row>
    <row r="119" spans="2:8" ht="16" customHeight="1" x14ac:dyDescent="0.35">
      <c r="B119" s="16" t="s">
        <v>204</v>
      </c>
      <c r="C119" s="16" t="s">
        <v>205</v>
      </c>
      <c r="D119" s="17">
        <f>-(-(D114+D115)-D116-D117-D118)</f>
        <v>5177.7348599999996</v>
      </c>
      <c r="E119" s="17">
        <f>-(-(E114+E115)-E116-E117-E118)</f>
        <v>-9743.849400000001</v>
      </c>
      <c r="F119" s="17">
        <f>-(-(F114+F115)-F116-F117-F118)</f>
        <v>4566.1145399999996</v>
      </c>
      <c r="G119" s="17">
        <f>-(-(G114+G115)-G116-G117-G118)</f>
        <v>0</v>
      </c>
      <c r="H119" s="24">
        <f>-(-(H114+H115)-H116-H117-H118)</f>
        <v>0</v>
      </c>
    </row>
    <row r="120" spans="2:8" ht="16" customHeight="1" thickBot="1" x14ac:dyDescent="0.4">
      <c r="B120" s="11" t="s">
        <v>206</v>
      </c>
      <c r="C120" s="11" t="s">
        <v>22</v>
      </c>
      <c r="D120" s="12"/>
      <c r="E120" s="12"/>
      <c r="F120" s="12"/>
      <c r="G120" s="12"/>
      <c r="H120" s="22"/>
    </row>
    <row r="121" spans="2:8" ht="16" customHeight="1" thickBot="1" x14ac:dyDescent="0.4">
      <c r="B121" s="18" t="s">
        <v>207</v>
      </c>
      <c r="C121" s="18" t="s">
        <v>208</v>
      </c>
      <c r="D121" s="19">
        <f>D112+D119</f>
        <v>5177.7348599999996</v>
      </c>
      <c r="E121" s="19">
        <f>E112+E119</f>
        <v>-9743.849400000001</v>
      </c>
      <c r="F121" s="19">
        <f>F112+F119</f>
        <v>4566.1145399999996</v>
      </c>
      <c r="G121" s="19">
        <f>G112+G119</f>
        <v>0</v>
      </c>
      <c r="H121" s="25">
        <f>H112+H119</f>
        <v>0</v>
      </c>
    </row>
    <row r="122" spans="2:8" ht="16" customHeight="1" x14ac:dyDescent="0.35">
      <c r="B122" s="11" t="s">
        <v>209</v>
      </c>
      <c r="C122" s="11" t="s">
        <v>22</v>
      </c>
      <c r="D122" s="12"/>
      <c r="E122" s="12"/>
      <c r="F122" s="12"/>
      <c r="G122" s="12"/>
      <c r="H122" s="22"/>
    </row>
    <row r="123" spans="2:8" ht="16" customHeight="1" x14ac:dyDescent="0.35">
      <c r="B123" s="14" t="s">
        <v>210</v>
      </c>
      <c r="C123" s="14" t="s">
        <v>211</v>
      </c>
      <c r="D123" s="15">
        <v>-44948.564960000003</v>
      </c>
      <c r="E123" s="15">
        <v>-378.74200000000002</v>
      </c>
      <c r="F123" s="15">
        <v>45327.306960000002</v>
      </c>
      <c r="G123" s="15"/>
      <c r="H123" s="23">
        <f t="shared" ref="H123:H130" si="4">SUM(D123:G123)</f>
        <v>0</v>
      </c>
    </row>
    <row r="124" spans="2:8" ht="16" customHeight="1" x14ac:dyDescent="0.35">
      <c r="B124" s="14" t="s">
        <v>212</v>
      </c>
      <c r="C124" s="14" t="s">
        <v>213</v>
      </c>
      <c r="D124" s="15"/>
      <c r="E124" s="15"/>
      <c r="F124" s="15"/>
      <c r="G124" s="15"/>
      <c r="H124" s="23">
        <f t="shared" si="4"/>
        <v>0</v>
      </c>
    </row>
    <row r="125" spans="2:8" ht="16" customHeight="1" x14ac:dyDescent="0.35">
      <c r="B125" s="14" t="s">
        <v>214</v>
      </c>
      <c r="C125" s="14" t="s">
        <v>215</v>
      </c>
      <c r="D125" s="15"/>
      <c r="E125" s="15"/>
      <c r="F125" s="15"/>
      <c r="G125" s="15"/>
      <c r="H125" s="23">
        <f t="shared" si="4"/>
        <v>0</v>
      </c>
    </row>
    <row r="126" spans="2:8" ht="16" customHeight="1" x14ac:dyDescent="0.35">
      <c r="B126" s="14" t="s">
        <v>216</v>
      </c>
      <c r="C126" s="14" t="s">
        <v>217</v>
      </c>
      <c r="D126" s="15"/>
      <c r="E126" s="15"/>
      <c r="F126" s="15"/>
      <c r="G126" s="15"/>
      <c r="H126" s="23">
        <f t="shared" si="4"/>
        <v>0</v>
      </c>
    </row>
    <row r="127" spans="2:8" ht="16" customHeight="1" x14ac:dyDescent="0.35">
      <c r="B127" s="14" t="s">
        <v>218</v>
      </c>
      <c r="C127" s="14" t="s">
        <v>219</v>
      </c>
      <c r="D127" s="15"/>
      <c r="E127" s="15"/>
      <c r="F127" s="15"/>
      <c r="G127" s="15"/>
      <c r="H127" s="23">
        <f t="shared" si="4"/>
        <v>0</v>
      </c>
    </row>
    <row r="128" spans="2:8" ht="16" customHeight="1" x14ac:dyDescent="0.35">
      <c r="B128" s="14" t="s">
        <v>220</v>
      </c>
      <c r="C128" s="14" t="s">
        <v>221</v>
      </c>
      <c r="D128" s="15"/>
      <c r="E128" s="15"/>
      <c r="F128" s="15"/>
      <c r="G128" s="15"/>
      <c r="H128" s="23">
        <f t="shared" si="4"/>
        <v>0</v>
      </c>
    </row>
    <row r="129" spans="2:8" ht="16" customHeight="1" x14ac:dyDescent="0.35">
      <c r="B129" s="14" t="s">
        <v>222</v>
      </c>
      <c r="C129" s="14" t="s">
        <v>223</v>
      </c>
      <c r="D129" s="15"/>
      <c r="E129" s="15"/>
      <c r="F129" s="15"/>
      <c r="G129" s="15"/>
      <c r="H129" s="23">
        <f t="shared" si="4"/>
        <v>0</v>
      </c>
    </row>
    <row r="130" spans="2:8" ht="16" customHeight="1" x14ac:dyDescent="0.35">
      <c r="B130" s="14" t="s">
        <v>224</v>
      </c>
      <c r="C130" s="14" t="s">
        <v>225</v>
      </c>
      <c r="D130" s="15"/>
      <c r="E130" s="15"/>
      <c r="F130" s="15"/>
      <c r="G130" s="15"/>
      <c r="H130" s="23">
        <f t="shared" si="4"/>
        <v>0</v>
      </c>
    </row>
    <row r="131" spans="2:8" ht="16" customHeight="1" x14ac:dyDescent="0.35">
      <c r="B131" s="16" t="s">
        <v>226</v>
      </c>
      <c r="C131" s="16" t="s">
        <v>227</v>
      </c>
      <c r="D131" s="17">
        <f>-(-(D123+D124)-D125-D126-D127-D128-D129-D130)</f>
        <v>-44948.564960000003</v>
      </c>
      <c r="E131" s="17">
        <f>-(-(E123+E124)-E125-E126-E127-E128-E129-E130)</f>
        <v>-378.74200000000002</v>
      </c>
      <c r="F131" s="17">
        <f>-(-(F123+F124)-F125-F126-F127-F128-F129-F130)</f>
        <v>45327.306960000002</v>
      </c>
      <c r="G131" s="17">
        <f>-(-(G123+G124)-G125-G126-G127-G128-G129-G130)</f>
        <v>0</v>
      </c>
      <c r="H131" s="24">
        <f>-(-(H123+H124)-H125-H126-H127-H128-H129-H130)</f>
        <v>0</v>
      </c>
    </row>
    <row r="132" spans="2:8" ht="16" customHeight="1" thickBot="1" x14ac:dyDescent="0.4">
      <c r="B132" s="11" t="s">
        <v>228</v>
      </c>
      <c r="C132" s="11" t="s">
        <v>22</v>
      </c>
      <c r="D132" s="12"/>
      <c r="E132" s="12"/>
      <c r="F132" s="12"/>
      <c r="G132" s="12"/>
      <c r="H132" s="22"/>
    </row>
    <row r="133" spans="2:8" ht="16" customHeight="1" thickBot="1" x14ac:dyDescent="0.4">
      <c r="B133" s="18" t="s">
        <v>229</v>
      </c>
      <c r="C133" s="18" t="s">
        <v>230</v>
      </c>
      <c r="D133" s="19">
        <f>-(-(D106+D121)-D131)</f>
        <v>-39770.830100000006</v>
      </c>
      <c r="E133" s="19">
        <f>-(-(E106+E121)-E131)</f>
        <v>-10122.591400000001</v>
      </c>
      <c r="F133" s="19">
        <f>-(-(F106+F121)-F131)</f>
        <v>49893.421500000004</v>
      </c>
      <c r="G133" s="19">
        <f>-(-(G106+G121)-G131)</f>
        <v>0</v>
      </c>
      <c r="H133" s="25">
        <f>-(-(H106+H121)-H131)</f>
        <v>0</v>
      </c>
    </row>
    <row r="134" spans="2:8" ht="16" customHeight="1" thickBot="1" x14ac:dyDescent="0.4">
      <c r="B134" s="11" t="s">
        <v>231</v>
      </c>
      <c r="C134" s="11" t="s">
        <v>22</v>
      </c>
      <c r="D134" s="12"/>
      <c r="E134" s="12"/>
      <c r="F134" s="12"/>
      <c r="G134" s="12"/>
      <c r="H134" s="22"/>
    </row>
    <row r="135" spans="2:8" ht="16" customHeight="1" thickBot="1" x14ac:dyDescent="0.4">
      <c r="B135" s="18" t="s">
        <v>232</v>
      </c>
      <c r="C135" s="18" t="s">
        <v>233</v>
      </c>
      <c r="D135" s="19">
        <f>D100+D133</f>
        <v>-5779.8572500000082</v>
      </c>
      <c r="E135" s="19">
        <f>E100+E133</f>
        <v>224219.30331000008</v>
      </c>
      <c r="F135" s="19">
        <f>F100+F133</f>
        <v>-218439.44605999987</v>
      </c>
      <c r="G135" s="19">
        <f>G100+G133</f>
        <v>0</v>
      </c>
      <c r="H135" s="25">
        <f>H100+H133</f>
        <v>0</v>
      </c>
    </row>
    <row r="136" spans="2:8" ht="16" customHeight="1" x14ac:dyDescent="0.35">
      <c r="B136" s="11" t="s">
        <v>234</v>
      </c>
      <c r="C136" s="11" t="s">
        <v>22</v>
      </c>
      <c r="D136" s="12"/>
      <c r="E136" s="12"/>
      <c r="F136" s="12"/>
      <c r="G136" s="12"/>
      <c r="H136" s="22"/>
    </row>
    <row r="137" spans="2:8" ht="16" customHeight="1" x14ac:dyDescent="0.35">
      <c r="B137" s="14" t="s">
        <v>235</v>
      </c>
      <c r="C137" s="14" t="s">
        <v>236</v>
      </c>
      <c r="D137" s="15"/>
      <c r="E137" s="15"/>
      <c r="F137" s="15"/>
      <c r="G137" s="15"/>
      <c r="H137" s="23">
        <f>SUM(D137:G137)</f>
        <v>0</v>
      </c>
    </row>
    <row r="138" spans="2:8" ht="16" customHeight="1" x14ac:dyDescent="0.35">
      <c r="B138" s="14" t="s">
        <v>237</v>
      </c>
      <c r="C138" s="14" t="s">
        <v>238</v>
      </c>
      <c r="D138" s="15"/>
      <c r="E138" s="15"/>
      <c r="F138" s="15"/>
      <c r="G138" s="15"/>
      <c r="H138" s="23">
        <f>SUM(D138:G138)</f>
        <v>0</v>
      </c>
    </row>
    <row r="139" spans="2:8" ht="16" customHeight="1" x14ac:dyDescent="0.35">
      <c r="B139" s="14" t="s">
        <v>239</v>
      </c>
      <c r="C139" s="14" t="s">
        <v>240</v>
      </c>
      <c r="D139" s="15"/>
      <c r="E139" s="15"/>
      <c r="F139" s="15"/>
      <c r="G139" s="15"/>
      <c r="H139" s="23">
        <f>SUM(D139:G139)</f>
        <v>0</v>
      </c>
    </row>
    <row r="140" spans="2:8" ht="16" customHeight="1" x14ac:dyDescent="0.35">
      <c r="B140" s="14" t="s">
        <v>241</v>
      </c>
      <c r="C140" s="14" t="s">
        <v>242</v>
      </c>
      <c r="D140" s="15">
        <v>-1888.498</v>
      </c>
      <c r="E140" s="15">
        <v>407.66800000000001</v>
      </c>
      <c r="F140" s="15">
        <v>1480.83</v>
      </c>
      <c r="G140" s="15"/>
      <c r="H140" s="23">
        <f>SUM(D140:G140)</f>
        <v>0</v>
      </c>
    </row>
    <row r="141" spans="2:8" ht="16" customHeight="1" x14ac:dyDescent="0.35">
      <c r="B141" s="16" t="s">
        <v>243</v>
      </c>
      <c r="C141" s="16" t="s">
        <v>244</v>
      </c>
      <c r="D141" s="17">
        <f>-(-(D137+D138)-D139-D140)</f>
        <v>-1888.498</v>
      </c>
      <c r="E141" s="17">
        <f>-(-(E137+E138)-E139-E140)</f>
        <v>407.66800000000001</v>
      </c>
      <c r="F141" s="17">
        <f>-(-(F137+F138)-F139-F140)</f>
        <v>1480.83</v>
      </c>
      <c r="G141" s="17">
        <f>-(-(G137+G138)-G139-G140)</f>
        <v>0</v>
      </c>
      <c r="H141" s="24">
        <f>-(-(H137+H138)-H139-H140)</f>
        <v>0</v>
      </c>
    </row>
    <row r="142" spans="2:8" ht="16" customHeight="1" thickBot="1" x14ac:dyDescent="0.4">
      <c r="B142" s="11" t="s">
        <v>245</v>
      </c>
      <c r="C142" s="11" t="s">
        <v>22</v>
      </c>
      <c r="D142" s="12"/>
      <c r="E142" s="12"/>
      <c r="F142" s="12"/>
      <c r="G142" s="12"/>
      <c r="H142" s="22"/>
    </row>
    <row r="143" spans="2:8" ht="16" customHeight="1" thickBot="1" x14ac:dyDescent="0.4">
      <c r="B143" s="18" t="s">
        <v>246</v>
      </c>
      <c r="C143" s="18" t="s">
        <v>247</v>
      </c>
      <c r="D143" s="19">
        <f>D135+D141</f>
        <v>-7668.3552500000078</v>
      </c>
      <c r="E143" s="19">
        <f>E135+E141</f>
        <v>224626.97131000008</v>
      </c>
      <c r="F143" s="19">
        <f>F135+F141</f>
        <v>-216958.61605999988</v>
      </c>
      <c r="G143" s="19">
        <f>G135+G141</f>
        <v>0</v>
      </c>
      <c r="H143" s="25">
        <f>H135+H141</f>
        <v>0</v>
      </c>
    </row>
    <row r="144" spans="2:8" ht="16" customHeight="1" x14ac:dyDescent="0.35">
      <c r="B144" s="11" t="s">
        <v>248</v>
      </c>
      <c r="C144" s="11" t="s">
        <v>22</v>
      </c>
      <c r="D144" s="12"/>
      <c r="E144" s="12"/>
      <c r="F144" s="12"/>
      <c r="G144" s="12"/>
      <c r="H144" s="22"/>
    </row>
    <row r="145" spans="2:8" ht="16" customHeight="1" x14ac:dyDescent="0.35">
      <c r="B145" s="14" t="s">
        <v>249</v>
      </c>
      <c r="C145" s="14" t="s">
        <v>250</v>
      </c>
      <c r="D145" s="15">
        <v>19340.580679999999</v>
      </c>
      <c r="E145" s="15">
        <v>-14745.97442</v>
      </c>
      <c r="F145" s="15">
        <v>-4594.6062599999996</v>
      </c>
      <c r="G145" s="15"/>
      <c r="H145" s="23">
        <f>SUM(D145:G145)</f>
        <v>0</v>
      </c>
    </row>
    <row r="146" spans="2:8" ht="16" customHeight="1" x14ac:dyDescent="0.35">
      <c r="B146" s="14" t="s">
        <v>251</v>
      </c>
      <c r="C146" s="14" t="s">
        <v>252</v>
      </c>
      <c r="D146" s="15">
        <v>15927.105</v>
      </c>
      <c r="E146" s="15">
        <v>3530.3969999999999</v>
      </c>
      <c r="F146" s="15">
        <v>-19457.502</v>
      </c>
      <c r="G146" s="15"/>
      <c r="H146" s="23">
        <f>SUM(D146:G146)</f>
        <v>0</v>
      </c>
    </row>
    <row r="147" spans="2:8" ht="16" customHeight="1" x14ac:dyDescent="0.35">
      <c r="B147" s="16" t="s">
        <v>253</v>
      </c>
      <c r="C147" s="16" t="s">
        <v>254</v>
      </c>
      <c r="D147" s="17">
        <f>D145+D146</f>
        <v>35267.685679999995</v>
      </c>
      <c r="E147" s="17">
        <f>E145+E146</f>
        <v>-11215.577420000001</v>
      </c>
      <c r="F147" s="17">
        <f>F145+F146</f>
        <v>-24052.108260000001</v>
      </c>
      <c r="G147" s="17">
        <f>G145+G146</f>
        <v>0</v>
      </c>
      <c r="H147" s="24">
        <f>H145+H146</f>
        <v>0</v>
      </c>
    </row>
    <row r="148" spans="2:8" ht="16" customHeight="1" x14ac:dyDescent="0.35">
      <c r="B148" s="11" t="s">
        <v>255</v>
      </c>
      <c r="C148" s="11" t="s">
        <v>22</v>
      </c>
      <c r="D148" s="12"/>
      <c r="E148" s="12"/>
      <c r="F148" s="12"/>
      <c r="G148" s="12"/>
      <c r="H148" s="22"/>
    </row>
    <row r="149" spans="2:8" ht="16" customHeight="1" x14ac:dyDescent="0.35">
      <c r="B149" s="14" t="s">
        <v>256</v>
      </c>
      <c r="C149" s="14" t="s">
        <v>257</v>
      </c>
      <c r="D149" s="15"/>
      <c r="E149" s="15"/>
      <c r="F149" s="15"/>
      <c r="G149" s="15"/>
      <c r="H149" s="23">
        <f>SUM(D149:G149)</f>
        <v>0</v>
      </c>
    </row>
    <row r="150" spans="2:8" ht="16" customHeight="1" thickBot="1" x14ac:dyDescent="0.4">
      <c r="B150" s="11" t="s">
        <v>258</v>
      </c>
      <c r="C150" s="11" t="s">
        <v>22</v>
      </c>
      <c r="D150" s="12"/>
      <c r="E150" s="12"/>
      <c r="F150" s="12"/>
      <c r="G150" s="12"/>
      <c r="H150" s="22"/>
    </row>
    <row r="151" spans="2:8" ht="16" customHeight="1" thickBot="1" x14ac:dyDescent="0.4">
      <c r="B151" s="18" t="s">
        <v>259</v>
      </c>
      <c r="C151" s="18" t="s">
        <v>260</v>
      </c>
      <c r="D151" s="19">
        <f>-(-(D143+D147)-D149)</f>
        <v>27599.330429999987</v>
      </c>
      <c r="E151" s="19">
        <f>-(-(E143+E147)-E149)</f>
        <v>213411.39389000006</v>
      </c>
      <c r="F151" s="19">
        <f>-(-(F143+F147)-F149)</f>
        <v>-241010.72431999989</v>
      </c>
      <c r="G151" s="19">
        <f>-(-(G143+G147)-G149)</f>
        <v>0</v>
      </c>
      <c r="H151" s="25">
        <f>-(-(H143+H147)-H149)</f>
        <v>0</v>
      </c>
    </row>
    <row r="152" spans="2:8" ht="16" customHeight="1" x14ac:dyDescent="0.35">
      <c r="B152" s="11" t="s">
        <v>261</v>
      </c>
      <c r="C152" s="11" t="s">
        <v>22</v>
      </c>
      <c r="D152" s="12"/>
      <c r="E152" s="12"/>
      <c r="F152" s="12"/>
      <c r="G152" s="12"/>
      <c r="H152" s="22"/>
    </row>
    <row r="153" spans="2:8" ht="16" customHeight="1" x14ac:dyDescent="0.35">
      <c r="B153" s="14" t="s">
        <v>262</v>
      </c>
      <c r="C153" s="14" t="s">
        <v>263</v>
      </c>
      <c r="D153" s="15"/>
      <c r="E153" s="15"/>
      <c r="F153" s="15"/>
      <c r="G153" s="15"/>
      <c r="H153" s="23">
        <f>SUM(D153:G153)</f>
        <v>0</v>
      </c>
    </row>
    <row r="154" spans="2:8" ht="16" customHeight="1" thickBot="1" x14ac:dyDescent="0.4">
      <c r="B154" s="11" t="s">
        <v>264</v>
      </c>
      <c r="C154" s="11" t="s">
        <v>22</v>
      </c>
      <c r="D154" s="12"/>
      <c r="E154" s="12"/>
      <c r="F154" s="12"/>
      <c r="G154" s="12"/>
      <c r="H154" s="22"/>
    </row>
    <row r="155" spans="2:8" ht="16" customHeight="1" thickBot="1" x14ac:dyDescent="0.4">
      <c r="B155" s="18" t="s">
        <v>265</v>
      </c>
      <c r="C155" s="18" t="s">
        <v>266</v>
      </c>
      <c r="D155" s="19">
        <f>D151+D153</f>
        <v>27599.330429999987</v>
      </c>
      <c r="E155" s="19">
        <f>E151+E153</f>
        <v>213411.39389000006</v>
      </c>
      <c r="F155" s="19">
        <f>F151+F153</f>
        <v>-241010.72431999989</v>
      </c>
      <c r="G155" s="19">
        <f>G151+G153</f>
        <v>0</v>
      </c>
      <c r="H155" s="25">
        <f>H151+H153</f>
        <v>0</v>
      </c>
    </row>
  </sheetData>
  <mergeCells count="1">
    <mergeCell ref="B7:C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475D7-BB4B-4F52-ABE3-AA57844F81A9}">
  <dimension ref="A3:Q294"/>
  <sheetViews>
    <sheetView showGridLines="0" workbookViewId="0">
      <pane xSplit="3" ySplit="9" topLeftCell="D10" activePane="bottomRight" state="frozen"/>
      <selection pane="topRight" activeCell="D1" sqref="D1"/>
      <selection pane="bottomLeft" activeCell="A7" sqref="A7"/>
      <selection pane="bottomRight" activeCell="B4" sqref="B4"/>
    </sheetView>
  </sheetViews>
  <sheetFormatPr defaultColWidth="9.1796875" defaultRowHeight="16" customHeight="1" x14ac:dyDescent="0.35"/>
  <cols>
    <col min="1" max="1" width="2.26953125" style="1" customWidth="1"/>
    <col min="2" max="2" width="10.7265625" style="1" customWidth="1"/>
    <col min="3" max="3" width="55.7265625" style="1" customWidth="1"/>
    <col min="4" max="15" width="14.7265625" style="1" customWidth="1"/>
    <col min="16" max="16" width="15.7265625" style="1" customWidth="1"/>
    <col min="17" max="26" width="14.7265625" style="1" customWidth="1"/>
    <col min="27" max="16384" width="9.1796875" style="1"/>
  </cols>
  <sheetData>
    <row r="3" spans="1:17" ht="16" customHeight="1" x14ac:dyDescent="0.35">
      <c r="B3" s="2" t="s">
        <v>269</v>
      </c>
    </row>
    <row r="4" spans="1:17" ht="16" customHeight="1" x14ac:dyDescent="0.35">
      <c r="B4" s="26" t="s">
        <v>270</v>
      </c>
    </row>
    <row r="5" spans="1:17" ht="16" customHeight="1" x14ac:dyDescent="0.35">
      <c r="B5" s="4" t="s">
        <v>271</v>
      </c>
    </row>
    <row r="6" spans="1:17" ht="16" customHeight="1" x14ac:dyDescent="0.35">
      <c r="A6" s="27"/>
      <c r="B6" s="4" t="s">
        <v>272</v>
      </c>
    </row>
    <row r="7" spans="1:17" ht="16" customHeight="1" x14ac:dyDescent="0.35">
      <c r="A7" s="27"/>
      <c r="B7" s="6">
        <v>46189.33861515046</v>
      </c>
      <c r="C7" s="6"/>
    </row>
    <row r="9" spans="1:17" ht="16" customHeight="1" thickBot="1" x14ac:dyDescent="0.5">
      <c r="B9" s="7"/>
      <c r="C9" s="28"/>
      <c r="D9" s="8" t="s">
        <v>273</v>
      </c>
      <c r="E9" s="8" t="s">
        <v>274</v>
      </c>
      <c r="F9" s="8" t="s">
        <v>275</v>
      </c>
      <c r="G9" s="8" t="s">
        <v>276</v>
      </c>
      <c r="H9" s="8" t="s">
        <v>5</v>
      </c>
      <c r="I9" s="8" t="s">
        <v>277</v>
      </c>
      <c r="J9" s="8" t="s">
        <v>278</v>
      </c>
      <c r="K9" s="8" t="s">
        <v>279</v>
      </c>
      <c r="L9" s="8" t="s">
        <v>280</v>
      </c>
      <c r="M9" s="8" t="s">
        <v>281</v>
      </c>
      <c r="N9" s="8" t="s">
        <v>282</v>
      </c>
      <c r="O9" s="8" t="s">
        <v>283</v>
      </c>
      <c r="P9" s="21" t="s">
        <v>268</v>
      </c>
      <c r="Q9" s="9"/>
    </row>
    <row r="10" spans="1:17" ht="16" customHeight="1" x14ac:dyDescent="0.45">
      <c r="B10" s="10"/>
      <c r="C10" s="11"/>
      <c r="D10" s="29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22"/>
      <c r="Q10" s="13"/>
    </row>
    <row r="11" spans="1:17" ht="16" customHeight="1" x14ac:dyDescent="0.45">
      <c r="B11" s="14" t="s">
        <v>13</v>
      </c>
      <c r="C11" s="14" t="s">
        <v>14</v>
      </c>
      <c r="D11" s="30">
        <v>13203.206560000001</v>
      </c>
      <c r="E11" s="15">
        <v>19424.40163</v>
      </c>
      <c r="F11" s="15">
        <v>19424.048470000002</v>
      </c>
      <c r="G11" s="15">
        <v>22461.303179999999</v>
      </c>
      <c r="H11" s="15">
        <v>22632.90928</v>
      </c>
      <c r="I11" s="15">
        <v>12805.671249999999</v>
      </c>
      <c r="J11" s="15">
        <v>-109951.54037</v>
      </c>
      <c r="K11" s="15"/>
      <c r="L11" s="15"/>
      <c r="M11" s="15"/>
      <c r="N11" s="15"/>
      <c r="O11" s="15"/>
      <c r="P11" s="23">
        <f>SUM(D11:O11)</f>
        <v>0</v>
      </c>
      <c r="Q11" s="13"/>
    </row>
    <row r="12" spans="1:17" ht="16" customHeight="1" x14ac:dyDescent="0.45">
      <c r="B12" s="14" t="s">
        <v>15</v>
      </c>
      <c r="C12" s="14" t="s">
        <v>16</v>
      </c>
      <c r="D12" s="30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23">
        <f>SUM(D12:O12)</f>
        <v>0</v>
      </c>
      <c r="Q12" s="13"/>
    </row>
    <row r="13" spans="1:17" ht="16" customHeight="1" x14ac:dyDescent="0.45">
      <c r="B13" s="14" t="s">
        <v>17</v>
      </c>
      <c r="C13" s="14" t="s">
        <v>18</v>
      </c>
      <c r="D13" s="30">
        <v>164566.82389999999</v>
      </c>
      <c r="E13" s="15">
        <v>192854.15117</v>
      </c>
      <c r="F13" s="15">
        <v>252571.26991999999</v>
      </c>
      <c r="G13" s="15">
        <v>307188.68008999998</v>
      </c>
      <c r="H13" s="15">
        <v>296069.12372999999</v>
      </c>
      <c r="I13" s="15">
        <v>134911.51462999999</v>
      </c>
      <c r="J13" s="15">
        <v>-1348161.5634399999</v>
      </c>
      <c r="K13" s="15"/>
      <c r="L13" s="15"/>
      <c r="M13" s="15"/>
      <c r="N13" s="15"/>
      <c r="O13" s="15"/>
      <c r="P13" s="23">
        <f>SUM(D13:O13)</f>
        <v>0</v>
      </c>
      <c r="Q13" s="13"/>
    </row>
    <row r="14" spans="1:17" ht="16" customHeight="1" x14ac:dyDescent="0.45">
      <c r="B14" s="16" t="s">
        <v>19</v>
      </c>
      <c r="C14" s="16" t="s">
        <v>20</v>
      </c>
      <c r="D14" s="31">
        <f t="shared" ref="D14:P14" si="0">-(-(D11+D12)-D13)</f>
        <v>177770.03045999998</v>
      </c>
      <c r="E14" s="17">
        <f t="shared" si="0"/>
        <v>212278.5528</v>
      </c>
      <c r="F14" s="17">
        <f t="shared" si="0"/>
        <v>271995.31838999997</v>
      </c>
      <c r="G14" s="17">
        <f t="shared" si="0"/>
        <v>329649.98326999997</v>
      </c>
      <c r="H14" s="17">
        <f t="shared" si="0"/>
        <v>318702.03301000001</v>
      </c>
      <c r="I14" s="17">
        <f t="shared" si="0"/>
        <v>147717.18588</v>
      </c>
      <c r="J14" s="17">
        <f t="shared" si="0"/>
        <v>-1458113.10381</v>
      </c>
      <c r="K14" s="17">
        <f t="shared" si="0"/>
        <v>0</v>
      </c>
      <c r="L14" s="17">
        <f t="shared" si="0"/>
        <v>0</v>
      </c>
      <c r="M14" s="17">
        <f t="shared" si="0"/>
        <v>0</v>
      </c>
      <c r="N14" s="17">
        <f t="shared" si="0"/>
        <v>0</v>
      </c>
      <c r="O14" s="17">
        <f t="shared" si="0"/>
        <v>0</v>
      </c>
      <c r="P14" s="24">
        <f t="shared" si="0"/>
        <v>0</v>
      </c>
      <c r="Q14" s="13"/>
    </row>
    <row r="15" spans="1:17" ht="16" customHeight="1" x14ac:dyDescent="0.45">
      <c r="B15" s="11" t="s">
        <v>21</v>
      </c>
      <c r="C15" s="11" t="s">
        <v>22</v>
      </c>
      <c r="D15" s="29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22"/>
      <c r="Q15" s="13"/>
    </row>
    <row r="16" spans="1:17" ht="16" customHeight="1" x14ac:dyDescent="0.45">
      <c r="B16" s="14" t="s">
        <v>23</v>
      </c>
      <c r="C16" s="14" t="s">
        <v>24</v>
      </c>
      <c r="D16" s="30">
        <v>-18863.2261</v>
      </c>
      <c r="E16" s="15">
        <v>-23845.148519999999</v>
      </c>
      <c r="F16" s="15">
        <v>-28875.438730000002</v>
      </c>
      <c r="G16" s="15">
        <v>-34083.867660000004</v>
      </c>
      <c r="H16" s="15">
        <v>-32906.101269999999</v>
      </c>
      <c r="I16" s="15">
        <v>-17607.387330000001</v>
      </c>
      <c r="J16" s="15">
        <v>156181.16961000001</v>
      </c>
      <c r="K16" s="15"/>
      <c r="L16" s="15"/>
      <c r="M16" s="15"/>
      <c r="N16" s="15"/>
      <c r="O16" s="15"/>
      <c r="P16" s="23">
        <f t="shared" ref="P16:P23" si="1">SUM(D16:O16)</f>
        <v>0</v>
      </c>
      <c r="Q16" s="13"/>
    </row>
    <row r="17" spans="2:17" ht="16" customHeight="1" x14ac:dyDescent="0.45">
      <c r="B17" s="14" t="s">
        <v>25</v>
      </c>
      <c r="C17" s="14" t="s">
        <v>26</v>
      </c>
      <c r="D17" s="30">
        <v>-434.05187999999998</v>
      </c>
      <c r="E17" s="15">
        <v>-322.50653</v>
      </c>
      <c r="F17" s="15">
        <v>-429.61442</v>
      </c>
      <c r="G17" s="15">
        <v>-622.31897000000004</v>
      </c>
      <c r="H17" s="15">
        <v>-503.53437000000002</v>
      </c>
      <c r="I17" s="15">
        <v>-270.93531999999999</v>
      </c>
      <c r="J17" s="15">
        <v>2582.9614900000001</v>
      </c>
      <c r="K17" s="15"/>
      <c r="L17" s="15"/>
      <c r="M17" s="15"/>
      <c r="N17" s="15"/>
      <c r="O17" s="15"/>
      <c r="P17" s="23">
        <f t="shared" si="1"/>
        <v>0</v>
      </c>
      <c r="Q17" s="13"/>
    </row>
    <row r="18" spans="2:17" ht="16" customHeight="1" x14ac:dyDescent="0.45">
      <c r="B18" s="14" t="s">
        <v>27</v>
      </c>
      <c r="C18" s="14" t="s">
        <v>28</v>
      </c>
      <c r="D18" s="30">
        <v>-7740.3024100000002</v>
      </c>
      <c r="E18" s="15">
        <v>-6756.36931</v>
      </c>
      <c r="F18" s="15">
        <v>-9288.2534599999999</v>
      </c>
      <c r="G18" s="15">
        <v>-7720.6599699999997</v>
      </c>
      <c r="H18" s="15">
        <v>-7842.8679599999996</v>
      </c>
      <c r="I18" s="15">
        <v>-929.50013999999999</v>
      </c>
      <c r="J18" s="15">
        <v>40277.953249999999</v>
      </c>
      <c r="K18" s="15"/>
      <c r="L18" s="15"/>
      <c r="M18" s="15"/>
      <c r="N18" s="15"/>
      <c r="O18" s="15"/>
      <c r="P18" s="23">
        <f t="shared" si="1"/>
        <v>0</v>
      </c>
      <c r="Q18" s="13"/>
    </row>
    <row r="19" spans="2:17" ht="16" customHeight="1" x14ac:dyDescent="0.45">
      <c r="B19" s="14" t="s">
        <v>29</v>
      </c>
      <c r="C19" s="14" t="s">
        <v>30</v>
      </c>
      <c r="D19" s="30">
        <v>-249.36153999999999</v>
      </c>
      <c r="E19" s="15">
        <v>-498.52785</v>
      </c>
      <c r="F19" s="15">
        <v>-1086.69841</v>
      </c>
      <c r="G19" s="15">
        <v>-1226.73568</v>
      </c>
      <c r="H19" s="15">
        <v>-2251.2276299999999</v>
      </c>
      <c r="I19" s="15">
        <v>-690.00450999999998</v>
      </c>
      <c r="J19" s="15">
        <v>6002.5556200000001</v>
      </c>
      <c r="K19" s="15"/>
      <c r="L19" s="15"/>
      <c r="M19" s="15"/>
      <c r="N19" s="15"/>
      <c r="O19" s="15"/>
      <c r="P19" s="23">
        <f t="shared" si="1"/>
        <v>0</v>
      </c>
      <c r="Q19" s="13"/>
    </row>
    <row r="20" spans="2:17" ht="16" customHeight="1" x14ac:dyDescent="0.45">
      <c r="B20" s="14" t="s">
        <v>31</v>
      </c>
      <c r="C20" s="14" t="s">
        <v>32</v>
      </c>
      <c r="D20" s="30">
        <v>-16791.839650000002</v>
      </c>
      <c r="E20" s="15">
        <v>-14996.47654</v>
      </c>
      <c r="F20" s="15">
        <v>-15855.53097</v>
      </c>
      <c r="G20" s="15">
        <v>-16315.455</v>
      </c>
      <c r="H20" s="15">
        <v>-15617.53851</v>
      </c>
      <c r="I20" s="15">
        <v>-6075.9249600000003</v>
      </c>
      <c r="J20" s="15">
        <v>85652.765629999994</v>
      </c>
      <c r="K20" s="15"/>
      <c r="L20" s="15"/>
      <c r="M20" s="15"/>
      <c r="N20" s="15"/>
      <c r="O20" s="15"/>
      <c r="P20" s="23">
        <f t="shared" si="1"/>
        <v>0</v>
      </c>
      <c r="Q20" s="13"/>
    </row>
    <row r="21" spans="2:17" ht="16" customHeight="1" x14ac:dyDescent="0.45">
      <c r="B21" s="14" t="s">
        <v>33</v>
      </c>
      <c r="C21" s="14" t="s">
        <v>34</v>
      </c>
      <c r="D21" s="30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23">
        <f t="shared" si="1"/>
        <v>0</v>
      </c>
      <c r="Q21" s="13"/>
    </row>
    <row r="22" spans="2:17" ht="16" customHeight="1" x14ac:dyDescent="0.45">
      <c r="B22" s="14" t="s">
        <v>35</v>
      </c>
      <c r="C22" s="14" t="s">
        <v>36</v>
      </c>
      <c r="D22" s="30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23">
        <f t="shared" si="1"/>
        <v>0</v>
      </c>
      <c r="Q22" s="13"/>
    </row>
    <row r="23" spans="2:17" ht="16" customHeight="1" x14ac:dyDescent="0.45">
      <c r="B23" s="14" t="s">
        <v>37</v>
      </c>
      <c r="C23" s="14" t="s">
        <v>38</v>
      </c>
      <c r="D23" s="30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23">
        <f t="shared" si="1"/>
        <v>0</v>
      </c>
      <c r="Q23" s="13"/>
    </row>
    <row r="24" spans="2:17" ht="16" customHeight="1" x14ac:dyDescent="0.45">
      <c r="B24" s="16" t="s">
        <v>39</v>
      </c>
      <c r="C24" s="16" t="s">
        <v>40</v>
      </c>
      <c r="D24" s="31">
        <f t="shared" ref="D24:P24" si="2">-(-(D16+D17)-D18-D19-D20-D22-D21)</f>
        <v>-44078.781580000003</v>
      </c>
      <c r="E24" s="17">
        <f t="shared" si="2"/>
        <v>-46419.028749999998</v>
      </c>
      <c r="F24" s="17">
        <f t="shared" si="2"/>
        <v>-55535.535989999997</v>
      </c>
      <c r="G24" s="17">
        <f t="shared" si="2"/>
        <v>-59969.037280000004</v>
      </c>
      <c r="H24" s="17">
        <f t="shared" si="2"/>
        <v>-59121.269739999996</v>
      </c>
      <c r="I24" s="17">
        <f t="shared" si="2"/>
        <v>-25573.752260000001</v>
      </c>
      <c r="J24" s="17">
        <f t="shared" si="2"/>
        <v>290697.4056</v>
      </c>
      <c r="K24" s="17">
        <f t="shared" si="2"/>
        <v>0</v>
      </c>
      <c r="L24" s="17">
        <f t="shared" si="2"/>
        <v>0</v>
      </c>
      <c r="M24" s="17">
        <f t="shared" si="2"/>
        <v>0</v>
      </c>
      <c r="N24" s="17">
        <f t="shared" si="2"/>
        <v>0</v>
      </c>
      <c r="O24" s="17">
        <f t="shared" si="2"/>
        <v>0</v>
      </c>
      <c r="P24" s="24">
        <f t="shared" si="2"/>
        <v>0</v>
      </c>
      <c r="Q24" s="13"/>
    </row>
    <row r="25" spans="2:17" ht="16" customHeight="1" x14ac:dyDescent="0.45">
      <c r="B25" s="11" t="s">
        <v>41</v>
      </c>
      <c r="C25" s="11" t="s">
        <v>22</v>
      </c>
      <c r="D25" s="29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22"/>
      <c r="Q25" s="13"/>
    </row>
    <row r="26" spans="2:17" ht="16" customHeight="1" x14ac:dyDescent="0.45">
      <c r="B26" s="14" t="s">
        <v>42</v>
      </c>
      <c r="C26" s="14" t="s">
        <v>43</v>
      </c>
      <c r="D26" s="30">
        <v>-19609.912250000001</v>
      </c>
      <c r="E26" s="15">
        <v>-18160.445360000002</v>
      </c>
      <c r="F26" s="15">
        <v>-21437.323629999999</v>
      </c>
      <c r="G26" s="15">
        <v>-30082.51859</v>
      </c>
      <c r="H26" s="15">
        <v>-28543.089489999998</v>
      </c>
      <c r="I26" s="15">
        <v>-8289.2298200000005</v>
      </c>
      <c r="J26" s="15">
        <v>126122.51914</v>
      </c>
      <c r="K26" s="15"/>
      <c r="L26" s="15"/>
      <c r="M26" s="15"/>
      <c r="N26" s="15"/>
      <c r="O26" s="15"/>
      <c r="P26" s="23">
        <f t="shared" ref="P26:P39" si="3">SUM(D26:O26)</f>
        <v>0</v>
      </c>
      <c r="Q26" s="13"/>
    </row>
    <row r="27" spans="2:17" ht="16" customHeight="1" x14ac:dyDescent="0.45">
      <c r="B27" s="14" t="s">
        <v>44</v>
      </c>
      <c r="C27" s="14" t="s">
        <v>45</v>
      </c>
      <c r="D27" s="30">
        <v>-13714.645350000001</v>
      </c>
      <c r="E27" s="15">
        <v>-11354.57927</v>
      </c>
      <c r="F27" s="15">
        <v>-12024.283649999999</v>
      </c>
      <c r="G27" s="15">
        <v>-18954.13927</v>
      </c>
      <c r="H27" s="15">
        <v>-19666.247009999999</v>
      </c>
      <c r="I27" s="15">
        <v>-7333.4247999999998</v>
      </c>
      <c r="J27" s="15">
        <v>83047.319350000005</v>
      </c>
      <c r="K27" s="15"/>
      <c r="L27" s="15"/>
      <c r="M27" s="15"/>
      <c r="N27" s="15"/>
      <c r="O27" s="15"/>
      <c r="P27" s="23">
        <f t="shared" si="3"/>
        <v>0</v>
      </c>
      <c r="Q27" s="13"/>
    </row>
    <row r="28" spans="2:17" ht="16" customHeight="1" x14ac:dyDescent="0.45">
      <c r="B28" s="14" t="s">
        <v>46</v>
      </c>
      <c r="C28" s="14" t="s">
        <v>47</v>
      </c>
      <c r="D28" s="30">
        <v>-2983.3860500000001</v>
      </c>
      <c r="E28" s="15">
        <v>-4228.6805599999998</v>
      </c>
      <c r="F28" s="15">
        <v>-4214.6282099999999</v>
      </c>
      <c r="G28" s="15">
        <v>-4624.9373900000001</v>
      </c>
      <c r="H28" s="15">
        <v>-4540.0784400000002</v>
      </c>
      <c r="I28" s="15">
        <v>-1833.9094299999999</v>
      </c>
      <c r="J28" s="15">
        <v>22425.620080000001</v>
      </c>
      <c r="K28" s="15"/>
      <c r="L28" s="15"/>
      <c r="M28" s="15"/>
      <c r="N28" s="15"/>
      <c r="O28" s="15"/>
      <c r="P28" s="23">
        <f t="shared" si="3"/>
        <v>0</v>
      </c>
      <c r="Q28" s="13"/>
    </row>
    <row r="29" spans="2:17" ht="16" customHeight="1" x14ac:dyDescent="0.45">
      <c r="B29" s="14" t="s">
        <v>48</v>
      </c>
      <c r="C29" s="14" t="s">
        <v>49</v>
      </c>
      <c r="D29" s="30">
        <v>-10304.62232</v>
      </c>
      <c r="E29" s="15">
        <v>-12170.326059999999</v>
      </c>
      <c r="F29" s="15">
        <v>-7062.28042</v>
      </c>
      <c r="G29" s="15">
        <v>-10926.631450000001</v>
      </c>
      <c r="H29" s="15">
        <v>-12739.813410000001</v>
      </c>
      <c r="I29" s="15">
        <v>-3525.2493100000002</v>
      </c>
      <c r="J29" s="15">
        <v>56728.92297</v>
      </c>
      <c r="K29" s="15"/>
      <c r="L29" s="15"/>
      <c r="M29" s="15"/>
      <c r="N29" s="15"/>
      <c r="O29" s="15"/>
      <c r="P29" s="23">
        <f t="shared" si="3"/>
        <v>0</v>
      </c>
      <c r="Q29" s="13"/>
    </row>
    <row r="30" spans="2:17" ht="16" customHeight="1" x14ac:dyDescent="0.45">
      <c r="B30" s="14" t="s">
        <v>50</v>
      </c>
      <c r="C30" s="14" t="s">
        <v>51</v>
      </c>
      <c r="D30" s="30">
        <v>-13377.368689999999</v>
      </c>
      <c r="E30" s="15">
        <v>-12035.0255</v>
      </c>
      <c r="F30" s="15">
        <v>-7538.2888199999998</v>
      </c>
      <c r="G30" s="15">
        <v>-11759.262119999999</v>
      </c>
      <c r="H30" s="15">
        <v>-12116.532310000001</v>
      </c>
      <c r="I30" s="15">
        <v>-139.48321999999999</v>
      </c>
      <c r="J30" s="15">
        <v>56965.960659999997</v>
      </c>
      <c r="K30" s="15"/>
      <c r="L30" s="15"/>
      <c r="M30" s="15"/>
      <c r="N30" s="15"/>
      <c r="O30" s="15"/>
      <c r="P30" s="23">
        <f t="shared" si="3"/>
        <v>0</v>
      </c>
      <c r="Q30" s="13"/>
    </row>
    <row r="31" spans="2:17" ht="16" customHeight="1" x14ac:dyDescent="0.45">
      <c r="B31" s="14" t="s">
        <v>52</v>
      </c>
      <c r="C31" s="14" t="s">
        <v>53</v>
      </c>
      <c r="D31" s="30">
        <v>-27891.043020000001</v>
      </c>
      <c r="E31" s="15">
        <v>-22931.692279999999</v>
      </c>
      <c r="F31" s="15">
        <v>-27988.952069999999</v>
      </c>
      <c r="G31" s="15">
        <v>-24353.646499999999</v>
      </c>
      <c r="H31" s="15">
        <v>-31820.823929999999</v>
      </c>
      <c r="I31" s="15">
        <v>-7333.5837799999999</v>
      </c>
      <c r="J31" s="15">
        <v>142319.74158</v>
      </c>
      <c r="K31" s="15"/>
      <c r="L31" s="15"/>
      <c r="M31" s="15"/>
      <c r="N31" s="15"/>
      <c r="O31" s="15"/>
      <c r="P31" s="23">
        <f t="shared" si="3"/>
        <v>0</v>
      </c>
      <c r="Q31" s="13"/>
    </row>
    <row r="32" spans="2:17" ht="16" customHeight="1" x14ac:dyDescent="0.45">
      <c r="B32" s="14" t="s">
        <v>54</v>
      </c>
      <c r="C32" s="14" t="s">
        <v>55</v>
      </c>
      <c r="D32" s="30">
        <v>-25018.05558</v>
      </c>
      <c r="E32" s="15">
        <v>-37815.588450000003</v>
      </c>
      <c r="F32" s="15">
        <v>-51807.853990000003</v>
      </c>
      <c r="G32" s="15">
        <v>-31752.038250000001</v>
      </c>
      <c r="H32" s="15">
        <v>-14610.13638</v>
      </c>
      <c r="I32" s="15">
        <v>-11787.47623</v>
      </c>
      <c r="J32" s="15">
        <v>172791.14887999999</v>
      </c>
      <c r="K32" s="15"/>
      <c r="L32" s="15"/>
      <c r="M32" s="15"/>
      <c r="N32" s="15"/>
      <c r="O32" s="15"/>
      <c r="P32" s="23">
        <f t="shared" si="3"/>
        <v>0</v>
      </c>
      <c r="Q32" s="13"/>
    </row>
    <row r="33" spans="2:17" ht="16" customHeight="1" x14ac:dyDescent="0.45">
      <c r="B33" s="14" t="s">
        <v>56</v>
      </c>
      <c r="C33" s="14" t="s">
        <v>57</v>
      </c>
      <c r="D33" s="30">
        <v>-5862.9244900000003</v>
      </c>
      <c r="E33" s="15">
        <v>-12835.590169999999</v>
      </c>
      <c r="F33" s="15">
        <v>-7657.5634600000003</v>
      </c>
      <c r="G33" s="15">
        <v>-7910.8171400000001</v>
      </c>
      <c r="H33" s="15">
        <v>1960.28072</v>
      </c>
      <c r="I33" s="15">
        <v>-1620.59194</v>
      </c>
      <c r="J33" s="15">
        <v>33927.206480000001</v>
      </c>
      <c r="K33" s="15"/>
      <c r="L33" s="15"/>
      <c r="M33" s="15"/>
      <c r="N33" s="15"/>
      <c r="O33" s="15"/>
      <c r="P33" s="23">
        <f t="shared" si="3"/>
        <v>0</v>
      </c>
      <c r="Q33" s="13"/>
    </row>
    <row r="34" spans="2:17" ht="16" customHeight="1" x14ac:dyDescent="0.45">
      <c r="B34" s="14" t="s">
        <v>58</v>
      </c>
      <c r="C34" s="14" t="s">
        <v>59</v>
      </c>
      <c r="D34" s="30">
        <v>15618.864939999999</v>
      </c>
      <c r="E34" s="15">
        <v>-5772.2802499999998</v>
      </c>
      <c r="F34" s="15">
        <v>-7.8041799999999997</v>
      </c>
      <c r="G34" s="15">
        <v>-6246.1153899999999</v>
      </c>
      <c r="H34" s="15">
        <v>-2224.2872900000002</v>
      </c>
      <c r="I34" s="15">
        <v>-26895.591609999999</v>
      </c>
      <c r="J34" s="15">
        <v>25527.213779999998</v>
      </c>
      <c r="K34" s="15"/>
      <c r="L34" s="15"/>
      <c r="M34" s="15"/>
      <c r="N34" s="15"/>
      <c r="O34" s="15"/>
      <c r="P34" s="23">
        <f t="shared" si="3"/>
        <v>0</v>
      </c>
      <c r="Q34" s="13"/>
    </row>
    <row r="35" spans="2:17" ht="16" customHeight="1" x14ac:dyDescent="0.45">
      <c r="B35" s="14" t="s">
        <v>60</v>
      </c>
      <c r="C35" s="14" t="s">
        <v>61</v>
      </c>
      <c r="D35" s="30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23">
        <f t="shared" si="3"/>
        <v>0</v>
      </c>
      <c r="Q35" s="13"/>
    </row>
    <row r="36" spans="2:17" ht="16" customHeight="1" x14ac:dyDescent="0.45">
      <c r="B36" s="14" t="s">
        <v>62</v>
      </c>
      <c r="C36" s="14" t="s">
        <v>36</v>
      </c>
      <c r="D36" s="30"/>
      <c r="E36" s="15">
        <v>60</v>
      </c>
      <c r="F36" s="15">
        <v>1833.3</v>
      </c>
      <c r="G36" s="15">
        <v>265.59226999999998</v>
      </c>
      <c r="H36" s="15">
        <v>0</v>
      </c>
      <c r="I36" s="15">
        <v>0</v>
      </c>
      <c r="J36" s="15">
        <v>-2158.8922699999998</v>
      </c>
      <c r="K36" s="15"/>
      <c r="L36" s="15"/>
      <c r="M36" s="15"/>
      <c r="N36" s="15"/>
      <c r="O36" s="15"/>
      <c r="P36" s="23">
        <f t="shared" si="3"/>
        <v>0</v>
      </c>
      <c r="Q36" s="13"/>
    </row>
    <row r="37" spans="2:17" ht="16" customHeight="1" x14ac:dyDescent="0.45">
      <c r="B37" s="14" t="s">
        <v>63</v>
      </c>
      <c r="C37" s="14" t="s">
        <v>64</v>
      </c>
      <c r="D37" s="30"/>
      <c r="E37" s="15"/>
      <c r="F37" s="15">
        <v>39.624450000000003</v>
      </c>
      <c r="G37" s="15">
        <v>44.946530000000003</v>
      </c>
      <c r="H37" s="15">
        <v>0.1208</v>
      </c>
      <c r="I37" s="15">
        <v>0</v>
      </c>
      <c r="J37" s="15">
        <v>-84.691779999999994</v>
      </c>
      <c r="K37" s="15"/>
      <c r="L37" s="15"/>
      <c r="M37" s="15"/>
      <c r="N37" s="15"/>
      <c r="O37" s="15"/>
      <c r="P37" s="23">
        <f t="shared" si="3"/>
        <v>0</v>
      </c>
      <c r="Q37" s="13"/>
    </row>
    <row r="38" spans="2:17" ht="16" customHeight="1" x14ac:dyDescent="0.45">
      <c r="B38" s="14" t="s">
        <v>65</v>
      </c>
      <c r="C38" s="14" t="s">
        <v>66</v>
      </c>
      <c r="D38" s="30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23">
        <f t="shared" si="3"/>
        <v>0</v>
      </c>
      <c r="Q38" s="13"/>
    </row>
    <row r="39" spans="2:17" ht="16" customHeight="1" x14ac:dyDescent="0.45">
      <c r="B39" s="14" t="s">
        <v>67</v>
      </c>
      <c r="C39" s="14" t="s">
        <v>68</v>
      </c>
      <c r="D39" s="30">
        <v>4405.9250000000002</v>
      </c>
      <c r="E39" s="15">
        <v>6328.4920000000002</v>
      </c>
      <c r="F39" s="15">
        <v>2758.7779999999998</v>
      </c>
      <c r="G39" s="15">
        <v>2249.9589999999998</v>
      </c>
      <c r="H39" s="15">
        <v>2307.0169999999998</v>
      </c>
      <c r="I39" s="15">
        <v>379.52199999999999</v>
      </c>
      <c r="J39" s="15">
        <v>-18429.692999999999</v>
      </c>
      <c r="K39" s="15"/>
      <c r="L39" s="15"/>
      <c r="M39" s="15"/>
      <c r="N39" s="15"/>
      <c r="O39" s="15"/>
      <c r="P39" s="23">
        <f t="shared" si="3"/>
        <v>0</v>
      </c>
      <c r="Q39" s="13"/>
    </row>
    <row r="40" spans="2:17" ht="16" customHeight="1" x14ac:dyDescent="0.45">
      <c r="B40" s="16" t="s">
        <v>69</v>
      </c>
      <c r="C40" s="16" t="s">
        <v>70</v>
      </c>
      <c r="D40" s="31">
        <f t="shared" ref="D40:P40" si="4">-(-(D26+D27)-D28-D29-D30-D31-D32-D33-D34-D35-D36-D37-D38-D39)</f>
        <v>-98737.167809999999</v>
      </c>
      <c r="E40" s="17">
        <f t="shared" si="4"/>
        <v>-130915.71590000004</v>
      </c>
      <c r="F40" s="17">
        <f t="shared" si="4"/>
        <v>-135107.27598000003</v>
      </c>
      <c r="G40" s="17">
        <f t="shared" si="4"/>
        <v>-144049.60830000002</v>
      </c>
      <c r="H40" s="17">
        <f t="shared" si="4"/>
        <v>-121993.58974</v>
      </c>
      <c r="I40" s="17">
        <f t="shared" si="4"/>
        <v>-68379.01814</v>
      </c>
      <c r="J40" s="17">
        <f t="shared" si="4"/>
        <v>699182.37587000011</v>
      </c>
      <c r="K40" s="17">
        <f t="shared" si="4"/>
        <v>0</v>
      </c>
      <c r="L40" s="17">
        <f t="shared" si="4"/>
        <v>0</v>
      </c>
      <c r="M40" s="17">
        <f t="shared" si="4"/>
        <v>0</v>
      </c>
      <c r="N40" s="17">
        <f t="shared" si="4"/>
        <v>0</v>
      </c>
      <c r="O40" s="17">
        <f t="shared" si="4"/>
        <v>0</v>
      </c>
      <c r="P40" s="24">
        <f t="shared" si="4"/>
        <v>0</v>
      </c>
      <c r="Q40" s="13"/>
    </row>
    <row r="41" spans="2:17" ht="16" customHeight="1" x14ac:dyDescent="0.45">
      <c r="B41" s="11" t="s">
        <v>71</v>
      </c>
      <c r="C41" s="11" t="s">
        <v>22</v>
      </c>
      <c r="D41" s="29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22"/>
      <c r="Q41" s="13"/>
    </row>
    <row r="42" spans="2:17" ht="16" customHeight="1" x14ac:dyDescent="0.45">
      <c r="B42" s="16" t="s">
        <v>72</v>
      </c>
      <c r="C42" s="16" t="s">
        <v>73</v>
      </c>
      <c r="D42" s="31">
        <f t="shared" ref="D42:P42" si="5">D24+D40</f>
        <v>-142815.94938999999</v>
      </c>
      <c r="E42" s="17">
        <f t="shared" si="5"/>
        <v>-177334.74465000004</v>
      </c>
      <c r="F42" s="17">
        <f t="shared" si="5"/>
        <v>-190642.81197000004</v>
      </c>
      <c r="G42" s="17">
        <f t="shared" si="5"/>
        <v>-204018.64558000001</v>
      </c>
      <c r="H42" s="17">
        <f t="shared" si="5"/>
        <v>-181114.85947999998</v>
      </c>
      <c r="I42" s="17">
        <f t="shared" si="5"/>
        <v>-93952.770400000009</v>
      </c>
      <c r="J42" s="17">
        <f t="shared" si="5"/>
        <v>989879.78147000005</v>
      </c>
      <c r="K42" s="17">
        <f t="shared" si="5"/>
        <v>0</v>
      </c>
      <c r="L42" s="17">
        <f t="shared" si="5"/>
        <v>0</v>
      </c>
      <c r="M42" s="17">
        <f t="shared" si="5"/>
        <v>0</v>
      </c>
      <c r="N42" s="17">
        <f t="shared" si="5"/>
        <v>0</v>
      </c>
      <c r="O42" s="17">
        <f t="shared" si="5"/>
        <v>0</v>
      </c>
      <c r="P42" s="24">
        <f t="shared" si="5"/>
        <v>0</v>
      </c>
      <c r="Q42" s="13"/>
    </row>
    <row r="43" spans="2:17" ht="16" customHeight="1" thickBot="1" x14ac:dyDescent="0.5">
      <c r="B43" s="11" t="s">
        <v>74</v>
      </c>
      <c r="C43" s="11" t="s">
        <v>22</v>
      </c>
      <c r="D43" s="29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22"/>
      <c r="Q43" s="13"/>
    </row>
    <row r="44" spans="2:17" ht="16" customHeight="1" thickBot="1" x14ac:dyDescent="0.5">
      <c r="B44" s="18" t="s">
        <v>75</v>
      </c>
      <c r="C44" s="18" t="s">
        <v>76</v>
      </c>
      <c r="D44" s="32">
        <f t="shared" ref="D44:P44" si="6">D14+D42</f>
        <v>34954.081069999986</v>
      </c>
      <c r="E44" s="19">
        <f t="shared" si="6"/>
        <v>34943.808149999968</v>
      </c>
      <c r="F44" s="19">
        <f t="shared" si="6"/>
        <v>81352.506419999932</v>
      </c>
      <c r="G44" s="19">
        <f t="shared" si="6"/>
        <v>125631.33768999996</v>
      </c>
      <c r="H44" s="19">
        <f t="shared" si="6"/>
        <v>137587.17353000003</v>
      </c>
      <c r="I44" s="19">
        <f t="shared" si="6"/>
        <v>53764.415479999996</v>
      </c>
      <c r="J44" s="19">
        <f t="shared" si="6"/>
        <v>-468233.32233999996</v>
      </c>
      <c r="K44" s="19">
        <f t="shared" si="6"/>
        <v>0</v>
      </c>
      <c r="L44" s="19">
        <f t="shared" si="6"/>
        <v>0</v>
      </c>
      <c r="M44" s="19">
        <f t="shared" si="6"/>
        <v>0</v>
      </c>
      <c r="N44" s="19">
        <f t="shared" si="6"/>
        <v>0</v>
      </c>
      <c r="O44" s="19">
        <f t="shared" si="6"/>
        <v>0</v>
      </c>
      <c r="P44" s="25">
        <f t="shared" si="6"/>
        <v>0</v>
      </c>
      <c r="Q44" s="13"/>
    </row>
    <row r="45" spans="2:17" ht="16" customHeight="1" x14ac:dyDescent="0.45">
      <c r="B45" s="11" t="s">
        <v>77</v>
      </c>
      <c r="C45" s="11" t="s">
        <v>22</v>
      </c>
      <c r="D45" s="29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22"/>
      <c r="Q45" s="13"/>
    </row>
    <row r="46" spans="2:17" ht="16" customHeight="1" x14ac:dyDescent="0.45">
      <c r="B46" s="14" t="s">
        <v>78</v>
      </c>
      <c r="C46" s="14" t="s">
        <v>28</v>
      </c>
      <c r="D46" s="30">
        <v>-1996.5594000000001</v>
      </c>
      <c r="E46" s="15">
        <v>-1977.3095000000001</v>
      </c>
      <c r="F46" s="15">
        <v>-3622.5636</v>
      </c>
      <c r="G46" s="15">
        <v>-2405.10806</v>
      </c>
      <c r="H46" s="15">
        <v>-2172.5835099999999</v>
      </c>
      <c r="I46" s="15">
        <v>-309.87043999999997</v>
      </c>
      <c r="J46" s="15">
        <v>12483.99451</v>
      </c>
      <c r="K46" s="15"/>
      <c r="L46" s="15"/>
      <c r="M46" s="15"/>
      <c r="N46" s="15"/>
      <c r="O46" s="15"/>
      <c r="P46" s="23">
        <f t="shared" ref="P46:P52" si="7">SUM(D46:O46)</f>
        <v>0</v>
      </c>
      <c r="Q46" s="13"/>
    </row>
    <row r="47" spans="2:17" ht="16" customHeight="1" x14ac:dyDescent="0.45">
      <c r="B47" s="14" t="s">
        <v>79</v>
      </c>
      <c r="C47" s="14" t="s">
        <v>80</v>
      </c>
      <c r="D47" s="30">
        <v>-243.76861</v>
      </c>
      <c r="E47" s="15">
        <v>-620.07839999999999</v>
      </c>
      <c r="F47" s="15">
        <v>-407.29550999999998</v>
      </c>
      <c r="G47" s="15">
        <v>-604.44197999999994</v>
      </c>
      <c r="H47" s="15">
        <v>-131.82834</v>
      </c>
      <c r="I47" s="15">
        <v>-50.502859999999998</v>
      </c>
      <c r="J47" s="15">
        <v>2057.9157</v>
      </c>
      <c r="K47" s="15"/>
      <c r="L47" s="15"/>
      <c r="M47" s="15"/>
      <c r="N47" s="15"/>
      <c r="O47" s="15"/>
      <c r="P47" s="23">
        <f t="shared" si="7"/>
        <v>0</v>
      </c>
      <c r="Q47" s="13"/>
    </row>
    <row r="48" spans="2:17" ht="16" customHeight="1" x14ac:dyDescent="0.45">
      <c r="B48" s="14" t="s">
        <v>81</v>
      </c>
      <c r="C48" s="14" t="s">
        <v>82</v>
      </c>
      <c r="D48" s="30"/>
      <c r="E48" s="15">
        <v>-41.961919999999999</v>
      </c>
      <c r="F48" s="15">
        <v>-252.45867000000001</v>
      </c>
      <c r="G48" s="15">
        <v>-23.907810000000001</v>
      </c>
      <c r="H48" s="15">
        <v>-28.119230000000002</v>
      </c>
      <c r="I48" s="15">
        <v>0</v>
      </c>
      <c r="J48" s="15">
        <v>346.44763</v>
      </c>
      <c r="K48" s="15"/>
      <c r="L48" s="15"/>
      <c r="M48" s="15"/>
      <c r="N48" s="15"/>
      <c r="O48" s="15"/>
      <c r="P48" s="23">
        <f t="shared" si="7"/>
        <v>0</v>
      </c>
      <c r="Q48" s="13"/>
    </row>
    <row r="49" spans="2:17" ht="16" customHeight="1" x14ac:dyDescent="0.45">
      <c r="B49" s="14" t="s">
        <v>83</v>
      </c>
      <c r="C49" s="14" t="s">
        <v>84</v>
      </c>
      <c r="D49" s="30">
        <v>-558.04823999999996</v>
      </c>
      <c r="E49" s="15">
        <v>50.426189999999998</v>
      </c>
      <c r="F49" s="15">
        <v>-224.32801000000001</v>
      </c>
      <c r="G49" s="15">
        <v>126.32704</v>
      </c>
      <c r="H49" s="15">
        <v>-51.142899999999997</v>
      </c>
      <c r="I49" s="15">
        <v>-64.434250000000006</v>
      </c>
      <c r="J49" s="15">
        <v>721.20016999999996</v>
      </c>
      <c r="K49" s="15"/>
      <c r="L49" s="15"/>
      <c r="M49" s="15"/>
      <c r="N49" s="15"/>
      <c r="O49" s="15"/>
      <c r="P49" s="23">
        <f t="shared" si="7"/>
        <v>0</v>
      </c>
      <c r="Q49" s="13"/>
    </row>
    <row r="50" spans="2:17" ht="16" customHeight="1" x14ac:dyDescent="0.45">
      <c r="B50" s="14" t="s">
        <v>85</v>
      </c>
      <c r="C50" s="14" t="s">
        <v>86</v>
      </c>
      <c r="D50" s="30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23">
        <f t="shared" si="7"/>
        <v>0</v>
      </c>
      <c r="Q50" s="13"/>
    </row>
    <row r="51" spans="2:17" ht="16" customHeight="1" x14ac:dyDescent="0.45">
      <c r="B51" s="14" t="s">
        <v>87</v>
      </c>
      <c r="C51" s="14" t="s">
        <v>88</v>
      </c>
      <c r="D51" s="30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23">
        <f t="shared" si="7"/>
        <v>0</v>
      </c>
      <c r="Q51" s="13"/>
    </row>
    <row r="52" spans="2:17" ht="16" customHeight="1" x14ac:dyDescent="0.45">
      <c r="B52" s="14" t="s">
        <v>89</v>
      </c>
      <c r="C52" s="14" t="s">
        <v>90</v>
      </c>
      <c r="D52" s="30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23">
        <f t="shared" si="7"/>
        <v>0</v>
      </c>
      <c r="Q52" s="13"/>
    </row>
    <row r="53" spans="2:17" ht="16" customHeight="1" x14ac:dyDescent="0.45">
      <c r="B53" s="16" t="s">
        <v>91</v>
      </c>
      <c r="C53" s="16" t="s">
        <v>92</v>
      </c>
      <c r="D53" s="31">
        <f t="shared" ref="D53:P53" si="8">-(-(D46+D47)-D48-D49-D51-D50)</f>
        <v>-2798.3762500000003</v>
      </c>
      <c r="E53" s="17">
        <f t="shared" si="8"/>
        <v>-2588.9236300000002</v>
      </c>
      <c r="F53" s="17">
        <f t="shared" si="8"/>
        <v>-4506.6457900000005</v>
      </c>
      <c r="G53" s="17">
        <f t="shared" si="8"/>
        <v>-2907.1308100000001</v>
      </c>
      <c r="H53" s="17">
        <f t="shared" si="8"/>
        <v>-2383.6739799999996</v>
      </c>
      <c r="I53" s="17">
        <f t="shared" si="8"/>
        <v>-424.80754999999999</v>
      </c>
      <c r="J53" s="17">
        <f t="shared" si="8"/>
        <v>15609.558010000001</v>
      </c>
      <c r="K53" s="17">
        <f t="shared" si="8"/>
        <v>0</v>
      </c>
      <c r="L53" s="17">
        <f t="shared" si="8"/>
        <v>0</v>
      </c>
      <c r="M53" s="17">
        <f t="shared" si="8"/>
        <v>0</v>
      </c>
      <c r="N53" s="17">
        <f t="shared" si="8"/>
        <v>0</v>
      </c>
      <c r="O53" s="17">
        <f t="shared" si="8"/>
        <v>0</v>
      </c>
      <c r="P53" s="24">
        <f t="shared" si="8"/>
        <v>0</v>
      </c>
      <c r="Q53" s="13"/>
    </row>
    <row r="54" spans="2:17" ht="16" customHeight="1" x14ac:dyDescent="0.45">
      <c r="B54" s="11" t="s">
        <v>93</v>
      </c>
      <c r="C54" s="11" t="s">
        <v>22</v>
      </c>
      <c r="D54" s="29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22"/>
      <c r="Q54" s="13"/>
    </row>
    <row r="55" spans="2:17" ht="16" customHeight="1" x14ac:dyDescent="0.45">
      <c r="B55" s="14" t="s">
        <v>94</v>
      </c>
      <c r="C55" s="14" t="s">
        <v>28</v>
      </c>
      <c r="D55" s="30">
        <v>-3893.16912</v>
      </c>
      <c r="E55" s="15">
        <v>-2748.9364700000001</v>
      </c>
      <c r="F55" s="15">
        <v>-2708.4989599999999</v>
      </c>
      <c r="G55" s="15">
        <v>-3881.0573399999998</v>
      </c>
      <c r="H55" s="15">
        <v>-4187.7587299999996</v>
      </c>
      <c r="I55" s="15">
        <v>-583.28598999999997</v>
      </c>
      <c r="J55" s="15">
        <v>18002.706610000001</v>
      </c>
      <c r="K55" s="15"/>
      <c r="L55" s="15"/>
      <c r="M55" s="15"/>
      <c r="N55" s="15"/>
      <c r="O55" s="15"/>
      <c r="P55" s="23">
        <f t="shared" ref="P55:P60" si="9">SUM(D55:O55)</f>
        <v>0</v>
      </c>
      <c r="Q55" s="13"/>
    </row>
    <row r="56" spans="2:17" ht="16" customHeight="1" x14ac:dyDescent="0.45">
      <c r="B56" s="14" t="s">
        <v>95</v>
      </c>
      <c r="C56" s="14" t="s">
        <v>80</v>
      </c>
      <c r="D56" s="30">
        <v>-3676.39471</v>
      </c>
      <c r="E56" s="15">
        <v>-3144.4337399999999</v>
      </c>
      <c r="F56" s="15">
        <v>-2071.3622300000002</v>
      </c>
      <c r="G56" s="15">
        <v>-2593.0532699999999</v>
      </c>
      <c r="H56" s="15">
        <v>-2921.1026499999998</v>
      </c>
      <c r="I56" s="15">
        <v>786.32091000000003</v>
      </c>
      <c r="J56" s="15">
        <v>13620.02569</v>
      </c>
      <c r="K56" s="15"/>
      <c r="L56" s="15"/>
      <c r="M56" s="15"/>
      <c r="N56" s="15"/>
      <c r="O56" s="15"/>
      <c r="P56" s="23">
        <f t="shared" si="9"/>
        <v>0</v>
      </c>
      <c r="Q56" s="13"/>
    </row>
    <row r="57" spans="2:17" ht="16" customHeight="1" x14ac:dyDescent="0.45">
      <c r="B57" s="14" t="s">
        <v>96</v>
      </c>
      <c r="C57" s="14" t="s">
        <v>97</v>
      </c>
      <c r="D57" s="30">
        <v>505.00425999999999</v>
      </c>
      <c r="E57" s="15">
        <v>1036.06602</v>
      </c>
      <c r="F57" s="15">
        <v>-1077.82727</v>
      </c>
      <c r="G57" s="15">
        <v>-1396.1245899999999</v>
      </c>
      <c r="H57" s="15">
        <v>760.83792000000005</v>
      </c>
      <c r="I57" s="15">
        <v>-444.04793000000001</v>
      </c>
      <c r="J57" s="15">
        <v>616.09159</v>
      </c>
      <c r="K57" s="15"/>
      <c r="L57" s="15"/>
      <c r="M57" s="15"/>
      <c r="N57" s="15"/>
      <c r="O57" s="15"/>
      <c r="P57" s="23">
        <f t="shared" si="9"/>
        <v>0</v>
      </c>
      <c r="Q57" s="13"/>
    </row>
    <row r="58" spans="2:17" ht="16" customHeight="1" x14ac:dyDescent="0.45">
      <c r="B58" s="14" t="s">
        <v>98</v>
      </c>
      <c r="C58" s="14" t="s">
        <v>99</v>
      </c>
      <c r="D58" s="30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23">
        <f t="shared" si="9"/>
        <v>0</v>
      </c>
      <c r="Q58" s="13"/>
    </row>
    <row r="59" spans="2:17" ht="16" customHeight="1" x14ac:dyDescent="0.45">
      <c r="B59" s="14" t="s">
        <v>100</v>
      </c>
      <c r="C59" s="14" t="s">
        <v>88</v>
      </c>
      <c r="D59" s="30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23">
        <f t="shared" si="9"/>
        <v>0</v>
      </c>
      <c r="Q59" s="13"/>
    </row>
    <row r="60" spans="2:17" ht="16" customHeight="1" x14ac:dyDescent="0.45">
      <c r="B60" s="14" t="s">
        <v>101</v>
      </c>
      <c r="C60" s="14" t="s">
        <v>102</v>
      </c>
      <c r="D60" s="30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23">
        <f t="shared" si="9"/>
        <v>0</v>
      </c>
      <c r="Q60" s="13"/>
    </row>
    <row r="61" spans="2:17" ht="16" customHeight="1" x14ac:dyDescent="0.45">
      <c r="B61" s="16" t="s">
        <v>103</v>
      </c>
      <c r="C61" s="16" t="s">
        <v>104</v>
      </c>
      <c r="D61" s="31">
        <f t="shared" ref="D61:P61" si="10">-(-(D55+D56)-D57-D59-D58)</f>
        <v>-7064.5595700000003</v>
      </c>
      <c r="E61" s="17">
        <f t="shared" si="10"/>
        <v>-4857.3041899999998</v>
      </c>
      <c r="F61" s="17">
        <f t="shared" si="10"/>
        <v>-5857.6884599999994</v>
      </c>
      <c r="G61" s="17">
        <f t="shared" si="10"/>
        <v>-7870.2351999999992</v>
      </c>
      <c r="H61" s="17">
        <f t="shared" si="10"/>
        <v>-6348.0234599999994</v>
      </c>
      <c r="I61" s="17">
        <f t="shared" si="10"/>
        <v>-241.01300999999995</v>
      </c>
      <c r="J61" s="17">
        <f t="shared" si="10"/>
        <v>32238.823890000003</v>
      </c>
      <c r="K61" s="17">
        <f t="shared" si="10"/>
        <v>0</v>
      </c>
      <c r="L61" s="17">
        <f t="shared" si="10"/>
        <v>0</v>
      </c>
      <c r="M61" s="17">
        <f t="shared" si="10"/>
        <v>0</v>
      </c>
      <c r="N61" s="17">
        <f t="shared" si="10"/>
        <v>0</v>
      </c>
      <c r="O61" s="17">
        <f t="shared" si="10"/>
        <v>0</v>
      </c>
      <c r="P61" s="24">
        <f t="shared" si="10"/>
        <v>0</v>
      </c>
      <c r="Q61" s="13"/>
    </row>
    <row r="62" spans="2:17" ht="16" customHeight="1" thickBot="1" x14ac:dyDescent="0.5">
      <c r="B62" s="11" t="s">
        <v>105</v>
      </c>
      <c r="C62" s="11" t="s">
        <v>22</v>
      </c>
      <c r="D62" s="29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22"/>
      <c r="Q62" s="13"/>
    </row>
    <row r="63" spans="2:17" ht="16" customHeight="1" thickBot="1" x14ac:dyDescent="0.5">
      <c r="B63" s="18" t="s">
        <v>106</v>
      </c>
      <c r="C63" s="18" t="s">
        <v>107</v>
      </c>
      <c r="D63" s="32">
        <f t="shared" ref="D63:P63" si="11">D53+D61</f>
        <v>-9862.9358200000006</v>
      </c>
      <c r="E63" s="19">
        <f t="shared" si="11"/>
        <v>-7446.2278200000001</v>
      </c>
      <c r="F63" s="19">
        <f t="shared" si="11"/>
        <v>-10364.33425</v>
      </c>
      <c r="G63" s="19">
        <f t="shared" si="11"/>
        <v>-10777.36601</v>
      </c>
      <c r="H63" s="19">
        <f t="shared" si="11"/>
        <v>-8731.6974399999999</v>
      </c>
      <c r="I63" s="19">
        <f t="shared" si="11"/>
        <v>-665.82055999999989</v>
      </c>
      <c r="J63" s="19">
        <f t="shared" si="11"/>
        <v>47848.381900000008</v>
      </c>
      <c r="K63" s="19">
        <f t="shared" si="11"/>
        <v>0</v>
      </c>
      <c r="L63" s="19">
        <f t="shared" si="11"/>
        <v>0</v>
      </c>
      <c r="M63" s="19">
        <f t="shared" si="11"/>
        <v>0</v>
      </c>
      <c r="N63" s="19">
        <f t="shared" si="11"/>
        <v>0</v>
      </c>
      <c r="O63" s="19">
        <f t="shared" si="11"/>
        <v>0</v>
      </c>
      <c r="P63" s="25">
        <f t="shared" si="11"/>
        <v>0</v>
      </c>
      <c r="Q63" s="13"/>
    </row>
    <row r="64" spans="2:17" ht="16" customHeight="1" x14ac:dyDescent="0.45">
      <c r="B64" s="11" t="s">
        <v>108</v>
      </c>
      <c r="C64" s="11" t="s">
        <v>22</v>
      </c>
      <c r="D64" s="29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22"/>
      <c r="Q64" s="13"/>
    </row>
    <row r="65" spans="2:17" ht="16" customHeight="1" x14ac:dyDescent="0.45">
      <c r="B65" s="14" t="s">
        <v>109</v>
      </c>
      <c r="C65" s="14" t="s">
        <v>110</v>
      </c>
      <c r="D65" s="30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23">
        <f>SUM(D65:O65)</f>
        <v>0</v>
      </c>
      <c r="Q65" s="13"/>
    </row>
    <row r="66" spans="2:17" ht="16" customHeight="1" x14ac:dyDescent="0.45">
      <c r="B66" s="14" t="s">
        <v>111</v>
      </c>
      <c r="C66" s="14" t="s">
        <v>112</v>
      </c>
      <c r="D66" s="30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23">
        <f>SUM(D66:O66)</f>
        <v>0</v>
      </c>
      <c r="Q66" s="13"/>
    </row>
    <row r="67" spans="2:17" ht="16" customHeight="1" x14ac:dyDescent="0.45">
      <c r="B67" s="16" t="s">
        <v>113</v>
      </c>
      <c r="C67" s="16" t="s">
        <v>114</v>
      </c>
      <c r="D67" s="31">
        <f t="shared" ref="D67:P67" si="12">D65+D66</f>
        <v>0</v>
      </c>
      <c r="E67" s="17">
        <f t="shared" si="12"/>
        <v>0</v>
      </c>
      <c r="F67" s="17">
        <f t="shared" si="12"/>
        <v>0</v>
      </c>
      <c r="G67" s="17">
        <f t="shared" si="12"/>
        <v>0</v>
      </c>
      <c r="H67" s="17">
        <f t="shared" si="12"/>
        <v>0</v>
      </c>
      <c r="I67" s="17">
        <f t="shared" si="12"/>
        <v>0</v>
      </c>
      <c r="J67" s="17">
        <f t="shared" si="12"/>
        <v>0</v>
      </c>
      <c r="K67" s="17">
        <f t="shared" si="12"/>
        <v>0</v>
      </c>
      <c r="L67" s="17">
        <f t="shared" si="12"/>
        <v>0</v>
      </c>
      <c r="M67" s="17">
        <f t="shared" si="12"/>
        <v>0</v>
      </c>
      <c r="N67" s="17">
        <f t="shared" si="12"/>
        <v>0</v>
      </c>
      <c r="O67" s="17">
        <f t="shared" si="12"/>
        <v>0</v>
      </c>
      <c r="P67" s="24">
        <f t="shared" si="12"/>
        <v>0</v>
      </c>
      <c r="Q67" s="13"/>
    </row>
    <row r="68" spans="2:17" ht="16" customHeight="1" thickBot="1" x14ac:dyDescent="0.5">
      <c r="B68" s="11" t="s">
        <v>115</v>
      </c>
      <c r="C68" s="11" t="s">
        <v>22</v>
      </c>
      <c r="D68" s="29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22"/>
      <c r="Q68" s="13"/>
    </row>
    <row r="69" spans="2:17" ht="16" customHeight="1" thickBot="1" x14ac:dyDescent="0.5">
      <c r="B69" s="18" t="s">
        <v>116</v>
      </c>
      <c r="C69" s="18" t="s">
        <v>117</v>
      </c>
      <c r="D69" s="32">
        <f t="shared" ref="D69:P69" si="13">-(-(D44+D63)-D67)</f>
        <v>25091.145249999987</v>
      </c>
      <c r="E69" s="19">
        <f t="shared" si="13"/>
        <v>27497.580329999968</v>
      </c>
      <c r="F69" s="19">
        <f t="shared" si="13"/>
        <v>70988.172169999933</v>
      </c>
      <c r="G69" s="19">
        <f t="shared" si="13"/>
        <v>114853.97167999996</v>
      </c>
      <c r="H69" s="19">
        <f t="shared" si="13"/>
        <v>128855.47609000003</v>
      </c>
      <c r="I69" s="19">
        <f t="shared" si="13"/>
        <v>53098.594919999996</v>
      </c>
      <c r="J69" s="19">
        <f t="shared" si="13"/>
        <v>-420384.94043999992</v>
      </c>
      <c r="K69" s="19">
        <f t="shared" si="13"/>
        <v>0</v>
      </c>
      <c r="L69" s="19">
        <f t="shared" si="13"/>
        <v>0</v>
      </c>
      <c r="M69" s="19">
        <f t="shared" si="13"/>
        <v>0</v>
      </c>
      <c r="N69" s="19">
        <f t="shared" si="13"/>
        <v>0</v>
      </c>
      <c r="O69" s="19">
        <f t="shared" si="13"/>
        <v>0</v>
      </c>
      <c r="P69" s="25">
        <f t="shared" si="13"/>
        <v>0</v>
      </c>
      <c r="Q69" s="13"/>
    </row>
    <row r="70" spans="2:17" ht="16" customHeight="1" x14ac:dyDescent="0.45">
      <c r="B70" s="11" t="s">
        <v>118</v>
      </c>
      <c r="C70" s="11" t="s">
        <v>22</v>
      </c>
      <c r="D70" s="29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22"/>
      <c r="Q70" s="13"/>
    </row>
    <row r="71" spans="2:17" ht="16" customHeight="1" x14ac:dyDescent="0.45">
      <c r="B71" s="14" t="s">
        <v>119</v>
      </c>
      <c r="C71" s="14" t="s">
        <v>120</v>
      </c>
      <c r="D71" s="30">
        <v>-1356.7952499999999</v>
      </c>
      <c r="E71" s="15">
        <v>-1356.4534000000001</v>
      </c>
      <c r="F71" s="15">
        <v>-1398.58701</v>
      </c>
      <c r="G71" s="15">
        <v>-1570.0426299999999</v>
      </c>
      <c r="H71" s="15">
        <v>-1499.8803399999999</v>
      </c>
      <c r="I71" s="15">
        <v>0</v>
      </c>
      <c r="J71" s="15">
        <v>7181.7586300000003</v>
      </c>
      <c r="K71" s="15"/>
      <c r="L71" s="15"/>
      <c r="M71" s="15"/>
      <c r="N71" s="15"/>
      <c r="O71" s="15"/>
      <c r="P71" s="23">
        <f>SUM(D71:O71)</f>
        <v>0</v>
      </c>
      <c r="Q71" s="13"/>
    </row>
    <row r="72" spans="2:17" ht="16" customHeight="1" x14ac:dyDescent="0.45">
      <c r="B72" s="14" t="s">
        <v>121</v>
      </c>
      <c r="C72" s="14" t="s">
        <v>64</v>
      </c>
      <c r="D72" s="30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23">
        <f>SUM(D72:O72)</f>
        <v>0</v>
      </c>
      <c r="Q72" s="13"/>
    </row>
    <row r="73" spans="2:17" ht="16" customHeight="1" x14ac:dyDescent="0.45">
      <c r="B73" s="14" t="s">
        <v>122</v>
      </c>
      <c r="C73" s="14" t="s">
        <v>123</v>
      </c>
      <c r="D73" s="30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23">
        <f>SUM(D73:O73)</f>
        <v>0</v>
      </c>
      <c r="Q73" s="13"/>
    </row>
    <row r="74" spans="2:17" ht="16" customHeight="1" thickBot="1" x14ac:dyDescent="0.5">
      <c r="B74" s="11" t="s">
        <v>124</v>
      </c>
      <c r="C74" s="11" t="s">
        <v>22</v>
      </c>
      <c r="D74" s="29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22"/>
      <c r="Q74" s="13"/>
    </row>
    <row r="75" spans="2:17" ht="16" customHeight="1" thickBot="1" x14ac:dyDescent="0.5">
      <c r="B75" s="18" t="s">
        <v>125</v>
      </c>
      <c r="C75" s="18" t="s">
        <v>126</v>
      </c>
      <c r="D75" s="32">
        <f t="shared" ref="D75:P75" si="14">-(-(D69+D72)-D71-D73)</f>
        <v>23734.349999999988</v>
      </c>
      <c r="E75" s="19">
        <f t="shared" si="14"/>
        <v>26141.126929999969</v>
      </c>
      <c r="F75" s="19">
        <f t="shared" si="14"/>
        <v>69589.58515999993</v>
      </c>
      <c r="G75" s="19">
        <f t="shared" si="14"/>
        <v>113283.92904999996</v>
      </c>
      <c r="H75" s="19">
        <f t="shared" si="14"/>
        <v>127355.59575000002</v>
      </c>
      <c r="I75" s="19">
        <f t="shared" si="14"/>
        <v>53098.594919999996</v>
      </c>
      <c r="J75" s="19">
        <f t="shared" si="14"/>
        <v>-413203.18180999992</v>
      </c>
      <c r="K75" s="19">
        <f t="shared" si="14"/>
        <v>0</v>
      </c>
      <c r="L75" s="19">
        <f t="shared" si="14"/>
        <v>0</v>
      </c>
      <c r="M75" s="19">
        <f t="shared" si="14"/>
        <v>0</v>
      </c>
      <c r="N75" s="19">
        <f t="shared" si="14"/>
        <v>0</v>
      </c>
      <c r="O75" s="19">
        <f t="shared" si="14"/>
        <v>0</v>
      </c>
      <c r="P75" s="25">
        <f t="shared" si="14"/>
        <v>0</v>
      </c>
      <c r="Q75" s="13"/>
    </row>
    <row r="76" spans="2:17" ht="16" customHeight="1" x14ac:dyDescent="0.45">
      <c r="B76" s="11" t="s">
        <v>127</v>
      </c>
      <c r="C76" s="11" t="s">
        <v>22</v>
      </c>
      <c r="D76" s="29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22"/>
      <c r="Q76" s="13"/>
    </row>
    <row r="77" spans="2:17" ht="16" customHeight="1" x14ac:dyDescent="0.45">
      <c r="B77" s="14" t="s">
        <v>128</v>
      </c>
      <c r="C77" s="14" t="s">
        <v>129</v>
      </c>
      <c r="D77" s="30">
        <v>-28137.367730000002</v>
      </c>
      <c r="E77" s="15">
        <v>-27345.038240000002</v>
      </c>
      <c r="F77" s="15">
        <v>-29500.02721</v>
      </c>
      <c r="G77" s="15">
        <v>-29099.214370000002</v>
      </c>
      <c r="H77" s="15">
        <v>-29970.577539999998</v>
      </c>
      <c r="I77" s="15">
        <v>0</v>
      </c>
      <c r="J77" s="15">
        <v>144052.22508999999</v>
      </c>
      <c r="K77" s="15"/>
      <c r="L77" s="15"/>
      <c r="M77" s="15"/>
      <c r="N77" s="15"/>
      <c r="O77" s="15"/>
      <c r="P77" s="23">
        <f>SUM(D77:O77)</f>
        <v>0</v>
      </c>
      <c r="Q77" s="13"/>
    </row>
    <row r="78" spans="2:17" ht="16" customHeight="1" x14ac:dyDescent="0.45">
      <c r="B78" s="14" t="s">
        <v>130</v>
      </c>
      <c r="C78" s="14" t="s">
        <v>131</v>
      </c>
      <c r="D78" s="30">
        <v>-50.918999999999997</v>
      </c>
      <c r="E78" s="15">
        <v>-45.991999999999997</v>
      </c>
      <c r="F78" s="15">
        <v>-50.918999999999997</v>
      </c>
      <c r="G78" s="15">
        <v>-53.06718</v>
      </c>
      <c r="H78" s="15">
        <v>-51.898000000000003</v>
      </c>
      <c r="I78" s="15">
        <v>0</v>
      </c>
      <c r="J78" s="15">
        <v>252.79517999999999</v>
      </c>
      <c r="K78" s="15"/>
      <c r="L78" s="15"/>
      <c r="M78" s="15"/>
      <c r="N78" s="15"/>
      <c r="O78" s="15"/>
      <c r="P78" s="23">
        <f>SUM(D78:O78)</f>
        <v>0</v>
      </c>
      <c r="Q78" s="13"/>
    </row>
    <row r="79" spans="2:17" ht="16" customHeight="1" x14ac:dyDescent="0.45">
      <c r="B79" s="14" t="s">
        <v>132</v>
      </c>
      <c r="C79" s="14" t="s">
        <v>133</v>
      </c>
      <c r="D79" s="30">
        <v>-113.45824</v>
      </c>
      <c r="E79" s="15">
        <v>-114.92881</v>
      </c>
      <c r="F79" s="15">
        <v>-115.43901</v>
      </c>
      <c r="G79" s="15">
        <v>-115.95188</v>
      </c>
      <c r="H79" s="15">
        <v>-105.51604</v>
      </c>
      <c r="I79" s="15">
        <v>0</v>
      </c>
      <c r="J79" s="15">
        <v>565.29398000000003</v>
      </c>
      <c r="K79" s="15"/>
      <c r="L79" s="15"/>
      <c r="M79" s="15"/>
      <c r="N79" s="15"/>
      <c r="O79" s="15"/>
      <c r="P79" s="23">
        <f>SUM(D79:O79)</f>
        <v>0</v>
      </c>
      <c r="Q79" s="13"/>
    </row>
    <row r="80" spans="2:17" ht="16" customHeight="1" x14ac:dyDescent="0.45">
      <c r="B80" s="14" t="s">
        <v>134</v>
      </c>
      <c r="C80" s="14" t="s">
        <v>135</v>
      </c>
      <c r="D80" s="30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23">
        <f>SUM(D80:O80)</f>
        <v>0</v>
      </c>
      <c r="Q80" s="13"/>
    </row>
    <row r="81" spans="2:17" ht="16" customHeight="1" thickBot="1" x14ac:dyDescent="0.5">
      <c r="B81" s="11" t="s">
        <v>136</v>
      </c>
      <c r="C81" s="11" t="s">
        <v>22</v>
      </c>
      <c r="D81" s="29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22"/>
      <c r="Q81" s="13"/>
    </row>
    <row r="82" spans="2:17" ht="16" customHeight="1" thickBot="1" x14ac:dyDescent="0.5">
      <c r="B82" s="18" t="s">
        <v>137</v>
      </c>
      <c r="C82" s="18" t="s">
        <v>138</v>
      </c>
      <c r="D82" s="32">
        <f t="shared" ref="D82:P82" si="15">-(-(D75+D77)-D78-D79-D80)</f>
        <v>-4567.3949700000139</v>
      </c>
      <c r="E82" s="19">
        <f t="shared" si="15"/>
        <v>-1364.8321200000323</v>
      </c>
      <c r="F82" s="19">
        <f t="shared" si="15"/>
        <v>39923.199939999926</v>
      </c>
      <c r="G82" s="19">
        <f t="shared" si="15"/>
        <v>84015.695619999969</v>
      </c>
      <c r="H82" s="19">
        <f t="shared" si="15"/>
        <v>97227.604170000021</v>
      </c>
      <c r="I82" s="19">
        <f t="shared" si="15"/>
        <v>53098.594919999996</v>
      </c>
      <c r="J82" s="19">
        <f t="shared" si="15"/>
        <v>-268332.86755999987</v>
      </c>
      <c r="K82" s="19">
        <f t="shared" si="15"/>
        <v>0</v>
      </c>
      <c r="L82" s="19">
        <f t="shared" si="15"/>
        <v>0</v>
      </c>
      <c r="M82" s="19">
        <f t="shared" si="15"/>
        <v>0</v>
      </c>
      <c r="N82" s="19">
        <f t="shared" si="15"/>
        <v>0</v>
      </c>
      <c r="O82" s="19">
        <f t="shared" si="15"/>
        <v>0</v>
      </c>
      <c r="P82" s="25">
        <f t="shared" si="15"/>
        <v>0</v>
      </c>
      <c r="Q82" s="13"/>
    </row>
    <row r="83" spans="2:17" ht="16" customHeight="1" x14ac:dyDescent="0.45">
      <c r="B83" s="11" t="s">
        <v>139</v>
      </c>
      <c r="C83" s="11" t="s">
        <v>22</v>
      </c>
      <c r="D83" s="29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22"/>
      <c r="Q83" s="13"/>
    </row>
    <row r="84" spans="2:17" ht="16" customHeight="1" x14ac:dyDescent="0.45">
      <c r="B84" s="14" t="s">
        <v>140</v>
      </c>
      <c r="C84" s="14" t="s">
        <v>141</v>
      </c>
      <c r="D84" s="30">
        <v>-85.361959999999996</v>
      </c>
      <c r="E84" s="15">
        <v>85.361959999999996</v>
      </c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23">
        <f>SUM(D84:O84)</f>
        <v>0</v>
      </c>
      <c r="Q84" s="13"/>
    </row>
    <row r="85" spans="2:17" ht="16" customHeight="1" x14ac:dyDescent="0.45">
      <c r="B85" s="14" t="s">
        <v>142</v>
      </c>
      <c r="C85" s="14" t="s">
        <v>143</v>
      </c>
      <c r="D85" s="30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23">
        <f>SUM(D85:O85)</f>
        <v>0</v>
      </c>
      <c r="Q85" s="13"/>
    </row>
    <row r="86" spans="2:17" ht="16" customHeight="1" x14ac:dyDescent="0.45">
      <c r="B86" s="14" t="s">
        <v>144</v>
      </c>
      <c r="C86" s="14" t="s">
        <v>145</v>
      </c>
      <c r="D86" s="30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23">
        <f>SUM(D86:O86)</f>
        <v>0</v>
      </c>
      <c r="Q86" s="13"/>
    </row>
    <row r="87" spans="2:17" ht="16" customHeight="1" x14ac:dyDescent="0.45">
      <c r="B87" s="14" t="s">
        <v>146</v>
      </c>
      <c r="C87" s="14" t="s">
        <v>147</v>
      </c>
      <c r="D87" s="30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23">
        <f>SUM(D87:O87)</f>
        <v>0</v>
      </c>
      <c r="Q87" s="13"/>
    </row>
    <row r="88" spans="2:17" ht="16" customHeight="1" x14ac:dyDescent="0.45">
      <c r="B88" s="14" t="s">
        <v>148</v>
      </c>
      <c r="C88" s="14" t="s">
        <v>149</v>
      </c>
      <c r="D88" s="30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23">
        <f>SUM(D88:O88)</f>
        <v>0</v>
      </c>
      <c r="Q88" s="13"/>
    </row>
    <row r="89" spans="2:17" ht="16" customHeight="1" x14ac:dyDescent="0.45">
      <c r="B89" s="16" t="s">
        <v>150</v>
      </c>
      <c r="C89" s="16" t="s">
        <v>151</v>
      </c>
      <c r="D89" s="31">
        <f t="shared" ref="D89:P89" si="16">-(-(D84+D85)-D86-D87-D88)</f>
        <v>-85.361959999999996</v>
      </c>
      <c r="E89" s="17">
        <f t="shared" si="16"/>
        <v>85.361959999999996</v>
      </c>
      <c r="F89" s="17">
        <f t="shared" si="16"/>
        <v>0</v>
      </c>
      <c r="G89" s="17">
        <f t="shared" si="16"/>
        <v>0</v>
      </c>
      <c r="H89" s="17">
        <f t="shared" si="16"/>
        <v>0</v>
      </c>
      <c r="I89" s="17">
        <f t="shared" si="16"/>
        <v>0</v>
      </c>
      <c r="J89" s="17">
        <f t="shared" si="16"/>
        <v>0</v>
      </c>
      <c r="K89" s="17">
        <f t="shared" si="16"/>
        <v>0</v>
      </c>
      <c r="L89" s="17">
        <f t="shared" si="16"/>
        <v>0</v>
      </c>
      <c r="M89" s="17">
        <f t="shared" si="16"/>
        <v>0</v>
      </c>
      <c r="N89" s="17">
        <f t="shared" si="16"/>
        <v>0</v>
      </c>
      <c r="O89" s="17">
        <f t="shared" si="16"/>
        <v>0</v>
      </c>
      <c r="P89" s="24">
        <f t="shared" si="16"/>
        <v>0</v>
      </c>
      <c r="Q89" s="13"/>
    </row>
    <row r="90" spans="2:17" ht="16" customHeight="1" x14ac:dyDescent="0.45">
      <c r="B90" s="11" t="s">
        <v>152</v>
      </c>
      <c r="C90" s="11" t="s">
        <v>22</v>
      </c>
      <c r="D90" s="29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22"/>
      <c r="Q90" s="13"/>
    </row>
    <row r="91" spans="2:17" ht="16" customHeight="1" x14ac:dyDescent="0.45">
      <c r="B91" s="14" t="s">
        <v>153</v>
      </c>
      <c r="C91" s="14" t="s">
        <v>154</v>
      </c>
      <c r="D91" s="30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23">
        <f>SUM(D91:O91)</f>
        <v>0</v>
      </c>
      <c r="Q91" s="13"/>
    </row>
    <row r="92" spans="2:17" ht="16" customHeight="1" x14ac:dyDescent="0.45">
      <c r="B92" s="14" t="s">
        <v>155</v>
      </c>
      <c r="C92" s="14" t="s">
        <v>156</v>
      </c>
      <c r="D92" s="30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23">
        <f>SUM(D92:O92)</f>
        <v>0</v>
      </c>
      <c r="Q92" s="13"/>
    </row>
    <row r="93" spans="2:17" ht="16" customHeight="1" x14ac:dyDescent="0.45">
      <c r="B93" s="14" t="s">
        <v>157</v>
      </c>
      <c r="C93" s="14" t="s">
        <v>158</v>
      </c>
      <c r="D93" s="30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23">
        <f>SUM(D93:O93)</f>
        <v>0</v>
      </c>
      <c r="Q93" s="13"/>
    </row>
    <row r="94" spans="2:17" ht="16" customHeight="1" x14ac:dyDescent="0.45">
      <c r="B94" s="14" t="s">
        <v>159</v>
      </c>
      <c r="C94" s="14" t="s">
        <v>160</v>
      </c>
      <c r="D94" s="30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23">
        <f>SUM(D94:O94)</f>
        <v>0</v>
      </c>
      <c r="Q94" s="13"/>
    </row>
    <row r="95" spans="2:17" ht="16" customHeight="1" x14ac:dyDescent="0.45">
      <c r="B95" s="14" t="s">
        <v>161</v>
      </c>
      <c r="C95" s="14" t="s">
        <v>162</v>
      </c>
      <c r="D95" s="30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23">
        <f>SUM(D95:O95)</f>
        <v>0</v>
      </c>
      <c r="Q95" s="13"/>
    </row>
    <row r="96" spans="2:17" ht="16" customHeight="1" x14ac:dyDescent="0.45">
      <c r="B96" s="16" t="s">
        <v>163</v>
      </c>
      <c r="C96" s="16" t="s">
        <v>164</v>
      </c>
      <c r="D96" s="31">
        <f t="shared" ref="D96:P96" si="17">-(-(D91+D92)-D93-D94-D95)</f>
        <v>0</v>
      </c>
      <c r="E96" s="17">
        <f t="shared" si="17"/>
        <v>0</v>
      </c>
      <c r="F96" s="17">
        <f t="shared" si="17"/>
        <v>0</v>
      </c>
      <c r="G96" s="17">
        <f t="shared" si="17"/>
        <v>0</v>
      </c>
      <c r="H96" s="17">
        <f t="shared" si="17"/>
        <v>0</v>
      </c>
      <c r="I96" s="17">
        <f t="shared" si="17"/>
        <v>0</v>
      </c>
      <c r="J96" s="17">
        <f t="shared" si="17"/>
        <v>0</v>
      </c>
      <c r="K96" s="17">
        <f t="shared" si="17"/>
        <v>0</v>
      </c>
      <c r="L96" s="17">
        <f t="shared" si="17"/>
        <v>0</v>
      </c>
      <c r="M96" s="17">
        <f t="shared" si="17"/>
        <v>0</v>
      </c>
      <c r="N96" s="17">
        <f t="shared" si="17"/>
        <v>0</v>
      </c>
      <c r="O96" s="17">
        <f t="shared" si="17"/>
        <v>0</v>
      </c>
      <c r="P96" s="24">
        <f t="shared" si="17"/>
        <v>0</v>
      </c>
      <c r="Q96" s="13"/>
    </row>
    <row r="97" spans="2:17" ht="16" customHeight="1" x14ac:dyDescent="0.45">
      <c r="B97" s="11" t="s">
        <v>165</v>
      </c>
      <c r="C97" s="11" t="s">
        <v>22</v>
      </c>
      <c r="D97" s="29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22"/>
      <c r="Q97" s="13"/>
    </row>
    <row r="98" spans="2:17" ht="16" customHeight="1" x14ac:dyDescent="0.45">
      <c r="B98" s="14" t="s">
        <v>166</v>
      </c>
      <c r="C98" s="14" t="s">
        <v>167</v>
      </c>
      <c r="D98" s="30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23">
        <f>SUM(D98:O98)</f>
        <v>0</v>
      </c>
      <c r="Q98" s="13"/>
    </row>
    <row r="99" spans="2:17" ht="16" customHeight="1" thickBot="1" x14ac:dyDescent="0.5">
      <c r="B99" s="11" t="s">
        <v>168</v>
      </c>
      <c r="C99" s="11" t="s">
        <v>22</v>
      </c>
      <c r="D99" s="29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22"/>
      <c r="Q99" s="13"/>
    </row>
    <row r="100" spans="2:17" ht="16" customHeight="1" thickBot="1" x14ac:dyDescent="0.5">
      <c r="B100" s="18" t="s">
        <v>169</v>
      </c>
      <c r="C100" s="18" t="s">
        <v>170</v>
      </c>
      <c r="D100" s="32">
        <f t="shared" ref="D100:P100" si="18">-(-(D82+D89)-D96-D98)</f>
        <v>-4652.7569300000141</v>
      </c>
      <c r="E100" s="19">
        <f t="shared" si="18"/>
        <v>-1279.4701600000324</v>
      </c>
      <c r="F100" s="19">
        <f t="shared" si="18"/>
        <v>39923.199939999926</v>
      </c>
      <c r="G100" s="19">
        <f t="shared" si="18"/>
        <v>84015.695619999969</v>
      </c>
      <c r="H100" s="19">
        <f t="shared" si="18"/>
        <v>97227.604170000021</v>
      </c>
      <c r="I100" s="19">
        <f t="shared" si="18"/>
        <v>53098.594919999996</v>
      </c>
      <c r="J100" s="19">
        <f t="shared" si="18"/>
        <v>-268332.86755999987</v>
      </c>
      <c r="K100" s="19">
        <f t="shared" si="18"/>
        <v>0</v>
      </c>
      <c r="L100" s="19">
        <f t="shared" si="18"/>
        <v>0</v>
      </c>
      <c r="M100" s="19">
        <f t="shared" si="18"/>
        <v>0</v>
      </c>
      <c r="N100" s="19">
        <f t="shared" si="18"/>
        <v>0</v>
      </c>
      <c r="O100" s="19">
        <f t="shared" si="18"/>
        <v>0</v>
      </c>
      <c r="P100" s="25">
        <f t="shared" si="18"/>
        <v>0</v>
      </c>
      <c r="Q100" s="13"/>
    </row>
    <row r="101" spans="2:17" ht="16" customHeight="1" x14ac:dyDescent="0.45">
      <c r="B101" s="11" t="s">
        <v>171</v>
      </c>
      <c r="C101" s="11" t="s">
        <v>22</v>
      </c>
      <c r="D101" s="29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22"/>
      <c r="Q101" s="13"/>
    </row>
    <row r="102" spans="2:17" ht="16" customHeight="1" x14ac:dyDescent="0.45">
      <c r="B102" s="14" t="s">
        <v>172</v>
      </c>
      <c r="C102" s="14" t="s">
        <v>173</v>
      </c>
      <c r="D102" s="30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23">
        <f>SUM(D102:O102)</f>
        <v>0</v>
      </c>
      <c r="Q102" s="13"/>
    </row>
    <row r="103" spans="2:17" ht="16" customHeight="1" x14ac:dyDescent="0.45">
      <c r="B103" s="14" t="s">
        <v>174</v>
      </c>
      <c r="C103" s="14" t="s">
        <v>175</v>
      </c>
      <c r="D103" s="30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23">
        <f>SUM(D103:O103)</f>
        <v>0</v>
      </c>
      <c r="Q103" s="13"/>
    </row>
    <row r="104" spans="2:17" ht="16" customHeight="1" x14ac:dyDescent="0.45">
      <c r="B104" s="14" t="s">
        <v>176</v>
      </c>
      <c r="C104" s="14" t="s">
        <v>177</v>
      </c>
      <c r="D104" s="30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23">
        <f>SUM(D104:O104)</f>
        <v>0</v>
      </c>
      <c r="Q104" s="13"/>
    </row>
    <row r="105" spans="2:17" ht="16" customHeight="1" x14ac:dyDescent="0.45">
      <c r="B105" s="14" t="s">
        <v>178</v>
      </c>
      <c r="C105" s="14" t="s">
        <v>179</v>
      </c>
      <c r="D105" s="30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23">
        <f>SUM(D105:O105)</f>
        <v>0</v>
      </c>
      <c r="Q105" s="13"/>
    </row>
    <row r="106" spans="2:17" ht="16" customHeight="1" x14ac:dyDescent="0.45">
      <c r="B106" s="16" t="s">
        <v>180</v>
      </c>
      <c r="C106" s="16" t="s">
        <v>181</v>
      </c>
      <c r="D106" s="31">
        <f t="shared" ref="D106:P106" si="19">-(-(D102+D103)-D104-D105)</f>
        <v>0</v>
      </c>
      <c r="E106" s="17">
        <f t="shared" si="19"/>
        <v>0</v>
      </c>
      <c r="F106" s="17">
        <f t="shared" si="19"/>
        <v>0</v>
      </c>
      <c r="G106" s="17">
        <f t="shared" si="19"/>
        <v>0</v>
      </c>
      <c r="H106" s="17">
        <f t="shared" si="19"/>
        <v>0</v>
      </c>
      <c r="I106" s="17">
        <f t="shared" si="19"/>
        <v>0</v>
      </c>
      <c r="J106" s="17">
        <f t="shared" si="19"/>
        <v>0</v>
      </c>
      <c r="K106" s="17">
        <f t="shared" si="19"/>
        <v>0</v>
      </c>
      <c r="L106" s="17">
        <f t="shared" si="19"/>
        <v>0</v>
      </c>
      <c r="M106" s="17">
        <f t="shared" si="19"/>
        <v>0</v>
      </c>
      <c r="N106" s="17">
        <f t="shared" si="19"/>
        <v>0</v>
      </c>
      <c r="O106" s="17">
        <f t="shared" si="19"/>
        <v>0</v>
      </c>
      <c r="P106" s="24">
        <f t="shared" si="19"/>
        <v>0</v>
      </c>
      <c r="Q106" s="13"/>
    </row>
    <row r="107" spans="2:17" ht="16" customHeight="1" x14ac:dyDescent="0.45">
      <c r="B107" s="11" t="s">
        <v>182</v>
      </c>
      <c r="C107" s="11" t="s">
        <v>22</v>
      </c>
      <c r="D107" s="29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22"/>
      <c r="Q107" s="13"/>
    </row>
    <row r="108" spans="2:17" ht="16" customHeight="1" x14ac:dyDescent="0.45">
      <c r="B108" s="14" t="s">
        <v>183</v>
      </c>
      <c r="C108" s="14" t="s">
        <v>184</v>
      </c>
      <c r="D108" s="30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23">
        <f>SUM(D108:O108)</f>
        <v>0</v>
      </c>
      <c r="Q108" s="13"/>
    </row>
    <row r="109" spans="2:17" ht="16" customHeight="1" x14ac:dyDescent="0.45">
      <c r="B109" s="14" t="s">
        <v>185</v>
      </c>
      <c r="C109" s="14" t="s">
        <v>186</v>
      </c>
      <c r="D109" s="30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23">
        <f>SUM(D109:O109)</f>
        <v>0</v>
      </c>
      <c r="Q109" s="13"/>
    </row>
    <row r="110" spans="2:17" ht="16" customHeight="1" x14ac:dyDescent="0.45">
      <c r="B110" s="14" t="s">
        <v>187</v>
      </c>
      <c r="C110" s="14" t="s">
        <v>188</v>
      </c>
      <c r="D110" s="30">
        <v>52.873179999999998</v>
      </c>
      <c r="E110" s="15">
        <v>0</v>
      </c>
      <c r="F110" s="15">
        <v>-52.873179999999998</v>
      </c>
      <c r="G110" s="15"/>
      <c r="H110" s="15"/>
      <c r="I110" s="15"/>
      <c r="J110" s="15"/>
      <c r="K110" s="15"/>
      <c r="L110" s="15"/>
      <c r="M110" s="15"/>
      <c r="N110" s="15"/>
      <c r="O110" s="15"/>
      <c r="P110" s="23">
        <f>SUM(D110:O110)</f>
        <v>0</v>
      </c>
      <c r="Q110" s="13"/>
    </row>
    <row r="111" spans="2:17" ht="16" customHeight="1" x14ac:dyDescent="0.45">
      <c r="B111" s="14" t="s">
        <v>189</v>
      </c>
      <c r="C111" s="14" t="s">
        <v>190</v>
      </c>
      <c r="D111" s="30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23">
        <f>SUM(D111:O111)</f>
        <v>0</v>
      </c>
      <c r="Q111" s="13"/>
    </row>
    <row r="112" spans="2:17" ht="16" customHeight="1" x14ac:dyDescent="0.45">
      <c r="B112" s="16" t="s">
        <v>191</v>
      </c>
      <c r="C112" s="16" t="s">
        <v>192</v>
      </c>
      <c r="D112" s="31">
        <f t="shared" ref="D112:P112" si="20">-(-(D108+D109)-D110-D111)</f>
        <v>52.873179999999998</v>
      </c>
      <c r="E112" s="17">
        <f t="shared" si="20"/>
        <v>0</v>
      </c>
      <c r="F112" s="17">
        <f t="shared" si="20"/>
        <v>-52.873179999999998</v>
      </c>
      <c r="G112" s="17">
        <f t="shared" si="20"/>
        <v>0</v>
      </c>
      <c r="H112" s="17">
        <f t="shared" si="20"/>
        <v>0</v>
      </c>
      <c r="I112" s="17">
        <f t="shared" si="20"/>
        <v>0</v>
      </c>
      <c r="J112" s="17">
        <f t="shared" si="20"/>
        <v>0</v>
      </c>
      <c r="K112" s="17">
        <f t="shared" si="20"/>
        <v>0</v>
      </c>
      <c r="L112" s="17">
        <f t="shared" si="20"/>
        <v>0</v>
      </c>
      <c r="M112" s="17">
        <f t="shared" si="20"/>
        <v>0</v>
      </c>
      <c r="N112" s="17">
        <f t="shared" si="20"/>
        <v>0</v>
      </c>
      <c r="O112" s="17">
        <f t="shared" si="20"/>
        <v>0</v>
      </c>
      <c r="P112" s="24">
        <f t="shared" si="20"/>
        <v>0</v>
      </c>
      <c r="Q112" s="13"/>
    </row>
    <row r="113" spans="2:17" ht="16" customHeight="1" x14ac:dyDescent="0.45">
      <c r="B113" s="11" t="s">
        <v>193</v>
      </c>
      <c r="C113" s="11" t="s">
        <v>22</v>
      </c>
      <c r="D113" s="29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22"/>
      <c r="Q113" s="13"/>
    </row>
    <row r="114" spans="2:17" ht="16" customHeight="1" x14ac:dyDescent="0.45">
      <c r="B114" s="14" t="s">
        <v>194</v>
      </c>
      <c r="C114" s="14" t="s">
        <v>195</v>
      </c>
      <c r="D114" s="30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23">
        <f>SUM(D114:O114)</f>
        <v>0</v>
      </c>
      <c r="Q114" s="13"/>
    </row>
    <row r="115" spans="2:17" ht="16" customHeight="1" x14ac:dyDescent="0.45">
      <c r="B115" s="14" t="s">
        <v>196</v>
      </c>
      <c r="C115" s="14" t="s">
        <v>197</v>
      </c>
      <c r="D115" s="30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23">
        <f>SUM(D115:O115)</f>
        <v>0</v>
      </c>
      <c r="Q115" s="13"/>
    </row>
    <row r="116" spans="2:17" ht="16" customHeight="1" x14ac:dyDescent="0.45">
      <c r="B116" s="14" t="s">
        <v>198</v>
      </c>
      <c r="C116" s="14" t="s">
        <v>199</v>
      </c>
      <c r="D116" s="30">
        <v>7483.9178000000002</v>
      </c>
      <c r="E116" s="15">
        <v>-634.27362000000005</v>
      </c>
      <c r="F116" s="15">
        <v>-372.47796</v>
      </c>
      <c r="G116" s="15">
        <v>-408.47904</v>
      </c>
      <c r="H116" s="15">
        <v>-382.09809999999999</v>
      </c>
      <c r="I116" s="15">
        <v>-8043.1984400000001</v>
      </c>
      <c r="J116" s="15">
        <v>2356.6093599999999</v>
      </c>
      <c r="K116" s="15"/>
      <c r="L116" s="15"/>
      <c r="M116" s="15"/>
      <c r="N116" s="15"/>
      <c r="O116" s="15"/>
      <c r="P116" s="23">
        <f>SUM(D116:O116)</f>
        <v>0</v>
      </c>
      <c r="Q116" s="13"/>
    </row>
    <row r="117" spans="2:17" ht="16" customHeight="1" x14ac:dyDescent="0.45">
      <c r="B117" s="14" t="s">
        <v>200</v>
      </c>
      <c r="C117" s="14" t="s">
        <v>201</v>
      </c>
      <c r="D117" s="30">
        <v>-455.41699999999997</v>
      </c>
      <c r="E117" s="15">
        <v>-455.41699999999997</v>
      </c>
      <c r="F117" s="15">
        <v>-455.41699999999997</v>
      </c>
      <c r="G117" s="15">
        <v>-455.41699999999997</v>
      </c>
      <c r="H117" s="15">
        <v>-455.41699999999997</v>
      </c>
      <c r="I117" s="15">
        <v>0</v>
      </c>
      <c r="J117" s="15">
        <v>2277.085</v>
      </c>
      <c r="K117" s="15"/>
      <c r="L117" s="15"/>
      <c r="M117" s="15"/>
      <c r="N117" s="15"/>
      <c r="O117" s="15"/>
      <c r="P117" s="23">
        <f>SUM(D117:O117)</f>
        <v>0</v>
      </c>
      <c r="Q117" s="13"/>
    </row>
    <row r="118" spans="2:17" ht="16" customHeight="1" x14ac:dyDescent="0.45">
      <c r="B118" s="14" t="s">
        <v>202</v>
      </c>
      <c r="C118" s="14" t="s">
        <v>203</v>
      </c>
      <c r="D118" s="30">
        <v>75.751900000000006</v>
      </c>
      <c r="E118" s="15">
        <v>-1263.8326500000001</v>
      </c>
      <c r="F118" s="15">
        <v>1254.90039</v>
      </c>
      <c r="G118" s="15">
        <v>0.99872000000000005</v>
      </c>
      <c r="H118" s="15">
        <v>5.5104600000000001</v>
      </c>
      <c r="I118" s="15">
        <v>-5.7489999999999997</v>
      </c>
      <c r="J118" s="15">
        <v>-67.579819999999998</v>
      </c>
      <c r="K118" s="15"/>
      <c r="L118" s="15"/>
      <c r="M118" s="15"/>
      <c r="N118" s="15"/>
      <c r="O118" s="15"/>
      <c r="P118" s="23">
        <f>SUM(D118:O118)</f>
        <v>0</v>
      </c>
      <c r="Q118" s="13"/>
    </row>
    <row r="119" spans="2:17" ht="16" customHeight="1" x14ac:dyDescent="0.45">
      <c r="B119" s="16" t="s">
        <v>204</v>
      </c>
      <c r="C119" s="16" t="s">
        <v>205</v>
      </c>
      <c r="D119" s="31">
        <f t="shared" ref="D119:P119" si="21">-(-(D114+D115)-D116-D117-D118)</f>
        <v>7104.2527</v>
      </c>
      <c r="E119" s="17">
        <f t="shared" si="21"/>
        <v>-2353.5232700000001</v>
      </c>
      <c r="F119" s="17">
        <f t="shared" si="21"/>
        <v>427.00543000000005</v>
      </c>
      <c r="G119" s="17">
        <f t="shared" si="21"/>
        <v>-862.89731999999992</v>
      </c>
      <c r="H119" s="17">
        <f t="shared" si="21"/>
        <v>-832.00463999999999</v>
      </c>
      <c r="I119" s="17">
        <f t="shared" si="21"/>
        <v>-8048.9474399999999</v>
      </c>
      <c r="J119" s="17">
        <f t="shared" si="21"/>
        <v>4566.1145399999996</v>
      </c>
      <c r="K119" s="17">
        <f t="shared" si="21"/>
        <v>0</v>
      </c>
      <c r="L119" s="17">
        <f t="shared" si="21"/>
        <v>0</v>
      </c>
      <c r="M119" s="17">
        <f t="shared" si="21"/>
        <v>0</v>
      </c>
      <c r="N119" s="17">
        <f t="shared" si="21"/>
        <v>0</v>
      </c>
      <c r="O119" s="17">
        <f t="shared" si="21"/>
        <v>0</v>
      </c>
      <c r="P119" s="24">
        <f t="shared" si="21"/>
        <v>0</v>
      </c>
      <c r="Q119" s="13"/>
    </row>
    <row r="120" spans="2:17" ht="16" customHeight="1" thickBot="1" x14ac:dyDescent="0.5">
      <c r="B120" s="11" t="s">
        <v>206</v>
      </c>
      <c r="C120" s="11" t="s">
        <v>22</v>
      </c>
      <c r="D120" s="29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22"/>
      <c r="Q120" s="13"/>
    </row>
    <row r="121" spans="2:17" ht="16" customHeight="1" thickBot="1" x14ac:dyDescent="0.5">
      <c r="B121" s="18" t="s">
        <v>207</v>
      </c>
      <c r="C121" s="18" t="s">
        <v>208</v>
      </c>
      <c r="D121" s="32">
        <f t="shared" ref="D121:P121" si="22">D112+D119</f>
        <v>7157.1258799999996</v>
      </c>
      <c r="E121" s="19">
        <f t="shared" si="22"/>
        <v>-2353.5232700000001</v>
      </c>
      <c r="F121" s="19">
        <f t="shared" si="22"/>
        <v>374.13225000000006</v>
      </c>
      <c r="G121" s="19">
        <f t="shared" si="22"/>
        <v>-862.89731999999992</v>
      </c>
      <c r="H121" s="19">
        <f t="shared" si="22"/>
        <v>-832.00463999999999</v>
      </c>
      <c r="I121" s="19">
        <f t="shared" si="22"/>
        <v>-8048.9474399999999</v>
      </c>
      <c r="J121" s="19">
        <f t="shared" si="22"/>
        <v>4566.1145399999996</v>
      </c>
      <c r="K121" s="19">
        <f t="shared" si="22"/>
        <v>0</v>
      </c>
      <c r="L121" s="19">
        <f t="shared" si="22"/>
        <v>0</v>
      </c>
      <c r="M121" s="19">
        <f t="shared" si="22"/>
        <v>0</v>
      </c>
      <c r="N121" s="19">
        <f t="shared" si="22"/>
        <v>0</v>
      </c>
      <c r="O121" s="19">
        <f t="shared" si="22"/>
        <v>0</v>
      </c>
      <c r="P121" s="25">
        <f t="shared" si="22"/>
        <v>0</v>
      </c>
      <c r="Q121" s="13"/>
    </row>
    <row r="122" spans="2:17" ht="16" customHeight="1" x14ac:dyDescent="0.45">
      <c r="B122" s="11" t="s">
        <v>209</v>
      </c>
      <c r="C122" s="11" t="s">
        <v>22</v>
      </c>
      <c r="D122" s="29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22"/>
      <c r="Q122" s="13"/>
    </row>
    <row r="123" spans="2:17" ht="16" customHeight="1" x14ac:dyDescent="0.45">
      <c r="B123" s="14" t="s">
        <v>210</v>
      </c>
      <c r="C123" s="14" t="s">
        <v>211</v>
      </c>
      <c r="D123" s="30"/>
      <c r="E123" s="15">
        <v>-44911.874159999999</v>
      </c>
      <c r="F123" s="15">
        <v>-36.690800000000003</v>
      </c>
      <c r="G123" s="15">
        <v>-378.74200000000002</v>
      </c>
      <c r="H123" s="15">
        <v>0</v>
      </c>
      <c r="I123" s="15">
        <v>0</v>
      </c>
      <c r="J123" s="15">
        <v>45327.306960000002</v>
      </c>
      <c r="K123" s="15"/>
      <c r="L123" s="15"/>
      <c r="M123" s="15"/>
      <c r="N123" s="15"/>
      <c r="O123" s="15"/>
      <c r="P123" s="23">
        <f t="shared" ref="P123:P130" si="23">SUM(D123:O123)</f>
        <v>0</v>
      </c>
      <c r="Q123" s="13"/>
    </row>
    <row r="124" spans="2:17" ht="16" customHeight="1" x14ac:dyDescent="0.45">
      <c r="B124" s="14" t="s">
        <v>212</v>
      </c>
      <c r="C124" s="14" t="s">
        <v>213</v>
      </c>
      <c r="D124" s="30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23">
        <f t="shared" si="23"/>
        <v>0</v>
      </c>
      <c r="Q124" s="13"/>
    </row>
    <row r="125" spans="2:17" ht="16" customHeight="1" x14ac:dyDescent="0.45">
      <c r="B125" s="14" t="s">
        <v>214</v>
      </c>
      <c r="C125" s="14" t="s">
        <v>215</v>
      </c>
      <c r="D125" s="30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23">
        <f t="shared" si="23"/>
        <v>0</v>
      </c>
      <c r="Q125" s="13"/>
    </row>
    <row r="126" spans="2:17" ht="16" customHeight="1" x14ac:dyDescent="0.45">
      <c r="B126" s="14" t="s">
        <v>216</v>
      </c>
      <c r="C126" s="14" t="s">
        <v>217</v>
      </c>
      <c r="D126" s="30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23">
        <f t="shared" si="23"/>
        <v>0</v>
      </c>
      <c r="Q126" s="13"/>
    </row>
    <row r="127" spans="2:17" ht="16" customHeight="1" x14ac:dyDescent="0.45">
      <c r="B127" s="14" t="s">
        <v>218</v>
      </c>
      <c r="C127" s="14" t="s">
        <v>219</v>
      </c>
      <c r="D127" s="30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23">
        <f t="shared" si="23"/>
        <v>0</v>
      </c>
      <c r="Q127" s="13"/>
    </row>
    <row r="128" spans="2:17" ht="16" customHeight="1" x14ac:dyDescent="0.45">
      <c r="B128" s="14" t="s">
        <v>220</v>
      </c>
      <c r="C128" s="14" t="s">
        <v>221</v>
      </c>
      <c r="D128" s="30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23">
        <f t="shared" si="23"/>
        <v>0</v>
      </c>
      <c r="Q128" s="13"/>
    </row>
    <row r="129" spans="2:17" ht="16" customHeight="1" x14ac:dyDescent="0.45">
      <c r="B129" s="14" t="s">
        <v>222</v>
      </c>
      <c r="C129" s="14" t="s">
        <v>223</v>
      </c>
      <c r="D129" s="30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23">
        <f t="shared" si="23"/>
        <v>0</v>
      </c>
      <c r="Q129" s="13"/>
    </row>
    <row r="130" spans="2:17" ht="16" customHeight="1" x14ac:dyDescent="0.45">
      <c r="B130" s="14" t="s">
        <v>224</v>
      </c>
      <c r="C130" s="14" t="s">
        <v>225</v>
      </c>
      <c r="D130" s="30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23">
        <f t="shared" si="23"/>
        <v>0</v>
      </c>
      <c r="Q130" s="13"/>
    </row>
    <row r="131" spans="2:17" ht="16" customHeight="1" x14ac:dyDescent="0.45">
      <c r="B131" s="16" t="s">
        <v>226</v>
      </c>
      <c r="C131" s="16" t="s">
        <v>227</v>
      </c>
      <c r="D131" s="31">
        <f t="shared" ref="D131:P131" si="24">-(-(D123+D124)-D125-D126-D127-D128-D129-D130)</f>
        <v>0</v>
      </c>
      <c r="E131" s="17">
        <f t="shared" si="24"/>
        <v>-44911.874159999999</v>
      </c>
      <c r="F131" s="17">
        <f t="shared" si="24"/>
        <v>-36.690800000000003</v>
      </c>
      <c r="G131" s="17">
        <f t="shared" si="24"/>
        <v>-378.74200000000002</v>
      </c>
      <c r="H131" s="17">
        <f t="shared" si="24"/>
        <v>0</v>
      </c>
      <c r="I131" s="17">
        <f t="shared" si="24"/>
        <v>0</v>
      </c>
      <c r="J131" s="17">
        <f t="shared" si="24"/>
        <v>45327.306960000002</v>
      </c>
      <c r="K131" s="17">
        <f t="shared" si="24"/>
        <v>0</v>
      </c>
      <c r="L131" s="17">
        <f t="shared" si="24"/>
        <v>0</v>
      </c>
      <c r="M131" s="17">
        <f t="shared" si="24"/>
        <v>0</v>
      </c>
      <c r="N131" s="17">
        <f t="shared" si="24"/>
        <v>0</v>
      </c>
      <c r="O131" s="17">
        <f t="shared" si="24"/>
        <v>0</v>
      </c>
      <c r="P131" s="24">
        <f t="shared" si="24"/>
        <v>0</v>
      </c>
      <c r="Q131" s="13"/>
    </row>
    <row r="132" spans="2:17" ht="16" customHeight="1" thickBot="1" x14ac:dyDescent="0.5">
      <c r="B132" s="11" t="s">
        <v>228</v>
      </c>
      <c r="C132" s="11" t="s">
        <v>22</v>
      </c>
      <c r="D132" s="29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22"/>
      <c r="Q132" s="13"/>
    </row>
    <row r="133" spans="2:17" ht="16" customHeight="1" thickBot="1" x14ac:dyDescent="0.5">
      <c r="B133" s="18" t="s">
        <v>229</v>
      </c>
      <c r="C133" s="18" t="s">
        <v>230</v>
      </c>
      <c r="D133" s="32">
        <f t="shared" ref="D133:P133" si="25">-(-(D106+D121)-D131)</f>
        <v>7157.1258799999996</v>
      </c>
      <c r="E133" s="19">
        <f t="shared" si="25"/>
        <v>-47265.397429999997</v>
      </c>
      <c r="F133" s="19">
        <f t="shared" si="25"/>
        <v>337.44145000000003</v>
      </c>
      <c r="G133" s="19">
        <f t="shared" si="25"/>
        <v>-1241.63932</v>
      </c>
      <c r="H133" s="19">
        <f t="shared" si="25"/>
        <v>-832.00463999999999</v>
      </c>
      <c r="I133" s="19">
        <f t="shared" si="25"/>
        <v>-8048.9474399999999</v>
      </c>
      <c r="J133" s="19">
        <f t="shared" si="25"/>
        <v>49893.421500000004</v>
      </c>
      <c r="K133" s="19">
        <f t="shared" si="25"/>
        <v>0</v>
      </c>
      <c r="L133" s="19">
        <f t="shared" si="25"/>
        <v>0</v>
      </c>
      <c r="M133" s="19">
        <f t="shared" si="25"/>
        <v>0</v>
      </c>
      <c r="N133" s="19">
        <f t="shared" si="25"/>
        <v>0</v>
      </c>
      <c r="O133" s="19">
        <f t="shared" si="25"/>
        <v>0</v>
      </c>
      <c r="P133" s="25">
        <f t="shared" si="25"/>
        <v>0</v>
      </c>
      <c r="Q133" s="13"/>
    </row>
    <row r="134" spans="2:17" ht="16" customHeight="1" thickBot="1" x14ac:dyDescent="0.5">
      <c r="B134" s="11" t="s">
        <v>231</v>
      </c>
      <c r="C134" s="11" t="s">
        <v>22</v>
      </c>
      <c r="D134" s="29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22"/>
      <c r="Q134" s="13"/>
    </row>
    <row r="135" spans="2:17" ht="16" customHeight="1" thickBot="1" x14ac:dyDescent="0.5">
      <c r="B135" s="18" t="s">
        <v>232</v>
      </c>
      <c r="C135" s="18" t="s">
        <v>233</v>
      </c>
      <c r="D135" s="32">
        <f t="shared" ref="D135:P135" si="26">D100+D133</f>
        <v>2504.3689499999855</v>
      </c>
      <c r="E135" s="19">
        <f t="shared" si="26"/>
        <v>-48544.867590000031</v>
      </c>
      <c r="F135" s="19">
        <f t="shared" si="26"/>
        <v>40260.641389999924</v>
      </c>
      <c r="G135" s="19">
        <f t="shared" si="26"/>
        <v>82774.056299999967</v>
      </c>
      <c r="H135" s="19">
        <f t="shared" si="26"/>
        <v>96395.599530000021</v>
      </c>
      <c r="I135" s="19">
        <f t="shared" si="26"/>
        <v>45049.64748</v>
      </c>
      <c r="J135" s="19">
        <f t="shared" si="26"/>
        <v>-218439.44605999987</v>
      </c>
      <c r="K135" s="19">
        <f t="shared" si="26"/>
        <v>0</v>
      </c>
      <c r="L135" s="19">
        <f t="shared" si="26"/>
        <v>0</v>
      </c>
      <c r="M135" s="19">
        <f t="shared" si="26"/>
        <v>0</v>
      </c>
      <c r="N135" s="19">
        <f t="shared" si="26"/>
        <v>0</v>
      </c>
      <c r="O135" s="19">
        <f t="shared" si="26"/>
        <v>0</v>
      </c>
      <c r="P135" s="25">
        <f t="shared" si="26"/>
        <v>0</v>
      </c>
      <c r="Q135" s="13"/>
    </row>
    <row r="136" spans="2:17" ht="16" customHeight="1" x14ac:dyDescent="0.45">
      <c r="B136" s="11" t="s">
        <v>234</v>
      </c>
      <c r="C136" s="11" t="s">
        <v>22</v>
      </c>
      <c r="D136" s="29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22"/>
      <c r="Q136" s="13"/>
    </row>
    <row r="137" spans="2:17" ht="16" customHeight="1" x14ac:dyDescent="0.45">
      <c r="B137" s="14" t="s">
        <v>235</v>
      </c>
      <c r="C137" s="14" t="s">
        <v>236</v>
      </c>
      <c r="D137" s="30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23">
        <f>SUM(D137:O137)</f>
        <v>0</v>
      </c>
      <c r="Q137" s="13"/>
    </row>
    <row r="138" spans="2:17" ht="16" customHeight="1" x14ac:dyDescent="0.45">
      <c r="B138" s="14" t="s">
        <v>237</v>
      </c>
      <c r="C138" s="14" t="s">
        <v>238</v>
      </c>
      <c r="D138" s="30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23">
        <f>SUM(D138:O138)</f>
        <v>0</v>
      </c>
      <c r="Q138" s="13"/>
    </row>
    <row r="139" spans="2:17" ht="16" customHeight="1" x14ac:dyDescent="0.45">
      <c r="B139" s="14" t="s">
        <v>239</v>
      </c>
      <c r="C139" s="14" t="s">
        <v>240</v>
      </c>
      <c r="D139" s="30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23">
        <f>SUM(D139:O139)</f>
        <v>0</v>
      </c>
      <c r="Q139" s="13"/>
    </row>
    <row r="140" spans="2:17" ht="16" customHeight="1" x14ac:dyDescent="0.45">
      <c r="B140" s="14" t="s">
        <v>241</v>
      </c>
      <c r="C140" s="14" t="s">
        <v>242</v>
      </c>
      <c r="D140" s="30">
        <v>203.667</v>
      </c>
      <c r="E140" s="15">
        <v>203.667</v>
      </c>
      <c r="F140" s="15">
        <v>-2295.8319999999999</v>
      </c>
      <c r="G140" s="15">
        <v>203.834</v>
      </c>
      <c r="H140" s="15">
        <v>203.834</v>
      </c>
      <c r="I140" s="15">
        <v>0</v>
      </c>
      <c r="J140" s="15">
        <v>1480.83</v>
      </c>
      <c r="K140" s="15"/>
      <c r="L140" s="15"/>
      <c r="M140" s="15"/>
      <c r="N140" s="15"/>
      <c r="O140" s="15"/>
      <c r="P140" s="23">
        <f>SUM(D140:O140)</f>
        <v>0</v>
      </c>
      <c r="Q140" s="13"/>
    </row>
    <row r="141" spans="2:17" ht="16" customHeight="1" x14ac:dyDescent="0.45">
      <c r="B141" s="16" t="s">
        <v>243</v>
      </c>
      <c r="C141" s="16" t="s">
        <v>244</v>
      </c>
      <c r="D141" s="31">
        <f t="shared" ref="D141:P141" si="27">-(-(D137+D138)-D139-D140)</f>
        <v>203.667</v>
      </c>
      <c r="E141" s="17">
        <f t="shared" si="27"/>
        <v>203.667</v>
      </c>
      <c r="F141" s="17">
        <f t="shared" si="27"/>
        <v>-2295.8319999999999</v>
      </c>
      <c r="G141" s="17">
        <f t="shared" si="27"/>
        <v>203.834</v>
      </c>
      <c r="H141" s="17">
        <f t="shared" si="27"/>
        <v>203.834</v>
      </c>
      <c r="I141" s="17">
        <f t="shared" si="27"/>
        <v>0</v>
      </c>
      <c r="J141" s="17">
        <f t="shared" si="27"/>
        <v>1480.83</v>
      </c>
      <c r="K141" s="17">
        <f t="shared" si="27"/>
        <v>0</v>
      </c>
      <c r="L141" s="17">
        <f t="shared" si="27"/>
        <v>0</v>
      </c>
      <c r="M141" s="17">
        <f t="shared" si="27"/>
        <v>0</v>
      </c>
      <c r="N141" s="17">
        <f t="shared" si="27"/>
        <v>0</v>
      </c>
      <c r="O141" s="17">
        <f t="shared" si="27"/>
        <v>0</v>
      </c>
      <c r="P141" s="24">
        <f t="shared" si="27"/>
        <v>0</v>
      </c>
      <c r="Q141" s="13"/>
    </row>
    <row r="142" spans="2:17" ht="16" customHeight="1" thickBot="1" x14ac:dyDescent="0.5">
      <c r="B142" s="11" t="s">
        <v>245</v>
      </c>
      <c r="C142" s="11" t="s">
        <v>22</v>
      </c>
      <c r="D142" s="29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22"/>
      <c r="Q142" s="13"/>
    </row>
    <row r="143" spans="2:17" ht="16" customHeight="1" thickBot="1" x14ac:dyDescent="0.5">
      <c r="B143" s="18" t="s">
        <v>246</v>
      </c>
      <c r="C143" s="18" t="s">
        <v>247</v>
      </c>
      <c r="D143" s="32">
        <f t="shared" ref="D143:P143" si="28">D135+D141</f>
        <v>2708.0359499999854</v>
      </c>
      <c r="E143" s="19">
        <f t="shared" si="28"/>
        <v>-48341.200590000029</v>
      </c>
      <c r="F143" s="19">
        <f t="shared" si="28"/>
        <v>37964.809389999922</v>
      </c>
      <c r="G143" s="19">
        <f t="shared" si="28"/>
        <v>82977.89029999997</v>
      </c>
      <c r="H143" s="19">
        <f t="shared" si="28"/>
        <v>96599.433530000024</v>
      </c>
      <c r="I143" s="19">
        <f t="shared" si="28"/>
        <v>45049.64748</v>
      </c>
      <c r="J143" s="19">
        <f t="shared" si="28"/>
        <v>-216958.61605999988</v>
      </c>
      <c r="K143" s="19">
        <f t="shared" si="28"/>
        <v>0</v>
      </c>
      <c r="L143" s="19">
        <f t="shared" si="28"/>
        <v>0</v>
      </c>
      <c r="M143" s="19">
        <f t="shared" si="28"/>
        <v>0</v>
      </c>
      <c r="N143" s="19">
        <f t="shared" si="28"/>
        <v>0</v>
      </c>
      <c r="O143" s="19">
        <f t="shared" si="28"/>
        <v>0</v>
      </c>
      <c r="P143" s="25">
        <f t="shared" si="28"/>
        <v>0</v>
      </c>
      <c r="Q143" s="13"/>
    </row>
    <row r="144" spans="2:17" ht="16" customHeight="1" x14ac:dyDescent="0.45">
      <c r="B144" s="11" t="s">
        <v>248</v>
      </c>
      <c r="C144" s="11" t="s">
        <v>22</v>
      </c>
      <c r="D144" s="29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22"/>
      <c r="Q144" s="13"/>
    </row>
    <row r="145" spans="2:17" ht="16" customHeight="1" x14ac:dyDescent="0.45">
      <c r="B145" s="14" t="s">
        <v>249</v>
      </c>
      <c r="C145" s="14" t="s">
        <v>250</v>
      </c>
      <c r="D145" s="30">
        <v>9854.8981399999993</v>
      </c>
      <c r="E145" s="15">
        <v>21088.746899999998</v>
      </c>
      <c r="F145" s="15">
        <v>-11603.06436</v>
      </c>
      <c r="G145" s="15">
        <v>-14745.973819999999</v>
      </c>
      <c r="H145" s="15">
        <v>-5.9999999999999995E-4</v>
      </c>
      <c r="I145" s="15">
        <v>0</v>
      </c>
      <c r="J145" s="15">
        <v>-4594.6062599999996</v>
      </c>
      <c r="K145" s="15"/>
      <c r="L145" s="15"/>
      <c r="M145" s="15"/>
      <c r="N145" s="15"/>
      <c r="O145" s="15"/>
      <c r="P145" s="23">
        <f>SUM(D145:O145)</f>
        <v>0</v>
      </c>
      <c r="Q145" s="13"/>
    </row>
    <row r="146" spans="2:17" ht="16" customHeight="1" x14ac:dyDescent="0.45">
      <c r="B146" s="14" t="s">
        <v>251</v>
      </c>
      <c r="C146" s="14" t="s">
        <v>252</v>
      </c>
      <c r="D146" s="30"/>
      <c r="E146" s="15"/>
      <c r="F146" s="15">
        <v>15927.105</v>
      </c>
      <c r="G146" s="15">
        <v>3530.3969999999999</v>
      </c>
      <c r="H146" s="15">
        <v>0</v>
      </c>
      <c r="I146" s="15">
        <v>0</v>
      </c>
      <c r="J146" s="15">
        <v>-19457.502</v>
      </c>
      <c r="K146" s="15"/>
      <c r="L146" s="15"/>
      <c r="M146" s="15"/>
      <c r="N146" s="15"/>
      <c r="O146" s="15"/>
      <c r="P146" s="23">
        <f>SUM(D146:O146)</f>
        <v>0</v>
      </c>
      <c r="Q146" s="13"/>
    </row>
    <row r="147" spans="2:17" ht="16" customHeight="1" x14ac:dyDescent="0.45">
      <c r="B147" s="16" t="s">
        <v>253</v>
      </c>
      <c r="C147" s="16" t="s">
        <v>254</v>
      </c>
      <c r="D147" s="31">
        <f t="shared" ref="D147:P147" si="29">D145+D146</f>
        <v>9854.8981399999993</v>
      </c>
      <c r="E147" s="17">
        <f t="shared" si="29"/>
        <v>21088.746899999998</v>
      </c>
      <c r="F147" s="17">
        <f t="shared" si="29"/>
        <v>4324.0406399999993</v>
      </c>
      <c r="G147" s="17">
        <f t="shared" si="29"/>
        <v>-11215.576819999998</v>
      </c>
      <c r="H147" s="17">
        <f t="shared" si="29"/>
        <v>-5.9999999999999995E-4</v>
      </c>
      <c r="I147" s="17">
        <f t="shared" si="29"/>
        <v>0</v>
      </c>
      <c r="J147" s="17">
        <f t="shared" si="29"/>
        <v>-24052.108260000001</v>
      </c>
      <c r="K147" s="17">
        <f t="shared" si="29"/>
        <v>0</v>
      </c>
      <c r="L147" s="17">
        <f t="shared" si="29"/>
        <v>0</v>
      </c>
      <c r="M147" s="17">
        <f t="shared" si="29"/>
        <v>0</v>
      </c>
      <c r="N147" s="17">
        <f t="shared" si="29"/>
        <v>0</v>
      </c>
      <c r="O147" s="17">
        <f t="shared" si="29"/>
        <v>0</v>
      </c>
      <c r="P147" s="24">
        <f t="shared" si="29"/>
        <v>0</v>
      </c>
      <c r="Q147" s="13"/>
    </row>
    <row r="148" spans="2:17" ht="16" customHeight="1" x14ac:dyDescent="0.45">
      <c r="B148" s="11" t="s">
        <v>255</v>
      </c>
      <c r="C148" s="11" t="s">
        <v>22</v>
      </c>
      <c r="D148" s="29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22"/>
      <c r="Q148" s="13"/>
    </row>
    <row r="149" spans="2:17" ht="16" customHeight="1" x14ac:dyDescent="0.45">
      <c r="B149" s="14" t="s">
        <v>256</v>
      </c>
      <c r="C149" s="14" t="s">
        <v>257</v>
      </c>
      <c r="D149" s="30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23">
        <f>SUM(D149:O149)</f>
        <v>0</v>
      </c>
      <c r="Q149" s="13"/>
    </row>
    <row r="150" spans="2:17" ht="16" customHeight="1" thickBot="1" x14ac:dyDescent="0.5">
      <c r="B150" s="11" t="s">
        <v>258</v>
      </c>
      <c r="C150" s="11" t="s">
        <v>22</v>
      </c>
      <c r="D150" s="29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22"/>
      <c r="Q150" s="13"/>
    </row>
    <row r="151" spans="2:17" ht="16" customHeight="1" thickBot="1" x14ac:dyDescent="0.4">
      <c r="B151" s="18" t="s">
        <v>259</v>
      </c>
      <c r="C151" s="18" t="s">
        <v>260</v>
      </c>
      <c r="D151" s="32">
        <f t="shared" ref="D151:P151" si="30">-(-(D143+D147)-D149)</f>
        <v>12562.934089999984</v>
      </c>
      <c r="E151" s="19">
        <f t="shared" si="30"/>
        <v>-27252.453690000031</v>
      </c>
      <c r="F151" s="19">
        <f t="shared" si="30"/>
        <v>42288.850029999921</v>
      </c>
      <c r="G151" s="19">
        <f t="shared" si="30"/>
        <v>71762.313479999968</v>
      </c>
      <c r="H151" s="19">
        <f t="shared" si="30"/>
        <v>96599.432930000024</v>
      </c>
      <c r="I151" s="19">
        <f t="shared" si="30"/>
        <v>45049.64748</v>
      </c>
      <c r="J151" s="19">
        <f t="shared" si="30"/>
        <v>-241010.72431999989</v>
      </c>
      <c r="K151" s="19">
        <f t="shared" si="30"/>
        <v>0</v>
      </c>
      <c r="L151" s="19">
        <f t="shared" si="30"/>
        <v>0</v>
      </c>
      <c r="M151" s="19">
        <f t="shared" si="30"/>
        <v>0</v>
      </c>
      <c r="N151" s="19">
        <f t="shared" si="30"/>
        <v>0</v>
      </c>
      <c r="O151" s="19">
        <f t="shared" si="30"/>
        <v>0</v>
      </c>
      <c r="P151" s="25">
        <f t="shared" si="30"/>
        <v>0</v>
      </c>
    </row>
    <row r="152" spans="2:17" ht="16" customHeight="1" x14ac:dyDescent="0.35">
      <c r="B152" s="11" t="s">
        <v>261</v>
      </c>
      <c r="C152" s="11" t="s">
        <v>22</v>
      </c>
      <c r="D152" s="29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22"/>
    </row>
    <row r="153" spans="2:17" ht="16" customHeight="1" x14ac:dyDescent="0.35">
      <c r="B153" s="14" t="s">
        <v>262</v>
      </c>
      <c r="C153" s="14" t="s">
        <v>263</v>
      </c>
      <c r="D153" s="30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23">
        <f>SUM(D153:O153)</f>
        <v>0</v>
      </c>
    </row>
    <row r="154" spans="2:17" ht="16" customHeight="1" thickBot="1" x14ac:dyDescent="0.4">
      <c r="B154" s="11" t="s">
        <v>264</v>
      </c>
      <c r="C154" s="11" t="s">
        <v>22</v>
      </c>
      <c r="D154" s="29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22"/>
    </row>
    <row r="155" spans="2:17" ht="16" customHeight="1" thickBot="1" x14ac:dyDescent="0.4">
      <c r="B155" s="18" t="s">
        <v>265</v>
      </c>
      <c r="C155" s="18" t="s">
        <v>266</v>
      </c>
      <c r="D155" s="19">
        <f t="shared" ref="D155:P155" si="31">D151+D153</f>
        <v>12562.934089999984</v>
      </c>
      <c r="E155" s="19">
        <f t="shared" si="31"/>
        <v>-27252.453690000031</v>
      </c>
      <c r="F155" s="19">
        <f t="shared" si="31"/>
        <v>42288.850029999921</v>
      </c>
      <c r="G155" s="19">
        <f t="shared" si="31"/>
        <v>71762.313479999968</v>
      </c>
      <c r="H155" s="19">
        <f t="shared" si="31"/>
        <v>96599.432930000024</v>
      </c>
      <c r="I155" s="19">
        <f t="shared" si="31"/>
        <v>45049.64748</v>
      </c>
      <c r="J155" s="19">
        <f t="shared" si="31"/>
        <v>-241010.72431999989</v>
      </c>
      <c r="K155" s="19">
        <f t="shared" si="31"/>
        <v>0</v>
      </c>
      <c r="L155" s="19">
        <f t="shared" si="31"/>
        <v>0</v>
      </c>
      <c r="M155" s="19">
        <f t="shared" si="31"/>
        <v>0</v>
      </c>
      <c r="N155" s="19">
        <f t="shared" si="31"/>
        <v>0</v>
      </c>
      <c r="O155" s="19">
        <f t="shared" si="31"/>
        <v>0</v>
      </c>
      <c r="P155" s="25">
        <f t="shared" si="31"/>
        <v>0</v>
      </c>
    </row>
    <row r="156" spans="2:17" ht="16" customHeight="1" x14ac:dyDescent="0.45">
      <c r="B156" s="13"/>
      <c r="C156" s="9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</row>
    <row r="157" spans="2:17" ht="16" customHeight="1" x14ac:dyDescent="0.45">
      <c r="B157" s="13"/>
      <c r="C157" s="9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</row>
    <row r="158" spans="2:17" ht="16" customHeight="1" x14ac:dyDescent="0.45">
      <c r="B158" s="13"/>
      <c r="C158" s="9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</row>
    <row r="159" spans="2:17" ht="16" customHeight="1" x14ac:dyDescent="0.45">
      <c r="B159" s="13"/>
      <c r="C159" s="9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</row>
    <row r="160" spans="2:17" ht="16" customHeight="1" x14ac:dyDescent="0.45">
      <c r="B160" s="13"/>
      <c r="C160" s="9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</row>
    <row r="161" spans="2:16" ht="16" customHeight="1" x14ac:dyDescent="0.45">
      <c r="B161" s="13"/>
      <c r="C161" s="9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</row>
    <row r="162" spans="2:16" ht="16" customHeight="1" x14ac:dyDescent="0.45">
      <c r="B162" s="13"/>
      <c r="C162" s="9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</row>
    <row r="163" spans="2:16" ht="16" customHeight="1" x14ac:dyDescent="0.45">
      <c r="B163" s="13"/>
      <c r="C163" s="9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</row>
    <row r="164" spans="2:16" ht="16" customHeight="1" x14ac:dyDescent="0.45">
      <c r="B164" s="13"/>
      <c r="C164" s="9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</row>
    <row r="165" spans="2:16" ht="16" customHeight="1" x14ac:dyDescent="0.45">
      <c r="B165" s="13"/>
      <c r="C165" s="9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</row>
    <row r="166" spans="2:16" ht="16" customHeight="1" x14ac:dyDescent="0.45">
      <c r="B166" s="13"/>
      <c r="C166" s="9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</row>
    <row r="167" spans="2:16" ht="16" customHeight="1" x14ac:dyDescent="0.45">
      <c r="B167" s="13"/>
      <c r="C167" s="9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</row>
    <row r="168" spans="2:16" ht="16" customHeight="1" x14ac:dyDescent="0.45">
      <c r="B168" s="13"/>
      <c r="C168" s="9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</row>
    <row r="169" spans="2:16" ht="16" customHeight="1" x14ac:dyDescent="0.45">
      <c r="B169" s="13"/>
      <c r="C169" s="9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</row>
    <row r="170" spans="2:16" ht="16" customHeight="1" x14ac:dyDescent="0.45">
      <c r="B170" s="13"/>
      <c r="C170" s="9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</row>
    <row r="171" spans="2:16" ht="16" customHeight="1" x14ac:dyDescent="0.45">
      <c r="B171" s="13"/>
      <c r="C171" s="9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</row>
    <row r="172" spans="2:16" ht="16" customHeight="1" x14ac:dyDescent="0.45">
      <c r="B172" s="13"/>
      <c r="C172" s="9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</row>
    <row r="173" spans="2:16" ht="16" customHeight="1" x14ac:dyDescent="0.45">
      <c r="B173" s="13"/>
      <c r="C173" s="9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</row>
    <row r="174" spans="2:16" ht="16" customHeight="1" x14ac:dyDescent="0.45">
      <c r="B174" s="13"/>
      <c r="C174" s="9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</row>
    <row r="175" spans="2:16" ht="16" customHeight="1" x14ac:dyDescent="0.45">
      <c r="B175" s="13"/>
      <c r="C175" s="9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</row>
    <row r="176" spans="2:16" ht="16" customHeight="1" x14ac:dyDescent="0.45">
      <c r="B176" s="13"/>
      <c r="C176" s="9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</row>
    <row r="177" spans="2:16" ht="16" customHeight="1" x14ac:dyDescent="0.45">
      <c r="B177" s="13"/>
      <c r="C177" s="9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</row>
    <row r="178" spans="2:16" ht="16" customHeight="1" x14ac:dyDescent="0.45">
      <c r="B178" s="13"/>
      <c r="C178" s="9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</row>
    <row r="179" spans="2:16" ht="16" customHeight="1" x14ac:dyDescent="0.45">
      <c r="B179" s="13"/>
      <c r="C179" s="9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</row>
    <row r="180" spans="2:16" ht="16" customHeight="1" x14ac:dyDescent="0.45">
      <c r="B180" s="13"/>
      <c r="C180" s="9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</row>
    <row r="181" spans="2:16" ht="16" customHeight="1" x14ac:dyDescent="0.45">
      <c r="B181" s="13"/>
      <c r="C181" s="9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</row>
    <row r="182" spans="2:16" ht="16" customHeight="1" x14ac:dyDescent="0.45">
      <c r="B182" s="13"/>
      <c r="C182" s="9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</row>
    <row r="183" spans="2:16" ht="16" customHeight="1" x14ac:dyDescent="0.45">
      <c r="B183" s="13"/>
      <c r="C183" s="9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</row>
    <row r="184" spans="2:16" ht="16" customHeight="1" x14ac:dyDescent="0.45">
      <c r="B184" s="13"/>
      <c r="C184" s="9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</row>
    <row r="185" spans="2:16" ht="16" customHeight="1" x14ac:dyDescent="0.45">
      <c r="B185" s="13"/>
      <c r="C185" s="9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</row>
    <row r="186" spans="2:16" ht="16" customHeight="1" x14ac:dyDescent="0.45">
      <c r="B186" s="13"/>
      <c r="C186" s="9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</row>
    <row r="187" spans="2:16" ht="16" customHeight="1" x14ac:dyDescent="0.45">
      <c r="B187" s="13"/>
      <c r="C187" s="9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</row>
    <row r="188" spans="2:16" ht="16" customHeight="1" x14ac:dyDescent="0.45">
      <c r="B188" s="13"/>
      <c r="C188" s="9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</row>
    <row r="189" spans="2:16" ht="16" customHeight="1" x14ac:dyDescent="0.45">
      <c r="B189" s="13"/>
      <c r="C189" s="9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</row>
    <row r="190" spans="2:16" ht="16" customHeight="1" x14ac:dyDescent="0.45">
      <c r="B190" s="13"/>
      <c r="C190" s="9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</row>
    <row r="191" spans="2:16" ht="16" customHeight="1" x14ac:dyDescent="0.45">
      <c r="B191" s="13"/>
      <c r="C191" s="9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</row>
    <row r="192" spans="2:16" ht="16" customHeight="1" x14ac:dyDescent="0.45">
      <c r="B192" s="13"/>
      <c r="C192" s="9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</row>
    <row r="193" spans="2:16" ht="16" customHeight="1" x14ac:dyDescent="0.45">
      <c r="B193" s="13"/>
      <c r="C193" s="9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</row>
    <row r="194" spans="2:16" ht="16" customHeight="1" x14ac:dyDescent="0.45">
      <c r="B194" s="13"/>
      <c r="C194" s="9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</row>
    <row r="195" spans="2:16" ht="16" customHeight="1" x14ac:dyDescent="0.45">
      <c r="B195" s="13"/>
      <c r="C195" s="9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</row>
    <row r="196" spans="2:16" ht="16" customHeight="1" x14ac:dyDescent="0.45">
      <c r="B196" s="13"/>
      <c r="C196" s="9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</row>
    <row r="197" spans="2:16" ht="16" customHeight="1" x14ac:dyDescent="0.45">
      <c r="B197" s="13"/>
      <c r="C197" s="9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</row>
    <row r="198" spans="2:16" ht="16" customHeight="1" x14ac:dyDescent="0.45">
      <c r="B198" s="13"/>
      <c r="C198" s="9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</row>
    <row r="199" spans="2:16" ht="16" customHeight="1" x14ac:dyDescent="0.45">
      <c r="B199" s="13"/>
      <c r="C199" s="9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</row>
    <row r="200" spans="2:16" ht="16" customHeight="1" x14ac:dyDescent="0.45">
      <c r="B200" s="13"/>
      <c r="C200" s="9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</row>
    <row r="201" spans="2:16" ht="16" customHeight="1" x14ac:dyDescent="0.45">
      <c r="B201" s="13"/>
      <c r="C201" s="9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</row>
    <row r="202" spans="2:16" ht="16" customHeight="1" x14ac:dyDescent="0.45">
      <c r="B202" s="13"/>
      <c r="C202" s="9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</row>
    <row r="203" spans="2:16" ht="16" customHeight="1" x14ac:dyDescent="0.45">
      <c r="B203" s="13"/>
      <c r="C203" s="9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</row>
    <row r="204" spans="2:16" ht="16" customHeight="1" x14ac:dyDescent="0.45">
      <c r="B204" s="13"/>
      <c r="C204" s="9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</row>
    <row r="205" spans="2:16" ht="16" customHeight="1" x14ac:dyDescent="0.45">
      <c r="B205" s="13"/>
      <c r="C205" s="9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</row>
    <row r="206" spans="2:16" ht="16" customHeight="1" x14ac:dyDescent="0.45">
      <c r="B206" s="13"/>
      <c r="C206" s="9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</row>
    <row r="207" spans="2:16" ht="16" customHeight="1" x14ac:dyDescent="0.45">
      <c r="B207" s="13"/>
      <c r="C207" s="9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</row>
    <row r="208" spans="2:16" ht="16" customHeight="1" x14ac:dyDescent="0.45">
      <c r="B208" s="13"/>
      <c r="C208" s="9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</row>
    <row r="209" spans="2:16" ht="16" customHeight="1" x14ac:dyDescent="0.45">
      <c r="B209" s="13"/>
      <c r="C209" s="9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</row>
    <row r="210" spans="2:16" ht="16" customHeight="1" x14ac:dyDescent="0.45">
      <c r="B210" s="13"/>
      <c r="C210" s="9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</row>
    <row r="211" spans="2:16" ht="16" customHeight="1" x14ac:dyDescent="0.45">
      <c r="B211" s="13"/>
      <c r="C211" s="9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</row>
    <row r="212" spans="2:16" ht="16" customHeight="1" x14ac:dyDescent="0.45">
      <c r="B212" s="13"/>
      <c r="C212" s="9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</row>
    <row r="213" spans="2:16" ht="16" customHeight="1" x14ac:dyDescent="0.45">
      <c r="B213" s="13"/>
      <c r="C213" s="9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</row>
    <row r="214" spans="2:16" ht="16" customHeight="1" x14ac:dyDescent="0.45">
      <c r="B214" s="13"/>
      <c r="C214" s="9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</row>
    <row r="215" spans="2:16" ht="16" customHeight="1" x14ac:dyDescent="0.45">
      <c r="B215" s="13"/>
      <c r="C215" s="9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</row>
    <row r="216" spans="2:16" ht="16" customHeight="1" x14ac:dyDescent="0.45">
      <c r="B216" s="13"/>
      <c r="C216" s="9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</row>
    <row r="217" spans="2:16" ht="16" customHeight="1" x14ac:dyDescent="0.45">
      <c r="B217" s="13"/>
      <c r="C217" s="9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</row>
    <row r="218" spans="2:16" ht="16" customHeight="1" x14ac:dyDescent="0.45">
      <c r="B218" s="13"/>
      <c r="C218" s="9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</row>
    <row r="219" spans="2:16" ht="16" customHeight="1" x14ac:dyDescent="0.45">
      <c r="B219" s="13"/>
      <c r="C219" s="9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</row>
    <row r="220" spans="2:16" ht="16" customHeight="1" x14ac:dyDescent="0.45">
      <c r="B220" s="13"/>
      <c r="C220" s="9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</row>
    <row r="221" spans="2:16" ht="16" customHeight="1" x14ac:dyDescent="0.45">
      <c r="B221" s="13"/>
      <c r="C221" s="9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</row>
    <row r="222" spans="2:16" ht="16" customHeight="1" x14ac:dyDescent="0.45">
      <c r="B222" s="13"/>
      <c r="C222" s="9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</row>
    <row r="223" spans="2:16" ht="16" customHeight="1" x14ac:dyDescent="0.45">
      <c r="B223" s="13"/>
      <c r="C223" s="9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</row>
    <row r="224" spans="2:16" ht="16" customHeight="1" x14ac:dyDescent="0.45">
      <c r="B224" s="13"/>
      <c r="C224" s="9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</row>
    <row r="225" spans="2:16" ht="16" customHeight="1" x14ac:dyDescent="0.45">
      <c r="B225" s="13"/>
      <c r="C225" s="9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</row>
    <row r="226" spans="2:16" ht="16" customHeight="1" x14ac:dyDescent="0.45">
      <c r="B226" s="13"/>
      <c r="C226" s="9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</row>
    <row r="227" spans="2:16" ht="16" customHeight="1" x14ac:dyDescent="0.45">
      <c r="B227" s="13"/>
      <c r="C227" s="9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</row>
    <row r="228" spans="2:16" ht="16" customHeight="1" x14ac:dyDescent="0.45">
      <c r="B228" s="13"/>
      <c r="C228" s="9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</row>
    <row r="229" spans="2:16" ht="16" customHeight="1" x14ac:dyDescent="0.45">
      <c r="B229" s="13"/>
      <c r="C229" s="9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</row>
    <row r="230" spans="2:16" ht="16" customHeight="1" x14ac:dyDescent="0.45">
      <c r="B230" s="13"/>
      <c r="C230" s="9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</row>
    <row r="231" spans="2:16" ht="16" customHeight="1" x14ac:dyDescent="0.45">
      <c r="B231" s="13"/>
      <c r="C231" s="9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</row>
    <row r="232" spans="2:16" ht="16" customHeight="1" x14ac:dyDescent="0.45">
      <c r="B232" s="13"/>
      <c r="C232" s="9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</row>
    <row r="233" spans="2:16" ht="16" customHeight="1" x14ac:dyDescent="0.45">
      <c r="B233" s="13"/>
      <c r="C233" s="9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</row>
    <row r="234" spans="2:16" ht="16" customHeight="1" x14ac:dyDescent="0.45">
      <c r="B234" s="13"/>
      <c r="C234" s="9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</row>
    <row r="235" spans="2:16" ht="16" customHeight="1" x14ac:dyDescent="0.45">
      <c r="B235" s="13"/>
      <c r="C235" s="9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</row>
    <row r="236" spans="2:16" ht="16" customHeight="1" x14ac:dyDescent="0.45">
      <c r="B236" s="13"/>
      <c r="C236" s="9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</row>
    <row r="237" spans="2:16" ht="16" customHeight="1" x14ac:dyDescent="0.45">
      <c r="B237" s="13"/>
      <c r="C237" s="9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</row>
    <row r="238" spans="2:16" ht="16" customHeight="1" x14ac:dyDescent="0.45">
      <c r="B238" s="13"/>
      <c r="C238" s="9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</row>
    <row r="239" spans="2:16" ht="16" customHeight="1" x14ac:dyDescent="0.45">
      <c r="B239" s="13"/>
      <c r="C239" s="9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</row>
    <row r="240" spans="2:16" ht="16" customHeight="1" x14ac:dyDescent="0.45">
      <c r="B240" s="13"/>
      <c r="C240" s="9"/>
      <c r="D240" s="13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</row>
    <row r="241" spans="2:16" ht="16" customHeight="1" x14ac:dyDescent="0.45">
      <c r="B241" s="13"/>
      <c r="C241" s="9"/>
      <c r="D241" s="13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</row>
    <row r="242" spans="2:16" ht="16" customHeight="1" x14ac:dyDescent="0.45">
      <c r="B242" s="13"/>
      <c r="C242" s="9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</row>
    <row r="243" spans="2:16" ht="16" customHeight="1" x14ac:dyDescent="0.45">
      <c r="B243" s="13"/>
      <c r="C243" s="9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</row>
    <row r="244" spans="2:16" ht="16" customHeight="1" x14ac:dyDescent="0.45">
      <c r="B244" s="13"/>
      <c r="C244" s="9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</row>
    <row r="245" spans="2:16" ht="16" customHeight="1" x14ac:dyDescent="0.45">
      <c r="B245" s="13"/>
      <c r="C245" s="9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</row>
    <row r="246" spans="2:16" ht="16" customHeight="1" x14ac:dyDescent="0.45">
      <c r="B246" s="13"/>
      <c r="C246" s="9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</row>
    <row r="247" spans="2:16" ht="16" customHeight="1" x14ac:dyDescent="0.45">
      <c r="B247" s="13"/>
      <c r="C247" s="9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</row>
    <row r="248" spans="2:16" ht="16" customHeight="1" x14ac:dyDescent="0.45">
      <c r="B248" s="13"/>
      <c r="C248" s="9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</row>
    <row r="249" spans="2:16" ht="16" customHeight="1" x14ac:dyDescent="0.45">
      <c r="B249" s="13"/>
      <c r="C249" s="9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</row>
    <row r="250" spans="2:16" ht="16" customHeight="1" x14ac:dyDescent="0.45">
      <c r="B250" s="13"/>
      <c r="C250" s="9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</row>
    <row r="251" spans="2:16" ht="16" customHeight="1" x14ac:dyDescent="0.45">
      <c r="B251" s="13"/>
      <c r="C251" s="9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</row>
    <row r="252" spans="2:16" ht="16" customHeight="1" x14ac:dyDescent="0.45">
      <c r="B252" s="13"/>
      <c r="C252" s="9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</row>
    <row r="253" spans="2:16" ht="16" customHeight="1" x14ac:dyDescent="0.45">
      <c r="B253" s="13"/>
      <c r="C253" s="9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</row>
    <row r="254" spans="2:16" ht="16" customHeight="1" x14ac:dyDescent="0.45">
      <c r="B254" s="13"/>
      <c r="C254" s="9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</row>
    <row r="255" spans="2:16" ht="16" customHeight="1" x14ac:dyDescent="0.45">
      <c r="B255" s="13"/>
      <c r="C255" s="9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</row>
    <row r="256" spans="2:16" ht="16" customHeight="1" x14ac:dyDescent="0.45">
      <c r="B256" s="13"/>
      <c r="C256" s="9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</row>
    <row r="257" spans="2:16" ht="16" customHeight="1" x14ac:dyDescent="0.45">
      <c r="B257" s="13"/>
      <c r="C257" s="9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</row>
    <row r="258" spans="2:16" ht="16" customHeight="1" x14ac:dyDescent="0.45">
      <c r="B258" s="13"/>
      <c r="C258" s="9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</row>
    <row r="259" spans="2:16" ht="16" customHeight="1" x14ac:dyDescent="0.45">
      <c r="B259" s="13"/>
      <c r="C259" s="9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</row>
    <row r="260" spans="2:16" ht="16" customHeight="1" x14ac:dyDescent="0.45">
      <c r="B260" s="13"/>
      <c r="C260" s="9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</row>
    <row r="261" spans="2:16" ht="16" customHeight="1" x14ac:dyDescent="0.45">
      <c r="B261" s="13"/>
      <c r="C261" s="9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</row>
    <row r="262" spans="2:16" ht="16" customHeight="1" x14ac:dyDescent="0.45">
      <c r="B262" s="13"/>
      <c r="C262" s="9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</row>
    <row r="263" spans="2:16" ht="16" customHeight="1" x14ac:dyDescent="0.45">
      <c r="B263" s="13"/>
      <c r="C263" s="9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</row>
    <row r="264" spans="2:16" ht="16" customHeight="1" x14ac:dyDescent="0.45">
      <c r="B264" s="13"/>
      <c r="C264" s="9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</row>
    <row r="265" spans="2:16" ht="16" customHeight="1" x14ac:dyDescent="0.45">
      <c r="B265" s="13"/>
      <c r="C265" s="9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</row>
    <row r="266" spans="2:16" ht="16" customHeight="1" x14ac:dyDescent="0.45">
      <c r="B266" s="13"/>
      <c r="C266" s="9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</row>
    <row r="267" spans="2:16" ht="16" customHeight="1" x14ac:dyDescent="0.45">
      <c r="B267" s="13"/>
      <c r="C267" s="9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</row>
    <row r="268" spans="2:16" ht="16" customHeight="1" x14ac:dyDescent="0.45">
      <c r="B268" s="13"/>
      <c r="C268" s="9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</row>
    <row r="269" spans="2:16" ht="16" customHeight="1" x14ac:dyDescent="0.45">
      <c r="B269" s="13"/>
      <c r="C269" s="9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</row>
    <row r="270" spans="2:16" ht="16" customHeight="1" x14ac:dyDescent="0.45">
      <c r="B270" s="13"/>
      <c r="C270" s="9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</row>
    <row r="271" spans="2:16" ht="16" customHeight="1" x14ac:dyDescent="0.45">
      <c r="B271" s="13"/>
      <c r="C271" s="9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</row>
    <row r="272" spans="2:16" ht="16" customHeight="1" x14ac:dyDescent="0.45">
      <c r="B272" s="13"/>
      <c r="C272" s="9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</row>
    <row r="273" spans="2:16" ht="16" customHeight="1" x14ac:dyDescent="0.45">
      <c r="B273" s="13"/>
      <c r="C273" s="9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</row>
    <row r="274" spans="2:16" ht="16" customHeight="1" x14ac:dyDescent="0.45">
      <c r="B274" s="13"/>
      <c r="C274" s="9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</row>
    <row r="275" spans="2:16" ht="16" customHeight="1" x14ac:dyDescent="0.45">
      <c r="B275" s="13"/>
      <c r="C275" s="9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</row>
    <row r="276" spans="2:16" ht="16" customHeight="1" x14ac:dyDescent="0.45">
      <c r="B276" s="13"/>
      <c r="C276" s="9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</row>
    <row r="277" spans="2:16" ht="16" customHeight="1" x14ac:dyDescent="0.45">
      <c r="B277" s="13"/>
      <c r="C277" s="9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</row>
    <row r="278" spans="2:16" ht="16" customHeight="1" x14ac:dyDescent="0.45">
      <c r="B278" s="13"/>
      <c r="C278" s="9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</row>
    <row r="279" spans="2:16" ht="16" customHeight="1" x14ac:dyDescent="0.45">
      <c r="B279" s="13"/>
      <c r="C279" s="9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</row>
    <row r="280" spans="2:16" ht="16" customHeight="1" x14ac:dyDescent="0.45">
      <c r="B280" s="13"/>
      <c r="C280" s="9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</row>
    <row r="281" spans="2:16" ht="16" customHeight="1" x14ac:dyDescent="0.45">
      <c r="B281" s="13"/>
      <c r="C281" s="9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</row>
    <row r="282" spans="2:16" ht="16" customHeight="1" x14ac:dyDescent="0.45">
      <c r="B282" s="13"/>
      <c r="C282" s="9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</row>
    <row r="283" spans="2:16" ht="16" customHeight="1" x14ac:dyDescent="0.45">
      <c r="B283" s="13"/>
      <c r="C283" s="9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</row>
    <row r="284" spans="2:16" ht="16" customHeight="1" x14ac:dyDescent="0.45">
      <c r="B284" s="13"/>
      <c r="C284" s="9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</row>
    <row r="285" spans="2:16" ht="16" customHeight="1" x14ac:dyDescent="0.45">
      <c r="B285" s="13"/>
      <c r="C285" s="9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</row>
    <row r="286" spans="2:16" ht="16" customHeight="1" x14ac:dyDescent="0.45">
      <c r="B286" s="13"/>
      <c r="C286" s="9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</row>
    <row r="287" spans="2:16" ht="16" customHeight="1" x14ac:dyDescent="0.45">
      <c r="B287" s="13"/>
      <c r="C287" s="9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</row>
    <row r="288" spans="2:16" ht="16" customHeight="1" x14ac:dyDescent="0.45">
      <c r="B288" s="13"/>
      <c r="C288" s="9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</row>
    <row r="289" spans="2:16" ht="16" customHeight="1" x14ac:dyDescent="0.45">
      <c r="B289" s="13"/>
      <c r="C289" s="9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</row>
    <row r="290" spans="2:16" ht="16" customHeight="1" x14ac:dyDescent="0.45">
      <c r="B290" s="13"/>
      <c r="C290" s="9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</row>
    <row r="291" spans="2:16" ht="16" customHeight="1" x14ac:dyDescent="0.45">
      <c r="B291" s="13"/>
      <c r="C291" s="9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</row>
    <row r="292" spans="2:16" ht="16" customHeight="1" x14ac:dyDescent="0.45">
      <c r="B292" s="13"/>
      <c r="C292" s="9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</row>
    <row r="293" spans="2:16" ht="16" customHeight="1" x14ac:dyDescent="0.45">
      <c r="B293" s="13"/>
      <c r="C293" s="9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</row>
    <row r="294" spans="2:16" ht="16" customHeight="1" x14ac:dyDescent="0.45">
      <c r="B294" s="13"/>
      <c r="C294" s="9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</row>
  </sheetData>
  <mergeCells count="1">
    <mergeCell ref="B7:C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02F14-A5AD-48BD-9E9C-48EA28C4DA9F}">
  <dimension ref="A3:Q273"/>
  <sheetViews>
    <sheetView showGridLines="0" workbookViewId="0">
      <pane xSplit="3" ySplit="9" topLeftCell="D10" activePane="bottomRight" state="frozen"/>
      <selection pane="topRight" activeCell="D1" sqref="D1"/>
      <selection pane="bottomLeft" activeCell="A7" sqref="A7"/>
      <selection pane="bottomRight" activeCell="B4" sqref="B4:C4"/>
    </sheetView>
  </sheetViews>
  <sheetFormatPr defaultColWidth="9.1796875" defaultRowHeight="16" customHeight="1" x14ac:dyDescent="0.35"/>
  <cols>
    <col min="1" max="1" width="5.7265625" style="1" customWidth="1"/>
    <col min="2" max="2" width="10.7265625" style="1" customWidth="1"/>
    <col min="3" max="3" width="55.7265625" style="1" customWidth="1"/>
    <col min="4" max="26" width="14.7265625" style="1" customWidth="1"/>
    <col min="27" max="16384" width="9.1796875" style="1"/>
  </cols>
  <sheetData>
    <row r="3" spans="1:17" ht="16" customHeight="1" x14ac:dyDescent="0.35">
      <c r="B3" s="2" t="s">
        <v>284</v>
      </c>
      <c r="G3" s="3"/>
    </row>
    <row r="4" spans="1:17" ht="16" customHeight="1" x14ac:dyDescent="0.35">
      <c r="B4" s="33" t="s">
        <v>270</v>
      </c>
      <c r="C4" s="33"/>
    </row>
    <row r="5" spans="1:17" ht="16" customHeight="1" x14ac:dyDescent="0.35">
      <c r="B5" s="4" t="s">
        <v>271</v>
      </c>
    </row>
    <row r="6" spans="1:17" ht="16" customHeight="1" x14ac:dyDescent="0.35">
      <c r="A6" s="5"/>
      <c r="B6" s="4" t="s">
        <v>272</v>
      </c>
    </row>
    <row r="7" spans="1:17" ht="16" customHeight="1" x14ac:dyDescent="0.35">
      <c r="A7" s="5"/>
      <c r="B7" s="6">
        <v>46189.338921076385</v>
      </c>
      <c r="C7" s="6"/>
    </row>
    <row r="9" spans="1:17" ht="16" customHeight="1" thickBot="1" x14ac:dyDescent="0.5">
      <c r="B9" s="7"/>
      <c r="C9" s="7"/>
      <c r="D9" s="8" t="s">
        <v>1</v>
      </c>
      <c r="E9" s="8" t="s">
        <v>2</v>
      </c>
      <c r="F9" s="8" t="s">
        <v>3</v>
      </c>
      <c r="G9" s="8" t="s">
        <v>4</v>
      </c>
      <c r="H9" s="8" t="s">
        <v>5</v>
      </c>
      <c r="I9" s="8" t="s">
        <v>6</v>
      </c>
      <c r="J9" s="8" t="s">
        <v>7</v>
      </c>
      <c r="K9" s="8" t="s">
        <v>8</v>
      </c>
      <c r="L9" s="8" t="s">
        <v>9</v>
      </c>
      <c r="M9" s="8" t="s">
        <v>10</v>
      </c>
      <c r="N9" s="8" t="s">
        <v>11</v>
      </c>
      <c r="O9" s="8" t="s">
        <v>12</v>
      </c>
      <c r="P9" s="9"/>
      <c r="Q9" s="9"/>
    </row>
    <row r="10" spans="1:17" ht="16" customHeight="1" x14ac:dyDescent="0.45">
      <c r="B10" s="10"/>
      <c r="C10" s="11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3"/>
      <c r="Q10" s="13"/>
    </row>
    <row r="11" spans="1:17" ht="16" customHeight="1" x14ac:dyDescent="0.45">
      <c r="B11" s="14" t="s">
        <v>285</v>
      </c>
      <c r="C11" s="14" t="s">
        <v>286</v>
      </c>
      <c r="D11" s="15">
        <v>9.5185200000000005</v>
      </c>
      <c r="E11" s="15">
        <v>9.5185200000000005</v>
      </c>
      <c r="F11" s="15">
        <v>9.5185200000000005</v>
      </c>
      <c r="G11" s="15">
        <v>0</v>
      </c>
      <c r="H11" s="15">
        <v>2829.2055599999999</v>
      </c>
      <c r="I11" s="15">
        <v>41896.188069999997</v>
      </c>
      <c r="J11" s="15"/>
      <c r="K11" s="15"/>
      <c r="L11" s="15"/>
      <c r="M11" s="15"/>
      <c r="N11" s="15"/>
      <c r="O11" s="15"/>
      <c r="P11" s="13"/>
    </row>
    <row r="12" spans="1:17" ht="16" customHeight="1" x14ac:dyDescent="0.35">
      <c r="B12" s="14" t="s">
        <v>287</v>
      </c>
      <c r="C12" s="14" t="s">
        <v>288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 spans="1:17" ht="16" customHeight="1" x14ac:dyDescent="0.35">
      <c r="B13" s="16" t="s">
        <v>289</v>
      </c>
      <c r="C13" s="16" t="s">
        <v>290</v>
      </c>
      <c r="D13" s="17">
        <f t="shared" ref="D13:O13" si="0">D11+D12</f>
        <v>9.5185200000000005</v>
      </c>
      <c r="E13" s="17">
        <f t="shared" si="0"/>
        <v>9.5185200000000005</v>
      </c>
      <c r="F13" s="17">
        <f t="shared" si="0"/>
        <v>9.5185200000000005</v>
      </c>
      <c r="G13" s="17">
        <f t="shared" si="0"/>
        <v>0</v>
      </c>
      <c r="H13" s="17">
        <f t="shared" si="0"/>
        <v>2829.2055599999999</v>
      </c>
      <c r="I13" s="17">
        <f t="shared" si="0"/>
        <v>41896.188069999997</v>
      </c>
      <c r="J13" s="17">
        <f t="shared" si="0"/>
        <v>0</v>
      </c>
      <c r="K13" s="17">
        <f t="shared" si="0"/>
        <v>0</v>
      </c>
      <c r="L13" s="17">
        <f t="shared" si="0"/>
        <v>0</v>
      </c>
      <c r="M13" s="17">
        <f t="shared" si="0"/>
        <v>0</v>
      </c>
      <c r="N13" s="17">
        <f t="shared" si="0"/>
        <v>0</v>
      </c>
      <c r="O13" s="17">
        <f t="shared" si="0"/>
        <v>0</v>
      </c>
    </row>
    <row r="14" spans="1:17" ht="16" customHeight="1" x14ac:dyDescent="0.35">
      <c r="B14" s="11" t="s">
        <v>21</v>
      </c>
      <c r="C14" s="11" t="s">
        <v>22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</row>
    <row r="15" spans="1:17" ht="16" customHeight="1" x14ac:dyDescent="0.35">
      <c r="B15" s="14" t="s">
        <v>291</v>
      </c>
      <c r="C15" s="14" t="s">
        <v>292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 spans="1:17" ht="16" customHeight="1" x14ac:dyDescent="0.35">
      <c r="B16" s="14" t="s">
        <v>293</v>
      </c>
      <c r="C16" s="14" t="s">
        <v>294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 spans="2:15" ht="16" customHeight="1" x14ac:dyDescent="0.35">
      <c r="B17" s="16" t="s">
        <v>295</v>
      </c>
      <c r="C17" s="16" t="s">
        <v>296</v>
      </c>
      <c r="D17" s="17">
        <f t="shared" ref="D17:O17" si="1">D15+D16</f>
        <v>0</v>
      </c>
      <c r="E17" s="17">
        <f t="shared" si="1"/>
        <v>0</v>
      </c>
      <c r="F17" s="17">
        <f t="shared" si="1"/>
        <v>0</v>
      </c>
      <c r="G17" s="17">
        <f t="shared" si="1"/>
        <v>0</v>
      </c>
      <c r="H17" s="17">
        <f t="shared" si="1"/>
        <v>0</v>
      </c>
      <c r="I17" s="17">
        <f t="shared" si="1"/>
        <v>0</v>
      </c>
      <c r="J17" s="17">
        <f t="shared" si="1"/>
        <v>0</v>
      </c>
      <c r="K17" s="17">
        <f t="shared" si="1"/>
        <v>0</v>
      </c>
      <c r="L17" s="17">
        <f t="shared" si="1"/>
        <v>0</v>
      </c>
      <c r="M17" s="17">
        <f t="shared" si="1"/>
        <v>0</v>
      </c>
      <c r="N17" s="17">
        <f t="shared" si="1"/>
        <v>0</v>
      </c>
      <c r="O17" s="17">
        <f t="shared" si="1"/>
        <v>0</v>
      </c>
    </row>
    <row r="18" spans="2:15" ht="16" customHeight="1" x14ac:dyDescent="0.35">
      <c r="B18" s="11" t="s">
        <v>297</v>
      </c>
      <c r="C18" s="11" t="s">
        <v>22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</row>
    <row r="19" spans="2:15" ht="16" customHeight="1" x14ac:dyDescent="0.35">
      <c r="B19" s="14" t="s">
        <v>298</v>
      </c>
      <c r="C19" s="14" t="s">
        <v>299</v>
      </c>
      <c r="D19" s="15">
        <v>1847477.92937</v>
      </c>
      <c r="E19" s="15">
        <v>1802177.92937</v>
      </c>
      <c r="F19" s="15">
        <v>1761577.92937</v>
      </c>
      <c r="G19" s="15">
        <v>1757477.92937</v>
      </c>
      <c r="H19" s="15">
        <v>1826177.92937</v>
      </c>
      <c r="I19" s="15">
        <v>1826177.92937</v>
      </c>
      <c r="J19" s="15"/>
      <c r="K19" s="15"/>
      <c r="L19" s="15"/>
      <c r="M19" s="15"/>
      <c r="N19" s="15"/>
      <c r="O19" s="15"/>
    </row>
    <row r="20" spans="2:15" ht="16" customHeight="1" x14ac:dyDescent="0.35">
      <c r="B20" s="14" t="s">
        <v>300</v>
      </c>
      <c r="C20" s="14" t="s">
        <v>301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 spans="2:15" ht="16" customHeight="1" x14ac:dyDescent="0.35">
      <c r="B21" s="14" t="s">
        <v>302</v>
      </c>
      <c r="C21" s="14" t="s">
        <v>303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 spans="2:15" ht="16" customHeight="1" x14ac:dyDescent="0.35">
      <c r="B22" s="14" t="s">
        <v>304</v>
      </c>
      <c r="C22" s="14" t="s">
        <v>305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 spans="2:15" ht="16" customHeight="1" x14ac:dyDescent="0.35">
      <c r="B23" s="14" t="s">
        <v>306</v>
      </c>
      <c r="C23" s="14" t="s">
        <v>307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spans="2:15" ht="16" customHeight="1" x14ac:dyDescent="0.35">
      <c r="B24" s="16" t="s">
        <v>308</v>
      </c>
      <c r="C24" s="16" t="s">
        <v>309</v>
      </c>
      <c r="D24" s="17">
        <f t="shared" ref="D24:O24" si="2">D19+D20+D21+D22+D23</f>
        <v>1847477.92937</v>
      </c>
      <c r="E24" s="17">
        <f t="shared" si="2"/>
        <v>1802177.92937</v>
      </c>
      <c r="F24" s="17">
        <f t="shared" si="2"/>
        <v>1761577.92937</v>
      </c>
      <c r="G24" s="17">
        <f t="shared" si="2"/>
        <v>1757477.92937</v>
      </c>
      <c r="H24" s="17">
        <f t="shared" si="2"/>
        <v>1826177.92937</v>
      </c>
      <c r="I24" s="17">
        <f t="shared" si="2"/>
        <v>1826177.92937</v>
      </c>
      <c r="J24" s="17">
        <f t="shared" si="2"/>
        <v>0</v>
      </c>
      <c r="K24" s="17">
        <f t="shared" si="2"/>
        <v>0</v>
      </c>
      <c r="L24" s="17">
        <f t="shared" si="2"/>
        <v>0</v>
      </c>
      <c r="M24" s="17">
        <f t="shared" si="2"/>
        <v>0</v>
      </c>
      <c r="N24" s="17">
        <f t="shared" si="2"/>
        <v>0</v>
      </c>
      <c r="O24" s="17">
        <f t="shared" si="2"/>
        <v>0</v>
      </c>
    </row>
    <row r="25" spans="2:15" ht="16" customHeight="1" x14ac:dyDescent="0.35">
      <c r="B25" s="11" t="s">
        <v>310</v>
      </c>
      <c r="C25" s="11" t="s">
        <v>22</v>
      </c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</row>
    <row r="26" spans="2:15" ht="16" customHeight="1" x14ac:dyDescent="0.35">
      <c r="B26" s="14" t="s">
        <v>311</v>
      </c>
      <c r="C26" s="14" t="s">
        <v>312</v>
      </c>
      <c r="D26" s="15">
        <v>46.18591</v>
      </c>
      <c r="E26" s="15">
        <v>46.18591</v>
      </c>
      <c r="F26" s="15">
        <v>2951.72606</v>
      </c>
      <c r="G26" s="15">
        <v>2951.72606</v>
      </c>
      <c r="H26" s="15">
        <v>2951.72606</v>
      </c>
      <c r="I26" s="15">
        <v>2951.72606</v>
      </c>
      <c r="J26" s="15"/>
      <c r="K26" s="15"/>
      <c r="L26" s="15"/>
      <c r="M26" s="15"/>
      <c r="N26" s="15"/>
      <c r="O26" s="15"/>
    </row>
    <row r="27" spans="2:15" ht="16" customHeight="1" x14ac:dyDescent="0.35">
      <c r="B27" s="11" t="s">
        <v>313</v>
      </c>
      <c r="C27" s="11" t="s">
        <v>22</v>
      </c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</row>
    <row r="28" spans="2:15" ht="16" customHeight="1" x14ac:dyDescent="0.35">
      <c r="B28" s="14" t="s">
        <v>314</v>
      </c>
      <c r="C28" s="14" t="s">
        <v>315</v>
      </c>
      <c r="D28" s="15">
        <v>18811.607619999999</v>
      </c>
      <c r="E28" s="15">
        <v>23041.096669999999</v>
      </c>
      <c r="F28" s="15">
        <v>25062.39805</v>
      </c>
      <c r="G28" s="15">
        <v>27601.32934</v>
      </c>
      <c r="H28" s="15">
        <v>28358.191350000001</v>
      </c>
      <c r="I28" s="15">
        <v>38864.316339999998</v>
      </c>
      <c r="J28" s="15"/>
      <c r="K28" s="15"/>
      <c r="L28" s="15"/>
      <c r="M28" s="15"/>
      <c r="N28" s="15"/>
      <c r="O28" s="15"/>
    </row>
    <row r="29" spans="2:15" ht="16" customHeight="1" x14ac:dyDescent="0.35">
      <c r="B29" s="14" t="s">
        <v>316</v>
      </c>
      <c r="C29" s="14" t="s">
        <v>317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 spans="2:15" ht="16" customHeight="1" x14ac:dyDescent="0.35">
      <c r="B30" s="14" t="s">
        <v>318</v>
      </c>
      <c r="C30" s="14" t="s">
        <v>319</v>
      </c>
      <c r="D30" s="15">
        <v>256441.58496000001</v>
      </c>
      <c r="E30" s="15">
        <v>270648.07244999998</v>
      </c>
      <c r="F30" s="15">
        <v>315399.15490000002</v>
      </c>
      <c r="G30" s="15">
        <v>427871.95568999997</v>
      </c>
      <c r="H30" s="15">
        <v>433358.47532999999</v>
      </c>
      <c r="I30" s="15">
        <v>423000.91409999999</v>
      </c>
      <c r="J30" s="15"/>
      <c r="K30" s="15"/>
      <c r="L30" s="15"/>
      <c r="M30" s="15"/>
      <c r="N30" s="15"/>
      <c r="O30" s="15"/>
    </row>
    <row r="31" spans="2:15" ht="16" customHeight="1" x14ac:dyDescent="0.35">
      <c r="B31" s="14" t="s">
        <v>320</v>
      </c>
      <c r="C31" s="14" t="s">
        <v>321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</row>
    <row r="32" spans="2:15" ht="16" customHeight="1" x14ac:dyDescent="0.35">
      <c r="B32" s="14" t="s">
        <v>322</v>
      </c>
      <c r="C32" s="14" t="s">
        <v>323</v>
      </c>
      <c r="D32" s="15">
        <v>-5104.9882399999997</v>
      </c>
      <c r="E32" s="15">
        <v>-5025.8592600000002</v>
      </c>
      <c r="F32" s="15">
        <v>-5276.4371600000004</v>
      </c>
      <c r="G32" s="15">
        <v>-5301.47721</v>
      </c>
      <c r="H32" s="15">
        <v>-5328.4569000000001</v>
      </c>
      <c r="I32" s="15">
        <v>-5328.4569000000001</v>
      </c>
      <c r="J32" s="15"/>
      <c r="K32" s="15"/>
      <c r="L32" s="15"/>
      <c r="M32" s="15"/>
      <c r="N32" s="15"/>
      <c r="O32" s="15"/>
    </row>
    <row r="33" spans="2:15" ht="16" customHeight="1" x14ac:dyDescent="0.35">
      <c r="B33" s="14" t="s">
        <v>324</v>
      </c>
      <c r="C33" s="14" t="s">
        <v>325</v>
      </c>
      <c r="D33" s="15">
        <v>0</v>
      </c>
      <c r="E33" s="15">
        <v>0</v>
      </c>
      <c r="F33" s="15">
        <v>512.77408000000003</v>
      </c>
      <c r="G33" s="15">
        <v>0</v>
      </c>
      <c r="H33" s="15">
        <v>555.31349999999998</v>
      </c>
      <c r="I33" s="15">
        <v>0</v>
      </c>
      <c r="J33" s="15"/>
      <c r="K33" s="15"/>
      <c r="L33" s="15"/>
      <c r="M33" s="15"/>
      <c r="N33" s="15"/>
      <c r="O33" s="15"/>
    </row>
    <row r="34" spans="2:15" ht="16" customHeight="1" x14ac:dyDescent="0.35">
      <c r="B34" s="16" t="s">
        <v>326</v>
      </c>
      <c r="C34" s="16" t="s">
        <v>327</v>
      </c>
      <c r="D34" s="17">
        <f t="shared" ref="D34:O34" si="3">D28+D29+D30+D31+D32+D33</f>
        <v>270148.20434000005</v>
      </c>
      <c r="E34" s="17">
        <f t="shared" si="3"/>
        <v>288663.30985999998</v>
      </c>
      <c r="F34" s="17">
        <f t="shared" si="3"/>
        <v>335697.88987000007</v>
      </c>
      <c r="G34" s="17">
        <f t="shared" si="3"/>
        <v>450171.80781999999</v>
      </c>
      <c r="H34" s="17">
        <f t="shared" si="3"/>
        <v>456943.52327999996</v>
      </c>
      <c r="I34" s="17">
        <f t="shared" si="3"/>
        <v>456536.77354000002</v>
      </c>
      <c r="J34" s="17">
        <f t="shared" si="3"/>
        <v>0</v>
      </c>
      <c r="K34" s="17">
        <f t="shared" si="3"/>
        <v>0</v>
      </c>
      <c r="L34" s="17">
        <f t="shared" si="3"/>
        <v>0</v>
      </c>
      <c r="M34" s="17">
        <f t="shared" si="3"/>
        <v>0</v>
      </c>
      <c r="N34" s="17">
        <f t="shared" si="3"/>
        <v>0</v>
      </c>
      <c r="O34" s="17">
        <f t="shared" si="3"/>
        <v>0</v>
      </c>
    </row>
    <row r="35" spans="2:15" ht="16" customHeight="1" x14ac:dyDescent="0.35">
      <c r="B35" s="11" t="s">
        <v>328</v>
      </c>
      <c r="C35" s="11" t="s">
        <v>22</v>
      </c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</row>
    <row r="36" spans="2:15" ht="16" customHeight="1" x14ac:dyDescent="0.35">
      <c r="B36" s="14" t="s">
        <v>329</v>
      </c>
      <c r="C36" s="14" t="s">
        <v>330</v>
      </c>
      <c r="D36" s="15">
        <v>59443.838369999998</v>
      </c>
      <c r="E36" s="15">
        <v>58907.356879999999</v>
      </c>
      <c r="F36" s="15">
        <v>65682.392930000002</v>
      </c>
      <c r="G36" s="15">
        <v>75212.609370000006</v>
      </c>
      <c r="H36" s="15">
        <v>71864.971239999999</v>
      </c>
      <c r="I36" s="15">
        <v>72356.626959999994</v>
      </c>
      <c r="J36" s="15"/>
      <c r="K36" s="15"/>
      <c r="L36" s="15"/>
      <c r="M36" s="15"/>
      <c r="N36" s="15"/>
      <c r="O36" s="15"/>
    </row>
    <row r="37" spans="2:15" ht="16" customHeight="1" x14ac:dyDescent="0.35">
      <c r="B37" s="14" t="s">
        <v>331</v>
      </c>
      <c r="C37" s="14" t="s">
        <v>332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</row>
    <row r="38" spans="2:15" ht="16" customHeight="1" x14ac:dyDescent="0.35">
      <c r="B38" s="14" t="s">
        <v>333</v>
      </c>
      <c r="C38" s="14" t="s">
        <v>334</v>
      </c>
      <c r="D38" s="15">
        <v>306697.27324000001</v>
      </c>
      <c r="E38" s="15">
        <v>300722.51802000002</v>
      </c>
      <c r="F38" s="15">
        <v>250761.56416000001</v>
      </c>
      <c r="G38" s="15">
        <v>257439.18703999999</v>
      </c>
      <c r="H38" s="15">
        <v>269889.33257999999</v>
      </c>
      <c r="I38" s="15">
        <v>256393.5037</v>
      </c>
      <c r="J38" s="15"/>
      <c r="K38" s="15"/>
      <c r="L38" s="15"/>
      <c r="M38" s="15"/>
      <c r="N38" s="15"/>
      <c r="O38" s="15"/>
    </row>
    <row r="39" spans="2:15" ht="16" customHeight="1" x14ac:dyDescent="0.35">
      <c r="B39" s="14" t="s">
        <v>335</v>
      </c>
      <c r="C39" s="14" t="s">
        <v>336</v>
      </c>
      <c r="D39" s="15">
        <v>21176.63668</v>
      </c>
      <c r="E39" s="15">
        <v>18743.149730000001</v>
      </c>
      <c r="F39" s="15">
        <v>20696.637589999998</v>
      </c>
      <c r="G39" s="15">
        <v>20196.444579999999</v>
      </c>
      <c r="H39" s="15">
        <v>22271.24958</v>
      </c>
      <c r="I39" s="15">
        <v>20972.896339999999</v>
      </c>
      <c r="J39" s="15"/>
      <c r="K39" s="15"/>
      <c r="L39" s="15"/>
      <c r="M39" s="15"/>
      <c r="N39" s="15"/>
      <c r="O39" s="15"/>
    </row>
    <row r="40" spans="2:15" ht="16" customHeight="1" x14ac:dyDescent="0.35">
      <c r="B40" s="14" t="s">
        <v>337</v>
      </c>
      <c r="C40" s="14" t="s">
        <v>338</v>
      </c>
      <c r="D40" s="15">
        <v>173760.82474000001</v>
      </c>
      <c r="E40" s="15">
        <v>182381.53002999999</v>
      </c>
      <c r="F40" s="15">
        <v>160348.98636000001</v>
      </c>
      <c r="G40" s="15">
        <v>154141.03374000001</v>
      </c>
      <c r="H40" s="15">
        <v>153565.52843999999</v>
      </c>
      <c r="I40" s="15">
        <v>153496.88918</v>
      </c>
      <c r="J40" s="15"/>
      <c r="K40" s="15"/>
      <c r="L40" s="15"/>
      <c r="M40" s="15"/>
      <c r="N40" s="15"/>
      <c r="O40" s="15"/>
    </row>
    <row r="41" spans="2:15" ht="16" customHeight="1" x14ac:dyDescent="0.35">
      <c r="B41" s="14" t="s">
        <v>339</v>
      </c>
      <c r="C41" s="14" t="s">
        <v>340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</row>
    <row r="42" spans="2:15" ht="16" customHeight="1" x14ac:dyDescent="0.35">
      <c r="B42" s="16" t="s">
        <v>341</v>
      </c>
      <c r="C42" s="16" t="s">
        <v>342</v>
      </c>
      <c r="D42" s="17">
        <f t="shared" ref="D42:O42" si="4">D36+D37+D38+D39+D40+D41</f>
        <v>561078.57303000009</v>
      </c>
      <c r="E42" s="17">
        <f t="shared" si="4"/>
        <v>560754.55466000002</v>
      </c>
      <c r="F42" s="17">
        <f t="shared" si="4"/>
        <v>497489.58104000008</v>
      </c>
      <c r="G42" s="17">
        <f t="shared" si="4"/>
        <v>506989.27473000006</v>
      </c>
      <c r="H42" s="17">
        <f t="shared" si="4"/>
        <v>517591.08184</v>
      </c>
      <c r="I42" s="17">
        <f t="shared" si="4"/>
        <v>503219.91618</v>
      </c>
      <c r="J42" s="17">
        <f t="shared" si="4"/>
        <v>0</v>
      </c>
      <c r="K42" s="17">
        <f t="shared" si="4"/>
        <v>0</v>
      </c>
      <c r="L42" s="17">
        <f t="shared" si="4"/>
        <v>0</v>
      </c>
      <c r="M42" s="17">
        <f t="shared" si="4"/>
        <v>0</v>
      </c>
      <c r="N42" s="17">
        <f t="shared" si="4"/>
        <v>0</v>
      </c>
      <c r="O42" s="17">
        <f t="shared" si="4"/>
        <v>0</v>
      </c>
    </row>
    <row r="43" spans="2:15" ht="16" customHeight="1" x14ac:dyDescent="0.35">
      <c r="B43" s="11" t="s">
        <v>71</v>
      </c>
      <c r="C43" s="11" t="s">
        <v>22</v>
      </c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</row>
    <row r="44" spans="2:15" ht="16" customHeight="1" x14ac:dyDescent="0.35">
      <c r="B44" s="14" t="s">
        <v>343</v>
      </c>
      <c r="C44" s="14" t="s">
        <v>344</v>
      </c>
      <c r="D44" s="15">
        <v>73054.198139999993</v>
      </c>
      <c r="E44" s="15">
        <v>71296.681320000003</v>
      </c>
      <c r="F44" s="15">
        <v>90172.001529999994</v>
      </c>
      <c r="G44" s="15">
        <v>73355.844519999999</v>
      </c>
      <c r="H44" s="15">
        <v>74889.687460000001</v>
      </c>
      <c r="I44" s="15">
        <v>85293.585189999998</v>
      </c>
      <c r="J44" s="15"/>
      <c r="K44" s="15"/>
      <c r="L44" s="15"/>
      <c r="M44" s="15"/>
      <c r="N44" s="15"/>
      <c r="O44" s="15"/>
    </row>
    <row r="45" spans="2:15" ht="16" customHeight="1" x14ac:dyDescent="0.35">
      <c r="B45" s="14" t="s">
        <v>345</v>
      </c>
      <c r="C45" s="14" t="s">
        <v>346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</row>
    <row r="46" spans="2:15" ht="16" customHeight="1" x14ac:dyDescent="0.35">
      <c r="B46" s="14" t="s">
        <v>347</v>
      </c>
      <c r="C46" s="14" t="s">
        <v>348</v>
      </c>
      <c r="D46" s="15">
        <v>8200.2349300000005</v>
      </c>
      <c r="E46" s="15">
        <v>8315.9938500000007</v>
      </c>
      <c r="F46" s="15">
        <v>15845.497509999999</v>
      </c>
      <c r="G46" s="15">
        <v>10841.301020000001</v>
      </c>
      <c r="H46" s="15">
        <v>14026.896290000001</v>
      </c>
      <c r="I46" s="15">
        <v>9645.6774399999995</v>
      </c>
      <c r="J46" s="15"/>
      <c r="K46" s="15"/>
      <c r="L46" s="15"/>
      <c r="M46" s="15"/>
      <c r="N46" s="15"/>
      <c r="O46" s="15"/>
    </row>
    <row r="47" spans="2:15" ht="16" customHeight="1" x14ac:dyDescent="0.35">
      <c r="B47" s="14" t="s">
        <v>349</v>
      </c>
      <c r="C47" s="14" t="s">
        <v>350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</row>
    <row r="48" spans="2:15" ht="16" customHeight="1" x14ac:dyDescent="0.35">
      <c r="B48" s="14" t="s">
        <v>351</v>
      </c>
      <c r="C48" s="14" t="s">
        <v>352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 spans="2:15" ht="16" customHeight="1" x14ac:dyDescent="0.35">
      <c r="B49" s="14" t="s">
        <v>353</v>
      </c>
      <c r="C49" s="14" t="s">
        <v>354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</row>
    <row r="50" spans="2:15" ht="16" customHeight="1" x14ac:dyDescent="0.35">
      <c r="B50" s="14" t="s">
        <v>355</v>
      </c>
      <c r="C50" s="14" t="s">
        <v>356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</row>
    <row r="51" spans="2:15" ht="16" customHeight="1" x14ac:dyDescent="0.35">
      <c r="B51" s="14" t="s">
        <v>357</v>
      </c>
      <c r="C51" s="14" t="s">
        <v>358</v>
      </c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</row>
    <row r="52" spans="2:15" ht="16" customHeight="1" x14ac:dyDescent="0.35">
      <c r="B52" s="14" t="s">
        <v>359</v>
      </c>
      <c r="C52" s="14" t="s">
        <v>360</v>
      </c>
      <c r="D52" s="15">
        <v>31383.75474</v>
      </c>
      <c r="E52" s="15">
        <v>36584.757120000002</v>
      </c>
      <c r="F52" s="15">
        <v>57763.990149999998</v>
      </c>
      <c r="G52" s="15">
        <v>48409.434150000001</v>
      </c>
      <c r="H52" s="15">
        <v>39556.490230000003</v>
      </c>
      <c r="I52" s="15">
        <v>40751.810599999997</v>
      </c>
      <c r="J52" s="15"/>
      <c r="K52" s="15"/>
      <c r="L52" s="15"/>
      <c r="M52" s="15"/>
      <c r="N52" s="15"/>
      <c r="O52" s="15"/>
    </row>
    <row r="53" spans="2:15" ht="16" customHeight="1" x14ac:dyDescent="0.35">
      <c r="B53" s="14" t="s">
        <v>361</v>
      </c>
      <c r="C53" s="14" t="s">
        <v>362</v>
      </c>
      <c r="D53" s="15">
        <v>0</v>
      </c>
      <c r="E53" s="15">
        <v>0</v>
      </c>
      <c r="F53" s="15">
        <v>0</v>
      </c>
      <c r="G53" s="15">
        <v>100666.12602</v>
      </c>
      <c r="H53" s="15">
        <v>102881.78434</v>
      </c>
      <c r="I53" s="15">
        <v>102881.78434</v>
      </c>
      <c r="J53" s="15"/>
      <c r="K53" s="15"/>
      <c r="L53" s="15"/>
      <c r="M53" s="15"/>
      <c r="N53" s="15"/>
      <c r="O53" s="15"/>
    </row>
    <row r="54" spans="2:15" ht="16" customHeight="1" x14ac:dyDescent="0.35">
      <c r="B54" s="14" t="s">
        <v>363</v>
      </c>
      <c r="C54" s="14" t="s">
        <v>364</v>
      </c>
      <c r="D54" s="15">
        <v>1.3999999999999999E-4</v>
      </c>
      <c r="E54" s="15">
        <v>1.3999999999999999E-4</v>
      </c>
      <c r="F54" s="15">
        <v>1.3999999999999999E-4</v>
      </c>
      <c r="G54" s="15">
        <v>1.3999999999999999E-4</v>
      </c>
      <c r="H54" s="15">
        <v>1.3999999999999999E-4</v>
      </c>
      <c r="I54" s="15">
        <v>1.3999999999999999E-4</v>
      </c>
      <c r="J54" s="15"/>
      <c r="K54" s="15"/>
      <c r="L54" s="15"/>
      <c r="M54" s="15"/>
      <c r="N54" s="15"/>
      <c r="O54" s="15"/>
    </row>
    <row r="55" spans="2:15" ht="16" customHeight="1" x14ac:dyDescent="0.35">
      <c r="B55" s="16" t="s">
        <v>365</v>
      </c>
      <c r="C55" s="16" t="s">
        <v>366</v>
      </c>
      <c r="D55" s="17">
        <f t="shared" ref="D55:O55" si="5">D44+D45+D46+D47+D48+D49+D50+D51+D52+D53+D54</f>
        <v>112638.18795000001</v>
      </c>
      <c r="E55" s="17">
        <f t="shared" si="5"/>
        <v>116197.43243</v>
      </c>
      <c r="F55" s="17">
        <f t="shared" si="5"/>
        <v>163781.48932999998</v>
      </c>
      <c r="G55" s="17">
        <f t="shared" si="5"/>
        <v>233272.70584999997</v>
      </c>
      <c r="H55" s="17">
        <f t="shared" si="5"/>
        <v>231354.85845999999</v>
      </c>
      <c r="I55" s="17">
        <f t="shared" si="5"/>
        <v>238572.85770999998</v>
      </c>
      <c r="J55" s="17">
        <f t="shared" si="5"/>
        <v>0</v>
      </c>
      <c r="K55" s="17">
        <f t="shared" si="5"/>
        <v>0</v>
      </c>
      <c r="L55" s="17">
        <f t="shared" si="5"/>
        <v>0</v>
      </c>
      <c r="M55" s="17">
        <f t="shared" si="5"/>
        <v>0</v>
      </c>
      <c r="N55" s="17">
        <f t="shared" si="5"/>
        <v>0</v>
      </c>
      <c r="O55" s="17">
        <f t="shared" si="5"/>
        <v>0</v>
      </c>
    </row>
    <row r="56" spans="2:15" ht="16" customHeight="1" x14ac:dyDescent="0.35">
      <c r="B56" s="11" t="s">
        <v>367</v>
      </c>
      <c r="C56" s="11" t="s">
        <v>22</v>
      </c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</row>
    <row r="57" spans="2:15" ht="16" customHeight="1" x14ac:dyDescent="0.35">
      <c r="B57" s="14" t="s">
        <v>368</v>
      </c>
      <c r="C57" s="14" t="s">
        <v>369</v>
      </c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</row>
    <row r="58" spans="2:15" ht="16" customHeight="1" thickBot="1" x14ac:dyDescent="0.4">
      <c r="B58" s="11" t="s">
        <v>370</v>
      </c>
      <c r="C58" s="11" t="s">
        <v>22</v>
      </c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</row>
    <row r="59" spans="2:15" ht="16" customHeight="1" thickBot="1" x14ac:dyDescent="0.4">
      <c r="B59" s="18" t="s">
        <v>371</v>
      </c>
      <c r="C59" s="18" t="s">
        <v>372</v>
      </c>
      <c r="D59" s="19">
        <f t="shared" ref="D59:O59" si="6">D13+D17+D24+D26+D34+D42+D55+D57</f>
        <v>2791398.5991200004</v>
      </c>
      <c r="E59" s="19">
        <f t="shared" si="6"/>
        <v>2767848.9307499998</v>
      </c>
      <c r="F59" s="19">
        <f t="shared" si="6"/>
        <v>2761508.1341899997</v>
      </c>
      <c r="G59" s="19">
        <f t="shared" si="6"/>
        <v>2950863.4438300002</v>
      </c>
      <c r="H59" s="19">
        <f t="shared" si="6"/>
        <v>3037848.3245699997</v>
      </c>
      <c r="I59" s="19">
        <f t="shared" si="6"/>
        <v>3069355.3909300002</v>
      </c>
      <c r="J59" s="19">
        <f t="shared" si="6"/>
        <v>0</v>
      </c>
      <c r="K59" s="19">
        <f t="shared" si="6"/>
        <v>0</v>
      </c>
      <c r="L59" s="19">
        <f t="shared" si="6"/>
        <v>0</v>
      </c>
      <c r="M59" s="19">
        <f t="shared" si="6"/>
        <v>0</v>
      </c>
      <c r="N59" s="19">
        <f t="shared" si="6"/>
        <v>0</v>
      </c>
      <c r="O59" s="19">
        <f t="shared" si="6"/>
        <v>0</v>
      </c>
    </row>
    <row r="60" spans="2:15" ht="16" customHeight="1" x14ac:dyDescent="0.35">
      <c r="B60" s="11" t="s">
        <v>373</v>
      </c>
      <c r="C60" s="11" t="s">
        <v>22</v>
      </c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</row>
    <row r="61" spans="2:15" ht="16" customHeight="1" x14ac:dyDescent="0.35">
      <c r="B61" s="14" t="s">
        <v>374</v>
      </c>
      <c r="C61" s="14" t="s">
        <v>375</v>
      </c>
      <c r="D61" s="15">
        <v>-5.7099999999999998E-3</v>
      </c>
      <c r="E61" s="15">
        <v>-5.7099999999999998E-3</v>
      </c>
      <c r="F61" s="15">
        <v>-5.7099999999999998E-3</v>
      </c>
      <c r="G61" s="15">
        <v>-5.7099999999999998E-3</v>
      </c>
      <c r="H61" s="15">
        <v>-5.7099999999999998E-3</v>
      </c>
      <c r="I61" s="15">
        <v>-5.7099999999999998E-3</v>
      </c>
      <c r="J61" s="15"/>
      <c r="K61" s="15"/>
      <c r="L61" s="15"/>
      <c r="M61" s="15"/>
      <c r="N61" s="15"/>
      <c r="O61" s="15"/>
    </row>
    <row r="62" spans="2:15" ht="16" customHeight="1" x14ac:dyDescent="0.35">
      <c r="B62" s="14" t="s">
        <v>376</v>
      </c>
      <c r="C62" s="14" t="s">
        <v>377</v>
      </c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</row>
    <row r="63" spans="2:15" ht="16" customHeight="1" x14ac:dyDescent="0.35">
      <c r="B63" s="14" t="s">
        <v>378</v>
      </c>
      <c r="C63" s="14" t="s">
        <v>379</v>
      </c>
      <c r="D63" s="15">
        <v>1058210.3475299999</v>
      </c>
      <c r="E63" s="15">
        <v>1042153.90336</v>
      </c>
      <c r="F63" s="15">
        <v>1061533.2769500001</v>
      </c>
      <c r="G63" s="15">
        <v>1082221.3095199999</v>
      </c>
      <c r="H63" s="15">
        <v>1097931.3343</v>
      </c>
      <c r="I63" s="15">
        <v>1102272.2383300001</v>
      </c>
      <c r="J63" s="15"/>
      <c r="K63" s="15"/>
      <c r="L63" s="15"/>
      <c r="M63" s="15"/>
      <c r="N63" s="15"/>
      <c r="O63" s="15"/>
    </row>
    <row r="64" spans="2:15" ht="16" customHeight="1" x14ac:dyDescent="0.35">
      <c r="B64" s="14" t="s">
        <v>380</v>
      </c>
      <c r="C64" s="14" t="s">
        <v>381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</row>
    <row r="65" spans="2:15" ht="16" customHeight="1" x14ac:dyDescent="0.35">
      <c r="B65" s="14" t="s">
        <v>382</v>
      </c>
      <c r="C65" s="14" t="s">
        <v>383</v>
      </c>
      <c r="D65" s="15">
        <v>176.97131999999999</v>
      </c>
      <c r="E65" s="15">
        <v>168.88708</v>
      </c>
      <c r="F65" s="15">
        <v>132.41830999999999</v>
      </c>
      <c r="G65" s="15">
        <v>133.33416</v>
      </c>
      <c r="H65" s="15">
        <v>123.71153</v>
      </c>
      <c r="I65" s="15">
        <v>138.43866</v>
      </c>
      <c r="J65" s="15"/>
      <c r="K65" s="15"/>
      <c r="L65" s="15"/>
      <c r="M65" s="15"/>
      <c r="N65" s="15"/>
      <c r="O65" s="15"/>
    </row>
    <row r="66" spans="2:15" ht="16" customHeight="1" x14ac:dyDescent="0.35">
      <c r="B66" s="14" t="s">
        <v>384</v>
      </c>
      <c r="C66" s="14" t="s">
        <v>385</v>
      </c>
      <c r="D66" s="15">
        <v>195.55812</v>
      </c>
      <c r="E66" s="15">
        <v>192.62611999999999</v>
      </c>
      <c r="F66" s="15">
        <v>189.37812</v>
      </c>
      <c r="G66" s="15">
        <v>186.23612</v>
      </c>
      <c r="H66" s="15">
        <v>182.98912000000001</v>
      </c>
      <c r="I66" s="15">
        <v>182.98912000000001</v>
      </c>
      <c r="J66" s="15"/>
      <c r="K66" s="15"/>
      <c r="L66" s="15"/>
      <c r="M66" s="15"/>
      <c r="N66" s="15"/>
      <c r="O66" s="15"/>
    </row>
    <row r="67" spans="2:15" ht="16" customHeight="1" x14ac:dyDescent="0.35">
      <c r="B67" s="14" t="s">
        <v>386</v>
      </c>
      <c r="C67" s="14" t="s">
        <v>387</v>
      </c>
      <c r="D67" s="15">
        <v>84963.516189999995</v>
      </c>
      <c r="E67" s="15">
        <v>73349.574189999999</v>
      </c>
      <c r="F67" s="15">
        <v>71145.823080000002</v>
      </c>
      <c r="G67" s="15">
        <v>71043.77665</v>
      </c>
      <c r="H67" s="15">
        <v>71055.432990000001</v>
      </c>
      <c r="I67" s="15">
        <v>74895.787989999997</v>
      </c>
      <c r="J67" s="15"/>
      <c r="K67" s="15"/>
      <c r="L67" s="15"/>
      <c r="M67" s="15"/>
      <c r="N67" s="15"/>
      <c r="O67" s="15"/>
    </row>
    <row r="68" spans="2:15" ht="16" customHeight="1" x14ac:dyDescent="0.35">
      <c r="B68" s="16" t="s">
        <v>388</v>
      </c>
      <c r="C68" s="16" t="s">
        <v>389</v>
      </c>
      <c r="D68" s="17">
        <f t="shared" ref="D68:O68" si="7">D61+D62+D63+D64+D65+D66+D67</f>
        <v>1143546.3874499998</v>
      </c>
      <c r="E68" s="17">
        <f t="shared" si="7"/>
        <v>1115864.9850399999</v>
      </c>
      <c r="F68" s="17">
        <f t="shared" si="7"/>
        <v>1133000.8907500003</v>
      </c>
      <c r="G68" s="17">
        <f t="shared" si="7"/>
        <v>1153584.65074</v>
      </c>
      <c r="H68" s="17">
        <f t="shared" si="7"/>
        <v>1169293.4622300002</v>
      </c>
      <c r="I68" s="17">
        <f t="shared" si="7"/>
        <v>1177489.4483900003</v>
      </c>
      <c r="J68" s="17">
        <f t="shared" si="7"/>
        <v>0</v>
      </c>
      <c r="K68" s="17">
        <f t="shared" si="7"/>
        <v>0</v>
      </c>
      <c r="L68" s="17">
        <f t="shared" si="7"/>
        <v>0</v>
      </c>
      <c r="M68" s="17">
        <f t="shared" si="7"/>
        <v>0</v>
      </c>
      <c r="N68" s="17">
        <f t="shared" si="7"/>
        <v>0</v>
      </c>
      <c r="O68" s="17">
        <f t="shared" si="7"/>
        <v>0</v>
      </c>
    </row>
    <row r="69" spans="2:15" ht="16" customHeight="1" x14ac:dyDescent="0.35">
      <c r="B69" s="11" t="s">
        <v>390</v>
      </c>
      <c r="C69" s="11" t="s">
        <v>22</v>
      </c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</row>
    <row r="70" spans="2:15" ht="16" customHeight="1" x14ac:dyDescent="0.35">
      <c r="B70" s="14" t="s">
        <v>391</v>
      </c>
      <c r="C70" s="14" t="s">
        <v>392</v>
      </c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</row>
    <row r="71" spans="2:15" ht="16" customHeight="1" x14ac:dyDescent="0.35">
      <c r="B71" s="14" t="s">
        <v>393</v>
      </c>
      <c r="C71" s="14" t="s">
        <v>394</v>
      </c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</row>
    <row r="72" spans="2:15" ht="16" customHeight="1" x14ac:dyDescent="0.35">
      <c r="B72" s="16" t="s">
        <v>395</v>
      </c>
      <c r="C72" s="16" t="s">
        <v>396</v>
      </c>
      <c r="D72" s="17">
        <f t="shared" ref="D72:O72" si="8">D70+D71</f>
        <v>0</v>
      </c>
      <c r="E72" s="17">
        <f t="shared" si="8"/>
        <v>0</v>
      </c>
      <c r="F72" s="17">
        <f t="shared" si="8"/>
        <v>0</v>
      </c>
      <c r="G72" s="17">
        <f t="shared" si="8"/>
        <v>0</v>
      </c>
      <c r="H72" s="17">
        <f t="shared" si="8"/>
        <v>0</v>
      </c>
      <c r="I72" s="17">
        <f t="shared" si="8"/>
        <v>0</v>
      </c>
      <c r="J72" s="17">
        <f t="shared" si="8"/>
        <v>0</v>
      </c>
      <c r="K72" s="17">
        <f t="shared" si="8"/>
        <v>0</v>
      </c>
      <c r="L72" s="17">
        <f t="shared" si="8"/>
        <v>0</v>
      </c>
      <c r="M72" s="17">
        <f t="shared" si="8"/>
        <v>0</v>
      </c>
      <c r="N72" s="17">
        <f t="shared" si="8"/>
        <v>0</v>
      </c>
      <c r="O72" s="17">
        <f t="shared" si="8"/>
        <v>0</v>
      </c>
    </row>
    <row r="73" spans="2:15" ht="16" customHeight="1" x14ac:dyDescent="0.35">
      <c r="B73" s="11" t="s">
        <v>77</v>
      </c>
      <c r="C73" s="11" t="s">
        <v>22</v>
      </c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</row>
    <row r="74" spans="2:15" ht="16" customHeight="1" x14ac:dyDescent="0.35">
      <c r="B74" s="14" t="s">
        <v>397</v>
      </c>
      <c r="C74" s="14" t="s">
        <v>398</v>
      </c>
      <c r="D74" s="15">
        <v>1.4702</v>
      </c>
      <c r="E74" s="15">
        <v>1.4702</v>
      </c>
      <c r="F74" s="15">
        <v>749.22055999999998</v>
      </c>
      <c r="G74" s="15">
        <v>749.22055999999998</v>
      </c>
      <c r="H74" s="15">
        <v>749.22055999999998</v>
      </c>
      <c r="I74" s="15">
        <v>749.22055999999998</v>
      </c>
      <c r="J74" s="15"/>
      <c r="K74" s="15"/>
      <c r="L74" s="15"/>
      <c r="M74" s="15"/>
      <c r="N74" s="15"/>
      <c r="O74" s="15"/>
    </row>
    <row r="75" spans="2:15" ht="16" customHeight="1" x14ac:dyDescent="0.35">
      <c r="B75" s="11" t="s">
        <v>399</v>
      </c>
      <c r="C75" s="11" t="s">
        <v>22</v>
      </c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</row>
    <row r="76" spans="2:15" ht="16" customHeight="1" x14ac:dyDescent="0.35">
      <c r="B76" s="14" t="s">
        <v>400</v>
      </c>
      <c r="C76" s="14" t="s">
        <v>401</v>
      </c>
      <c r="D76" s="15">
        <v>313914.07127000001</v>
      </c>
      <c r="E76" s="15">
        <v>313333.63627000002</v>
      </c>
      <c r="F76" s="15">
        <v>314784.52026999998</v>
      </c>
      <c r="G76" s="15">
        <v>312958.87446000002</v>
      </c>
      <c r="H76" s="15">
        <v>316453.20688999997</v>
      </c>
      <c r="I76" s="15">
        <v>316453.20688999997</v>
      </c>
      <c r="J76" s="15"/>
      <c r="K76" s="15"/>
      <c r="L76" s="15"/>
      <c r="M76" s="15"/>
      <c r="N76" s="15"/>
      <c r="O76" s="15"/>
    </row>
    <row r="77" spans="2:15" ht="16" customHeight="1" x14ac:dyDescent="0.35">
      <c r="B77" s="14" t="s">
        <v>402</v>
      </c>
      <c r="C77" s="14" t="s">
        <v>403</v>
      </c>
      <c r="D77" s="15">
        <v>-126078.20547</v>
      </c>
      <c r="E77" s="15">
        <v>-126401.32604</v>
      </c>
      <c r="F77" s="15">
        <v>-126947.2984</v>
      </c>
      <c r="G77" s="15">
        <v>-125346.04249000001</v>
      </c>
      <c r="H77" s="15">
        <v>-126044.46915</v>
      </c>
      <c r="I77" s="15">
        <v>-126044.46915</v>
      </c>
      <c r="J77" s="15"/>
      <c r="K77" s="15"/>
      <c r="L77" s="15"/>
      <c r="M77" s="15"/>
      <c r="N77" s="15"/>
      <c r="O77" s="15"/>
    </row>
    <row r="78" spans="2:15" ht="16" customHeight="1" x14ac:dyDescent="0.35">
      <c r="B78" s="34" t="s">
        <v>404</v>
      </c>
      <c r="C78" s="34" t="s">
        <v>405</v>
      </c>
      <c r="D78" s="35">
        <f t="shared" ref="D78:O78" si="9">D76+D77</f>
        <v>187835.86580000003</v>
      </c>
      <c r="E78" s="35">
        <f t="shared" si="9"/>
        <v>186932.31023</v>
      </c>
      <c r="F78" s="35">
        <f t="shared" si="9"/>
        <v>187837.22186999998</v>
      </c>
      <c r="G78" s="35">
        <f t="shared" si="9"/>
        <v>187612.83197</v>
      </c>
      <c r="H78" s="35">
        <f t="shared" si="9"/>
        <v>190408.73773999995</v>
      </c>
      <c r="I78" s="35">
        <f t="shared" si="9"/>
        <v>190408.73773999995</v>
      </c>
      <c r="J78" s="35">
        <f t="shared" si="9"/>
        <v>0</v>
      </c>
      <c r="K78" s="35">
        <f t="shared" si="9"/>
        <v>0</v>
      </c>
      <c r="L78" s="35">
        <f t="shared" si="9"/>
        <v>0</v>
      </c>
      <c r="M78" s="35">
        <f t="shared" si="9"/>
        <v>0</v>
      </c>
      <c r="N78" s="35">
        <f t="shared" si="9"/>
        <v>0</v>
      </c>
      <c r="O78" s="35">
        <f t="shared" si="9"/>
        <v>0</v>
      </c>
    </row>
    <row r="79" spans="2:15" ht="16" customHeight="1" x14ac:dyDescent="0.35">
      <c r="B79" s="14" t="s">
        <v>406</v>
      </c>
      <c r="C79" s="14" t="s">
        <v>407</v>
      </c>
      <c r="D79" s="15">
        <v>2202325.8125200002</v>
      </c>
      <c r="E79" s="15">
        <v>2204405.97334</v>
      </c>
      <c r="F79" s="15">
        <v>2207384.8747999999</v>
      </c>
      <c r="G79" s="15">
        <v>2211335.4444499998</v>
      </c>
      <c r="H79" s="15">
        <v>2212550.1204599999</v>
      </c>
      <c r="I79" s="15">
        <v>2212550.1204599999</v>
      </c>
      <c r="J79" s="15"/>
      <c r="K79" s="15"/>
      <c r="L79" s="15"/>
      <c r="M79" s="15"/>
      <c r="N79" s="15"/>
      <c r="O79" s="15"/>
    </row>
    <row r="80" spans="2:15" ht="16" customHeight="1" x14ac:dyDescent="0.35">
      <c r="B80" s="14" t="s">
        <v>408</v>
      </c>
      <c r="C80" s="14" t="s">
        <v>409</v>
      </c>
      <c r="D80" s="15">
        <v>-1229006.8299199999</v>
      </c>
      <c r="E80" s="15">
        <v>-1234349.42374</v>
      </c>
      <c r="F80" s="15">
        <v>-1239207.2132000001</v>
      </c>
      <c r="G80" s="15">
        <v>-1246267.8698499999</v>
      </c>
      <c r="H80" s="15">
        <v>-1252353.9518599999</v>
      </c>
      <c r="I80" s="15">
        <v>-1252353.9518599999</v>
      </c>
      <c r="J80" s="15"/>
      <c r="K80" s="15"/>
      <c r="L80" s="15"/>
      <c r="M80" s="15"/>
      <c r="N80" s="15"/>
      <c r="O80" s="15"/>
    </row>
    <row r="81" spans="2:15" ht="16" customHeight="1" x14ac:dyDescent="0.35">
      <c r="B81" s="34" t="s">
        <v>410</v>
      </c>
      <c r="C81" s="34" t="s">
        <v>411</v>
      </c>
      <c r="D81" s="35">
        <f t="shared" ref="D81:O81" si="10">D79+D80</f>
        <v>973318.98260000022</v>
      </c>
      <c r="E81" s="35">
        <f t="shared" si="10"/>
        <v>970056.54960000003</v>
      </c>
      <c r="F81" s="35">
        <f t="shared" si="10"/>
        <v>968177.66159999976</v>
      </c>
      <c r="G81" s="35">
        <f t="shared" si="10"/>
        <v>965067.57459999993</v>
      </c>
      <c r="H81" s="35">
        <f t="shared" si="10"/>
        <v>960196.16859999998</v>
      </c>
      <c r="I81" s="35">
        <f t="shared" si="10"/>
        <v>960196.16859999998</v>
      </c>
      <c r="J81" s="35">
        <f t="shared" si="10"/>
        <v>0</v>
      </c>
      <c r="K81" s="35">
        <f t="shared" si="10"/>
        <v>0</v>
      </c>
      <c r="L81" s="35">
        <f t="shared" si="10"/>
        <v>0</v>
      </c>
      <c r="M81" s="35">
        <f t="shared" si="10"/>
        <v>0</v>
      </c>
      <c r="N81" s="35">
        <f t="shared" si="10"/>
        <v>0</v>
      </c>
      <c r="O81" s="35">
        <f t="shared" si="10"/>
        <v>0</v>
      </c>
    </row>
    <row r="82" spans="2:15" ht="16" customHeight="1" x14ac:dyDescent="0.35">
      <c r="B82" s="14" t="s">
        <v>412</v>
      </c>
      <c r="C82" s="14" t="s">
        <v>413</v>
      </c>
      <c r="D82" s="15">
        <v>5284234.1116000004</v>
      </c>
      <c r="E82" s="15">
        <v>5311334.1270599999</v>
      </c>
      <c r="F82" s="15">
        <v>5332247.9583000001</v>
      </c>
      <c r="G82" s="15">
        <v>5356901.5519399997</v>
      </c>
      <c r="H82" s="15">
        <v>5379937.7546800002</v>
      </c>
      <c r="I82" s="15">
        <v>5379948.76669</v>
      </c>
      <c r="J82" s="15"/>
      <c r="K82" s="15"/>
      <c r="L82" s="15"/>
      <c r="M82" s="15"/>
      <c r="N82" s="15"/>
      <c r="O82" s="15"/>
    </row>
    <row r="83" spans="2:15" ht="16" customHeight="1" x14ac:dyDescent="0.35">
      <c r="B83" s="14" t="s">
        <v>414</v>
      </c>
      <c r="C83" s="14" t="s">
        <v>415</v>
      </c>
      <c r="D83" s="15">
        <v>-3537121.3457999998</v>
      </c>
      <c r="E83" s="15">
        <v>-3554666.7422799999</v>
      </c>
      <c r="F83" s="15">
        <v>-3577320.1561099999</v>
      </c>
      <c r="G83" s="15">
        <v>-3594856.8767599999</v>
      </c>
      <c r="H83" s="15">
        <v>-3615209.9793699998</v>
      </c>
      <c r="I83" s="15">
        <v>-3615209.9793699998</v>
      </c>
      <c r="J83" s="15"/>
      <c r="K83" s="15"/>
      <c r="L83" s="15"/>
      <c r="M83" s="15"/>
      <c r="N83" s="15"/>
      <c r="O83" s="15"/>
    </row>
    <row r="84" spans="2:15" ht="16" customHeight="1" x14ac:dyDescent="0.35">
      <c r="B84" s="34" t="s">
        <v>416</v>
      </c>
      <c r="C84" s="34" t="s">
        <v>417</v>
      </c>
      <c r="D84" s="35">
        <f t="shared" ref="D84:O84" si="11">D82+D83</f>
        <v>1747112.7658000006</v>
      </c>
      <c r="E84" s="35">
        <f t="shared" si="11"/>
        <v>1756667.38478</v>
      </c>
      <c r="F84" s="35">
        <f t="shared" si="11"/>
        <v>1754927.8021900002</v>
      </c>
      <c r="G84" s="35">
        <f t="shared" si="11"/>
        <v>1762044.6751799998</v>
      </c>
      <c r="H84" s="35">
        <f t="shared" si="11"/>
        <v>1764727.7753100004</v>
      </c>
      <c r="I84" s="35">
        <f t="shared" si="11"/>
        <v>1764738.7873200001</v>
      </c>
      <c r="J84" s="35">
        <f t="shared" si="11"/>
        <v>0</v>
      </c>
      <c r="K84" s="35">
        <f t="shared" si="11"/>
        <v>0</v>
      </c>
      <c r="L84" s="35">
        <f t="shared" si="11"/>
        <v>0</v>
      </c>
      <c r="M84" s="35">
        <f t="shared" si="11"/>
        <v>0</v>
      </c>
      <c r="N84" s="35">
        <f t="shared" si="11"/>
        <v>0</v>
      </c>
      <c r="O84" s="35">
        <f t="shared" si="11"/>
        <v>0</v>
      </c>
    </row>
    <row r="85" spans="2:15" ht="16" customHeight="1" x14ac:dyDescent="0.35">
      <c r="B85" s="14" t="s">
        <v>418</v>
      </c>
      <c r="C85" s="14" t="s">
        <v>419</v>
      </c>
      <c r="D85" s="15">
        <v>461479.38735999999</v>
      </c>
      <c r="E85" s="15">
        <v>463549.33578999998</v>
      </c>
      <c r="F85" s="15">
        <v>454686.06628000003</v>
      </c>
      <c r="G85" s="15">
        <v>456025.80732999998</v>
      </c>
      <c r="H85" s="15">
        <v>455392.18517999997</v>
      </c>
      <c r="I85" s="15">
        <v>455392.18517999997</v>
      </c>
      <c r="J85" s="15"/>
      <c r="K85" s="15"/>
      <c r="L85" s="15"/>
      <c r="M85" s="15"/>
      <c r="N85" s="15"/>
      <c r="O85" s="15"/>
    </row>
    <row r="86" spans="2:15" ht="16" customHeight="1" x14ac:dyDescent="0.35">
      <c r="B86" s="14" t="s">
        <v>420</v>
      </c>
      <c r="C86" s="14" t="s">
        <v>421</v>
      </c>
      <c r="D86" s="15">
        <v>-338611.56955000001</v>
      </c>
      <c r="E86" s="15">
        <v>-339316.08870000002</v>
      </c>
      <c r="F86" s="15">
        <v>-338430.75251000002</v>
      </c>
      <c r="G86" s="15">
        <v>-339627.80647000001</v>
      </c>
      <c r="H86" s="15">
        <v>-340337.68946999998</v>
      </c>
      <c r="I86" s="15">
        <v>-340337.68946999998</v>
      </c>
      <c r="J86" s="15"/>
      <c r="K86" s="15"/>
      <c r="L86" s="15"/>
      <c r="M86" s="15"/>
      <c r="N86" s="15"/>
      <c r="O86" s="15"/>
    </row>
    <row r="87" spans="2:15" ht="16" customHeight="1" x14ac:dyDescent="0.35">
      <c r="B87" s="34" t="s">
        <v>422</v>
      </c>
      <c r="C87" s="34" t="s">
        <v>423</v>
      </c>
      <c r="D87" s="35">
        <f t="shared" ref="D87:O87" si="12">D85+D86</f>
        <v>122867.81780999998</v>
      </c>
      <c r="E87" s="35">
        <f t="shared" si="12"/>
        <v>124233.24708999996</v>
      </c>
      <c r="F87" s="35">
        <f t="shared" si="12"/>
        <v>116255.31377000001</v>
      </c>
      <c r="G87" s="35">
        <f t="shared" si="12"/>
        <v>116398.00085999997</v>
      </c>
      <c r="H87" s="35">
        <f t="shared" si="12"/>
        <v>115054.49570999999</v>
      </c>
      <c r="I87" s="35">
        <f t="shared" si="12"/>
        <v>115054.49570999999</v>
      </c>
      <c r="J87" s="35">
        <f t="shared" si="12"/>
        <v>0</v>
      </c>
      <c r="K87" s="35">
        <f t="shared" si="12"/>
        <v>0</v>
      </c>
      <c r="L87" s="35">
        <f t="shared" si="12"/>
        <v>0</v>
      </c>
      <c r="M87" s="35">
        <f t="shared" si="12"/>
        <v>0</v>
      </c>
      <c r="N87" s="35">
        <f t="shared" si="12"/>
        <v>0</v>
      </c>
      <c r="O87" s="35">
        <f t="shared" si="12"/>
        <v>0</v>
      </c>
    </row>
    <row r="88" spans="2:15" ht="16" customHeight="1" x14ac:dyDescent="0.35">
      <c r="B88" s="14" t="s">
        <v>424</v>
      </c>
      <c r="C88" s="14" t="s">
        <v>425</v>
      </c>
      <c r="D88" s="15">
        <v>205355.26954000001</v>
      </c>
      <c r="E88" s="15">
        <v>209193.52721999999</v>
      </c>
      <c r="F88" s="15">
        <v>242959.76079999999</v>
      </c>
      <c r="G88" s="15">
        <v>250089.40900000001</v>
      </c>
      <c r="H88" s="15">
        <v>263357.25829999999</v>
      </c>
      <c r="I88" s="15">
        <v>224553.48731999999</v>
      </c>
      <c r="J88" s="15"/>
      <c r="K88" s="15"/>
      <c r="L88" s="15"/>
      <c r="M88" s="15"/>
      <c r="N88" s="15"/>
      <c r="O88" s="15"/>
    </row>
    <row r="89" spans="2:15" ht="16" customHeight="1" x14ac:dyDescent="0.35">
      <c r="B89" s="14" t="s">
        <v>426</v>
      </c>
      <c r="C89" s="14" t="s">
        <v>427</v>
      </c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</row>
    <row r="90" spans="2:15" ht="16" customHeight="1" x14ac:dyDescent="0.35">
      <c r="B90" s="34" t="s">
        <v>428</v>
      </c>
      <c r="C90" s="34" t="s">
        <v>429</v>
      </c>
      <c r="D90" s="35">
        <f t="shared" ref="D90:O90" si="13">D88+D89</f>
        <v>205355.26954000001</v>
      </c>
      <c r="E90" s="35">
        <f t="shared" si="13"/>
        <v>209193.52721999999</v>
      </c>
      <c r="F90" s="35">
        <f t="shared" si="13"/>
        <v>242959.76079999999</v>
      </c>
      <c r="G90" s="35">
        <f t="shared" si="13"/>
        <v>250089.40900000001</v>
      </c>
      <c r="H90" s="35">
        <f t="shared" si="13"/>
        <v>263357.25829999999</v>
      </c>
      <c r="I90" s="35">
        <f t="shared" si="13"/>
        <v>224553.48731999999</v>
      </c>
      <c r="J90" s="35">
        <f t="shared" si="13"/>
        <v>0</v>
      </c>
      <c r="K90" s="35">
        <f t="shared" si="13"/>
        <v>0</v>
      </c>
      <c r="L90" s="35">
        <f t="shared" si="13"/>
        <v>0</v>
      </c>
      <c r="M90" s="35">
        <f t="shared" si="13"/>
        <v>0</v>
      </c>
      <c r="N90" s="35">
        <f t="shared" si="13"/>
        <v>0</v>
      </c>
      <c r="O90" s="35">
        <f t="shared" si="13"/>
        <v>0</v>
      </c>
    </row>
    <row r="91" spans="2:15" ht="16" customHeight="1" x14ac:dyDescent="0.35">
      <c r="B91" s="11" t="s">
        <v>430</v>
      </c>
      <c r="C91" s="11" t="s">
        <v>22</v>
      </c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</row>
    <row r="92" spans="2:15" ht="16" customHeight="1" x14ac:dyDescent="0.35">
      <c r="B92" s="16" t="s">
        <v>431</v>
      </c>
      <c r="C92" s="16" t="s">
        <v>432</v>
      </c>
      <c r="D92" s="17">
        <f t="shared" ref="D92:O94" si="14">D76+D79+D82+D85+D88</f>
        <v>8467308.6522900015</v>
      </c>
      <c r="E92" s="17">
        <f t="shared" si="14"/>
        <v>8501816.5996800009</v>
      </c>
      <c r="F92" s="17">
        <f t="shared" si="14"/>
        <v>8552063.1804499999</v>
      </c>
      <c r="G92" s="17">
        <f t="shared" si="14"/>
        <v>8587311.0871799998</v>
      </c>
      <c r="H92" s="17">
        <f t="shared" si="14"/>
        <v>8627690.5255100001</v>
      </c>
      <c r="I92" s="17">
        <f t="shared" si="14"/>
        <v>8588897.7665400002</v>
      </c>
      <c r="J92" s="17">
        <f t="shared" si="14"/>
        <v>0</v>
      </c>
      <c r="K92" s="17">
        <f t="shared" si="14"/>
        <v>0</v>
      </c>
      <c r="L92" s="17">
        <f t="shared" si="14"/>
        <v>0</v>
      </c>
      <c r="M92" s="17">
        <f t="shared" si="14"/>
        <v>0</v>
      </c>
      <c r="N92" s="17">
        <f t="shared" si="14"/>
        <v>0</v>
      </c>
      <c r="O92" s="17">
        <f t="shared" si="14"/>
        <v>0</v>
      </c>
    </row>
    <row r="93" spans="2:15" ht="16" customHeight="1" thickBot="1" x14ac:dyDescent="0.4">
      <c r="B93" s="16" t="s">
        <v>433</v>
      </c>
      <c r="C93" s="16" t="s">
        <v>434</v>
      </c>
      <c r="D93" s="17">
        <f t="shared" si="14"/>
        <v>-5230817.9507400002</v>
      </c>
      <c r="E93" s="17">
        <f t="shared" si="14"/>
        <v>-5254733.5807600003</v>
      </c>
      <c r="F93" s="17">
        <f t="shared" si="14"/>
        <v>-5281905.4202199997</v>
      </c>
      <c r="G93" s="17">
        <f t="shared" si="14"/>
        <v>-5306098.5955699999</v>
      </c>
      <c r="H93" s="17">
        <f t="shared" si="14"/>
        <v>-5333946.0898499992</v>
      </c>
      <c r="I93" s="17">
        <f t="shared" si="14"/>
        <v>-5333946.0898499992</v>
      </c>
      <c r="J93" s="17">
        <f t="shared" si="14"/>
        <v>0</v>
      </c>
      <c r="K93" s="17">
        <f t="shared" si="14"/>
        <v>0</v>
      </c>
      <c r="L93" s="17">
        <f t="shared" si="14"/>
        <v>0</v>
      </c>
      <c r="M93" s="17">
        <f t="shared" si="14"/>
        <v>0</v>
      </c>
      <c r="N93" s="17">
        <f t="shared" si="14"/>
        <v>0</v>
      </c>
      <c r="O93" s="17">
        <f t="shared" si="14"/>
        <v>0</v>
      </c>
    </row>
    <row r="94" spans="2:15" ht="16" customHeight="1" thickBot="1" x14ac:dyDescent="0.4">
      <c r="B94" s="18" t="s">
        <v>435</v>
      </c>
      <c r="C94" s="18" t="s">
        <v>436</v>
      </c>
      <c r="D94" s="19">
        <f t="shared" si="14"/>
        <v>3236490.7015500003</v>
      </c>
      <c r="E94" s="19">
        <f t="shared" si="14"/>
        <v>3247083.0189200002</v>
      </c>
      <c r="F94" s="19">
        <f t="shared" si="14"/>
        <v>3270157.7602299997</v>
      </c>
      <c r="G94" s="19">
        <f t="shared" si="14"/>
        <v>3281212.4916099999</v>
      </c>
      <c r="H94" s="19">
        <f t="shared" si="14"/>
        <v>3293744.4356600004</v>
      </c>
      <c r="I94" s="19">
        <f t="shared" si="14"/>
        <v>3254951.6766900001</v>
      </c>
      <c r="J94" s="19">
        <f t="shared" si="14"/>
        <v>0</v>
      </c>
      <c r="K94" s="19">
        <f t="shared" si="14"/>
        <v>0</v>
      </c>
      <c r="L94" s="19">
        <f t="shared" si="14"/>
        <v>0</v>
      </c>
      <c r="M94" s="19">
        <f t="shared" si="14"/>
        <v>0</v>
      </c>
      <c r="N94" s="19">
        <f t="shared" si="14"/>
        <v>0</v>
      </c>
      <c r="O94" s="19">
        <f t="shared" si="14"/>
        <v>0</v>
      </c>
    </row>
    <row r="95" spans="2:15" ht="16" customHeight="1" x14ac:dyDescent="0.35">
      <c r="B95" s="11" t="s">
        <v>437</v>
      </c>
      <c r="C95" s="11" t="s">
        <v>22</v>
      </c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</row>
    <row r="96" spans="2:15" ht="16" customHeight="1" x14ac:dyDescent="0.35">
      <c r="B96" s="14" t="s">
        <v>438</v>
      </c>
      <c r="C96" s="14" t="s">
        <v>439</v>
      </c>
      <c r="D96" s="15">
        <v>27708.20062</v>
      </c>
      <c r="E96" s="15">
        <v>27708.20062</v>
      </c>
      <c r="F96" s="15">
        <v>27708.20062</v>
      </c>
      <c r="G96" s="15">
        <v>27708.20062</v>
      </c>
      <c r="H96" s="15">
        <v>27708.20062</v>
      </c>
      <c r="I96" s="15">
        <v>27708.20062</v>
      </c>
      <c r="J96" s="15"/>
      <c r="K96" s="15"/>
      <c r="L96" s="15"/>
      <c r="M96" s="15"/>
      <c r="N96" s="15"/>
      <c r="O96" s="15"/>
    </row>
    <row r="97" spans="2:15" ht="16" customHeight="1" x14ac:dyDescent="0.35">
      <c r="B97" s="14" t="s">
        <v>440</v>
      </c>
      <c r="C97" s="14" t="s">
        <v>441</v>
      </c>
      <c r="D97" s="15">
        <v>-2832.05548</v>
      </c>
      <c r="E97" s="15">
        <v>-2946.3313899999998</v>
      </c>
      <c r="F97" s="15">
        <v>-3061.3733000000002</v>
      </c>
      <c r="G97" s="15">
        <v>-3176.15922</v>
      </c>
      <c r="H97" s="15">
        <v>-3291.2001399999999</v>
      </c>
      <c r="I97" s="15">
        <v>-3291.2001399999999</v>
      </c>
      <c r="J97" s="15"/>
      <c r="K97" s="15"/>
      <c r="L97" s="15"/>
      <c r="M97" s="15"/>
      <c r="N97" s="15"/>
      <c r="O97" s="15"/>
    </row>
    <row r="98" spans="2:15" ht="16" customHeight="1" x14ac:dyDescent="0.35">
      <c r="B98" s="34" t="s">
        <v>442</v>
      </c>
      <c r="C98" s="34" t="s">
        <v>443</v>
      </c>
      <c r="D98" s="35">
        <f t="shared" ref="D98:O98" si="15">D96+D97</f>
        <v>24876.145140000001</v>
      </c>
      <c r="E98" s="35">
        <f t="shared" si="15"/>
        <v>24761.86923</v>
      </c>
      <c r="F98" s="35">
        <f t="shared" si="15"/>
        <v>24646.82732</v>
      </c>
      <c r="G98" s="35">
        <f t="shared" si="15"/>
        <v>24532.041399999998</v>
      </c>
      <c r="H98" s="35">
        <f t="shared" si="15"/>
        <v>24417.000479999999</v>
      </c>
      <c r="I98" s="35">
        <f t="shared" si="15"/>
        <v>24417.000479999999</v>
      </c>
      <c r="J98" s="35">
        <f t="shared" si="15"/>
        <v>0</v>
      </c>
      <c r="K98" s="35">
        <f t="shared" si="15"/>
        <v>0</v>
      </c>
      <c r="L98" s="35">
        <f t="shared" si="15"/>
        <v>0</v>
      </c>
      <c r="M98" s="35">
        <f t="shared" si="15"/>
        <v>0</v>
      </c>
      <c r="N98" s="35">
        <f t="shared" si="15"/>
        <v>0</v>
      </c>
      <c r="O98" s="35">
        <f t="shared" si="15"/>
        <v>0</v>
      </c>
    </row>
    <row r="99" spans="2:15" ht="16" customHeight="1" x14ac:dyDescent="0.35">
      <c r="B99" s="14" t="s">
        <v>444</v>
      </c>
      <c r="C99" s="14" t="s">
        <v>445</v>
      </c>
      <c r="D99" s="15">
        <v>25069.32372</v>
      </c>
      <c r="E99" s="15">
        <v>25069.32372</v>
      </c>
      <c r="F99" s="15">
        <v>25069.32372</v>
      </c>
      <c r="G99" s="15">
        <v>25069.32372</v>
      </c>
      <c r="H99" s="15">
        <v>25069.32372</v>
      </c>
      <c r="I99" s="15">
        <v>25118.235669999998</v>
      </c>
      <c r="J99" s="15"/>
      <c r="K99" s="15"/>
      <c r="L99" s="15"/>
      <c r="M99" s="15"/>
      <c r="N99" s="15"/>
      <c r="O99" s="15"/>
    </row>
    <row r="100" spans="2:15" ht="16" customHeight="1" x14ac:dyDescent="0.35">
      <c r="B100" s="14" t="s">
        <v>446</v>
      </c>
      <c r="C100" s="14" t="s">
        <v>447</v>
      </c>
      <c r="D100" s="15">
        <v>-16195.28757</v>
      </c>
      <c r="E100" s="15">
        <v>-16245.20757</v>
      </c>
      <c r="F100" s="15">
        <v>-16300.47457</v>
      </c>
      <c r="G100" s="15">
        <v>-16383.91857</v>
      </c>
      <c r="H100" s="15">
        <v>-16467.272990000001</v>
      </c>
      <c r="I100" s="15">
        <v>-16467.272990000001</v>
      </c>
      <c r="J100" s="15"/>
      <c r="K100" s="15"/>
      <c r="L100" s="15"/>
      <c r="M100" s="15"/>
      <c r="N100" s="15"/>
      <c r="O100" s="15"/>
    </row>
    <row r="101" spans="2:15" ht="16" customHeight="1" x14ac:dyDescent="0.35">
      <c r="B101" s="34" t="s">
        <v>448</v>
      </c>
      <c r="C101" s="34" t="s">
        <v>449</v>
      </c>
      <c r="D101" s="35">
        <f t="shared" ref="D101:O101" si="16">D99+D100</f>
        <v>8874.0361499999999</v>
      </c>
      <c r="E101" s="35">
        <f t="shared" si="16"/>
        <v>8824.1161499999998</v>
      </c>
      <c r="F101" s="35">
        <f t="shared" si="16"/>
        <v>8768.84915</v>
      </c>
      <c r="G101" s="35">
        <f t="shared" si="16"/>
        <v>8685.4051500000005</v>
      </c>
      <c r="H101" s="35">
        <f t="shared" si="16"/>
        <v>8602.050729999999</v>
      </c>
      <c r="I101" s="35">
        <f t="shared" si="16"/>
        <v>8650.9626799999969</v>
      </c>
      <c r="J101" s="35">
        <f t="shared" si="16"/>
        <v>0</v>
      </c>
      <c r="K101" s="35">
        <f t="shared" si="16"/>
        <v>0</v>
      </c>
      <c r="L101" s="35">
        <f t="shared" si="16"/>
        <v>0</v>
      </c>
      <c r="M101" s="35">
        <f t="shared" si="16"/>
        <v>0</v>
      </c>
      <c r="N101" s="35">
        <f t="shared" si="16"/>
        <v>0</v>
      </c>
      <c r="O101" s="35">
        <f t="shared" si="16"/>
        <v>0</v>
      </c>
    </row>
    <row r="102" spans="2:15" ht="16" customHeight="1" x14ac:dyDescent="0.35">
      <c r="B102" s="14" t="s">
        <v>450</v>
      </c>
      <c r="C102" s="14" t="s">
        <v>451</v>
      </c>
      <c r="D102" s="15">
        <v>34379.866889999998</v>
      </c>
      <c r="E102" s="15">
        <v>34379.866889999998</v>
      </c>
      <c r="F102" s="15">
        <v>34567.395909999999</v>
      </c>
      <c r="G102" s="15">
        <v>34567.395909999999</v>
      </c>
      <c r="H102" s="15">
        <v>34567.395909999999</v>
      </c>
      <c r="I102" s="15">
        <v>34567.395909999999</v>
      </c>
      <c r="J102" s="15"/>
      <c r="K102" s="15"/>
      <c r="L102" s="15"/>
      <c r="M102" s="15"/>
      <c r="N102" s="15"/>
      <c r="O102" s="15"/>
    </row>
    <row r="103" spans="2:15" ht="16" customHeight="1" x14ac:dyDescent="0.35">
      <c r="B103" s="14" t="s">
        <v>452</v>
      </c>
      <c r="C103" s="14" t="s">
        <v>453</v>
      </c>
      <c r="D103" s="15">
        <v>-23535.218390000002</v>
      </c>
      <c r="E103" s="15">
        <v>-23778.919730000001</v>
      </c>
      <c r="F103" s="15">
        <v>-24032.893810000001</v>
      </c>
      <c r="G103" s="15">
        <v>-24283.584900000002</v>
      </c>
      <c r="H103" s="15">
        <v>-24536.28702</v>
      </c>
      <c r="I103" s="15">
        <v>-24536.28702</v>
      </c>
      <c r="J103" s="15"/>
      <c r="K103" s="15"/>
      <c r="L103" s="15"/>
      <c r="M103" s="15"/>
      <c r="N103" s="15"/>
      <c r="O103" s="15"/>
    </row>
    <row r="104" spans="2:15" ht="16" customHeight="1" x14ac:dyDescent="0.35">
      <c r="B104" s="34" t="s">
        <v>454</v>
      </c>
      <c r="C104" s="34" t="s">
        <v>455</v>
      </c>
      <c r="D104" s="35">
        <f t="shared" ref="D104:O104" si="17">D102+D103</f>
        <v>10844.648499999996</v>
      </c>
      <c r="E104" s="35">
        <f t="shared" si="17"/>
        <v>10600.947159999996</v>
      </c>
      <c r="F104" s="35">
        <f t="shared" si="17"/>
        <v>10534.502099999998</v>
      </c>
      <c r="G104" s="35">
        <f t="shared" si="17"/>
        <v>10283.811009999998</v>
      </c>
      <c r="H104" s="35">
        <f t="shared" si="17"/>
        <v>10031.10889</v>
      </c>
      <c r="I104" s="35">
        <f t="shared" si="17"/>
        <v>10031.10889</v>
      </c>
      <c r="J104" s="35">
        <f t="shared" si="17"/>
        <v>0</v>
      </c>
      <c r="K104" s="35">
        <f t="shared" si="17"/>
        <v>0</v>
      </c>
      <c r="L104" s="35">
        <f t="shared" si="17"/>
        <v>0</v>
      </c>
      <c r="M104" s="35">
        <f t="shared" si="17"/>
        <v>0</v>
      </c>
      <c r="N104" s="35">
        <f t="shared" si="17"/>
        <v>0</v>
      </c>
      <c r="O104" s="35">
        <f t="shared" si="17"/>
        <v>0</v>
      </c>
    </row>
    <row r="105" spans="2:15" ht="16" customHeight="1" x14ac:dyDescent="0.35">
      <c r="B105" s="14" t="s">
        <v>456</v>
      </c>
      <c r="C105" s="14" t="s">
        <v>457</v>
      </c>
      <c r="D105" s="15">
        <v>61054.693079999997</v>
      </c>
      <c r="E105" s="15">
        <v>61010.322050000002</v>
      </c>
      <c r="F105" s="15">
        <v>61988.903359999997</v>
      </c>
      <c r="G105" s="15">
        <v>64745.805189999999</v>
      </c>
      <c r="H105" s="15">
        <v>65404.1535</v>
      </c>
      <c r="I105" s="15">
        <v>64877.422809999996</v>
      </c>
      <c r="J105" s="15"/>
      <c r="K105" s="15"/>
      <c r="L105" s="15"/>
      <c r="M105" s="15"/>
      <c r="N105" s="15"/>
      <c r="O105" s="15"/>
    </row>
    <row r="106" spans="2:15" ht="16" customHeight="1" x14ac:dyDescent="0.35">
      <c r="B106" s="14" t="s">
        <v>458</v>
      </c>
      <c r="C106" s="14" t="s">
        <v>459</v>
      </c>
      <c r="D106" s="15">
        <v>-18103.72106</v>
      </c>
      <c r="E106" s="15">
        <v>-19052.299070000001</v>
      </c>
      <c r="F106" s="15">
        <v>-31461.999380000001</v>
      </c>
      <c r="G106" s="15">
        <v>-32582.8626</v>
      </c>
      <c r="H106" s="15">
        <v>-33630.94829</v>
      </c>
      <c r="I106" s="15">
        <v>-33630.94829</v>
      </c>
      <c r="J106" s="15"/>
      <c r="K106" s="15"/>
      <c r="L106" s="15"/>
      <c r="M106" s="15"/>
      <c r="N106" s="15"/>
      <c r="O106" s="15"/>
    </row>
    <row r="107" spans="2:15" ht="16" customHeight="1" x14ac:dyDescent="0.35">
      <c r="B107" s="34" t="s">
        <v>460</v>
      </c>
      <c r="C107" s="34" t="s">
        <v>461</v>
      </c>
      <c r="D107" s="35">
        <f t="shared" ref="D107:O107" si="18">D105+D106</f>
        <v>42950.972020000001</v>
      </c>
      <c r="E107" s="35">
        <f t="shared" si="18"/>
        <v>41958.022980000002</v>
      </c>
      <c r="F107" s="35">
        <f t="shared" si="18"/>
        <v>30526.903979999995</v>
      </c>
      <c r="G107" s="35">
        <f t="shared" si="18"/>
        <v>32162.942589999999</v>
      </c>
      <c r="H107" s="35">
        <f t="shared" si="18"/>
        <v>31773.20521</v>
      </c>
      <c r="I107" s="35">
        <f t="shared" si="18"/>
        <v>31246.474519999996</v>
      </c>
      <c r="J107" s="35">
        <f t="shared" si="18"/>
        <v>0</v>
      </c>
      <c r="K107" s="35">
        <f t="shared" si="18"/>
        <v>0</v>
      </c>
      <c r="L107" s="35">
        <f t="shared" si="18"/>
        <v>0</v>
      </c>
      <c r="M107" s="35">
        <f t="shared" si="18"/>
        <v>0</v>
      </c>
      <c r="N107" s="35">
        <f t="shared" si="18"/>
        <v>0</v>
      </c>
      <c r="O107" s="35">
        <f t="shared" si="18"/>
        <v>0</v>
      </c>
    </row>
    <row r="108" spans="2:15" ht="16" customHeight="1" x14ac:dyDescent="0.35">
      <c r="B108" s="14" t="s">
        <v>462</v>
      </c>
      <c r="C108" s="14" t="s">
        <v>463</v>
      </c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</row>
    <row r="109" spans="2:15" ht="16" customHeight="1" x14ac:dyDescent="0.35">
      <c r="B109" s="14" t="s">
        <v>464</v>
      </c>
      <c r="C109" s="14" t="s">
        <v>465</v>
      </c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</row>
    <row r="110" spans="2:15" ht="16" customHeight="1" x14ac:dyDescent="0.35">
      <c r="B110" s="34" t="s">
        <v>466</v>
      </c>
      <c r="C110" s="34" t="s">
        <v>467</v>
      </c>
      <c r="D110" s="35">
        <f t="shared" ref="D110:O110" si="19">D108+D109</f>
        <v>0</v>
      </c>
      <c r="E110" s="35">
        <f t="shared" si="19"/>
        <v>0</v>
      </c>
      <c r="F110" s="35">
        <f t="shared" si="19"/>
        <v>0</v>
      </c>
      <c r="G110" s="35">
        <f t="shared" si="19"/>
        <v>0</v>
      </c>
      <c r="H110" s="35">
        <f t="shared" si="19"/>
        <v>0</v>
      </c>
      <c r="I110" s="35">
        <f t="shared" si="19"/>
        <v>0</v>
      </c>
      <c r="J110" s="35">
        <f t="shared" si="19"/>
        <v>0</v>
      </c>
      <c r="K110" s="35">
        <f t="shared" si="19"/>
        <v>0</v>
      </c>
      <c r="L110" s="35">
        <f t="shared" si="19"/>
        <v>0</v>
      </c>
      <c r="M110" s="35">
        <f t="shared" si="19"/>
        <v>0</v>
      </c>
      <c r="N110" s="35">
        <f t="shared" si="19"/>
        <v>0</v>
      </c>
      <c r="O110" s="35">
        <f t="shared" si="19"/>
        <v>0</v>
      </c>
    </row>
    <row r="111" spans="2:15" ht="16" customHeight="1" x14ac:dyDescent="0.35">
      <c r="B111" s="11" t="s">
        <v>468</v>
      </c>
      <c r="C111" s="11" t="s">
        <v>22</v>
      </c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</row>
    <row r="112" spans="2:15" ht="16" customHeight="1" x14ac:dyDescent="0.35">
      <c r="B112" s="16" t="s">
        <v>469</v>
      </c>
      <c r="C112" s="16" t="s">
        <v>470</v>
      </c>
      <c r="D112" s="17">
        <f t="shared" ref="D112:O114" si="20">D96+D99+D102+D105+D108</f>
        <v>148212.08431000001</v>
      </c>
      <c r="E112" s="17">
        <f t="shared" si="20"/>
        <v>148167.71328000003</v>
      </c>
      <c r="F112" s="17">
        <f t="shared" si="20"/>
        <v>149333.82360999999</v>
      </c>
      <c r="G112" s="17">
        <f t="shared" si="20"/>
        <v>152090.72544000001</v>
      </c>
      <c r="H112" s="17">
        <f t="shared" si="20"/>
        <v>152749.07374999998</v>
      </c>
      <c r="I112" s="17">
        <f t="shared" si="20"/>
        <v>152271.25500999999</v>
      </c>
      <c r="J112" s="17">
        <f t="shared" si="20"/>
        <v>0</v>
      </c>
      <c r="K112" s="17">
        <f t="shared" si="20"/>
        <v>0</v>
      </c>
      <c r="L112" s="17">
        <f t="shared" si="20"/>
        <v>0</v>
      </c>
      <c r="M112" s="17">
        <f t="shared" si="20"/>
        <v>0</v>
      </c>
      <c r="N112" s="17">
        <f t="shared" si="20"/>
        <v>0</v>
      </c>
      <c r="O112" s="17">
        <f t="shared" si="20"/>
        <v>0</v>
      </c>
    </row>
    <row r="113" spans="2:15" ht="16" customHeight="1" thickBot="1" x14ac:dyDescent="0.4">
      <c r="B113" s="16" t="s">
        <v>471</v>
      </c>
      <c r="C113" s="16" t="s">
        <v>472</v>
      </c>
      <c r="D113" s="17">
        <f t="shared" si="20"/>
        <v>-60666.282500000001</v>
      </c>
      <c r="E113" s="17">
        <f t="shared" si="20"/>
        <v>-62022.75776</v>
      </c>
      <c r="F113" s="17">
        <f t="shared" si="20"/>
        <v>-74856.74106</v>
      </c>
      <c r="G113" s="17">
        <f t="shared" si="20"/>
        <v>-76426.52528999999</v>
      </c>
      <c r="H113" s="17">
        <f t="shared" si="20"/>
        <v>-77925.708440000002</v>
      </c>
      <c r="I113" s="17">
        <f t="shared" si="20"/>
        <v>-77925.708440000002</v>
      </c>
      <c r="J113" s="17">
        <f t="shared" si="20"/>
        <v>0</v>
      </c>
      <c r="K113" s="17">
        <f t="shared" si="20"/>
        <v>0</v>
      </c>
      <c r="L113" s="17">
        <f t="shared" si="20"/>
        <v>0</v>
      </c>
      <c r="M113" s="17">
        <f t="shared" si="20"/>
        <v>0</v>
      </c>
      <c r="N113" s="17">
        <f t="shared" si="20"/>
        <v>0</v>
      </c>
      <c r="O113" s="17">
        <f t="shared" si="20"/>
        <v>0</v>
      </c>
    </row>
    <row r="114" spans="2:15" ht="16" customHeight="1" thickBot="1" x14ac:dyDescent="0.4">
      <c r="B114" s="18" t="s">
        <v>473</v>
      </c>
      <c r="C114" s="18" t="s">
        <v>474</v>
      </c>
      <c r="D114" s="19">
        <f t="shared" si="20"/>
        <v>87545.801810000004</v>
      </c>
      <c r="E114" s="19">
        <f t="shared" si="20"/>
        <v>86144.955519999989</v>
      </c>
      <c r="F114" s="19">
        <f t="shared" si="20"/>
        <v>74477.082549999992</v>
      </c>
      <c r="G114" s="19">
        <f t="shared" si="20"/>
        <v>75664.20014999999</v>
      </c>
      <c r="H114" s="19">
        <f t="shared" si="20"/>
        <v>74823.365309999994</v>
      </c>
      <c r="I114" s="19">
        <f t="shared" si="20"/>
        <v>74345.546570000006</v>
      </c>
      <c r="J114" s="19">
        <f t="shared" si="20"/>
        <v>0</v>
      </c>
      <c r="K114" s="19">
        <f t="shared" si="20"/>
        <v>0</v>
      </c>
      <c r="L114" s="19">
        <f t="shared" si="20"/>
        <v>0</v>
      </c>
      <c r="M114" s="19">
        <f t="shared" si="20"/>
        <v>0</v>
      </c>
      <c r="N114" s="19">
        <f t="shared" si="20"/>
        <v>0</v>
      </c>
      <c r="O114" s="19">
        <f t="shared" si="20"/>
        <v>0</v>
      </c>
    </row>
    <row r="115" spans="2:15" ht="16" customHeight="1" x14ac:dyDescent="0.35">
      <c r="B115" s="11" t="s">
        <v>93</v>
      </c>
      <c r="C115" s="11" t="s">
        <v>475</v>
      </c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</row>
    <row r="116" spans="2:15" ht="16" customHeight="1" x14ac:dyDescent="0.35">
      <c r="B116" s="16" t="s">
        <v>476</v>
      </c>
      <c r="C116" s="16" t="s">
        <v>477</v>
      </c>
      <c r="D116" s="17">
        <f t="shared" ref="D116:O118" si="21">D92+D112</f>
        <v>8615520.7366000023</v>
      </c>
      <c r="E116" s="17">
        <f t="shared" si="21"/>
        <v>8649984.3129600007</v>
      </c>
      <c r="F116" s="17">
        <f t="shared" si="21"/>
        <v>8701397.0040600002</v>
      </c>
      <c r="G116" s="17">
        <f t="shared" si="21"/>
        <v>8739401.8126199991</v>
      </c>
      <c r="H116" s="17">
        <f t="shared" si="21"/>
        <v>8780439.5992600005</v>
      </c>
      <c r="I116" s="17">
        <f t="shared" si="21"/>
        <v>8741169.0215499997</v>
      </c>
      <c r="J116" s="17">
        <f t="shared" si="21"/>
        <v>0</v>
      </c>
      <c r="K116" s="17">
        <f t="shared" si="21"/>
        <v>0</v>
      </c>
      <c r="L116" s="17">
        <f t="shared" si="21"/>
        <v>0</v>
      </c>
      <c r="M116" s="17">
        <f t="shared" si="21"/>
        <v>0</v>
      </c>
      <c r="N116" s="17">
        <f t="shared" si="21"/>
        <v>0</v>
      </c>
      <c r="O116" s="17">
        <f t="shared" si="21"/>
        <v>0</v>
      </c>
    </row>
    <row r="117" spans="2:15" ht="16" customHeight="1" thickBot="1" x14ac:dyDescent="0.4">
      <c r="B117" s="16" t="s">
        <v>478</v>
      </c>
      <c r="C117" s="16" t="s">
        <v>479</v>
      </c>
      <c r="D117" s="17">
        <f t="shared" si="21"/>
        <v>-5291484.23324</v>
      </c>
      <c r="E117" s="17">
        <f t="shared" si="21"/>
        <v>-5316756.3385200007</v>
      </c>
      <c r="F117" s="17">
        <f t="shared" si="21"/>
        <v>-5356762.1612799997</v>
      </c>
      <c r="G117" s="17">
        <f t="shared" si="21"/>
        <v>-5382525.1208600001</v>
      </c>
      <c r="H117" s="17">
        <f t="shared" si="21"/>
        <v>-5411871.7982899994</v>
      </c>
      <c r="I117" s="17">
        <f t="shared" si="21"/>
        <v>-5411871.7982899994</v>
      </c>
      <c r="J117" s="17">
        <f t="shared" si="21"/>
        <v>0</v>
      </c>
      <c r="K117" s="17">
        <f t="shared" si="21"/>
        <v>0</v>
      </c>
      <c r="L117" s="17">
        <f t="shared" si="21"/>
        <v>0</v>
      </c>
      <c r="M117" s="17">
        <f t="shared" si="21"/>
        <v>0</v>
      </c>
      <c r="N117" s="17">
        <f t="shared" si="21"/>
        <v>0</v>
      </c>
      <c r="O117" s="17">
        <f t="shared" si="21"/>
        <v>0</v>
      </c>
    </row>
    <row r="118" spans="2:15" ht="16" customHeight="1" thickBot="1" x14ac:dyDescent="0.4">
      <c r="B118" s="18" t="s">
        <v>480</v>
      </c>
      <c r="C118" s="18" t="s">
        <v>481</v>
      </c>
      <c r="D118" s="19">
        <f t="shared" si="21"/>
        <v>3324036.5033600004</v>
      </c>
      <c r="E118" s="19">
        <f t="shared" si="21"/>
        <v>3333227.97444</v>
      </c>
      <c r="F118" s="19">
        <f t="shared" si="21"/>
        <v>3344634.8427799996</v>
      </c>
      <c r="G118" s="19">
        <f t="shared" si="21"/>
        <v>3356876.6917599998</v>
      </c>
      <c r="H118" s="19">
        <f t="shared" si="21"/>
        <v>3368567.8009700002</v>
      </c>
      <c r="I118" s="19">
        <f t="shared" si="21"/>
        <v>3329297.2232600003</v>
      </c>
      <c r="J118" s="19">
        <f t="shared" si="21"/>
        <v>0</v>
      </c>
      <c r="K118" s="19">
        <f t="shared" si="21"/>
        <v>0</v>
      </c>
      <c r="L118" s="19">
        <f t="shared" si="21"/>
        <v>0</v>
      </c>
      <c r="M118" s="19">
        <f t="shared" si="21"/>
        <v>0</v>
      </c>
      <c r="N118" s="19">
        <f t="shared" si="21"/>
        <v>0</v>
      </c>
      <c r="O118" s="19">
        <f t="shared" si="21"/>
        <v>0</v>
      </c>
    </row>
    <row r="119" spans="2:15" ht="16" customHeight="1" x14ac:dyDescent="0.35">
      <c r="B119" s="11" t="s">
        <v>482</v>
      </c>
      <c r="C119" s="11" t="s">
        <v>22</v>
      </c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</row>
    <row r="120" spans="2:15" ht="16" customHeight="1" x14ac:dyDescent="0.35">
      <c r="B120" s="14" t="s">
        <v>483</v>
      </c>
      <c r="C120" s="14" t="s">
        <v>484</v>
      </c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</row>
    <row r="121" spans="2:15" ht="16" customHeight="1" x14ac:dyDescent="0.35">
      <c r="B121" s="14" t="s">
        <v>485</v>
      </c>
      <c r="C121" s="14" t="s">
        <v>486</v>
      </c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</row>
    <row r="122" spans="2:15" ht="16" customHeight="1" x14ac:dyDescent="0.35">
      <c r="B122" s="34" t="s">
        <v>487</v>
      </c>
      <c r="C122" s="34" t="s">
        <v>488</v>
      </c>
      <c r="D122" s="35">
        <f t="shared" ref="D122:O122" si="22">D120+D121</f>
        <v>0</v>
      </c>
      <c r="E122" s="35">
        <f t="shared" si="22"/>
        <v>0</v>
      </c>
      <c r="F122" s="35">
        <f t="shared" si="22"/>
        <v>0</v>
      </c>
      <c r="G122" s="35">
        <f t="shared" si="22"/>
        <v>0</v>
      </c>
      <c r="H122" s="35">
        <f t="shared" si="22"/>
        <v>0</v>
      </c>
      <c r="I122" s="35">
        <f t="shared" si="22"/>
        <v>0</v>
      </c>
      <c r="J122" s="35">
        <f t="shared" si="22"/>
        <v>0</v>
      </c>
      <c r="K122" s="35">
        <f t="shared" si="22"/>
        <v>0</v>
      </c>
      <c r="L122" s="35">
        <f t="shared" si="22"/>
        <v>0</v>
      </c>
      <c r="M122" s="35">
        <f t="shared" si="22"/>
        <v>0</v>
      </c>
      <c r="N122" s="35">
        <f t="shared" si="22"/>
        <v>0</v>
      </c>
      <c r="O122" s="35">
        <f t="shared" si="22"/>
        <v>0</v>
      </c>
    </row>
    <row r="123" spans="2:15" ht="16" customHeight="1" x14ac:dyDescent="0.35">
      <c r="B123" s="14" t="s">
        <v>489</v>
      </c>
      <c r="C123" s="14" t="s">
        <v>490</v>
      </c>
      <c r="D123" s="15"/>
      <c r="E123" s="15">
        <v>2836.7139200000001</v>
      </c>
      <c r="F123" s="15">
        <v>2836.7139200000001</v>
      </c>
      <c r="G123" s="15">
        <v>2836.7139200000001</v>
      </c>
      <c r="H123" s="15">
        <v>2836.7139200000001</v>
      </c>
      <c r="I123" s="15">
        <v>2836.7139200000001</v>
      </c>
      <c r="J123" s="15"/>
      <c r="K123" s="15"/>
      <c r="L123" s="15"/>
      <c r="M123" s="15"/>
      <c r="N123" s="15"/>
      <c r="O123" s="15"/>
    </row>
    <row r="124" spans="2:15" ht="16" customHeight="1" x14ac:dyDescent="0.35">
      <c r="B124" s="14" t="s">
        <v>491</v>
      </c>
      <c r="C124" s="14" t="s">
        <v>492</v>
      </c>
      <c r="D124" s="15"/>
      <c r="E124" s="15">
        <v>-2836.7139200000001</v>
      </c>
      <c r="F124" s="15">
        <v>-2836.7139200000001</v>
      </c>
      <c r="G124" s="15">
        <v>-2836.7139200000001</v>
      </c>
      <c r="H124" s="15">
        <v>-2836.7139200000001</v>
      </c>
      <c r="I124" s="15">
        <v>-2836.7139200000001</v>
      </c>
      <c r="J124" s="15"/>
      <c r="K124" s="15"/>
      <c r="L124" s="15"/>
      <c r="M124" s="15"/>
      <c r="N124" s="15"/>
      <c r="O124" s="15"/>
    </row>
    <row r="125" spans="2:15" ht="16" customHeight="1" x14ac:dyDescent="0.35">
      <c r="B125" s="34" t="s">
        <v>493</v>
      </c>
      <c r="C125" s="34" t="s">
        <v>494</v>
      </c>
      <c r="D125" s="35">
        <f t="shared" ref="D125:O125" si="23">D123+D124</f>
        <v>0</v>
      </c>
      <c r="E125" s="35">
        <f t="shared" si="23"/>
        <v>0</v>
      </c>
      <c r="F125" s="35">
        <f t="shared" si="23"/>
        <v>0</v>
      </c>
      <c r="G125" s="35">
        <f t="shared" si="23"/>
        <v>0</v>
      </c>
      <c r="H125" s="35">
        <f t="shared" si="23"/>
        <v>0</v>
      </c>
      <c r="I125" s="35">
        <f t="shared" si="23"/>
        <v>0</v>
      </c>
      <c r="J125" s="35">
        <f t="shared" si="23"/>
        <v>0</v>
      </c>
      <c r="K125" s="35">
        <f t="shared" si="23"/>
        <v>0</v>
      </c>
      <c r="L125" s="35">
        <f t="shared" si="23"/>
        <v>0</v>
      </c>
      <c r="M125" s="35">
        <f t="shared" si="23"/>
        <v>0</v>
      </c>
      <c r="N125" s="35">
        <f t="shared" si="23"/>
        <v>0</v>
      </c>
      <c r="O125" s="35">
        <f t="shared" si="23"/>
        <v>0</v>
      </c>
    </row>
    <row r="126" spans="2:15" ht="16" customHeight="1" x14ac:dyDescent="0.35">
      <c r="B126" s="14" t="s">
        <v>495</v>
      </c>
      <c r="C126" s="14" t="s">
        <v>496</v>
      </c>
      <c r="D126" s="15"/>
      <c r="E126" s="15">
        <v>55510.934999999998</v>
      </c>
      <c r="F126" s="15">
        <v>60067.568070000001</v>
      </c>
      <c r="G126" s="15">
        <v>60067.568070000001</v>
      </c>
      <c r="H126" s="15">
        <v>60067.568070000001</v>
      </c>
      <c r="I126" s="15">
        <v>60067.568070000001</v>
      </c>
      <c r="J126" s="15"/>
      <c r="K126" s="15"/>
      <c r="L126" s="15"/>
      <c r="M126" s="15"/>
      <c r="N126" s="15"/>
      <c r="O126" s="15"/>
    </row>
    <row r="127" spans="2:15" ht="16" customHeight="1" x14ac:dyDescent="0.35">
      <c r="B127" s="14" t="s">
        <v>497</v>
      </c>
      <c r="C127" s="14" t="s">
        <v>498</v>
      </c>
      <c r="D127" s="15"/>
      <c r="E127" s="15">
        <v>-54079.22049</v>
      </c>
      <c r="F127" s="15">
        <v>-58686.772559999998</v>
      </c>
      <c r="G127" s="15">
        <v>-58739.839740000003</v>
      </c>
      <c r="H127" s="15">
        <v>-58791.737739999997</v>
      </c>
      <c r="I127" s="15">
        <v>-58791.737739999997</v>
      </c>
      <c r="J127" s="15"/>
      <c r="K127" s="15"/>
      <c r="L127" s="15"/>
      <c r="M127" s="15"/>
      <c r="N127" s="15"/>
      <c r="O127" s="15"/>
    </row>
    <row r="128" spans="2:15" ht="16" customHeight="1" x14ac:dyDescent="0.35">
      <c r="B128" s="34" t="s">
        <v>499</v>
      </c>
      <c r="C128" s="34" t="s">
        <v>500</v>
      </c>
      <c r="D128" s="35">
        <f t="shared" ref="D128:O128" si="24">D126+D127</f>
        <v>0</v>
      </c>
      <c r="E128" s="35">
        <f t="shared" si="24"/>
        <v>1431.714509999998</v>
      </c>
      <c r="F128" s="35">
        <f t="shared" si="24"/>
        <v>1380.7955100000036</v>
      </c>
      <c r="G128" s="35">
        <f t="shared" si="24"/>
        <v>1327.7283299999981</v>
      </c>
      <c r="H128" s="35">
        <f t="shared" si="24"/>
        <v>1275.8303300000043</v>
      </c>
      <c r="I128" s="35">
        <f t="shared" si="24"/>
        <v>1275.8303300000043</v>
      </c>
      <c r="J128" s="35">
        <f t="shared" si="24"/>
        <v>0</v>
      </c>
      <c r="K128" s="35">
        <f t="shared" si="24"/>
        <v>0</v>
      </c>
      <c r="L128" s="35">
        <f t="shared" si="24"/>
        <v>0</v>
      </c>
      <c r="M128" s="35">
        <f t="shared" si="24"/>
        <v>0</v>
      </c>
      <c r="N128" s="35">
        <f t="shared" si="24"/>
        <v>0</v>
      </c>
      <c r="O128" s="35">
        <f t="shared" si="24"/>
        <v>0</v>
      </c>
    </row>
    <row r="129" spans="2:15" ht="16" customHeight="1" x14ac:dyDescent="0.35">
      <c r="B129" s="14" t="s">
        <v>501</v>
      </c>
      <c r="C129" s="14" t="s">
        <v>502</v>
      </c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</row>
    <row r="130" spans="2:15" ht="16" customHeight="1" x14ac:dyDescent="0.35">
      <c r="B130" s="14" t="s">
        <v>503</v>
      </c>
      <c r="C130" s="14" t="s">
        <v>504</v>
      </c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</row>
    <row r="131" spans="2:15" ht="16" customHeight="1" x14ac:dyDescent="0.35">
      <c r="B131" s="34" t="s">
        <v>505</v>
      </c>
      <c r="C131" s="34" t="s">
        <v>506</v>
      </c>
      <c r="D131" s="35">
        <f t="shared" ref="D131:O131" si="25">D129+D130</f>
        <v>0</v>
      </c>
      <c r="E131" s="35">
        <f t="shared" si="25"/>
        <v>0</v>
      </c>
      <c r="F131" s="35">
        <f t="shared" si="25"/>
        <v>0</v>
      </c>
      <c r="G131" s="35">
        <f t="shared" si="25"/>
        <v>0</v>
      </c>
      <c r="H131" s="35">
        <f t="shared" si="25"/>
        <v>0</v>
      </c>
      <c r="I131" s="35">
        <f t="shared" si="25"/>
        <v>0</v>
      </c>
      <c r="J131" s="35">
        <f t="shared" si="25"/>
        <v>0</v>
      </c>
      <c r="K131" s="35">
        <f t="shared" si="25"/>
        <v>0</v>
      </c>
      <c r="L131" s="35">
        <f t="shared" si="25"/>
        <v>0</v>
      </c>
      <c r="M131" s="35">
        <f t="shared" si="25"/>
        <v>0</v>
      </c>
      <c r="N131" s="35">
        <f t="shared" si="25"/>
        <v>0</v>
      </c>
      <c r="O131" s="35">
        <f t="shared" si="25"/>
        <v>0</v>
      </c>
    </row>
    <row r="132" spans="2:15" ht="16" customHeight="1" x14ac:dyDescent="0.35">
      <c r="B132" s="14" t="s">
        <v>507</v>
      </c>
      <c r="C132" s="14" t="s">
        <v>508</v>
      </c>
      <c r="D132" s="15"/>
      <c r="E132" s="15"/>
      <c r="F132" s="15">
        <v>4264.5429999999997</v>
      </c>
      <c r="G132" s="15">
        <v>4264.5429999999997</v>
      </c>
      <c r="H132" s="15">
        <v>4264.5429999999997</v>
      </c>
      <c r="I132" s="15">
        <v>4264.5429999999997</v>
      </c>
      <c r="J132" s="15"/>
      <c r="K132" s="15"/>
      <c r="L132" s="15"/>
      <c r="M132" s="15"/>
      <c r="N132" s="15"/>
      <c r="O132" s="15"/>
    </row>
    <row r="133" spans="2:15" ht="16" customHeight="1" x14ac:dyDescent="0.35">
      <c r="B133" s="14" t="s">
        <v>509</v>
      </c>
      <c r="C133" s="14" t="s">
        <v>510</v>
      </c>
      <c r="D133" s="15"/>
      <c r="E133" s="15"/>
      <c r="F133" s="15">
        <v>-4264.5429999999997</v>
      </c>
      <c r="G133" s="15">
        <v>-4264.5429999999997</v>
      </c>
      <c r="H133" s="15">
        <v>-4264.5429999999997</v>
      </c>
      <c r="I133" s="15">
        <v>-4264.5429999999997</v>
      </c>
      <c r="J133" s="15"/>
      <c r="K133" s="15"/>
      <c r="L133" s="15"/>
      <c r="M133" s="15"/>
      <c r="N133" s="15"/>
      <c r="O133" s="15"/>
    </row>
    <row r="134" spans="2:15" ht="16" customHeight="1" x14ac:dyDescent="0.35">
      <c r="B134" s="34" t="s">
        <v>511</v>
      </c>
      <c r="C134" s="34" t="s">
        <v>512</v>
      </c>
      <c r="D134" s="35">
        <f t="shared" ref="D134:O134" si="26">D132+D133</f>
        <v>0</v>
      </c>
      <c r="E134" s="35">
        <f t="shared" si="26"/>
        <v>0</v>
      </c>
      <c r="F134" s="35">
        <f t="shared" si="26"/>
        <v>0</v>
      </c>
      <c r="G134" s="35">
        <f t="shared" si="26"/>
        <v>0</v>
      </c>
      <c r="H134" s="35">
        <f t="shared" si="26"/>
        <v>0</v>
      </c>
      <c r="I134" s="35">
        <f t="shared" si="26"/>
        <v>0</v>
      </c>
      <c r="J134" s="35">
        <f t="shared" si="26"/>
        <v>0</v>
      </c>
      <c r="K134" s="35">
        <f t="shared" si="26"/>
        <v>0</v>
      </c>
      <c r="L134" s="35">
        <f t="shared" si="26"/>
        <v>0</v>
      </c>
      <c r="M134" s="35">
        <f t="shared" si="26"/>
        <v>0</v>
      </c>
      <c r="N134" s="35">
        <f t="shared" si="26"/>
        <v>0</v>
      </c>
      <c r="O134" s="35">
        <f t="shared" si="26"/>
        <v>0</v>
      </c>
    </row>
    <row r="135" spans="2:15" ht="16" customHeight="1" x14ac:dyDescent="0.35">
      <c r="B135" s="14" t="s">
        <v>513</v>
      </c>
      <c r="C135" s="14" t="s">
        <v>514</v>
      </c>
      <c r="D135" s="15"/>
      <c r="E135" s="15">
        <v>14243.939479999999</v>
      </c>
      <c r="F135" s="15">
        <v>5422.7634099999996</v>
      </c>
      <c r="G135" s="15">
        <v>5422.7634099999996</v>
      </c>
      <c r="H135" s="15">
        <v>5422.7634099999996</v>
      </c>
      <c r="I135" s="15">
        <v>5422.7634099999996</v>
      </c>
      <c r="J135" s="15"/>
      <c r="K135" s="15"/>
      <c r="L135" s="15"/>
      <c r="M135" s="15"/>
      <c r="N135" s="15"/>
      <c r="O135" s="15"/>
    </row>
    <row r="136" spans="2:15" ht="16" customHeight="1" x14ac:dyDescent="0.35">
      <c r="B136" s="14" t="s">
        <v>515</v>
      </c>
      <c r="C136" s="14" t="s">
        <v>516</v>
      </c>
      <c r="D136" s="15"/>
      <c r="E136" s="15">
        <v>-14238.903840000001</v>
      </c>
      <c r="F136" s="15">
        <v>-5417.7277700000004</v>
      </c>
      <c r="G136" s="15">
        <v>-5417.7277700000004</v>
      </c>
      <c r="H136" s="15">
        <v>-5417.7277700000004</v>
      </c>
      <c r="I136" s="15">
        <v>-5417.7277700000004</v>
      </c>
      <c r="J136" s="15"/>
      <c r="K136" s="15"/>
      <c r="L136" s="15"/>
      <c r="M136" s="15"/>
      <c r="N136" s="15"/>
      <c r="O136" s="15"/>
    </row>
    <row r="137" spans="2:15" ht="16" customHeight="1" x14ac:dyDescent="0.35">
      <c r="B137" s="34" t="s">
        <v>517</v>
      </c>
      <c r="C137" s="34" t="s">
        <v>518</v>
      </c>
      <c r="D137" s="35">
        <f t="shared" ref="D137:O137" si="27">D135+D136</f>
        <v>0</v>
      </c>
      <c r="E137" s="35">
        <f t="shared" si="27"/>
        <v>5.0356399999982386</v>
      </c>
      <c r="F137" s="35">
        <f t="shared" si="27"/>
        <v>5.0356399999991481</v>
      </c>
      <c r="G137" s="35">
        <f t="shared" si="27"/>
        <v>5.0356399999991481</v>
      </c>
      <c r="H137" s="35">
        <f t="shared" si="27"/>
        <v>5.0356399999991481</v>
      </c>
      <c r="I137" s="35">
        <f t="shared" si="27"/>
        <v>5.0356399999991481</v>
      </c>
      <c r="J137" s="35">
        <f t="shared" si="27"/>
        <v>0</v>
      </c>
      <c r="K137" s="35">
        <f t="shared" si="27"/>
        <v>0</v>
      </c>
      <c r="L137" s="35">
        <f t="shared" si="27"/>
        <v>0</v>
      </c>
      <c r="M137" s="35">
        <f t="shared" si="27"/>
        <v>0</v>
      </c>
      <c r="N137" s="35">
        <f t="shared" si="27"/>
        <v>0</v>
      </c>
      <c r="O137" s="35">
        <f t="shared" si="27"/>
        <v>0</v>
      </c>
    </row>
    <row r="138" spans="2:15" ht="16" customHeight="1" x14ac:dyDescent="0.35">
      <c r="B138" s="14" t="s">
        <v>519</v>
      </c>
      <c r="C138" s="14" t="s">
        <v>520</v>
      </c>
      <c r="D138" s="15">
        <v>72589.582559999995</v>
      </c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</row>
    <row r="139" spans="2:15" ht="16" customHeight="1" x14ac:dyDescent="0.35">
      <c r="B139" s="14" t="s">
        <v>521</v>
      </c>
      <c r="C139" s="14" t="s">
        <v>522</v>
      </c>
      <c r="D139" s="15">
        <v>-71108.846250000002</v>
      </c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</row>
    <row r="140" spans="2:15" ht="16" customHeight="1" x14ac:dyDescent="0.35">
      <c r="B140" s="34" t="s">
        <v>523</v>
      </c>
      <c r="C140" s="34" t="s">
        <v>524</v>
      </c>
      <c r="D140" s="35">
        <f t="shared" ref="D140:O140" si="28">D138+D139</f>
        <v>1480.736309999993</v>
      </c>
      <c r="E140" s="35">
        <f t="shared" si="28"/>
        <v>0</v>
      </c>
      <c r="F140" s="35">
        <f t="shared" si="28"/>
        <v>0</v>
      </c>
      <c r="G140" s="35">
        <f t="shared" si="28"/>
        <v>0</v>
      </c>
      <c r="H140" s="35">
        <f t="shared" si="28"/>
        <v>0</v>
      </c>
      <c r="I140" s="35">
        <f t="shared" si="28"/>
        <v>0</v>
      </c>
      <c r="J140" s="35">
        <f t="shared" si="28"/>
        <v>0</v>
      </c>
      <c r="K140" s="35">
        <f t="shared" si="28"/>
        <v>0</v>
      </c>
      <c r="L140" s="35">
        <f t="shared" si="28"/>
        <v>0</v>
      </c>
      <c r="M140" s="35">
        <f t="shared" si="28"/>
        <v>0</v>
      </c>
      <c r="N140" s="35">
        <f t="shared" si="28"/>
        <v>0</v>
      </c>
      <c r="O140" s="35">
        <f t="shared" si="28"/>
        <v>0</v>
      </c>
    </row>
    <row r="141" spans="2:15" ht="16" customHeight="1" x14ac:dyDescent="0.35">
      <c r="B141" s="11" t="s">
        <v>525</v>
      </c>
      <c r="C141" s="11" t="s">
        <v>475</v>
      </c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</row>
    <row r="142" spans="2:15" ht="16" customHeight="1" x14ac:dyDescent="0.35">
      <c r="B142" s="16" t="s">
        <v>526</v>
      </c>
      <c r="C142" s="16" t="s">
        <v>527</v>
      </c>
      <c r="D142" s="17">
        <f t="shared" ref="D142:O144" si="29">D120+D123+D126+D129+D132+D135+D138</f>
        <v>72589.582559999995</v>
      </c>
      <c r="E142" s="17">
        <f t="shared" si="29"/>
        <v>72591.588399999993</v>
      </c>
      <c r="F142" s="17">
        <f t="shared" si="29"/>
        <v>72591.588400000008</v>
      </c>
      <c r="G142" s="17">
        <f t="shared" si="29"/>
        <v>72591.588400000008</v>
      </c>
      <c r="H142" s="17">
        <f t="shared" si="29"/>
        <v>72591.588400000008</v>
      </c>
      <c r="I142" s="17">
        <f t="shared" si="29"/>
        <v>72591.588400000008</v>
      </c>
      <c r="J142" s="17">
        <f t="shared" si="29"/>
        <v>0</v>
      </c>
      <c r="K142" s="17">
        <f t="shared" si="29"/>
        <v>0</v>
      </c>
      <c r="L142" s="17">
        <f t="shared" si="29"/>
        <v>0</v>
      </c>
      <c r="M142" s="17">
        <f t="shared" si="29"/>
        <v>0</v>
      </c>
      <c r="N142" s="17">
        <f t="shared" si="29"/>
        <v>0</v>
      </c>
      <c r="O142" s="17">
        <f t="shared" si="29"/>
        <v>0</v>
      </c>
    </row>
    <row r="143" spans="2:15" ht="16" customHeight="1" thickBot="1" x14ac:dyDescent="0.4">
      <c r="B143" s="16" t="s">
        <v>528</v>
      </c>
      <c r="C143" s="16" t="s">
        <v>529</v>
      </c>
      <c r="D143" s="17">
        <f t="shared" si="29"/>
        <v>-71108.846250000002</v>
      </c>
      <c r="E143" s="17">
        <f t="shared" si="29"/>
        <v>-71154.838250000001</v>
      </c>
      <c r="F143" s="17">
        <f t="shared" si="29"/>
        <v>-71205.757249999995</v>
      </c>
      <c r="G143" s="17">
        <f t="shared" si="29"/>
        <v>-71258.824430000008</v>
      </c>
      <c r="H143" s="17">
        <f t="shared" si="29"/>
        <v>-71310.722429999994</v>
      </c>
      <c r="I143" s="17">
        <f t="shared" si="29"/>
        <v>-71310.722429999994</v>
      </c>
      <c r="J143" s="17">
        <f t="shared" si="29"/>
        <v>0</v>
      </c>
      <c r="K143" s="17">
        <f t="shared" si="29"/>
        <v>0</v>
      </c>
      <c r="L143" s="17">
        <f t="shared" si="29"/>
        <v>0</v>
      </c>
      <c r="M143" s="17">
        <f t="shared" si="29"/>
        <v>0</v>
      </c>
      <c r="N143" s="17">
        <f t="shared" si="29"/>
        <v>0</v>
      </c>
      <c r="O143" s="17">
        <f t="shared" si="29"/>
        <v>0</v>
      </c>
    </row>
    <row r="144" spans="2:15" ht="16" customHeight="1" thickBot="1" x14ac:dyDescent="0.4">
      <c r="B144" s="18" t="s">
        <v>530</v>
      </c>
      <c r="C144" s="18" t="s">
        <v>531</v>
      </c>
      <c r="D144" s="19">
        <f t="shared" si="29"/>
        <v>1480.736309999993</v>
      </c>
      <c r="E144" s="19">
        <f t="shared" si="29"/>
        <v>1436.7501499999962</v>
      </c>
      <c r="F144" s="19">
        <f t="shared" si="29"/>
        <v>1385.8311500000027</v>
      </c>
      <c r="G144" s="19">
        <f t="shared" si="29"/>
        <v>1332.7639699999972</v>
      </c>
      <c r="H144" s="19">
        <f t="shared" si="29"/>
        <v>1280.8659700000035</v>
      </c>
      <c r="I144" s="19">
        <f t="shared" si="29"/>
        <v>1280.8659700000035</v>
      </c>
      <c r="J144" s="19">
        <f t="shared" si="29"/>
        <v>0</v>
      </c>
      <c r="K144" s="19">
        <f t="shared" si="29"/>
        <v>0</v>
      </c>
      <c r="L144" s="19">
        <f t="shared" si="29"/>
        <v>0</v>
      </c>
      <c r="M144" s="19">
        <f t="shared" si="29"/>
        <v>0</v>
      </c>
      <c r="N144" s="19">
        <f t="shared" si="29"/>
        <v>0</v>
      </c>
      <c r="O144" s="19">
        <f t="shared" si="29"/>
        <v>0</v>
      </c>
    </row>
    <row r="145" spans="2:15" ht="16" customHeight="1" x14ac:dyDescent="0.35">
      <c r="B145" s="11" t="s">
        <v>532</v>
      </c>
      <c r="C145" s="11" t="s">
        <v>22</v>
      </c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</row>
    <row r="146" spans="2:15" ht="16" customHeight="1" x14ac:dyDescent="0.35">
      <c r="B146" s="14" t="s">
        <v>533</v>
      </c>
      <c r="C146" s="14" t="s">
        <v>534</v>
      </c>
      <c r="D146" s="15">
        <v>82815.630990000005</v>
      </c>
      <c r="E146" s="15">
        <v>82815.630990000005</v>
      </c>
      <c r="F146" s="15">
        <v>82815.630990000005</v>
      </c>
      <c r="G146" s="15">
        <v>82815.630990000005</v>
      </c>
      <c r="H146" s="15">
        <v>82815.630990000005</v>
      </c>
      <c r="I146" s="15">
        <v>82815.630990000005</v>
      </c>
      <c r="J146" s="15"/>
      <c r="K146" s="15"/>
      <c r="L146" s="15"/>
      <c r="M146" s="15"/>
      <c r="N146" s="15"/>
      <c r="O146" s="15"/>
    </row>
    <row r="147" spans="2:15" ht="16" customHeight="1" x14ac:dyDescent="0.35">
      <c r="B147" s="14" t="s">
        <v>535</v>
      </c>
      <c r="C147" s="14" t="s">
        <v>536</v>
      </c>
      <c r="D147" s="15">
        <v>-2.0000000000000002E-5</v>
      </c>
      <c r="E147" s="15">
        <v>-2.0000000000000002E-5</v>
      </c>
      <c r="F147" s="15">
        <v>-2.0000000000000002E-5</v>
      </c>
      <c r="G147" s="15">
        <v>-2.0000000000000002E-5</v>
      </c>
      <c r="H147" s="15">
        <v>-2.0000000000000002E-5</v>
      </c>
      <c r="I147" s="15">
        <v>-2.0000000000000002E-5</v>
      </c>
      <c r="J147" s="15"/>
      <c r="K147" s="15"/>
      <c r="L147" s="15"/>
      <c r="M147" s="15"/>
      <c r="N147" s="15"/>
      <c r="O147" s="15"/>
    </row>
    <row r="148" spans="2:15" ht="16" customHeight="1" x14ac:dyDescent="0.35">
      <c r="B148" s="14" t="s">
        <v>537</v>
      </c>
      <c r="C148" s="14" t="s">
        <v>538</v>
      </c>
      <c r="D148" s="15">
        <v>1052539.90766</v>
      </c>
      <c r="E148" s="15">
        <v>1052539.90766</v>
      </c>
      <c r="F148" s="15">
        <v>1052539.90766</v>
      </c>
      <c r="G148" s="15">
        <v>1052539.90766</v>
      </c>
      <c r="H148" s="15">
        <v>1052539.90766</v>
      </c>
      <c r="I148" s="15">
        <v>1052539.90766</v>
      </c>
      <c r="J148" s="15"/>
      <c r="K148" s="15"/>
      <c r="L148" s="15"/>
      <c r="M148" s="15"/>
      <c r="N148" s="15"/>
      <c r="O148" s="15"/>
    </row>
    <row r="149" spans="2:15" ht="16" customHeight="1" x14ac:dyDescent="0.35">
      <c r="B149" s="14" t="s">
        <v>539</v>
      </c>
      <c r="C149" s="14" t="s">
        <v>540</v>
      </c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</row>
    <row r="150" spans="2:15" ht="16" customHeight="1" x14ac:dyDescent="0.35">
      <c r="B150" s="16" t="s">
        <v>541</v>
      </c>
      <c r="C150" s="16" t="s">
        <v>542</v>
      </c>
      <c r="D150" s="17">
        <f t="shared" ref="D150:O150" si="30">D146+D147+D148+D149</f>
        <v>1135355.5386300001</v>
      </c>
      <c r="E150" s="17">
        <f t="shared" si="30"/>
        <v>1135355.5386300001</v>
      </c>
      <c r="F150" s="17">
        <f t="shared" si="30"/>
        <v>1135355.5386300001</v>
      </c>
      <c r="G150" s="17">
        <f t="shared" si="30"/>
        <v>1135355.5386300001</v>
      </c>
      <c r="H150" s="17">
        <f t="shared" si="30"/>
        <v>1135355.5386300001</v>
      </c>
      <c r="I150" s="17">
        <f t="shared" si="30"/>
        <v>1135355.5386300001</v>
      </c>
      <c r="J150" s="17">
        <f t="shared" si="30"/>
        <v>0</v>
      </c>
      <c r="K150" s="17">
        <f t="shared" si="30"/>
        <v>0</v>
      </c>
      <c r="L150" s="17">
        <f t="shared" si="30"/>
        <v>0</v>
      </c>
      <c r="M150" s="17">
        <f t="shared" si="30"/>
        <v>0</v>
      </c>
      <c r="N150" s="17">
        <f t="shared" si="30"/>
        <v>0</v>
      </c>
      <c r="O150" s="17">
        <f t="shared" si="30"/>
        <v>0</v>
      </c>
    </row>
    <row r="151" spans="2:15" ht="16" customHeight="1" x14ac:dyDescent="0.35">
      <c r="B151" s="11" t="s">
        <v>543</v>
      </c>
      <c r="C151" s="11" t="s">
        <v>22</v>
      </c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</row>
    <row r="152" spans="2:15" ht="16" customHeight="1" x14ac:dyDescent="0.35">
      <c r="B152" s="14" t="s">
        <v>544</v>
      </c>
      <c r="C152" s="14" t="s">
        <v>545</v>
      </c>
      <c r="D152" s="15">
        <v>41303.062440000002</v>
      </c>
      <c r="E152" s="15">
        <v>40445.664709999997</v>
      </c>
      <c r="F152" s="15">
        <v>39618.857709999997</v>
      </c>
      <c r="G152" s="15">
        <v>38821.31349</v>
      </c>
      <c r="H152" s="15">
        <v>37957.170510000004</v>
      </c>
      <c r="I152" s="15">
        <v>37957.170510000004</v>
      </c>
      <c r="J152" s="15"/>
      <c r="K152" s="15"/>
      <c r="L152" s="15"/>
      <c r="M152" s="15"/>
      <c r="N152" s="15"/>
      <c r="O152" s="15"/>
    </row>
    <row r="153" spans="2:15" ht="16" customHeight="1" x14ac:dyDescent="0.35">
      <c r="B153" s="14" t="s">
        <v>546</v>
      </c>
      <c r="C153" s="14" t="s">
        <v>547</v>
      </c>
      <c r="D153" s="15">
        <v>11071.81417</v>
      </c>
      <c r="E153" s="15">
        <v>10907.029469999999</v>
      </c>
      <c r="F153" s="15">
        <v>10753.78124</v>
      </c>
      <c r="G153" s="15">
        <v>10606.94968</v>
      </c>
      <c r="H153" s="15">
        <v>10459.43957</v>
      </c>
      <c r="I153" s="15">
        <v>10459.43957</v>
      </c>
      <c r="J153" s="15"/>
      <c r="K153" s="15"/>
      <c r="L153" s="15"/>
      <c r="M153" s="15"/>
      <c r="N153" s="15"/>
      <c r="O153" s="15"/>
    </row>
    <row r="154" spans="2:15" ht="16" customHeight="1" x14ac:dyDescent="0.35">
      <c r="B154" s="14" t="s">
        <v>548</v>
      </c>
      <c r="C154" s="14" t="s">
        <v>549</v>
      </c>
      <c r="D154" s="15">
        <v>3815.0192499999998</v>
      </c>
      <c r="E154" s="15">
        <v>3763.4195</v>
      </c>
      <c r="F154" s="15">
        <v>3740.2097399999998</v>
      </c>
      <c r="G154" s="15">
        <v>3956.7423100000001</v>
      </c>
      <c r="H154" s="15">
        <v>3850.5225999999998</v>
      </c>
      <c r="I154" s="15">
        <v>3850.5225999999998</v>
      </c>
      <c r="J154" s="15"/>
      <c r="K154" s="15"/>
      <c r="L154" s="15"/>
      <c r="M154" s="15"/>
      <c r="N154" s="15"/>
      <c r="O154" s="15"/>
    </row>
    <row r="155" spans="2:15" ht="16" customHeight="1" x14ac:dyDescent="0.35">
      <c r="B155" s="14" t="s">
        <v>550</v>
      </c>
      <c r="C155" s="14" t="s">
        <v>551</v>
      </c>
      <c r="D155" s="15">
        <v>101531.67339</v>
      </c>
      <c r="E155" s="15">
        <v>99964.58223</v>
      </c>
      <c r="F155" s="15">
        <v>110138.01474</v>
      </c>
      <c r="G155" s="15">
        <v>106807.62882</v>
      </c>
      <c r="H155" s="15">
        <v>115507.72745000001</v>
      </c>
      <c r="I155" s="15">
        <v>103828.59977</v>
      </c>
      <c r="J155" s="15"/>
      <c r="K155" s="15"/>
      <c r="L155" s="15"/>
      <c r="M155" s="15"/>
      <c r="N155" s="15"/>
      <c r="O155" s="15"/>
    </row>
    <row r="156" spans="2:15" ht="16" customHeight="1" x14ac:dyDescent="0.35">
      <c r="B156" s="16" t="s">
        <v>552</v>
      </c>
      <c r="C156" s="16" t="s">
        <v>553</v>
      </c>
      <c r="D156" s="17">
        <f t="shared" ref="D156:O156" si="31">D152+D153+D154+D155</f>
        <v>157721.56925</v>
      </c>
      <c r="E156" s="17">
        <f t="shared" si="31"/>
        <v>155080.69591000001</v>
      </c>
      <c r="F156" s="17">
        <f t="shared" si="31"/>
        <v>164250.86343</v>
      </c>
      <c r="G156" s="17">
        <f t="shared" si="31"/>
        <v>160192.63430000001</v>
      </c>
      <c r="H156" s="17">
        <f t="shared" si="31"/>
        <v>167774.86013000002</v>
      </c>
      <c r="I156" s="17">
        <f t="shared" si="31"/>
        <v>156095.73245000001</v>
      </c>
      <c r="J156" s="17">
        <f t="shared" si="31"/>
        <v>0</v>
      </c>
      <c r="K156" s="17">
        <f t="shared" si="31"/>
        <v>0</v>
      </c>
      <c r="L156" s="17">
        <f t="shared" si="31"/>
        <v>0</v>
      </c>
      <c r="M156" s="17">
        <f t="shared" si="31"/>
        <v>0</v>
      </c>
      <c r="N156" s="17">
        <f t="shared" si="31"/>
        <v>0</v>
      </c>
      <c r="O156" s="17">
        <f t="shared" si="31"/>
        <v>0</v>
      </c>
    </row>
    <row r="157" spans="2:15" ht="16" customHeight="1" x14ac:dyDescent="0.35">
      <c r="B157" s="11" t="s">
        <v>105</v>
      </c>
      <c r="C157" s="11" t="s">
        <v>22</v>
      </c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</row>
    <row r="158" spans="2:15" ht="16" customHeight="1" x14ac:dyDescent="0.35">
      <c r="B158" s="14" t="s">
        <v>554</v>
      </c>
      <c r="C158" s="14" t="s">
        <v>555</v>
      </c>
      <c r="D158" s="15">
        <v>2.5000000000000001E-4</v>
      </c>
      <c r="E158" s="15">
        <v>2.5000000000000001E-4</v>
      </c>
      <c r="F158" s="15">
        <v>2.5000000000000001E-4</v>
      </c>
      <c r="G158" s="15">
        <v>0</v>
      </c>
      <c r="H158" s="15">
        <v>0</v>
      </c>
      <c r="I158" s="15">
        <v>0</v>
      </c>
      <c r="J158" s="15"/>
      <c r="K158" s="15"/>
      <c r="L158" s="15"/>
      <c r="M158" s="15"/>
      <c r="N158" s="15"/>
      <c r="O158" s="15"/>
    </row>
    <row r="159" spans="2:15" ht="16" customHeight="1" x14ac:dyDescent="0.35">
      <c r="B159" s="11" t="s">
        <v>556</v>
      </c>
      <c r="C159" s="11" t="s">
        <v>22</v>
      </c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</row>
    <row r="160" spans="2:15" ht="16" customHeight="1" x14ac:dyDescent="0.35">
      <c r="B160" s="14" t="s">
        <v>557</v>
      </c>
      <c r="C160" s="14" t="s">
        <v>558</v>
      </c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</row>
    <row r="161" spans="2:15" ht="16" customHeight="1" thickBot="1" x14ac:dyDescent="0.4">
      <c r="B161" s="11" t="s">
        <v>559</v>
      </c>
      <c r="C161" s="11" t="s">
        <v>22</v>
      </c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</row>
    <row r="162" spans="2:15" ht="16" customHeight="1" thickBot="1" x14ac:dyDescent="0.4">
      <c r="B162" s="18" t="s">
        <v>560</v>
      </c>
      <c r="C162" s="18" t="s">
        <v>561</v>
      </c>
      <c r="D162" s="19">
        <f t="shared" ref="D162:O162" si="32">D68+D72+D74+D118+D150+D144+D158+D160+D156</f>
        <v>5762142.2054499993</v>
      </c>
      <c r="E162" s="19">
        <f t="shared" si="32"/>
        <v>5740967.4146199999</v>
      </c>
      <c r="F162" s="19">
        <f t="shared" si="32"/>
        <v>5779377.1875499999</v>
      </c>
      <c r="G162" s="19">
        <f t="shared" si="32"/>
        <v>5808091.4999599997</v>
      </c>
      <c r="H162" s="19">
        <f t="shared" si="32"/>
        <v>5843021.7484900001</v>
      </c>
      <c r="I162" s="19">
        <f t="shared" si="32"/>
        <v>5800268.0292600011</v>
      </c>
      <c r="J162" s="19">
        <f t="shared" si="32"/>
        <v>0</v>
      </c>
      <c r="K162" s="19">
        <f t="shared" si="32"/>
        <v>0</v>
      </c>
      <c r="L162" s="19">
        <f t="shared" si="32"/>
        <v>0</v>
      </c>
      <c r="M162" s="19">
        <f t="shared" si="32"/>
        <v>0</v>
      </c>
      <c r="N162" s="19">
        <f t="shared" si="32"/>
        <v>0</v>
      </c>
      <c r="O162" s="19">
        <f t="shared" si="32"/>
        <v>0</v>
      </c>
    </row>
    <row r="163" spans="2:15" ht="16" customHeight="1" thickBot="1" x14ac:dyDescent="0.4">
      <c r="B163" s="11" t="s">
        <v>562</v>
      </c>
      <c r="C163" s="11" t="s">
        <v>22</v>
      </c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</row>
    <row r="164" spans="2:15" ht="16" customHeight="1" thickBot="1" x14ac:dyDescent="0.4">
      <c r="B164" s="18" t="s">
        <v>563</v>
      </c>
      <c r="C164" s="18" t="s">
        <v>564</v>
      </c>
      <c r="D164" s="19">
        <f t="shared" ref="D164:O164" si="33">D59+D162</f>
        <v>8553540.8045700006</v>
      </c>
      <c r="E164" s="19">
        <f t="shared" si="33"/>
        <v>8508816.3453700002</v>
      </c>
      <c r="F164" s="19">
        <f t="shared" si="33"/>
        <v>8540885.3217399996</v>
      </c>
      <c r="G164" s="19">
        <f t="shared" si="33"/>
        <v>8758954.9437899999</v>
      </c>
      <c r="H164" s="19">
        <f t="shared" si="33"/>
        <v>8880870.0730600003</v>
      </c>
      <c r="I164" s="19">
        <f t="shared" si="33"/>
        <v>8869623.4201900009</v>
      </c>
      <c r="J164" s="19">
        <f t="shared" si="33"/>
        <v>0</v>
      </c>
      <c r="K164" s="19">
        <f t="shared" si="33"/>
        <v>0</v>
      </c>
      <c r="L164" s="19">
        <f t="shared" si="33"/>
        <v>0</v>
      </c>
      <c r="M164" s="19">
        <f t="shared" si="33"/>
        <v>0</v>
      </c>
      <c r="N164" s="19">
        <f t="shared" si="33"/>
        <v>0</v>
      </c>
      <c r="O164" s="19">
        <f t="shared" si="33"/>
        <v>0</v>
      </c>
    </row>
    <row r="165" spans="2:15" ht="16" customHeight="1" x14ac:dyDescent="0.35">
      <c r="B165" s="11" t="s">
        <v>565</v>
      </c>
      <c r="C165" s="11" t="s">
        <v>22</v>
      </c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</row>
    <row r="166" spans="2:15" ht="16" customHeight="1" x14ac:dyDescent="0.35">
      <c r="B166" s="14" t="s">
        <v>566</v>
      </c>
      <c r="C166" s="14" t="s">
        <v>567</v>
      </c>
      <c r="D166" s="15">
        <v>5958.29457</v>
      </c>
      <c r="E166" s="15">
        <v>5013.777</v>
      </c>
      <c r="F166" s="15">
        <v>8602.9451200000003</v>
      </c>
      <c r="G166" s="15">
        <v>8831.2709400000003</v>
      </c>
      <c r="H166" s="15">
        <v>15743.256020000001</v>
      </c>
      <c r="I166" s="15">
        <v>16257.86205</v>
      </c>
      <c r="J166" s="15"/>
      <c r="K166" s="15"/>
      <c r="L166" s="15"/>
      <c r="M166" s="15"/>
      <c r="N166" s="15"/>
      <c r="O166" s="15"/>
    </row>
    <row r="167" spans="2:15" ht="16" customHeight="1" x14ac:dyDescent="0.35">
      <c r="B167" s="14" t="s">
        <v>568</v>
      </c>
      <c r="C167" s="14" t="s">
        <v>569</v>
      </c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</row>
    <row r="168" spans="2:15" ht="16" customHeight="1" x14ac:dyDescent="0.35">
      <c r="B168" s="14" t="s">
        <v>570</v>
      </c>
      <c r="C168" s="14" t="s">
        <v>571</v>
      </c>
      <c r="D168" s="15">
        <v>280459.24930000002</v>
      </c>
      <c r="E168" s="15">
        <v>314951.58692999999</v>
      </c>
      <c r="F168" s="15">
        <v>312842.84993000003</v>
      </c>
      <c r="G168" s="15">
        <v>343124.18839999998</v>
      </c>
      <c r="H168" s="15">
        <v>334182.90156999999</v>
      </c>
      <c r="I168" s="15">
        <v>309995.76587</v>
      </c>
      <c r="J168" s="15"/>
      <c r="K168" s="15"/>
      <c r="L168" s="15"/>
      <c r="M168" s="15"/>
      <c r="N168" s="15"/>
      <c r="O168" s="15"/>
    </row>
    <row r="169" spans="2:15" ht="16" customHeight="1" x14ac:dyDescent="0.35">
      <c r="B169" s="14" t="s">
        <v>572</v>
      </c>
      <c r="C169" s="14" t="s">
        <v>573</v>
      </c>
      <c r="D169" s="15">
        <v>7864.9495900000002</v>
      </c>
      <c r="E169" s="15">
        <v>10473.07958</v>
      </c>
      <c r="F169" s="15">
        <v>5879.6198299999996</v>
      </c>
      <c r="G169" s="15">
        <v>3836.2452199999998</v>
      </c>
      <c r="H169" s="15">
        <v>3157.8740899999998</v>
      </c>
      <c r="I169" s="15">
        <v>0</v>
      </c>
      <c r="J169" s="15"/>
      <c r="K169" s="15"/>
      <c r="L169" s="15"/>
      <c r="M169" s="15"/>
      <c r="N169" s="15"/>
      <c r="O169" s="15"/>
    </row>
    <row r="170" spans="2:15" ht="16" customHeight="1" x14ac:dyDescent="0.35">
      <c r="B170" s="16" t="s">
        <v>574</v>
      </c>
      <c r="C170" s="16" t="s">
        <v>575</v>
      </c>
      <c r="D170" s="17">
        <f t="shared" ref="D170:O170" si="34">-(-(D166+D167)-D168-D169)</f>
        <v>294282.49346000003</v>
      </c>
      <c r="E170" s="17">
        <f t="shared" si="34"/>
        <v>330438.44351000001</v>
      </c>
      <c r="F170" s="17">
        <f t="shared" si="34"/>
        <v>327325.41488</v>
      </c>
      <c r="G170" s="17">
        <f t="shared" si="34"/>
        <v>355791.70455999998</v>
      </c>
      <c r="H170" s="17">
        <f t="shared" si="34"/>
        <v>353084.03167999996</v>
      </c>
      <c r="I170" s="17">
        <f t="shared" si="34"/>
        <v>326253.62792</v>
      </c>
      <c r="J170" s="17">
        <f t="shared" si="34"/>
        <v>0</v>
      </c>
      <c r="K170" s="17">
        <f t="shared" si="34"/>
        <v>0</v>
      </c>
      <c r="L170" s="17">
        <f t="shared" si="34"/>
        <v>0</v>
      </c>
      <c r="M170" s="17">
        <f t="shared" si="34"/>
        <v>0</v>
      </c>
      <c r="N170" s="17">
        <f t="shared" si="34"/>
        <v>0</v>
      </c>
      <c r="O170" s="17">
        <f t="shared" si="34"/>
        <v>0</v>
      </c>
    </row>
    <row r="171" spans="2:15" ht="16" customHeight="1" x14ac:dyDescent="0.35">
      <c r="B171" s="11" t="s">
        <v>576</v>
      </c>
      <c r="C171" s="11" t="s">
        <v>22</v>
      </c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</row>
    <row r="172" spans="2:15" ht="16" customHeight="1" x14ac:dyDescent="0.35">
      <c r="B172" s="14" t="s">
        <v>577</v>
      </c>
      <c r="C172" s="14" t="s">
        <v>578</v>
      </c>
      <c r="D172" s="15">
        <v>-1E-3</v>
      </c>
      <c r="E172" s="15">
        <v>-2E-3</v>
      </c>
      <c r="F172" s="15">
        <v>-3.0000000000000001E-3</v>
      </c>
      <c r="G172" s="15">
        <v>-2E-3</v>
      </c>
      <c r="H172" s="15">
        <v>-3.0000000000000001E-3</v>
      </c>
      <c r="I172" s="15">
        <v>-3.0000000000000001E-3</v>
      </c>
      <c r="J172" s="15"/>
      <c r="K172" s="15"/>
      <c r="L172" s="15"/>
      <c r="M172" s="15"/>
      <c r="N172" s="15"/>
      <c r="O172" s="15"/>
    </row>
    <row r="173" spans="2:15" ht="16" customHeight="1" x14ac:dyDescent="0.35">
      <c r="B173" s="14" t="s">
        <v>579</v>
      </c>
      <c r="C173" s="14" t="s">
        <v>580</v>
      </c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</row>
    <row r="174" spans="2:15" ht="16" customHeight="1" x14ac:dyDescent="0.35">
      <c r="B174" s="14" t="s">
        <v>581</v>
      </c>
      <c r="C174" s="14" t="s">
        <v>582</v>
      </c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</row>
    <row r="175" spans="2:15" ht="16" customHeight="1" x14ac:dyDescent="0.35">
      <c r="B175" s="14" t="s">
        <v>583</v>
      </c>
      <c r="C175" s="14" t="s">
        <v>584</v>
      </c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</row>
    <row r="176" spans="2:15" ht="16" customHeight="1" x14ac:dyDescent="0.35">
      <c r="B176" s="14" t="s">
        <v>585</v>
      </c>
      <c r="C176" s="14" t="s">
        <v>586</v>
      </c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</row>
    <row r="177" spans="2:15" ht="16" customHeight="1" x14ac:dyDescent="0.35">
      <c r="B177" s="14" t="s">
        <v>587</v>
      </c>
      <c r="C177" s="14" t="s">
        <v>588</v>
      </c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</row>
    <row r="178" spans="2:15" ht="16" customHeight="1" x14ac:dyDescent="0.35">
      <c r="B178" s="14" t="s">
        <v>589</v>
      </c>
      <c r="C178" s="14" t="s">
        <v>590</v>
      </c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</row>
    <row r="179" spans="2:15" ht="16" customHeight="1" x14ac:dyDescent="0.35">
      <c r="B179" s="14" t="s">
        <v>591</v>
      </c>
      <c r="C179" s="14" t="s">
        <v>592</v>
      </c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</row>
    <row r="180" spans="2:15" ht="16" customHeight="1" x14ac:dyDescent="0.35">
      <c r="B180" s="14" t="s">
        <v>593</v>
      </c>
      <c r="C180" s="14" t="s">
        <v>594</v>
      </c>
      <c r="D180" s="15">
        <v>15806.618329999999</v>
      </c>
      <c r="E180" s="15">
        <v>15711.9148</v>
      </c>
      <c r="F180" s="15">
        <v>15824.99691</v>
      </c>
      <c r="G180" s="15">
        <v>16716.675620000002</v>
      </c>
      <c r="H180" s="15">
        <v>16698.55186</v>
      </c>
      <c r="I180" s="15">
        <v>10177.94478</v>
      </c>
      <c r="J180" s="15"/>
      <c r="K180" s="15"/>
      <c r="L180" s="15"/>
      <c r="M180" s="15"/>
      <c r="N180" s="15"/>
      <c r="O180" s="15"/>
    </row>
    <row r="181" spans="2:15" ht="16" customHeight="1" x14ac:dyDescent="0.35">
      <c r="B181" s="14" t="s">
        <v>595</v>
      </c>
      <c r="C181" s="14" t="s">
        <v>596</v>
      </c>
      <c r="D181" s="15">
        <v>1E-3</v>
      </c>
      <c r="E181" s="15">
        <v>2E-3</v>
      </c>
      <c r="F181" s="15">
        <v>3.0000000000000001E-3</v>
      </c>
      <c r="G181" s="15">
        <v>2E-3</v>
      </c>
      <c r="H181" s="15">
        <v>3.0000000000000001E-3</v>
      </c>
      <c r="I181" s="15">
        <v>3.0000000000000001E-3</v>
      </c>
      <c r="J181" s="15"/>
      <c r="K181" s="15"/>
      <c r="L181" s="15"/>
      <c r="M181" s="15"/>
      <c r="N181" s="15"/>
      <c r="O181" s="15"/>
    </row>
    <row r="182" spans="2:15" ht="16" customHeight="1" x14ac:dyDescent="0.35">
      <c r="B182" s="16" t="s">
        <v>597</v>
      </c>
      <c r="C182" s="16" t="s">
        <v>598</v>
      </c>
      <c r="D182" s="17">
        <f t="shared" ref="D182:O182" si="35">-(-(D172+D173)-D174-D175-D176-D177-D178-D179-D180-D181)</f>
        <v>15806.618329999999</v>
      </c>
      <c r="E182" s="17">
        <f t="shared" si="35"/>
        <v>15711.9148</v>
      </c>
      <c r="F182" s="17">
        <f t="shared" si="35"/>
        <v>15824.99691</v>
      </c>
      <c r="G182" s="17">
        <f t="shared" si="35"/>
        <v>16716.675620000002</v>
      </c>
      <c r="H182" s="17">
        <f t="shared" si="35"/>
        <v>16698.55186</v>
      </c>
      <c r="I182" s="17">
        <f t="shared" si="35"/>
        <v>10177.94478</v>
      </c>
      <c r="J182" s="17">
        <f t="shared" si="35"/>
        <v>0</v>
      </c>
      <c r="K182" s="17">
        <f t="shared" si="35"/>
        <v>0</v>
      </c>
      <c r="L182" s="17">
        <f t="shared" si="35"/>
        <v>0</v>
      </c>
      <c r="M182" s="17">
        <f t="shared" si="35"/>
        <v>0</v>
      </c>
      <c r="N182" s="17">
        <f t="shared" si="35"/>
        <v>0</v>
      </c>
      <c r="O182" s="17">
        <f t="shared" si="35"/>
        <v>0</v>
      </c>
    </row>
    <row r="183" spans="2:15" ht="16" customHeight="1" x14ac:dyDescent="0.35">
      <c r="B183" s="11" t="s">
        <v>115</v>
      </c>
      <c r="C183" s="11" t="s">
        <v>22</v>
      </c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</row>
    <row r="184" spans="2:15" ht="16" customHeight="1" x14ac:dyDescent="0.35">
      <c r="B184" s="14" t="s">
        <v>599</v>
      </c>
      <c r="C184" s="14" t="s">
        <v>600</v>
      </c>
      <c r="D184" s="15">
        <v>328.03298999999998</v>
      </c>
      <c r="E184" s="15">
        <v>328.03298999999998</v>
      </c>
      <c r="F184" s="15">
        <v>552.51444000000004</v>
      </c>
      <c r="G184" s="15">
        <v>552.51444000000004</v>
      </c>
      <c r="H184" s="15">
        <v>552.51444000000004</v>
      </c>
      <c r="I184" s="15">
        <v>552.51444000000004</v>
      </c>
      <c r="J184" s="15"/>
      <c r="K184" s="15"/>
      <c r="L184" s="15"/>
      <c r="M184" s="15"/>
      <c r="N184" s="15"/>
      <c r="O184" s="15"/>
    </row>
    <row r="185" spans="2:15" ht="16" customHeight="1" x14ac:dyDescent="0.35">
      <c r="B185" s="11" t="s">
        <v>601</v>
      </c>
      <c r="C185" s="11" t="s">
        <v>22</v>
      </c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</row>
    <row r="186" spans="2:15" ht="16" customHeight="1" x14ac:dyDescent="0.35">
      <c r="B186" s="14" t="s">
        <v>602</v>
      </c>
      <c r="C186" s="14" t="s">
        <v>603</v>
      </c>
      <c r="D186" s="15">
        <v>-98141.288329999996</v>
      </c>
      <c r="E186" s="15">
        <v>-119632.18197999999</v>
      </c>
      <c r="F186" s="15">
        <v>-108531.46711</v>
      </c>
      <c r="G186" s="15">
        <v>13.842309999999999</v>
      </c>
      <c r="H186" s="15">
        <v>13.629860000000001</v>
      </c>
      <c r="I186" s="15">
        <v>-4804.8954000000003</v>
      </c>
      <c r="J186" s="15"/>
      <c r="K186" s="15"/>
      <c r="L186" s="15"/>
      <c r="M186" s="15"/>
      <c r="N186" s="15"/>
      <c r="O186" s="15"/>
    </row>
    <row r="187" spans="2:15" ht="16" customHeight="1" x14ac:dyDescent="0.35">
      <c r="B187" s="14" t="s">
        <v>604</v>
      </c>
      <c r="C187" s="14" t="s">
        <v>605</v>
      </c>
      <c r="D187" s="15">
        <v>0</v>
      </c>
      <c r="E187" s="15">
        <v>0</v>
      </c>
      <c r="F187" s="15">
        <v>0</v>
      </c>
      <c r="G187" s="15">
        <v>0</v>
      </c>
      <c r="H187" s="15">
        <v>0</v>
      </c>
      <c r="I187" s="15">
        <v>0</v>
      </c>
      <c r="J187" s="15"/>
      <c r="K187" s="15"/>
      <c r="L187" s="15"/>
      <c r="M187" s="15"/>
      <c r="N187" s="15"/>
      <c r="O187" s="15"/>
    </row>
    <row r="188" spans="2:15" ht="16" customHeight="1" x14ac:dyDescent="0.35">
      <c r="B188" s="16" t="s">
        <v>606</v>
      </c>
      <c r="C188" s="16" t="s">
        <v>607</v>
      </c>
      <c r="D188" s="17">
        <f t="shared" ref="D188:O188" si="36">D186+D187</f>
        <v>-98141.288329999996</v>
      </c>
      <c r="E188" s="17">
        <f t="shared" si="36"/>
        <v>-119632.18197999999</v>
      </c>
      <c r="F188" s="17">
        <f t="shared" si="36"/>
        <v>-108531.46711</v>
      </c>
      <c r="G188" s="17">
        <f t="shared" si="36"/>
        <v>13.842309999999999</v>
      </c>
      <c r="H188" s="17">
        <f t="shared" si="36"/>
        <v>13.629860000000001</v>
      </c>
      <c r="I188" s="17">
        <f t="shared" si="36"/>
        <v>-4804.8954000000003</v>
      </c>
      <c r="J188" s="17">
        <f t="shared" si="36"/>
        <v>0</v>
      </c>
      <c r="K188" s="17">
        <f t="shared" si="36"/>
        <v>0</v>
      </c>
      <c r="L188" s="17">
        <f t="shared" si="36"/>
        <v>0</v>
      </c>
      <c r="M188" s="17">
        <f t="shared" si="36"/>
        <v>0</v>
      </c>
      <c r="N188" s="17">
        <f t="shared" si="36"/>
        <v>0</v>
      </c>
      <c r="O188" s="17">
        <f t="shared" si="36"/>
        <v>0</v>
      </c>
    </row>
    <row r="189" spans="2:15" ht="16" customHeight="1" x14ac:dyDescent="0.35">
      <c r="B189" s="11" t="s">
        <v>608</v>
      </c>
      <c r="C189" s="11" t="s">
        <v>22</v>
      </c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</row>
    <row r="190" spans="2:15" ht="16" customHeight="1" x14ac:dyDescent="0.35">
      <c r="B190" s="14" t="s">
        <v>609</v>
      </c>
      <c r="C190" s="14" t="s">
        <v>610</v>
      </c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</row>
    <row r="191" spans="2:15" ht="16" customHeight="1" x14ac:dyDescent="0.35">
      <c r="B191" s="14" t="s">
        <v>611</v>
      </c>
      <c r="C191" s="14" t="s">
        <v>612</v>
      </c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</row>
    <row r="192" spans="2:15" ht="16" customHeight="1" x14ac:dyDescent="0.35">
      <c r="B192" s="14" t="s">
        <v>613</v>
      </c>
      <c r="C192" s="14" t="s">
        <v>614</v>
      </c>
      <c r="D192" s="15">
        <v>18.661570000000001</v>
      </c>
      <c r="E192" s="15">
        <v>40.937109999999997</v>
      </c>
      <c r="F192" s="15">
        <v>65.538749999999993</v>
      </c>
      <c r="G192" s="15">
        <v>35.265650000000001</v>
      </c>
      <c r="H192" s="15">
        <v>61.400289999999998</v>
      </c>
      <c r="I192" s="15">
        <v>61.400289999999998</v>
      </c>
      <c r="J192" s="15"/>
      <c r="K192" s="15"/>
      <c r="L192" s="15"/>
      <c r="M192" s="15"/>
      <c r="N192" s="15"/>
      <c r="O192" s="15"/>
    </row>
    <row r="193" spans="2:15" ht="16" customHeight="1" x14ac:dyDescent="0.35">
      <c r="B193" s="14" t="s">
        <v>615</v>
      </c>
      <c r="C193" s="14" t="s">
        <v>616</v>
      </c>
      <c r="D193" s="15">
        <v>15173.36138</v>
      </c>
      <c r="E193" s="15">
        <v>12859.597690000001</v>
      </c>
      <c r="F193" s="15">
        <v>16397.305639999999</v>
      </c>
      <c r="G193" s="15">
        <v>16551.961910000002</v>
      </c>
      <c r="H193" s="15">
        <v>15191.34895</v>
      </c>
      <c r="I193" s="15">
        <v>15217.956759999999</v>
      </c>
      <c r="J193" s="15"/>
      <c r="K193" s="15"/>
      <c r="L193" s="15"/>
      <c r="M193" s="15"/>
      <c r="N193" s="15"/>
      <c r="O193" s="15"/>
    </row>
    <row r="194" spans="2:15" ht="16" customHeight="1" x14ac:dyDescent="0.35">
      <c r="B194" s="14" t="s">
        <v>617</v>
      </c>
      <c r="C194" s="14" t="s">
        <v>618</v>
      </c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</row>
    <row r="195" spans="2:15" ht="16" customHeight="1" x14ac:dyDescent="0.35">
      <c r="B195" s="14" t="s">
        <v>619</v>
      </c>
      <c r="C195" s="14" t="s">
        <v>620</v>
      </c>
      <c r="D195" s="15">
        <v>29990.653340000001</v>
      </c>
      <c r="E195" s="15">
        <v>31382.229500000001</v>
      </c>
      <c r="F195" s="15">
        <v>37988.344689999998</v>
      </c>
      <c r="G195" s="15">
        <v>41882.64071</v>
      </c>
      <c r="H195" s="15">
        <v>44020.872629999998</v>
      </c>
      <c r="I195" s="15">
        <v>43829.873820000001</v>
      </c>
      <c r="J195" s="15"/>
      <c r="K195" s="15"/>
      <c r="L195" s="15"/>
      <c r="M195" s="15"/>
      <c r="N195" s="15"/>
      <c r="O195" s="15"/>
    </row>
    <row r="196" spans="2:15" ht="16" customHeight="1" x14ac:dyDescent="0.35">
      <c r="B196" s="14" t="s">
        <v>621</v>
      </c>
      <c r="C196" s="14" t="s">
        <v>622</v>
      </c>
      <c r="D196" s="15">
        <v>14958.282740000001</v>
      </c>
      <c r="E196" s="15">
        <v>15714.182640000001</v>
      </c>
      <c r="F196" s="15">
        <v>17984.80457</v>
      </c>
      <c r="G196" s="15">
        <v>18180.061150000001</v>
      </c>
      <c r="H196" s="15">
        <v>20295.965250000001</v>
      </c>
      <c r="I196" s="15">
        <v>20295.965250000001</v>
      </c>
      <c r="J196" s="15"/>
      <c r="K196" s="15"/>
      <c r="L196" s="15"/>
      <c r="M196" s="15"/>
      <c r="N196" s="15"/>
      <c r="O196" s="15"/>
    </row>
    <row r="197" spans="2:15" ht="16" customHeight="1" x14ac:dyDescent="0.35">
      <c r="B197" s="14" t="s">
        <v>623</v>
      </c>
      <c r="C197" s="14" t="s">
        <v>624</v>
      </c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</row>
    <row r="198" spans="2:15" ht="16" customHeight="1" x14ac:dyDescent="0.35">
      <c r="B198" s="14" t="s">
        <v>625</v>
      </c>
      <c r="C198" s="14" t="s">
        <v>626</v>
      </c>
      <c r="D198" s="15">
        <v>33479.793290000001</v>
      </c>
      <c r="E198" s="15">
        <v>35807.135240000003</v>
      </c>
      <c r="F198" s="15">
        <v>7922.6010500000002</v>
      </c>
      <c r="G198" s="15">
        <v>10513.541660000001</v>
      </c>
      <c r="H198" s="15">
        <v>12871.554959999999</v>
      </c>
      <c r="I198" s="15">
        <v>14108.910749999999</v>
      </c>
      <c r="J198" s="15"/>
      <c r="K198" s="15"/>
      <c r="L198" s="15"/>
      <c r="M198" s="15"/>
      <c r="N198" s="15"/>
      <c r="O198" s="15"/>
    </row>
    <row r="199" spans="2:15" ht="16" customHeight="1" x14ac:dyDescent="0.35">
      <c r="B199" s="14" t="s">
        <v>627</v>
      </c>
      <c r="C199" s="14" t="s">
        <v>628</v>
      </c>
      <c r="D199" s="15">
        <v>36055.939489999997</v>
      </c>
      <c r="E199" s="15">
        <v>35819.420030000001</v>
      </c>
      <c r="F199" s="15">
        <v>35580.185839999998</v>
      </c>
      <c r="G199" s="15">
        <v>34961.501210000002</v>
      </c>
      <c r="H199" s="15">
        <v>34724.782500000001</v>
      </c>
      <c r="I199" s="15">
        <v>-8336.5841400000008</v>
      </c>
      <c r="J199" s="15"/>
      <c r="K199" s="15"/>
      <c r="L199" s="15"/>
      <c r="M199" s="15"/>
      <c r="N199" s="15"/>
      <c r="O199" s="15"/>
    </row>
    <row r="200" spans="2:15" ht="16" customHeight="1" x14ac:dyDescent="0.35">
      <c r="B200" s="14" t="s">
        <v>629</v>
      </c>
      <c r="C200" s="14" t="s">
        <v>630</v>
      </c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</row>
    <row r="201" spans="2:15" ht="16" customHeight="1" x14ac:dyDescent="0.35">
      <c r="B201" s="14" t="s">
        <v>631</v>
      </c>
      <c r="C201" s="14" t="s">
        <v>632</v>
      </c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</row>
    <row r="202" spans="2:15" ht="16" customHeight="1" x14ac:dyDescent="0.35">
      <c r="B202" s="14" t="s">
        <v>633</v>
      </c>
      <c r="C202" s="14" t="s">
        <v>634</v>
      </c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</row>
    <row r="203" spans="2:15" ht="16" customHeight="1" x14ac:dyDescent="0.35">
      <c r="B203" s="14" t="s">
        <v>635</v>
      </c>
      <c r="C203" s="14" t="s">
        <v>636</v>
      </c>
      <c r="D203" s="15">
        <v>3.2389999999999999</v>
      </c>
      <c r="E203" s="15">
        <v>6.2149999999999999</v>
      </c>
      <c r="F203" s="15">
        <v>4.9859999999999998</v>
      </c>
      <c r="G203" s="15">
        <v>5.28</v>
      </c>
      <c r="H203" s="15">
        <v>5.31</v>
      </c>
      <c r="I203" s="15">
        <v>48.103000000000002</v>
      </c>
      <c r="J203" s="15"/>
      <c r="K203" s="15"/>
      <c r="L203" s="15"/>
      <c r="M203" s="15"/>
      <c r="N203" s="15"/>
      <c r="O203" s="15"/>
    </row>
    <row r="204" spans="2:15" ht="16" customHeight="1" x14ac:dyDescent="0.35">
      <c r="B204" s="16" t="s">
        <v>637</v>
      </c>
      <c r="C204" s="16" t="s">
        <v>638</v>
      </c>
      <c r="D204" s="17">
        <f t="shared" ref="D204:O204" si="37">-(-(D190+D191)-D192-D193-D194-D195-D196-D197-D198-D200-D202-D201-D203-D199)</f>
        <v>129679.93080999999</v>
      </c>
      <c r="E204" s="17">
        <f t="shared" si="37"/>
        <v>131629.71721</v>
      </c>
      <c r="F204" s="17">
        <f t="shared" si="37"/>
        <v>115943.76653999998</v>
      </c>
      <c r="G204" s="17">
        <f t="shared" si="37"/>
        <v>122130.25229</v>
      </c>
      <c r="H204" s="17">
        <f t="shared" si="37"/>
        <v>127171.23457999999</v>
      </c>
      <c r="I204" s="17">
        <f t="shared" si="37"/>
        <v>85225.62573</v>
      </c>
      <c r="J204" s="17">
        <f t="shared" si="37"/>
        <v>0</v>
      </c>
      <c r="K204" s="17">
        <f t="shared" si="37"/>
        <v>0</v>
      </c>
      <c r="L204" s="17">
        <f t="shared" si="37"/>
        <v>0</v>
      </c>
      <c r="M204" s="17">
        <f t="shared" si="37"/>
        <v>0</v>
      </c>
      <c r="N204" s="17">
        <f t="shared" si="37"/>
        <v>0</v>
      </c>
      <c r="O204" s="17">
        <f t="shared" si="37"/>
        <v>0</v>
      </c>
    </row>
    <row r="205" spans="2:15" ht="16" customHeight="1" x14ac:dyDescent="0.35">
      <c r="B205" s="11" t="s">
        <v>639</v>
      </c>
      <c r="C205" s="11" t="s">
        <v>22</v>
      </c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</row>
    <row r="206" spans="2:15" ht="16" customHeight="1" x14ac:dyDescent="0.35">
      <c r="B206" s="14" t="s">
        <v>640</v>
      </c>
      <c r="C206" s="14" t="s">
        <v>641</v>
      </c>
      <c r="D206" s="15">
        <v>32974.046309999998</v>
      </c>
      <c r="E206" s="15">
        <v>32627.89892</v>
      </c>
      <c r="F206" s="15">
        <v>49365.343180000003</v>
      </c>
      <c r="G206" s="15">
        <v>48855.188589999998</v>
      </c>
      <c r="H206" s="15">
        <v>49321.275569999998</v>
      </c>
      <c r="I206" s="15">
        <v>49166.25232</v>
      </c>
      <c r="J206" s="15"/>
      <c r="K206" s="15"/>
      <c r="L206" s="15"/>
      <c r="M206" s="15"/>
      <c r="N206" s="15"/>
      <c r="O206" s="15"/>
    </row>
    <row r="207" spans="2:15" ht="16" customHeight="1" x14ac:dyDescent="0.35">
      <c r="B207" s="11" t="s">
        <v>642</v>
      </c>
      <c r="C207" s="11" t="s">
        <v>22</v>
      </c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</row>
    <row r="208" spans="2:15" ht="16" customHeight="1" x14ac:dyDescent="0.35">
      <c r="B208" s="14" t="s">
        <v>643</v>
      </c>
      <c r="C208" s="14" t="s">
        <v>644</v>
      </c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</row>
    <row r="209" spans="2:15" ht="16" customHeight="1" thickBot="1" x14ac:dyDescent="0.4">
      <c r="B209" s="11" t="s">
        <v>124</v>
      </c>
      <c r="C209" s="11" t="s">
        <v>22</v>
      </c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</row>
    <row r="210" spans="2:15" ht="16" customHeight="1" thickBot="1" x14ac:dyDescent="0.4">
      <c r="B210" s="18" t="s">
        <v>645</v>
      </c>
      <c r="C210" s="18" t="s">
        <v>646</v>
      </c>
      <c r="D210" s="19">
        <f t="shared" ref="D210:O210" si="38">-(-(D170+D182)-D184-D188-D204-D206-D208)</f>
        <v>374929.83357000002</v>
      </c>
      <c r="E210" s="19">
        <f t="shared" si="38"/>
        <v>391103.82545000006</v>
      </c>
      <c r="F210" s="19">
        <f t="shared" si="38"/>
        <v>400480.56884000002</v>
      </c>
      <c r="G210" s="19">
        <f t="shared" si="38"/>
        <v>544060.17781000002</v>
      </c>
      <c r="H210" s="19">
        <f t="shared" si="38"/>
        <v>546841.23798999994</v>
      </c>
      <c r="I210" s="19">
        <f t="shared" si="38"/>
        <v>466571.06978999998</v>
      </c>
      <c r="J210" s="19">
        <f t="shared" si="38"/>
        <v>0</v>
      </c>
      <c r="K210" s="19">
        <f t="shared" si="38"/>
        <v>0</v>
      </c>
      <c r="L210" s="19">
        <f t="shared" si="38"/>
        <v>0</v>
      </c>
      <c r="M210" s="19">
        <f t="shared" si="38"/>
        <v>0</v>
      </c>
      <c r="N210" s="19">
        <f t="shared" si="38"/>
        <v>0</v>
      </c>
      <c r="O210" s="19">
        <f t="shared" si="38"/>
        <v>0</v>
      </c>
    </row>
    <row r="211" spans="2:15" ht="16" customHeight="1" x14ac:dyDescent="0.35">
      <c r="B211" s="11" t="s">
        <v>647</v>
      </c>
      <c r="C211" s="11" t="s">
        <v>22</v>
      </c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</row>
    <row r="212" spans="2:15" ht="16" customHeight="1" x14ac:dyDescent="0.35">
      <c r="B212" s="14" t="s">
        <v>648</v>
      </c>
      <c r="C212" s="14" t="s">
        <v>649</v>
      </c>
      <c r="D212" s="15">
        <v>1017356.3522</v>
      </c>
      <c r="E212" s="15">
        <v>1000729.9442499999</v>
      </c>
      <c r="F212" s="15">
        <v>1016476.34292</v>
      </c>
      <c r="G212" s="15">
        <v>1028831.1725400001</v>
      </c>
      <c r="H212" s="15">
        <v>1046637.09841</v>
      </c>
      <c r="I212" s="15">
        <v>1054148.21958</v>
      </c>
      <c r="J212" s="15"/>
      <c r="K212" s="15"/>
      <c r="L212" s="15"/>
      <c r="M212" s="15"/>
      <c r="N212" s="15"/>
      <c r="O212" s="15"/>
    </row>
    <row r="213" spans="2:15" ht="16" customHeight="1" x14ac:dyDescent="0.35">
      <c r="B213" s="14" t="s">
        <v>650</v>
      </c>
      <c r="C213" s="14" t="s">
        <v>651</v>
      </c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</row>
    <row r="214" spans="2:15" ht="16" customHeight="1" x14ac:dyDescent="0.35">
      <c r="B214" s="14" t="s">
        <v>652</v>
      </c>
      <c r="C214" s="14" t="s">
        <v>653</v>
      </c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</row>
    <row r="215" spans="2:15" ht="16" customHeight="1" x14ac:dyDescent="0.35">
      <c r="B215" s="14" t="s">
        <v>654</v>
      </c>
      <c r="C215" s="14" t="s">
        <v>655</v>
      </c>
      <c r="D215" s="15">
        <v>0</v>
      </c>
      <c r="E215" s="15">
        <v>0</v>
      </c>
      <c r="F215" s="15">
        <v>0</v>
      </c>
      <c r="G215" s="15">
        <v>0</v>
      </c>
      <c r="H215" s="15">
        <v>0</v>
      </c>
      <c r="I215" s="15">
        <v>0</v>
      </c>
      <c r="J215" s="15"/>
      <c r="K215" s="15"/>
      <c r="L215" s="15"/>
      <c r="M215" s="15"/>
      <c r="N215" s="15"/>
      <c r="O215" s="15"/>
    </row>
    <row r="216" spans="2:15" ht="16" customHeight="1" x14ac:dyDescent="0.35">
      <c r="B216" s="14" t="s">
        <v>656</v>
      </c>
      <c r="C216" s="14" t="s">
        <v>657</v>
      </c>
      <c r="D216" s="15">
        <v>74834.792409999995</v>
      </c>
      <c r="E216" s="15">
        <v>73718.94313</v>
      </c>
      <c r="F216" s="15">
        <v>73250.791150000005</v>
      </c>
      <c r="G216" s="15">
        <v>73572.144939999998</v>
      </c>
      <c r="H216" s="15">
        <v>71959.299050000001</v>
      </c>
      <c r="I216" s="15">
        <v>78000.947060000006</v>
      </c>
      <c r="J216" s="15"/>
      <c r="K216" s="15"/>
      <c r="L216" s="15"/>
      <c r="M216" s="15"/>
      <c r="N216" s="15"/>
      <c r="O216" s="15"/>
    </row>
    <row r="217" spans="2:15" ht="16" customHeight="1" x14ac:dyDescent="0.35">
      <c r="B217" s="14" t="s">
        <v>658</v>
      </c>
      <c r="C217" s="14" t="s">
        <v>659</v>
      </c>
      <c r="D217" s="15">
        <v>-88.484999999999999</v>
      </c>
      <c r="E217" s="15">
        <v>-164.196</v>
      </c>
      <c r="F217" s="15">
        <v>-135.596</v>
      </c>
      <c r="G217" s="15">
        <v>-94.638999999999996</v>
      </c>
      <c r="H217" s="15">
        <v>-78.828999999999994</v>
      </c>
      <c r="I217" s="15">
        <v>-21897.212</v>
      </c>
      <c r="J217" s="15"/>
      <c r="K217" s="15"/>
      <c r="L217" s="15"/>
      <c r="M217" s="15"/>
      <c r="N217" s="15"/>
      <c r="O217" s="15"/>
    </row>
    <row r="218" spans="2:15" ht="16" customHeight="1" x14ac:dyDescent="0.35">
      <c r="B218" s="16" t="s">
        <v>660</v>
      </c>
      <c r="C218" s="16" t="s">
        <v>661</v>
      </c>
      <c r="D218" s="17">
        <f t="shared" ref="D218:O218" si="39">-(-(D212+D213)-D214-D215-D216-D217)</f>
        <v>1092102.6596099997</v>
      </c>
      <c r="E218" s="17">
        <f t="shared" si="39"/>
        <v>1074284.69138</v>
      </c>
      <c r="F218" s="17">
        <f t="shared" si="39"/>
        <v>1089591.53807</v>
      </c>
      <c r="G218" s="17">
        <f t="shared" si="39"/>
        <v>1102308.67848</v>
      </c>
      <c r="H218" s="17">
        <f t="shared" si="39"/>
        <v>1118517.56846</v>
      </c>
      <c r="I218" s="17">
        <f t="shared" si="39"/>
        <v>1110251.9546399999</v>
      </c>
      <c r="J218" s="17">
        <f t="shared" si="39"/>
        <v>0</v>
      </c>
      <c r="K218" s="17">
        <f t="shared" si="39"/>
        <v>0</v>
      </c>
      <c r="L218" s="17">
        <f t="shared" si="39"/>
        <v>0</v>
      </c>
      <c r="M218" s="17">
        <f t="shared" si="39"/>
        <v>0</v>
      </c>
      <c r="N218" s="17">
        <f t="shared" si="39"/>
        <v>0</v>
      </c>
      <c r="O218" s="17">
        <f t="shared" si="39"/>
        <v>0</v>
      </c>
    </row>
    <row r="219" spans="2:15" ht="16" customHeight="1" x14ac:dyDescent="0.35">
      <c r="B219" s="11" t="s">
        <v>662</v>
      </c>
      <c r="C219" s="11" t="s">
        <v>22</v>
      </c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</row>
    <row r="220" spans="2:15" ht="16" customHeight="1" x14ac:dyDescent="0.35">
      <c r="B220" s="14" t="s">
        <v>663</v>
      </c>
      <c r="C220" s="14" t="s">
        <v>664</v>
      </c>
      <c r="D220" s="15">
        <v>22.857250000000001</v>
      </c>
      <c r="E220" s="15">
        <v>22.857250000000001</v>
      </c>
      <c r="F220" s="15">
        <v>8.7067599999999992</v>
      </c>
      <c r="G220" s="15">
        <v>8.7067599999999992</v>
      </c>
      <c r="H220" s="15">
        <v>8.7067599999999992</v>
      </c>
      <c r="I220" s="15">
        <v>8.7067599999999992</v>
      </c>
      <c r="J220" s="15"/>
      <c r="K220" s="15"/>
      <c r="L220" s="15"/>
      <c r="M220" s="15"/>
      <c r="N220" s="15"/>
      <c r="O220" s="15"/>
    </row>
    <row r="221" spans="2:15" ht="16" customHeight="1" x14ac:dyDescent="0.35">
      <c r="B221" s="11" t="s">
        <v>665</v>
      </c>
      <c r="C221" s="11" t="s">
        <v>22</v>
      </c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</row>
    <row r="222" spans="2:15" ht="16" customHeight="1" x14ac:dyDescent="0.35">
      <c r="B222" s="14" t="s">
        <v>666</v>
      </c>
      <c r="C222" s="14" t="s">
        <v>667</v>
      </c>
      <c r="D222" s="15">
        <v>97740.351429999995</v>
      </c>
      <c r="E222" s="15">
        <v>97145.898100000006</v>
      </c>
      <c r="F222" s="15">
        <v>96725.040070000003</v>
      </c>
      <c r="G222" s="15">
        <v>96162.451700000005</v>
      </c>
      <c r="H222" s="15">
        <v>95764.741190000001</v>
      </c>
      <c r="I222" s="15">
        <v>95520.376449999996</v>
      </c>
      <c r="J222" s="15"/>
      <c r="K222" s="15"/>
      <c r="L222" s="15"/>
      <c r="M222" s="15"/>
      <c r="N222" s="15"/>
      <c r="O222" s="15"/>
    </row>
    <row r="223" spans="2:15" ht="16" customHeight="1" x14ac:dyDescent="0.35">
      <c r="B223" s="11" t="s">
        <v>668</v>
      </c>
      <c r="C223" s="11" t="s">
        <v>22</v>
      </c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</row>
    <row r="224" spans="2:15" ht="16" customHeight="1" x14ac:dyDescent="0.35">
      <c r="B224" s="14" t="s">
        <v>669</v>
      </c>
      <c r="C224" s="14" t="s">
        <v>670</v>
      </c>
      <c r="D224" s="15">
        <v>448639.2487</v>
      </c>
      <c r="E224" s="15">
        <v>448639.2487</v>
      </c>
      <c r="F224" s="15">
        <v>433664.16398000001</v>
      </c>
      <c r="G224" s="15">
        <v>431455.56251999998</v>
      </c>
      <c r="H224" s="15">
        <v>431455.56251999998</v>
      </c>
      <c r="I224" s="15">
        <v>431455.56251999998</v>
      </c>
      <c r="J224" s="15"/>
      <c r="K224" s="15"/>
      <c r="L224" s="15"/>
      <c r="M224" s="15"/>
      <c r="N224" s="15"/>
      <c r="O224" s="15"/>
    </row>
    <row r="225" spans="2:15" ht="16" customHeight="1" x14ac:dyDescent="0.35">
      <c r="B225" s="11" t="s">
        <v>136</v>
      </c>
      <c r="C225" s="11" t="s">
        <v>22</v>
      </c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</row>
    <row r="226" spans="2:15" ht="16" customHeight="1" x14ac:dyDescent="0.35">
      <c r="B226" s="14" t="s">
        <v>671</v>
      </c>
      <c r="C226" s="14" t="s">
        <v>672</v>
      </c>
      <c r="D226" s="15">
        <v>189169.53745999999</v>
      </c>
      <c r="E226" s="15">
        <v>174182.54368</v>
      </c>
      <c r="F226" s="15">
        <v>154380.66751999999</v>
      </c>
      <c r="G226" s="15">
        <v>151519.81047999999</v>
      </c>
      <c r="H226" s="15">
        <v>151330.62208999999</v>
      </c>
      <c r="I226" s="15">
        <v>148943.92958</v>
      </c>
      <c r="J226" s="15"/>
      <c r="K226" s="15"/>
      <c r="L226" s="15"/>
      <c r="M226" s="15"/>
      <c r="N226" s="15"/>
      <c r="O226" s="15"/>
    </row>
    <row r="227" spans="2:15" ht="16" customHeight="1" x14ac:dyDescent="0.35">
      <c r="B227" s="11" t="s">
        <v>673</v>
      </c>
      <c r="C227" s="11" t="s">
        <v>22</v>
      </c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</row>
    <row r="228" spans="2:15" ht="16" customHeight="1" x14ac:dyDescent="0.35">
      <c r="B228" s="14" t="s">
        <v>674</v>
      </c>
      <c r="C228" s="14" t="s">
        <v>675</v>
      </c>
      <c r="D228" s="15">
        <v>133544.16135000001</v>
      </c>
      <c r="E228" s="15">
        <v>131543.73551</v>
      </c>
      <c r="F228" s="15">
        <v>129415.20535</v>
      </c>
      <c r="G228" s="15">
        <v>125981.90355</v>
      </c>
      <c r="H228" s="15">
        <v>133131.45379</v>
      </c>
      <c r="I228" s="15">
        <v>164513.69274999999</v>
      </c>
      <c r="J228" s="15"/>
      <c r="K228" s="15"/>
      <c r="L228" s="15"/>
      <c r="M228" s="15"/>
      <c r="N228" s="15"/>
      <c r="O228" s="15"/>
    </row>
    <row r="229" spans="2:15" ht="16" customHeight="1" x14ac:dyDescent="0.35">
      <c r="B229" s="11" t="s">
        <v>676</v>
      </c>
      <c r="C229" s="11" t="s">
        <v>22</v>
      </c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</row>
    <row r="230" spans="2:15" ht="16" customHeight="1" x14ac:dyDescent="0.35">
      <c r="B230" s="14" t="s">
        <v>677</v>
      </c>
      <c r="C230" s="14" t="s">
        <v>678</v>
      </c>
      <c r="D230" s="15">
        <v>11097.91</v>
      </c>
      <c r="E230" s="15">
        <v>11097.91</v>
      </c>
      <c r="F230" s="15">
        <v>11291.107</v>
      </c>
      <c r="G230" s="15">
        <v>11291.107</v>
      </c>
      <c r="H230" s="15">
        <v>11291.107</v>
      </c>
      <c r="I230" s="15">
        <v>11291.107</v>
      </c>
      <c r="J230" s="15"/>
      <c r="K230" s="15"/>
      <c r="L230" s="15"/>
      <c r="M230" s="15"/>
      <c r="N230" s="15"/>
      <c r="O230" s="15"/>
    </row>
    <row r="231" spans="2:15" ht="16" customHeight="1" thickBot="1" x14ac:dyDescent="0.4">
      <c r="B231" s="11" t="s">
        <v>679</v>
      </c>
      <c r="C231" s="11" t="s">
        <v>22</v>
      </c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</row>
    <row r="232" spans="2:15" ht="16" customHeight="1" thickBot="1" x14ac:dyDescent="0.4">
      <c r="B232" s="18" t="s">
        <v>680</v>
      </c>
      <c r="C232" s="18" t="s">
        <v>681</v>
      </c>
      <c r="D232" s="19">
        <f t="shared" ref="D232:O232" si="40">-(-(D218+D220)-D222-D224-D226-D200-D228-D230)</f>
        <v>1972316.7257999994</v>
      </c>
      <c r="E232" s="19">
        <f t="shared" si="40"/>
        <v>1936916.8846199999</v>
      </c>
      <c r="F232" s="19">
        <f t="shared" si="40"/>
        <v>1915076.42875</v>
      </c>
      <c r="G232" s="19">
        <f t="shared" si="40"/>
        <v>1918728.22049</v>
      </c>
      <c r="H232" s="19">
        <f t="shared" si="40"/>
        <v>1941499.7618099998</v>
      </c>
      <c r="I232" s="19">
        <f t="shared" si="40"/>
        <v>1961985.3296999999</v>
      </c>
      <c r="J232" s="19">
        <f t="shared" si="40"/>
        <v>0</v>
      </c>
      <c r="K232" s="19">
        <f t="shared" si="40"/>
        <v>0</v>
      </c>
      <c r="L232" s="19">
        <f t="shared" si="40"/>
        <v>0</v>
      </c>
      <c r="M232" s="19">
        <f t="shared" si="40"/>
        <v>0</v>
      </c>
      <c r="N232" s="19">
        <f t="shared" si="40"/>
        <v>0</v>
      </c>
      <c r="O232" s="19">
        <f t="shared" si="40"/>
        <v>0</v>
      </c>
    </row>
    <row r="233" spans="2:15" ht="16" customHeight="1" thickBot="1" x14ac:dyDescent="0.4">
      <c r="B233" s="11" t="s">
        <v>682</v>
      </c>
      <c r="C233" s="11" t="s">
        <v>22</v>
      </c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</row>
    <row r="234" spans="2:15" ht="16" customHeight="1" thickBot="1" x14ac:dyDescent="0.4">
      <c r="B234" s="18" t="s">
        <v>683</v>
      </c>
      <c r="C234" s="18" t="s">
        <v>684</v>
      </c>
      <c r="D234" s="19">
        <f t="shared" ref="D234:O234" si="41">D210+D232</f>
        <v>2347246.5593699994</v>
      </c>
      <c r="E234" s="19">
        <f t="shared" si="41"/>
        <v>2328020.71007</v>
      </c>
      <c r="F234" s="19">
        <f t="shared" si="41"/>
        <v>2315556.9975899998</v>
      </c>
      <c r="G234" s="19">
        <f t="shared" si="41"/>
        <v>2462788.3983</v>
      </c>
      <c r="H234" s="19">
        <f t="shared" si="41"/>
        <v>2488340.9997999999</v>
      </c>
      <c r="I234" s="19">
        <f t="shared" si="41"/>
        <v>2428556.3994899997</v>
      </c>
      <c r="J234" s="19">
        <f t="shared" si="41"/>
        <v>0</v>
      </c>
      <c r="K234" s="19">
        <f t="shared" si="41"/>
        <v>0</v>
      </c>
      <c r="L234" s="19">
        <f t="shared" si="41"/>
        <v>0</v>
      </c>
      <c r="M234" s="19">
        <f t="shared" si="41"/>
        <v>0</v>
      </c>
      <c r="N234" s="19">
        <f t="shared" si="41"/>
        <v>0</v>
      </c>
      <c r="O234" s="19">
        <f t="shared" si="41"/>
        <v>0</v>
      </c>
    </row>
    <row r="235" spans="2:15" ht="16" customHeight="1" x14ac:dyDescent="0.35">
      <c r="B235" s="11" t="s">
        <v>685</v>
      </c>
      <c r="C235" s="11" t="s">
        <v>22</v>
      </c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</row>
    <row r="236" spans="2:15" ht="16" customHeight="1" x14ac:dyDescent="0.35">
      <c r="B236" s="14" t="s">
        <v>686</v>
      </c>
      <c r="C236" s="14" t="s">
        <v>687</v>
      </c>
      <c r="D236" s="15">
        <v>-5331.7996400000002</v>
      </c>
      <c r="E236" s="15">
        <v>-5331.7996400000002</v>
      </c>
      <c r="F236" s="15">
        <v>-5331.7996400000002</v>
      </c>
      <c r="G236" s="15">
        <v>-5331.7996400000002</v>
      </c>
      <c r="H236" s="15">
        <v>-5331.7996400000002</v>
      </c>
      <c r="I236" s="15">
        <v>-5331.7996400000002</v>
      </c>
      <c r="J236" s="15"/>
      <c r="K236" s="15"/>
      <c r="L236" s="15"/>
      <c r="M236" s="15"/>
      <c r="N236" s="15"/>
      <c r="O236" s="15"/>
    </row>
    <row r="237" spans="2:15" ht="16" customHeight="1" x14ac:dyDescent="0.35">
      <c r="B237" s="11" t="s">
        <v>152</v>
      </c>
      <c r="C237" s="11" t="s">
        <v>22</v>
      </c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</row>
    <row r="238" spans="2:15" ht="16" customHeight="1" x14ac:dyDescent="0.35">
      <c r="B238" s="14" t="s">
        <v>688</v>
      </c>
      <c r="C238" s="14" t="s">
        <v>689</v>
      </c>
      <c r="D238" s="15">
        <v>10032657.489019999</v>
      </c>
      <c r="E238" s="15">
        <v>10032657.489019999</v>
      </c>
      <c r="F238" s="15">
        <v>10032657.489019999</v>
      </c>
      <c r="G238" s="15">
        <v>10032657.489019999</v>
      </c>
      <c r="H238" s="15">
        <v>10032657.489019999</v>
      </c>
      <c r="I238" s="15">
        <v>10032657.489019999</v>
      </c>
      <c r="J238" s="15"/>
      <c r="K238" s="15"/>
      <c r="L238" s="15"/>
      <c r="M238" s="15"/>
      <c r="N238" s="15"/>
      <c r="O238" s="15"/>
    </row>
    <row r="239" spans="2:15" ht="16" customHeight="1" x14ac:dyDescent="0.35">
      <c r="B239" s="11" t="s">
        <v>690</v>
      </c>
      <c r="C239" s="11" t="s">
        <v>22</v>
      </c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</row>
    <row r="240" spans="2:15" ht="16" customHeight="1" x14ac:dyDescent="0.35">
      <c r="B240" s="14" t="s">
        <v>691</v>
      </c>
      <c r="C240" s="14" t="s">
        <v>692</v>
      </c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</row>
    <row r="241" spans="2:15" ht="16" customHeight="1" x14ac:dyDescent="0.35">
      <c r="B241" s="11" t="s">
        <v>693</v>
      </c>
      <c r="C241" s="11" t="s">
        <v>22</v>
      </c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</row>
    <row r="242" spans="2:15" ht="16" customHeight="1" x14ac:dyDescent="0.35">
      <c r="B242" s="14" t="s">
        <v>694</v>
      </c>
      <c r="C242" s="14" t="s">
        <v>695</v>
      </c>
      <c r="D242" s="15">
        <v>67.820989999999995</v>
      </c>
      <c r="E242" s="15">
        <v>-0.30901000000000001</v>
      </c>
      <c r="F242" s="15">
        <v>-0.30901000000000001</v>
      </c>
      <c r="G242" s="15">
        <v>-0.30901000000000001</v>
      </c>
      <c r="H242" s="15">
        <v>-0.30901000000000001</v>
      </c>
      <c r="I242" s="15">
        <v>-0.30901000000000001</v>
      </c>
      <c r="J242" s="15"/>
      <c r="K242" s="15"/>
      <c r="L242" s="15"/>
      <c r="M242" s="15"/>
      <c r="N242" s="15"/>
      <c r="O242" s="15"/>
    </row>
    <row r="243" spans="2:15" ht="16" customHeight="1" x14ac:dyDescent="0.35">
      <c r="B243" s="14" t="s">
        <v>696</v>
      </c>
      <c r="C243" s="14" t="s">
        <v>697</v>
      </c>
      <c r="D243" s="15">
        <v>-4703813.0871599996</v>
      </c>
      <c r="E243" s="15">
        <v>-4701790.9829399996</v>
      </c>
      <c r="F243" s="15">
        <v>-4701791.2010399997</v>
      </c>
      <c r="G243" s="15">
        <v>-4701793.6709399996</v>
      </c>
      <c r="H243" s="15">
        <v>-4701793.52575</v>
      </c>
      <c r="I243" s="15">
        <v>-4701793.52575</v>
      </c>
      <c r="J243" s="15"/>
      <c r="K243" s="15"/>
      <c r="L243" s="15"/>
      <c r="M243" s="15"/>
      <c r="N243" s="15"/>
      <c r="O243" s="15"/>
    </row>
    <row r="244" spans="2:15" ht="16" customHeight="1" x14ac:dyDescent="0.35">
      <c r="B244" s="14" t="s">
        <v>698</v>
      </c>
      <c r="C244" s="14" t="s">
        <v>699</v>
      </c>
      <c r="D244" s="15">
        <v>12562.93363</v>
      </c>
      <c r="E244" s="15">
        <v>-14689.52052</v>
      </c>
      <c r="F244" s="15">
        <v>27599.32949</v>
      </c>
      <c r="G244" s="15">
        <v>99361.642999999996</v>
      </c>
      <c r="H244" s="15">
        <v>195961.07592</v>
      </c>
      <c r="I244" s="15">
        <v>241052.84181000001</v>
      </c>
      <c r="J244" s="15"/>
      <c r="K244" s="15"/>
      <c r="L244" s="15"/>
      <c r="M244" s="15"/>
      <c r="N244" s="15"/>
      <c r="O244" s="15"/>
    </row>
    <row r="245" spans="2:15" ht="16" customHeight="1" x14ac:dyDescent="0.35">
      <c r="B245" s="14" t="s">
        <v>700</v>
      </c>
      <c r="C245" s="14" t="s">
        <v>701</v>
      </c>
      <c r="D245" s="15">
        <v>1052539.90766</v>
      </c>
      <c r="E245" s="15">
        <v>1052539.90766</v>
      </c>
      <c r="F245" s="15">
        <v>1052539.90766</v>
      </c>
      <c r="G245" s="15">
        <v>1052539.90766</v>
      </c>
      <c r="H245" s="15">
        <v>1052539.90766</v>
      </c>
      <c r="I245" s="15">
        <v>1052539.90766</v>
      </c>
      <c r="J245" s="15"/>
      <c r="K245" s="15"/>
      <c r="L245" s="15"/>
      <c r="M245" s="15"/>
      <c r="N245" s="15"/>
      <c r="O245" s="15"/>
    </row>
    <row r="246" spans="2:15" ht="16" customHeight="1" x14ac:dyDescent="0.35">
      <c r="B246" s="14" t="s">
        <v>702</v>
      </c>
      <c r="C246" s="14" t="s">
        <v>703</v>
      </c>
      <c r="D246" s="15">
        <v>36257.415209999999</v>
      </c>
      <c r="E246" s="15">
        <v>36260.954279999998</v>
      </c>
      <c r="F246" s="15">
        <v>36218.242279999999</v>
      </c>
      <c r="G246" s="15">
        <v>36272.790110000002</v>
      </c>
      <c r="H246" s="15">
        <v>36239.577120000002</v>
      </c>
      <c r="I246" s="15">
        <v>36239.917930000003</v>
      </c>
      <c r="J246" s="15"/>
      <c r="K246" s="15"/>
      <c r="L246" s="15"/>
      <c r="M246" s="15"/>
      <c r="N246" s="15"/>
      <c r="O246" s="15"/>
    </row>
    <row r="247" spans="2:15" ht="16" customHeight="1" x14ac:dyDescent="0.35">
      <c r="B247" s="14" t="s">
        <v>704</v>
      </c>
      <c r="C247" s="14" t="s">
        <v>705</v>
      </c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</row>
    <row r="248" spans="2:15" ht="16" customHeight="1" x14ac:dyDescent="0.35">
      <c r="B248" s="14" t="s">
        <v>706</v>
      </c>
      <c r="C248" s="14" t="s">
        <v>707</v>
      </c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</row>
    <row r="249" spans="2:15" ht="16" customHeight="1" x14ac:dyDescent="0.35">
      <c r="B249" s="14" t="s">
        <v>708</v>
      </c>
      <c r="C249" s="14" t="s">
        <v>709</v>
      </c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</row>
    <row r="250" spans="2:15" ht="16" customHeight="1" x14ac:dyDescent="0.35">
      <c r="B250" s="14" t="s">
        <v>710</v>
      </c>
      <c r="C250" s="14" t="s">
        <v>711</v>
      </c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</row>
    <row r="251" spans="2:15" ht="16" customHeight="1" x14ac:dyDescent="0.35">
      <c r="B251" s="14" t="s">
        <v>712</v>
      </c>
      <c r="C251" s="14" t="s">
        <v>713</v>
      </c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</row>
    <row r="252" spans="2:15" ht="16" customHeight="1" x14ac:dyDescent="0.35">
      <c r="B252" s="14" t="s">
        <v>714</v>
      </c>
      <c r="C252" s="14" t="s">
        <v>715</v>
      </c>
      <c r="D252" s="15">
        <v>0</v>
      </c>
      <c r="E252" s="15">
        <v>0</v>
      </c>
      <c r="F252" s="15">
        <v>0</v>
      </c>
      <c r="G252" s="15">
        <v>0</v>
      </c>
      <c r="H252" s="15">
        <v>0</v>
      </c>
      <c r="I252" s="15">
        <v>0</v>
      </c>
      <c r="J252" s="15"/>
      <c r="K252" s="15"/>
      <c r="L252" s="15"/>
      <c r="M252" s="15"/>
      <c r="N252" s="15"/>
      <c r="O252" s="15"/>
    </row>
    <row r="253" spans="2:15" ht="16" customHeight="1" x14ac:dyDescent="0.35">
      <c r="B253" s="14" t="s">
        <v>716</v>
      </c>
      <c r="C253" s="14" t="s">
        <v>717</v>
      </c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</row>
    <row r="254" spans="2:15" ht="16" customHeight="1" x14ac:dyDescent="0.35">
      <c r="B254" s="14" t="s">
        <v>718</v>
      </c>
      <c r="C254" s="14" t="s">
        <v>719</v>
      </c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</row>
    <row r="255" spans="2:15" ht="16" customHeight="1" x14ac:dyDescent="0.35">
      <c r="B255" s="14" t="s">
        <v>720</v>
      </c>
      <c r="C255" s="14" t="s">
        <v>721</v>
      </c>
      <c r="D255" s="15">
        <v>-1808.3500200000001</v>
      </c>
      <c r="E255" s="15">
        <v>-1808.3500200000001</v>
      </c>
      <c r="F255" s="15">
        <v>1634.6095299999999</v>
      </c>
      <c r="G255" s="15">
        <v>1634.6095299999999</v>
      </c>
      <c r="H255" s="15">
        <v>1634.6095299999999</v>
      </c>
      <c r="I255" s="15">
        <v>1634.6095299999999</v>
      </c>
      <c r="J255" s="15"/>
      <c r="K255" s="15"/>
      <c r="L255" s="15"/>
      <c r="M255" s="15"/>
      <c r="N255" s="15"/>
      <c r="O255" s="15"/>
    </row>
    <row r="256" spans="2:15" ht="16" customHeight="1" x14ac:dyDescent="0.35">
      <c r="B256" s="14" t="s">
        <v>722</v>
      </c>
      <c r="C256" s="14" t="s">
        <v>723</v>
      </c>
      <c r="D256" s="15">
        <v>517.34130000000005</v>
      </c>
      <c r="E256" s="15">
        <v>517.34130000000005</v>
      </c>
      <c r="F256" s="15">
        <v>-293.22998000000001</v>
      </c>
      <c r="G256" s="15">
        <v>-382.74698000000001</v>
      </c>
      <c r="H256" s="15">
        <v>-382.74698000000001</v>
      </c>
      <c r="I256" s="15">
        <v>-382.74698000000001</v>
      </c>
      <c r="J256" s="15"/>
      <c r="K256" s="15"/>
      <c r="L256" s="15"/>
      <c r="M256" s="15"/>
      <c r="N256" s="15"/>
      <c r="O256" s="15"/>
    </row>
    <row r="257" spans="2:15" ht="16" customHeight="1" x14ac:dyDescent="0.35">
      <c r="B257" s="14" t="s">
        <v>724</v>
      </c>
      <c r="C257" s="14" t="s">
        <v>725</v>
      </c>
      <c r="D257" s="15">
        <v>33868.332609999998</v>
      </c>
      <c r="E257" s="15">
        <v>33664.665609999996</v>
      </c>
      <c r="F257" s="15">
        <v>33460.998610000002</v>
      </c>
      <c r="G257" s="15">
        <v>33257.331610000001</v>
      </c>
      <c r="H257" s="15">
        <v>33053.66461</v>
      </c>
      <c r="I257" s="15">
        <v>33053.66461</v>
      </c>
      <c r="J257" s="15"/>
      <c r="K257" s="15"/>
      <c r="L257" s="15"/>
      <c r="M257" s="15"/>
      <c r="N257" s="15"/>
      <c r="O257" s="15"/>
    </row>
    <row r="258" spans="2:15" ht="16" customHeight="1" x14ac:dyDescent="0.35">
      <c r="B258" s="14" t="s">
        <v>726</v>
      </c>
      <c r="C258" s="14" t="s">
        <v>727</v>
      </c>
      <c r="D258" s="15">
        <v>7</v>
      </c>
      <c r="E258" s="15">
        <v>7</v>
      </c>
      <c r="F258" s="15">
        <v>6.4989999999999997</v>
      </c>
      <c r="G258" s="15">
        <v>6.3319999999999999</v>
      </c>
      <c r="H258" s="15">
        <v>6.165</v>
      </c>
      <c r="I258" s="15">
        <v>6.165</v>
      </c>
      <c r="J258" s="15"/>
      <c r="K258" s="15"/>
      <c r="L258" s="15"/>
      <c r="M258" s="15"/>
      <c r="N258" s="15"/>
      <c r="O258" s="15"/>
    </row>
    <row r="259" spans="2:15" ht="16" customHeight="1" x14ac:dyDescent="0.35">
      <c r="B259" s="14" t="s">
        <v>728</v>
      </c>
      <c r="C259" s="14" t="s">
        <v>729</v>
      </c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</row>
    <row r="260" spans="2:15" ht="16" customHeight="1" x14ac:dyDescent="0.35">
      <c r="B260" s="14" t="s">
        <v>730</v>
      </c>
      <c r="C260" s="14" t="s">
        <v>731</v>
      </c>
      <c r="D260" s="15">
        <v>-8017.2876200000001</v>
      </c>
      <c r="E260" s="15">
        <v>-8017.2876200000001</v>
      </c>
      <c r="F260" s="15">
        <v>-8158.7366199999997</v>
      </c>
      <c r="G260" s="15">
        <v>-8841.5616200000004</v>
      </c>
      <c r="H260" s="15">
        <v>-8841.5616200000004</v>
      </c>
      <c r="I260" s="15">
        <v>-8841.5616200000004</v>
      </c>
      <c r="J260" s="15"/>
      <c r="K260" s="15"/>
      <c r="L260" s="15"/>
      <c r="M260" s="15"/>
      <c r="N260" s="15"/>
      <c r="O260" s="15"/>
    </row>
    <row r="261" spans="2:15" ht="16" customHeight="1" x14ac:dyDescent="0.35">
      <c r="B261" s="14" t="s">
        <v>732</v>
      </c>
      <c r="C261" s="14" t="s">
        <v>733</v>
      </c>
      <c r="D261" s="15">
        <v>-243213.44787</v>
      </c>
      <c r="E261" s="15">
        <v>-243213.44787</v>
      </c>
      <c r="F261" s="15">
        <v>-243213.44787</v>
      </c>
      <c r="G261" s="15">
        <v>-243213.44787</v>
      </c>
      <c r="H261" s="15">
        <v>-243213.44787</v>
      </c>
      <c r="I261" s="15">
        <v>-243213.44787</v>
      </c>
      <c r="J261" s="15"/>
      <c r="K261" s="15"/>
      <c r="L261" s="15"/>
      <c r="M261" s="15"/>
      <c r="N261" s="15"/>
      <c r="O261" s="15"/>
    </row>
    <row r="262" spans="2:15" ht="16" customHeight="1" x14ac:dyDescent="0.35">
      <c r="B262" s="14" t="s">
        <v>734</v>
      </c>
      <c r="C262" s="14" t="s">
        <v>735</v>
      </c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</row>
    <row r="263" spans="2:15" ht="16" customHeight="1" x14ac:dyDescent="0.35">
      <c r="B263" s="14" t="s">
        <v>736</v>
      </c>
      <c r="C263" s="14" t="s">
        <v>737</v>
      </c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</row>
    <row r="264" spans="2:15" ht="16" customHeight="1" x14ac:dyDescent="0.35">
      <c r="B264" s="16" t="s">
        <v>738</v>
      </c>
      <c r="C264" s="16" t="s">
        <v>739</v>
      </c>
      <c r="D264" s="17">
        <f t="shared" ref="D264:O264" si="42">-(-(D242+D243)-D244-D245-D246-D247-D248-D249-D250-D251-D252-D253-D254-D255-D256-D257-D258-D259-D260-D261-D262-D263)</f>
        <v>-3821031.4212699998</v>
      </c>
      <c r="E264" s="17">
        <f t="shared" si="42"/>
        <v>-3846530.0291299988</v>
      </c>
      <c r="F264" s="17">
        <f t="shared" si="42"/>
        <v>-3801997.3379499991</v>
      </c>
      <c r="G264" s="17">
        <f t="shared" si="42"/>
        <v>-3731159.1225099987</v>
      </c>
      <c r="H264" s="17">
        <f t="shared" si="42"/>
        <v>-3634796.5913899997</v>
      </c>
      <c r="I264" s="17">
        <f t="shared" si="42"/>
        <v>-3589704.4846899994</v>
      </c>
      <c r="J264" s="17">
        <f t="shared" si="42"/>
        <v>0</v>
      </c>
      <c r="K264" s="17">
        <f t="shared" si="42"/>
        <v>0</v>
      </c>
      <c r="L264" s="17">
        <f t="shared" si="42"/>
        <v>0</v>
      </c>
      <c r="M264" s="17">
        <f t="shared" si="42"/>
        <v>0</v>
      </c>
      <c r="N264" s="17">
        <f t="shared" si="42"/>
        <v>0</v>
      </c>
      <c r="O264" s="17">
        <f t="shared" si="42"/>
        <v>0</v>
      </c>
    </row>
    <row r="265" spans="2:15" ht="16" customHeight="1" x14ac:dyDescent="0.35">
      <c r="B265" s="11" t="s">
        <v>740</v>
      </c>
      <c r="C265" s="11" t="s">
        <v>22</v>
      </c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</row>
    <row r="266" spans="2:15" ht="16" customHeight="1" x14ac:dyDescent="0.35">
      <c r="B266" s="16" t="s">
        <v>741</v>
      </c>
      <c r="C266" s="16" t="s">
        <v>742</v>
      </c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</row>
    <row r="267" spans="2:15" ht="16" customHeight="1" thickBot="1" x14ac:dyDescent="0.4">
      <c r="B267" s="11" t="s">
        <v>743</v>
      </c>
      <c r="C267" s="11" t="s">
        <v>22</v>
      </c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</row>
    <row r="268" spans="2:15" ht="16" customHeight="1" thickBot="1" x14ac:dyDescent="0.4">
      <c r="B268" s="18" t="s">
        <v>744</v>
      </c>
      <c r="C268" s="18" t="s">
        <v>745</v>
      </c>
      <c r="D268" s="19">
        <f t="shared" ref="D268:O268" si="43">-(-(D236+D238)-D240-D264-D266)</f>
        <v>6206294.2681099996</v>
      </c>
      <c r="E268" s="19">
        <f t="shared" si="43"/>
        <v>6180795.6602500007</v>
      </c>
      <c r="F268" s="19">
        <f t="shared" si="43"/>
        <v>6225328.3514300007</v>
      </c>
      <c r="G268" s="19">
        <f t="shared" si="43"/>
        <v>6296166.5668700002</v>
      </c>
      <c r="H268" s="19">
        <f t="shared" si="43"/>
        <v>6392529.0979899997</v>
      </c>
      <c r="I268" s="19">
        <f t="shared" si="43"/>
        <v>6437621.20469</v>
      </c>
      <c r="J268" s="19">
        <f t="shared" si="43"/>
        <v>0</v>
      </c>
      <c r="K268" s="19">
        <f t="shared" si="43"/>
        <v>0</v>
      </c>
      <c r="L268" s="19">
        <f t="shared" si="43"/>
        <v>0</v>
      </c>
      <c r="M268" s="19">
        <f t="shared" si="43"/>
        <v>0</v>
      </c>
      <c r="N268" s="19">
        <f t="shared" si="43"/>
        <v>0</v>
      </c>
      <c r="O268" s="19">
        <f t="shared" si="43"/>
        <v>0</v>
      </c>
    </row>
    <row r="269" spans="2:15" ht="16" customHeight="1" thickBot="1" x14ac:dyDescent="0.4">
      <c r="B269" s="11" t="s">
        <v>171</v>
      </c>
      <c r="C269" s="11" t="s">
        <v>22</v>
      </c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</row>
    <row r="270" spans="2:15" ht="16" customHeight="1" thickBot="1" x14ac:dyDescent="0.4">
      <c r="B270" s="18" t="s">
        <v>746</v>
      </c>
      <c r="C270" s="18" t="s">
        <v>747</v>
      </c>
      <c r="D270" s="19">
        <f t="shared" ref="D270:O270" si="44">D234+D268</f>
        <v>8553540.8274799995</v>
      </c>
      <c r="E270" s="19">
        <f t="shared" si="44"/>
        <v>8508816.3703199998</v>
      </c>
      <c r="F270" s="19">
        <f t="shared" si="44"/>
        <v>8540885.3490200005</v>
      </c>
      <c r="G270" s="19">
        <f t="shared" si="44"/>
        <v>8758954.9651699997</v>
      </c>
      <c r="H270" s="19">
        <f t="shared" si="44"/>
        <v>8880870.0977899991</v>
      </c>
      <c r="I270" s="19">
        <f t="shared" si="44"/>
        <v>8866177.6041800007</v>
      </c>
      <c r="J270" s="19">
        <f t="shared" si="44"/>
        <v>0</v>
      </c>
      <c r="K270" s="19">
        <f t="shared" si="44"/>
        <v>0</v>
      </c>
      <c r="L270" s="19">
        <f t="shared" si="44"/>
        <v>0</v>
      </c>
      <c r="M270" s="19">
        <f t="shared" si="44"/>
        <v>0</v>
      </c>
      <c r="N270" s="19">
        <f t="shared" si="44"/>
        <v>0</v>
      </c>
      <c r="O270" s="19">
        <f t="shared" si="44"/>
        <v>0</v>
      </c>
    </row>
    <row r="271" spans="2:15" ht="16" customHeight="1" x14ac:dyDescent="0.35">
      <c r="B271" s="11" t="s">
        <v>748</v>
      </c>
      <c r="C271" s="11" t="s">
        <v>22</v>
      </c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</row>
    <row r="272" spans="2:15" ht="16" customHeight="1" x14ac:dyDescent="0.35">
      <c r="B272" s="11" t="s">
        <v>749</v>
      </c>
      <c r="C272" s="11" t="s">
        <v>22</v>
      </c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</row>
    <row r="273" spans="2:15" ht="16" customHeight="1" x14ac:dyDescent="0.35">
      <c r="B273" s="36" t="s">
        <v>750</v>
      </c>
      <c r="C273" s="36" t="s">
        <v>751</v>
      </c>
      <c r="D273" s="37">
        <f t="shared" ref="D273:O273" si="45">D164-D270</f>
        <v>-2.2909998893737793E-2</v>
      </c>
      <c r="E273" s="37">
        <f t="shared" si="45"/>
        <v>-2.4949999526143074E-2</v>
      </c>
      <c r="F273" s="37">
        <f t="shared" si="45"/>
        <v>-2.728000096976757E-2</v>
      </c>
      <c r="G273" s="37">
        <f t="shared" si="45"/>
        <v>-2.1379999816417694E-2</v>
      </c>
      <c r="H273" s="37">
        <f t="shared" si="45"/>
        <v>-2.4729998782277107E-2</v>
      </c>
      <c r="I273" s="37">
        <f t="shared" si="45"/>
        <v>3445.8160100001842</v>
      </c>
      <c r="J273" s="37">
        <f t="shared" si="45"/>
        <v>0</v>
      </c>
      <c r="K273" s="37">
        <f t="shared" si="45"/>
        <v>0</v>
      </c>
      <c r="L273" s="37">
        <f t="shared" si="45"/>
        <v>0</v>
      </c>
      <c r="M273" s="37">
        <f t="shared" si="45"/>
        <v>0</v>
      </c>
      <c r="N273" s="37">
        <f t="shared" si="45"/>
        <v>0</v>
      </c>
      <c r="O273" s="37">
        <f t="shared" si="45"/>
        <v>0</v>
      </c>
    </row>
  </sheetData>
  <mergeCells count="2">
    <mergeCell ref="B4:C4"/>
    <mergeCell ref="B7:C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431E1-4906-4AD1-AA23-F4590517CA77}">
  <dimension ref="A3:Q241"/>
  <sheetViews>
    <sheetView showGridLines="0" workbookViewId="0">
      <pane xSplit="3" ySplit="10" topLeftCell="D11" activePane="bottomRight" state="frozen"/>
      <selection pane="topRight" activeCell="D1" sqref="D1"/>
      <selection pane="bottomLeft" activeCell="A7" sqref="A7"/>
      <selection pane="bottomRight" activeCell="B4" sqref="B4"/>
    </sheetView>
  </sheetViews>
  <sheetFormatPr defaultColWidth="9.1796875" defaultRowHeight="16" customHeight="1" x14ac:dyDescent="0.35"/>
  <cols>
    <col min="1" max="1" width="2.453125" style="1" customWidth="1"/>
    <col min="2" max="2" width="10.7265625" style="1" customWidth="1"/>
    <col min="3" max="3" width="55.7265625" style="1" customWidth="1"/>
    <col min="4" max="26" width="14.7265625" style="1" customWidth="1"/>
    <col min="27" max="16384" width="9.1796875" style="1"/>
  </cols>
  <sheetData>
    <row r="3" spans="1:17" ht="16" customHeight="1" x14ac:dyDescent="0.35">
      <c r="B3" s="2" t="s">
        <v>752</v>
      </c>
      <c r="G3" s="3"/>
    </row>
    <row r="4" spans="1:17" ht="16" customHeight="1" x14ac:dyDescent="0.35">
      <c r="B4" s="4" t="s">
        <v>270</v>
      </c>
    </row>
    <row r="5" spans="1:17" ht="16" customHeight="1" x14ac:dyDescent="0.35">
      <c r="B5" s="4" t="s">
        <v>271</v>
      </c>
    </row>
    <row r="6" spans="1:17" ht="16" customHeight="1" x14ac:dyDescent="0.35">
      <c r="A6" s="5" t="s">
        <v>753</v>
      </c>
      <c r="B6" s="1" t="str">
        <f>REPLACE(A6,16,9,"YTD")</f>
        <v>Period length: YTD</v>
      </c>
    </row>
    <row r="7" spans="1:17" ht="16" customHeight="1" x14ac:dyDescent="0.35">
      <c r="A7" s="5"/>
      <c r="B7" s="1" t="s">
        <v>272</v>
      </c>
    </row>
    <row r="8" spans="1:17" ht="16" customHeight="1" x14ac:dyDescent="0.35">
      <c r="A8" s="5"/>
      <c r="B8" s="6">
        <v>46189.339227800927</v>
      </c>
      <c r="C8" s="6"/>
    </row>
    <row r="10" spans="1:17" ht="16" customHeight="1" thickBot="1" x14ac:dyDescent="0.5">
      <c r="B10" s="7"/>
      <c r="C10" s="7"/>
      <c r="D10" s="8" t="s">
        <v>1</v>
      </c>
      <c r="E10" s="8" t="s">
        <v>2</v>
      </c>
      <c r="F10" s="8" t="s">
        <v>3</v>
      </c>
      <c r="G10" s="8" t="s">
        <v>4</v>
      </c>
      <c r="H10" s="8" t="s">
        <v>5</v>
      </c>
      <c r="I10" s="8" t="s">
        <v>6</v>
      </c>
      <c r="J10" s="8" t="s">
        <v>7</v>
      </c>
      <c r="K10" s="8" t="s">
        <v>8</v>
      </c>
      <c r="L10" s="8" t="s">
        <v>9</v>
      </c>
      <c r="M10" s="8" t="s">
        <v>10</v>
      </c>
      <c r="N10" s="8" t="s">
        <v>11</v>
      </c>
      <c r="O10" s="8" t="s">
        <v>12</v>
      </c>
      <c r="P10" s="9"/>
      <c r="Q10" s="9"/>
    </row>
    <row r="11" spans="1:17" ht="16" customHeight="1" x14ac:dyDescent="0.45">
      <c r="B11" s="10"/>
      <c r="C11" s="11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3"/>
      <c r="Q11" s="13"/>
    </row>
    <row r="12" spans="1:17" ht="16" customHeight="1" x14ac:dyDescent="0.45">
      <c r="B12" s="38"/>
      <c r="C12" s="34" t="s">
        <v>754</v>
      </c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13"/>
    </row>
    <row r="13" spans="1:17" ht="16" customHeight="1" x14ac:dyDescent="0.35">
      <c r="B13" s="10"/>
      <c r="C13" s="11" t="s">
        <v>22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</row>
    <row r="14" spans="1:17" ht="16" customHeight="1" x14ac:dyDescent="0.35">
      <c r="B14" s="14" t="s">
        <v>755</v>
      </c>
      <c r="C14" s="14" t="s">
        <v>138</v>
      </c>
      <c r="D14" s="15">
        <v>-4567.3949700000003</v>
      </c>
      <c r="E14" s="15">
        <v>-5932.2270900000003</v>
      </c>
      <c r="F14" s="15">
        <v>33990.972849999998</v>
      </c>
      <c r="G14" s="15">
        <v>118006.66847</v>
      </c>
      <c r="H14" s="15">
        <v>215234.27264000001</v>
      </c>
      <c r="I14" s="15">
        <v>268332.86755999998</v>
      </c>
      <c r="J14" s="15"/>
      <c r="K14" s="15"/>
      <c r="L14" s="15"/>
      <c r="M14" s="15"/>
      <c r="N14" s="15"/>
      <c r="O14" s="15"/>
    </row>
    <row r="15" spans="1:17" ht="16" customHeight="1" x14ac:dyDescent="0.35">
      <c r="B15" s="10"/>
      <c r="C15" s="11" t="s">
        <v>22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spans="1:17" ht="16" customHeight="1" x14ac:dyDescent="0.35">
      <c r="B16" s="14" t="s">
        <v>756</v>
      </c>
      <c r="C16" s="14" t="s">
        <v>757</v>
      </c>
      <c r="D16" s="15">
        <v>28301.74497</v>
      </c>
      <c r="E16" s="15">
        <v>55807.704019999997</v>
      </c>
      <c r="F16" s="15">
        <v>85474.089240000001</v>
      </c>
      <c r="G16" s="15">
        <v>114742.32266999999</v>
      </c>
      <c r="H16" s="15">
        <v>144870.31425</v>
      </c>
      <c r="I16" s="15">
        <v>144870.31425</v>
      </c>
      <c r="J16" s="15"/>
      <c r="K16" s="15"/>
      <c r="L16" s="15"/>
      <c r="M16" s="15"/>
      <c r="N16" s="15"/>
      <c r="O16" s="15"/>
    </row>
    <row r="17" spans="2:15" ht="16" customHeight="1" x14ac:dyDescent="0.35">
      <c r="B17" s="10"/>
      <c r="C17" s="11" t="s">
        <v>22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</row>
    <row r="18" spans="2:15" ht="16" customHeight="1" x14ac:dyDescent="0.35">
      <c r="B18" s="34" t="s">
        <v>758</v>
      </c>
      <c r="C18" s="34" t="s">
        <v>126</v>
      </c>
      <c r="D18" s="35">
        <f t="shared" ref="D18:O18" si="0">D14+D16</f>
        <v>23734.35</v>
      </c>
      <c r="E18" s="35">
        <f t="shared" si="0"/>
        <v>49875.476929999997</v>
      </c>
      <c r="F18" s="35">
        <f t="shared" si="0"/>
        <v>119465.06208999999</v>
      </c>
      <c r="G18" s="35">
        <f t="shared" si="0"/>
        <v>232748.99114</v>
      </c>
      <c r="H18" s="35">
        <f t="shared" si="0"/>
        <v>360104.58689000004</v>
      </c>
      <c r="I18" s="35">
        <f t="shared" si="0"/>
        <v>413203.18180999998</v>
      </c>
      <c r="J18" s="35">
        <f t="shared" si="0"/>
        <v>0</v>
      </c>
      <c r="K18" s="35">
        <f t="shared" si="0"/>
        <v>0</v>
      </c>
      <c r="L18" s="35">
        <f t="shared" si="0"/>
        <v>0</v>
      </c>
      <c r="M18" s="35">
        <f t="shared" si="0"/>
        <v>0</v>
      </c>
      <c r="N18" s="35">
        <f t="shared" si="0"/>
        <v>0</v>
      </c>
      <c r="O18" s="35">
        <f t="shared" si="0"/>
        <v>0</v>
      </c>
    </row>
    <row r="19" spans="2:15" ht="16" customHeight="1" x14ac:dyDescent="0.35">
      <c r="B19" s="10"/>
      <c r="C19" s="11" t="s">
        <v>22</v>
      </c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</row>
    <row r="20" spans="2:15" ht="16" customHeight="1" x14ac:dyDescent="0.35">
      <c r="B20" s="14" t="s">
        <v>759</v>
      </c>
      <c r="C20" s="14" t="s">
        <v>760</v>
      </c>
      <c r="D20" s="15">
        <v>1356.7952499999999</v>
      </c>
      <c r="E20" s="15">
        <v>2713.24865</v>
      </c>
      <c r="F20" s="15">
        <v>4111.8356599999997</v>
      </c>
      <c r="G20" s="15">
        <v>5681.8782899999997</v>
      </c>
      <c r="H20" s="15">
        <v>7181.7586300000003</v>
      </c>
      <c r="I20" s="15">
        <v>7181.7586300000003</v>
      </c>
      <c r="J20" s="15"/>
      <c r="K20" s="15"/>
      <c r="L20" s="15"/>
      <c r="M20" s="15"/>
      <c r="N20" s="15"/>
      <c r="O20" s="15"/>
    </row>
    <row r="21" spans="2:15" ht="16" customHeight="1" x14ac:dyDescent="0.35">
      <c r="B21" s="14" t="s">
        <v>761</v>
      </c>
      <c r="C21" s="14" t="s">
        <v>762</v>
      </c>
      <c r="D21" s="15">
        <v>3939.5516499999999</v>
      </c>
      <c r="E21" s="15">
        <v>7869.7721199999996</v>
      </c>
      <c r="F21" s="15">
        <v>11762.56847</v>
      </c>
      <c r="G21" s="15">
        <v>15591.87501</v>
      </c>
      <c r="H21" s="15">
        <v>18081.29622</v>
      </c>
      <c r="I21" s="15">
        <v>18081.29622</v>
      </c>
      <c r="J21" s="15"/>
      <c r="K21" s="15"/>
      <c r="L21" s="15"/>
      <c r="M21" s="15"/>
      <c r="N21" s="15"/>
      <c r="O21" s="15"/>
    </row>
    <row r="22" spans="2:15" ht="16" customHeight="1" x14ac:dyDescent="0.35">
      <c r="B22" s="10"/>
      <c r="C22" s="11" t="s">
        <v>22</v>
      </c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</row>
    <row r="23" spans="2:15" ht="16" customHeight="1" x14ac:dyDescent="0.35">
      <c r="B23" s="38"/>
      <c r="C23" s="34" t="s">
        <v>763</v>
      </c>
      <c r="D23" s="35">
        <f t="shared" ref="D23:O23" si="1">D24+D25</f>
        <v>0</v>
      </c>
      <c r="E23" s="35">
        <f t="shared" si="1"/>
        <v>0</v>
      </c>
      <c r="F23" s="35">
        <f t="shared" si="1"/>
        <v>0</v>
      </c>
      <c r="G23" s="35">
        <f t="shared" si="1"/>
        <v>0</v>
      </c>
      <c r="H23" s="35">
        <f t="shared" si="1"/>
        <v>0</v>
      </c>
      <c r="I23" s="35">
        <f t="shared" si="1"/>
        <v>0</v>
      </c>
      <c r="J23" s="35">
        <f t="shared" si="1"/>
        <v>0</v>
      </c>
      <c r="K23" s="35">
        <f t="shared" si="1"/>
        <v>0</v>
      </c>
      <c r="L23" s="35">
        <f t="shared" si="1"/>
        <v>0</v>
      </c>
      <c r="M23" s="35">
        <f t="shared" si="1"/>
        <v>0</v>
      </c>
      <c r="N23" s="35">
        <f t="shared" si="1"/>
        <v>0</v>
      </c>
      <c r="O23" s="35">
        <f t="shared" si="1"/>
        <v>0</v>
      </c>
    </row>
    <row r="24" spans="2:15" ht="16" customHeight="1" x14ac:dyDescent="0.35">
      <c r="B24" s="14" t="s">
        <v>764</v>
      </c>
      <c r="C24" s="14" t="s">
        <v>112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 spans="2:15" ht="16" customHeight="1" x14ac:dyDescent="0.35">
      <c r="B25" s="14" t="s">
        <v>765</v>
      </c>
      <c r="C25" s="14" t="s">
        <v>110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</row>
    <row r="26" spans="2:15" ht="16" customHeight="1" x14ac:dyDescent="0.35">
      <c r="B26" s="10"/>
      <c r="C26" s="11" t="s">
        <v>22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</row>
    <row r="27" spans="2:15" ht="16" customHeight="1" x14ac:dyDescent="0.35">
      <c r="B27" s="38"/>
      <c r="C27" s="34" t="s">
        <v>766</v>
      </c>
      <c r="D27" s="35">
        <f t="shared" ref="D27:O27" si="2">D28+D29</f>
        <v>-85.361959999999996</v>
      </c>
      <c r="E27" s="35">
        <f t="shared" si="2"/>
        <v>0</v>
      </c>
      <c r="F27" s="35">
        <f t="shared" si="2"/>
        <v>0</v>
      </c>
      <c r="G27" s="35">
        <f t="shared" si="2"/>
        <v>133.62189000000001</v>
      </c>
      <c r="H27" s="35">
        <f t="shared" si="2"/>
        <v>1322.1887899999999</v>
      </c>
      <c r="I27" s="35">
        <f t="shared" si="2"/>
        <v>1322.1887899999999</v>
      </c>
      <c r="J27" s="35">
        <f t="shared" si="2"/>
        <v>0</v>
      </c>
      <c r="K27" s="35">
        <f t="shared" si="2"/>
        <v>0</v>
      </c>
      <c r="L27" s="35">
        <f t="shared" si="2"/>
        <v>0</v>
      </c>
      <c r="M27" s="35">
        <f t="shared" si="2"/>
        <v>0</v>
      </c>
      <c r="N27" s="35">
        <f t="shared" si="2"/>
        <v>0</v>
      </c>
      <c r="O27" s="35">
        <f t="shared" si="2"/>
        <v>0</v>
      </c>
    </row>
    <row r="28" spans="2:15" ht="16" customHeight="1" x14ac:dyDescent="0.35">
      <c r="B28" s="14" t="s">
        <v>767</v>
      </c>
      <c r="C28" s="14" t="s">
        <v>768</v>
      </c>
      <c r="D28" s="15">
        <v>-85.361959999999996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spans="2:15" ht="16" customHeight="1" x14ac:dyDescent="0.35">
      <c r="B29" s="14" t="s">
        <v>769</v>
      </c>
      <c r="C29" s="14" t="s">
        <v>770</v>
      </c>
      <c r="D29" s="15"/>
      <c r="E29" s="15"/>
      <c r="F29" s="15"/>
      <c r="G29" s="15">
        <v>133.62189000000001</v>
      </c>
      <c r="H29" s="15">
        <v>1322.1887899999999</v>
      </c>
      <c r="I29" s="15">
        <v>1322.1887899999999</v>
      </c>
      <c r="J29" s="15"/>
      <c r="K29" s="15"/>
      <c r="L29" s="15"/>
      <c r="M29" s="15"/>
      <c r="N29" s="15"/>
      <c r="O29" s="15"/>
    </row>
    <row r="30" spans="2:15" ht="16" customHeight="1" x14ac:dyDescent="0.35">
      <c r="B30" s="10"/>
      <c r="C30" s="11" t="s">
        <v>22</v>
      </c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</row>
    <row r="31" spans="2:15" ht="16" customHeight="1" x14ac:dyDescent="0.35">
      <c r="B31" s="38"/>
      <c r="C31" s="34" t="s">
        <v>771</v>
      </c>
      <c r="D31" s="35">
        <f t="shared" ref="D31:O31" si="3">D32+D33+D34+D35+D36+D37+D38</f>
        <v>2589.0476099999996</v>
      </c>
      <c r="E31" s="35">
        <f t="shared" si="3"/>
        <v>-8126.5754799999995</v>
      </c>
      <c r="F31" s="35">
        <f t="shared" si="3"/>
        <v>640.10989000000063</v>
      </c>
      <c r="G31" s="35">
        <f t="shared" si="3"/>
        <v>-1153.7545399999999</v>
      </c>
      <c r="H31" s="35">
        <f t="shared" si="3"/>
        <v>4813.9004599999998</v>
      </c>
      <c r="I31" s="35">
        <f t="shared" si="3"/>
        <v>1845.4257800000005</v>
      </c>
      <c r="J31" s="35">
        <f t="shared" si="3"/>
        <v>0</v>
      </c>
      <c r="K31" s="35">
        <f t="shared" si="3"/>
        <v>0</v>
      </c>
      <c r="L31" s="35">
        <f t="shared" si="3"/>
        <v>0</v>
      </c>
      <c r="M31" s="35">
        <f t="shared" si="3"/>
        <v>0</v>
      </c>
      <c r="N31" s="35">
        <f t="shared" si="3"/>
        <v>0</v>
      </c>
      <c r="O31" s="35">
        <f t="shared" si="3"/>
        <v>0</v>
      </c>
    </row>
    <row r="32" spans="2:15" ht="16" customHeight="1" x14ac:dyDescent="0.35">
      <c r="B32" s="14" t="s">
        <v>772</v>
      </c>
      <c r="C32" s="14" t="s">
        <v>88</v>
      </c>
      <c r="D32" s="15"/>
      <c r="E32" s="15">
        <v>-60</v>
      </c>
      <c r="F32" s="15">
        <v>-1893.3</v>
      </c>
      <c r="G32" s="15">
        <v>-2158.8922699999998</v>
      </c>
      <c r="H32" s="15">
        <v>-2158.8922699999998</v>
      </c>
      <c r="I32" s="15">
        <v>-2158.8922699999998</v>
      </c>
      <c r="J32" s="15"/>
      <c r="K32" s="15"/>
      <c r="L32" s="15"/>
      <c r="M32" s="15"/>
      <c r="N32" s="15"/>
      <c r="O32" s="15"/>
    </row>
    <row r="33" spans="2:15" ht="16" customHeight="1" x14ac:dyDescent="0.35">
      <c r="B33" s="14" t="s">
        <v>773</v>
      </c>
      <c r="C33" s="14" t="s">
        <v>774</v>
      </c>
      <c r="D33" s="15"/>
      <c r="E33" s="15"/>
      <c r="F33" s="15">
        <v>-39.624450000000003</v>
      </c>
      <c r="G33" s="15">
        <v>-84.570980000000006</v>
      </c>
      <c r="H33" s="15">
        <v>-84.691779999999994</v>
      </c>
      <c r="I33" s="15">
        <v>-84.691779999999994</v>
      </c>
      <c r="J33" s="15"/>
      <c r="K33" s="15"/>
      <c r="L33" s="15"/>
      <c r="M33" s="15"/>
      <c r="N33" s="15"/>
      <c r="O33" s="15"/>
    </row>
    <row r="34" spans="2:15" ht="16" customHeight="1" x14ac:dyDescent="0.35">
      <c r="B34" s="14" t="s">
        <v>775</v>
      </c>
      <c r="C34" s="14" t="s">
        <v>776</v>
      </c>
      <c r="D34" s="15">
        <v>-500</v>
      </c>
      <c r="E34" s="15"/>
      <c r="F34" s="15">
        <v>-95.825000000000003</v>
      </c>
      <c r="G34" s="15">
        <v>-95.825000000000003</v>
      </c>
      <c r="H34" s="15">
        <v>-95.825000000000003</v>
      </c>
      <c r="I34" s="15">
        <v>-95.825000000000003</v>
      </c>
      <c r="J34" s="15"/>
      <c r="K34" s="15"/>
      <c r="L34" s="15"/>
      <c r="M34" s="15"/>
      <c r="N34" s="15"/>
      <c r="O34" s="15"/>
    </row>
    <row r="35" spans="2:15" ht="16" customHeight="1" x14ac:dyDescent="0.35">
      <c r="B35" s="14" t="s">
        <v>777</v>
      </c>
      <c r="C35" s="14" t="s">
        <v>778</v>
      </c>
      <c r="D35" s="15">
        <v>-1160.45894</v>
      </c>
      <c r="E35" s="15">
        <v>-2241.3000099999999</v>
      </c>
      <c r="F35" s="15">
        <v>-3091.0878600000001</v>
      </c>
      <c r="G35" s="15">
        <v>-4082.83185</v>
      </c>
      <c r="H35" s="15">
        <v>-4915.0925800000005</v>
      </c>
      <c r="I35" s="15">
        <v>-5133.8195800000003</v>
      </c>
      <c r="J35" s="15"/>
      <c r="K35" s="15"/>
      <c r="L35" s="15"/>
      <c r="M35" s="15"/>
      <c r="N35" s="15"/>
      <c r="O35" s="15"/>
    </row>
    <row r="36" spans="2:15" ht="16" customHeight="1" x14ac:dyDescent="0.35">
      <c r="B36" s="14" t="s">
        <v>779</v>
      </c>
      <c r="C36" s="14" t="s">
        <v>780</v>
      </c>
      <c r="D36" s="15">
        <v>-20.304739999999999</v>
      </c>
      <c r="E36" s="15">
        <v>10.666</v>
      </c>
      <c r="F36" s="15">
        <v>-15.82118</v>
      </c>
      <c r="G36" s="15">
        <v>-42.082560000000001</v>
      </c>
      <c r="H36" s="15">
        <v>-62.949339999999999</v>
      </c>
      <c r="I36" s="15">
        <v>-88.58708</v>
      </c>
      <c r="J36" s="15"/>
      <c r="K36" s="15"/>
      <c r="L36" s="15"/>
      <c r="M36" s="15"/>
      <c r="N36" s="15"/>
      <c r="O36" s="15"/>
    </row>
    <row r="37" spans="2:15" ht="16" customHeight="1" x14ac:dyDescent="0.35">
      <c r="B37" s="14" t="s">
        <v>781</v>
      </c>
      <c r="C37" s="14" t="s">
        <v>782</v>
      </c>
      <c r="D37" s="15">
        <v>4269.8112899999996</v>
      </c>
      <c r="E37" s="15">
        <v>-5835.9414699999998</v>
      </c>
      <c r="F37" s="15">
        <v>5775.7683800000004</v>
      </c>
      <c r="G37" s="15">
        <v>5310.44812</v>
      </c>
      <c r="H37" s="15">
        <v>12131.351430000001</v>
      </c>
      <c r="I37" s="15">
        <v>9407.2414900000003</v>
      </c>
      <c r="J37" s="15"/>
      <c r="K37" s="15"/>
      <c r="L37" s="15"/>
      <c r="M37" s="15"/>
      <c r="N37" s="15"/>
      <c r="O37" s="15"/>
    </row>
    <row r="38" spans="2:15" ht="16" customHeight="1" x14ac:dyDescent="0.35">
      <c r="B38" s="14" t="s">
        <v>783</v>
      </c>
      <c r="C38" s="14" t="s">
        <v>784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</row>
    <row r="39" spans="2:15" ht="16" customHeight="1" x14ac:dyDescent="0.35">
      <c r="B39" s="10"/>
      <c r="C39" s="11" t="s">
        <v>22</v>
      </c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</row>
    <row r="40" spans="2:15" ht="16" customHeight="1" x14ac:dyDescent="0.35">
      <c r="B40" s="38"/>
      <c r="C40" s="34" t="s">
        <v>785</v>
      </c>
      <c r="D40" s="35">
        <f t="shared" ref="D40:O40" si="4">-(-(D41+D42)-D43)</f>
        <v>0</v>
      </c>
      <c r="E40" s="35">
        <f t="shared" si="4"/>
        <v>0</v>
      </c>
      <c r="F40" s="35">
        <f t="shared" si="4"/>
        <v>0</v>
      </c>
      <c r="G40" s="35">
        <f t="shared" si="4"/>
        <v>0</v>
      </c>
      <c r="H40" s="35">
        <f t="shared" si="4"/>
        <v>0</v>
      </c>
      <c r="I40" s="35">
        <f t="shared" si="4"/>
        <v>0</v>
      </c>
      <c r="J40" s="35">
        <f t="shared" si="4"/>
        <v>0</v>
      </c>
      <c r="K40" s="35">
        <f t="shared" si="4"/>
        <v>0</v>
      </c>
      <c r="L40" s="35">
        <f t="shared" si="4"/>
        <v>0</v>
      </c>
      <c r="M40" s="35">
        <f t="shared" si="4"/>
        <v>0</v>
      </c>
      <c r="N40" s="35">
        <f t="shared" si="4"/>
        <v>0</v>
      </c>
      <c r="O40" s="35">
        <f t="shared" si="4"/>
        <v>0</v>
      </c>
    </row>
    <row r="41" spans="2:15" ht="16" customHeight="1" x14ac:dyDescent="0.35">
      <c r="B41" s="14" t="s">
        <v>786</v>
      </c>
      <c r="C41" s="14" t="s">
        <v>787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</row>
    <row r="42" spans="2:15" ht="16" customHeight="1" x14ac:dyDescent="0.35">
      <c r="B42" s="14" t="s">
        <v>788</v>
      </c>
      <c r="C42" s="14" t="s">
        <v>789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</row>
    <row r="43" spans="2:15" ht="16" customHeight="1" x14ac:dyDescent="0.35">
      <c r="B43" s="14" t="s">
        <v>790</v>
      </c>
      <c r="C43" s="14" t="s">
        <v>791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</row>
    <row r="44" spans="2:15" ht="16" customHeight="1" x14ac:dyDescent="0.35">
      <c r="B44" s="10"/>
      <c r="C44" s="11" t="s">
        <v>22</v>
      </c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</row>
    <row r="45" spans="2:15" ht="16" customHeight="1" x14ac:dyDescent="0.35">
      <c r="B45" s="38"/>
      <c r="C45" s="34" t="s">
        <v>792</v>
      </c>
      <c r="D45" s="35">
        <f t="shared" ref="D45:O45" si="5">D47+D51</f>
        <v>7490.6876999999995</v>
      </c>
      <c r="E45" s="35">
        <f t="shared" si="5"/>
        <v>6881.621619999999</v>
      </c>
      <c r="F45" s="35">
        <f t="shared" si="5"/>
        <v>-1453.17788</v>
      </c>
      <c r="G45" s="35">
        <f t="shared" si="5"/>
        <v>-1888.78802</v>
      </c>
      <c r="H45" s="35">
        <f t="shared" si="5"/>
        <v>-2241.5044800000001</v>
      </c>
      <c r="I45" s="35">
        <f t="shared" si="5"/>
        <v>-10284.70292</v>
      </c>
      <c r="J45" s="35">
        <f t="shared" si="5"/>
        <v>0</v>
      </c>
      <c r="K45" s="35">
        <f t="shared" si="5"/>
        <v>0</v>
      </c>
      <c r="L45" s="35">
        <f t="shared" si="5"/>
        <v>0</v>
      </c>
      <c r="M45" s="35">
        <f t="shared" si="5"/>
        <v>0</v>
      </c>
      <c r="N45" s="35">
        <f t="shared" si="5"/>
        <v>0</v>
      </c>
      <c r="O45" s="35">
        <f t="shared" si="5"/>
        <v>0</v>
      </c>
    </row>
    <row r="46" spans="2:15" ht="16" customHeight="1" x14ac:dyDescent="0.35">
      <c r="B46" s="10"/>
      <c r="C46" s="11" t="s">
        <v>22</v>
      </c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</row>
    <row r="47" spans="2:15" ht="16" customHeight="1" x14ac:dyDescent="0.35">
      <c r="B47" s="38"/>
      <c r="C47" s="34" t="s">
        <v>793</v>
      </c>
      <c r="D47" s="35">
        <f t="shared" ref="D47:O47" si="6">D48+D49</f>
        <v>52.873179999999998</v>
      </c>
      <c r="E47" s="35">
        <f t="shared" si="6"/>
        <v>52.873179999999998</v>
      </c>
      <c r="F47" s="35">
        <f t="shared" si="6"/>
        <v>0</v>
      </c>
      <c r="G47" s="35">
        <f t="shared" si="6"/>
        <v>0</v>
      </c>
      <c r="H47" s="35">
        <f t="shared" si="6"/>
        <v>0</v>
      </c>
      <c r="I47" s="35">
        <f t="shared" si="6"/>
        <v>0</v>
      </c>
      <c r="J47" s="35">
        <f t="shared" si="6"/>
        <v>0</v>
      </c>
      <c r="K47" s="35">
        <f t="shared" si="6"/>
        <v>0</v>
      </c>
      <c r="L47" s="35">
        <f t="shared" si="6"/>
        <v>0</v>
      </c>
      <c r="M47" s="35">
        <f t="shared" si="6"/>
        <v>0</v>
      </c>
      <c r="N47" s="35">
        <f t="shared" si="6"/>
        <v>0</v>
      </c>
      <c r="O47" s="35">
        <f t="shared" si="6"/>
        <v>0</v>
      </c>
    </row>
    <row r="48" spans="2:15" ht="16" customHeight="1" x14ac:dyDescent="0.35">
      <c r="B48" s="14" t="s">
        <v>794</v>
      </c>
      <c r="C48" s="14" t="s">
        <v>795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</row>
    <row r="49" spans="2:15" ht="16" customHeight="1" x14ac:dyDescent="0.35">
      <c r="B49" s="14" t="s">
        <v>796</v>
      </c>
      <c r="C49" s="14" t="s">
        <v>797</v>
      </c>
      <c r="D49" s="15">
        <v>52.873179999999998</v>
      </c>
      <c r="E49" s="15">
        <v>52.873179999999998</v>
      </c>
      <c r="F49" s="15"/>
      <c r="G49" s="15"/>
      <c r="H49" s="15"/>
      <c r="I49" s="15"/>
      <c r="J49" s="15"/>
      <c r="K49" s="15"/>
      <c r="L49" s="15"/>
      <c r="M49" s="15"/>
      <c r="N49" s="15"/>
      <c r="O49" s="15"/>
    </row>
    <row r="50" spans="2:15" ht="16" customHeight="1" x14ac:dyDescent="0.35">
      <c r="B50" s="10"/>
      <c r="C50" s="11" t="s">
        <v>22</v>
      </c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</row>
    <row r="51" spans="2:15" ht="16" customHeight="1" x14ac:dyDescent="0.35">
      <c r="B51" s="38"/>
      <c r="C51" s="34" t="s">
        <v>798</v>
      </c>
      <c r="D51" s="35">
        <f t="shared" ref="D51:O51" si="7">-(-(D52+D53)-D54)</f>
        <v>7437.8145199999999</v>
      </c>
      <c r="E51" s="35">
        <f t="shared" si="7"/>
        <v>6828.7484399999994</v>
      </c>
      <c r="F51" s="35">
        <f t="shared" si="7"/>
        <v>-1453.17788</v>
      </c>
      <c r="G51" s="35">
        <f t="shared" si="7"/>
        <v>-1888.78802</v>
      </c>
      <c r="H51" s="35">
        <f t="shared" si="7"/>
        <v>-2241.5044800000001</v>
      </c>
      <c r="I51" s="35">
        <f t="shared" si="7"/>
        <v>-10284.70292</v>
      </c>
      <c r="J51" s="35">
        <f t="shared" si="7"/>
        <v>0</v>
      </c>
      <c r="K51" s="35">
        <f t="shared" si="7"/>
        <v>0</v>
      </c>
      <c r="L51" s="35">
        <f t="shared" si="7"/>
        <v>0</v>
      </c>
      <c r="M51" s="35">
        <f t="shared" si="7"/>
        <v>0</v>
      </c>
      <c r="N51" s="35">
        <f t="shared" si="7"/>
        <v>0</v>
      </c>
      <c r="O51" s="35">
        <f t="shared" si="7"/>
        <v>0</v>
      </c>
    </row>
    <row r="52" spans="2:15" ht="16" customHeight="1" x14ac:dyDescent="0.35">
      <c r="B52" s="14" t="s">
        <v>799</v>
      </c>
      <c r="C52" s="14" t="s">
        <v>800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</row>
    <row r="53" spans="2:15" ht="16" customHeight="1" x14ac:dyDescent="0.35">
      <c r="B53" s="14" t="s">
        <v>801</v>
      </c>
      <c r="C53" s="14" t="s">
        <v>802</v>
      </c>
      <c r="D53" s="15">
        <v>7754.4498100000001</v>
      </c>
      <c r="E53" s="15">
        <v>7457.8753299999998</v>
      </c>
      <c r="F53" s="15">
        <v>-513.31161999999995</v>
      </c>
      <c r="G53" s="15">
        <v>-618.65097000000003</v>
      </c>
      <c r="H53" s="15">
        <v>-656.67547999999999</v>
      </c>
      <c r="I53" s="15">
        <v>-8699.4944699999996</v>
      </c>
      <c r="J53" s="15"/>
      <c r="K53" s="15"/>
      <c r="L53" s="15"/>
      <c r="M53" s="15"/>
      <c r="N53" s="15"/>
      <c r="O53" s="15"/>
    </row>
    <row r="54" spans="2:15" ht="16" customHeight="1" x14ac:dyDescent="0.35">
      <c r="B54" s="14" t="s">
        <v>803</v>
      </c>
      <c r="C54" s="14" t="s">
        <v>804</v>
      </c>
      <c r="D54" s="15">
        <v>-316.63529</v>
      </c>
      <c r="E54" s="15">
        <v>-629.12689</v>
      </c>
      <c r="F54" s="15">
        <v>-939.86626000000001</v>
      </c>
      <c r="G54" s="15">
        <v>-1270.13705</v>
      </c>
      <c r="H54" s="15">
        <v>-1584.829</v>
      </c>
      <c r="I54" s="15">
        <v>-1585.2084500000001</v>
      </c>
      <c r="J54" s="15"/>
      <c r="K54" s="15"/>
      <c r="L54" s="15"/>
      <c r="M54" s="15"/>
      <c r="N54" s="15"/>
      <c r="O54" s="15"/>
    </row>
    <row r="55" spans="2:15" ht="16" customHeight="1" x14ac:dyDescent="0.35">
      <c r="B55" s="10"/>
      <c r="C55" s="11" t="s">
        <v>22</v>
      </c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</row>
    <row r="56" spans="2:15" ht="16" customHeight="1" x14ac:dyDescent="0.35">
      <c r="B56" s="38"/>
      <c r="C56" s="34" t="s">
        <v>805</v>
      </c>
      <c r="D56" s="35">
        <f t="shared" ref="D56:O56" si="8">D57+D58</f>
        <v>-18.01454</v>
      </c>
      <c r="E56" s="35">
        <f t="shared" si="8"/>
        <v>-1283.5717999999999</v>
      </c>
      <c r="F56" s="35">
        <f t="shared" si="8"/>
        <v>-24.495799999999999</v>
      </c>
      <c r="G56" s="35">
        <f t="shared" si="8"/>
        <v>-24.735959999999999</v>
      </c>
      <c r="H56" s="35">
        <f t="shared" si="8"/>
        <v>-20.940149999999999</v>
      </c>
      <c r="I56" s="35">
        <f t="shared" si="8"/>
        <v>-20.572310000000002</v>
      </c>
      <c r="J56" s="35">
        <f t="shared" si="8"/>
        <v>0</v>
      </c>
      <c r="K56" s="35">
        <f t="shared" si="8"/>
        <v>0</v>
      </c>
      <c r="L56" s="35">
        <f t="shared" si="8"/>
        <v>0</v>
      </c>
      <c r="M56" s="35">
        <f t="shared" si="8"/>
        <v>0</v>
      </c>
      <c r="N56" s="35">
        <f t="shared" si="8"/>
        <v>0</v>
      </c>
      <c r="O56" s="35">
        <f t="shared" si="8"/>
        <v>0</v>
      </c>
    </row>
    <row r="57" spans="2:15" ht="16" customHeight="1" x14ac:dyDescent="0.35">
      <c r="B57" s="14" t="s">
        <v>806</v>
      </c>
      <c r="C57" s="14" t="s">
        <v>805</v>
      </c>
      <c r="D57" s="15">
        <v>-18.01454</v>
      </c>
      <c r="E57" s="15">
        <v>-1283.5717999999999</v>
      </c>
      <c r="F57" s="15">
        <v>-24.495799999999999</v>
      </c>
      <c r="G57" s="15">
        <v>-24.735959999999999</v>
      </c>
      <c r="H57" s="15">
        <v>-20.940149999999999</v>
      </c>
      <c r="I57" s="15">
        <v>-20.572310000000002</v>
      </c>
      <c r="J57" s="15"/>
      <c r="K57" s="15"/>
      <c r="L57" s="15"/>
      <c r="M57" s="15"/>
      <c r="N57" s="15"/>
      <c r="O57" s="15"/>
    </row>
    <row r="58" spans="2:15" ht="16" customHeight="1" x14ac:dyDescent="0.35">
      <c r="B58" s="14" t="s">
        <v>807</v>
      </c>
      <c r="C58" s="14" t="s">
        <v>808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</row>
    <row r="59" spans="2:15" ht="16" customHeight="1" x14ac:dyDescent="0.35">
      <c r="B59" s="10"/>
      <c r="C59" s="11" t="s">
        <v>22</v>
      </c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</row>
    <row r="60" spans="2:15" ht="16" customHeight="1" x14ac:dyDescent="0.35">
      <c r="B60" s="14" t="s">
        <v>809</v>
      </c>
      <c r="C60" s="14" t="s">
        <v>810</v>
      </c>
      <c r="D60" s="15">
        <v>-69740.975449999998</v>
      </c>
      <c r="E60" s="15">
        <v>-70143.122199999998</v>
      </c>
      <c r="F60" s="15">
        <v>-70452.078699999998</v>
      </c>
      <c r="G60" s="15">
        <v>-77319.212029999995</v>
      </c>
      <c r="H60" s="15">
        <v>-79534.870349999997</v>
      </c>
      <c r="I60" s="15">
        <v>-84353.395610000007</v>
      </c>
      <c r="J60" s="15"/>
      <c r="K60" s="15"/>
      <c r="L60" s="15"/>
      <c r="M60" s="15"/>
      <c r="N60" s="15"/>
      <c r="O60" s="15"/>
    </row>
    <row r="61" spans="2:15" ht="16" customHeight="1" x14ac:dyDescent="0.35">
      <c r="B61" s="10"/>
      <c r="C61" s="11" t="s">
        <v>22</v>
      </c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</row>
    <row r="62" spans="2:15" ht="16" customHeight="1" x14ac:dyDescent="0.35">
      <c r="B62" s="38"/>
      <c r="C62" s="34" t="s">
        <v>811</v>
      </c>
      <c r="D62" s="35">
        <f t="shared" ref="D62:O62" si="9">-(-(D63+D64)-D65)</f>
        <v>0</v>
      </c>
      <c r="E62" s="35">
        <f t="shared" si="9"/>
        <v>-44911.874159999999</v>
      </c>
      <c r="F62" s="35">
        <f t="shared" si="9"/>
        <v>-44948.564960000003</v>
      </c>
      <c r="G62" s="35">
        <f t="shared" si="9"/>
        <v>-45327.306960000002</v>
      </c>
      <c r="H62" s="35">
        <f t="shared" si="9"/>
        <v>-45327.306960000002</v>
      </c>
      <c r="I62" s="35">
        <f t="shared" si="9"/>
        <v>-45327.306960000002</v>
      </c>
      <c r="J62" s="35">
        <f t="shared" si="9"/>
        <v>0</v>
      </c>
      <c r="K62" s="35">
        <f t="shared" si="9"/>
        <v>0</v>
      </c>
      <c r="L62" s="35">
        <f t="shared" si="9"/>
        <v>0</v>
      </c>
      <c r="M62" s="35">
        <f t="shared" si="9"/>
        <v>0</v>
      </c>
      <c r="N62" s="35">
        <f t="shared" si="9"/>
        <v>0</v>
      </c>
      <c r="O62" s="35">
        <f t="shared" si="9"/>
        <v>0</v>
      </c>
    </row>
    <row r="63" spans="2:15" ht="16" customHeight="1" x14ac:dyDescent="0.35">
      <c r="B63" s="14" t="s">
        <v>812</v>
      </c>
      <c r="C63" s="14" t="s">
        <v>813</v>
      </c>
      <c r="D63" s="15"/>
      <c r="E63" s="15">
        <v>-44911.874159999999</v>
      </c>
      <c r="F63" s="15">
        <v>-44948.564960000003</v>
      </c>
      <c r="G63" s="15">
        <v>-45327.306960000002</v>
      </c>
      <c r="H63" s="15">
        <v>-45327.306960000002</v>
      </c>
      <c r="I63" s="15">
        <v>-45327.306960000002</v>
      </c>
      <c r="J63" s="15"/>
      <c r="K63" s="15"/>
      <c r="L63" s="15"/>
      <c r="M63" s="15"/>
      <c r="N63" s="15"/>
      <c r="O63" s="15"/>
    </row>
    <row r="64" spans="2:15" ht="16" customHeight="1" x14ac:dyDescent="0.35">
      <c r="B64" s="14" t="s">
        <v>814</v>
      </c>
      <c r="C64" s="14" t="s">
        <v>815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</row>
    <row r="65" spans="2:15" ht="16" customHeight="1" x14ac:dyDescent="0.35">
      <c r="B65" s="14" t="s">
        <v>816</v>
      </c>
      <c r="C65" s="14" t="s">
        <v>817</v>
      </c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 spans="2:15" ht="16" customHeight="1" x14ac:dyDescent="0.35">
      <c r="B66" s="10"/>
      <c r="C66" s="11" t="s">
        <v>22</v>
      </c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</row>
    <row r="67" spans="2:15" ht="16" customHeight="1" x14ac:dyDescent="0.35">
      <c r="B67" s="34" t="s">
        <v>818</v>
      </c>
      <c r="C67" s="34" t="s">
        <v>819</v>
      </c>
      <c r="D67" s="35">
        <f t="shared" ref="D67:O67" si="10">D68+D69</f>
        <v>-27408.740010000001</v>
      </c>
      <c r="E67" s="35">
        <f t="shared" si="10"/>
        <v>-27084.72164</v>
      </c>
      <c r="F67" s="35">
        <f t="shared" si="10"/>
        <v>36180.251980000001</v>
      </c>
      <c r="G67" s="35">
        <f t="shared" si="10"/>
        <v>26680.559569999998</v>
      </c>
      <c r="H67" s="35">
        <f t="shared" si="10"/>
        <v>16078.75246</v>
      </c>
      <c r="I67" s="35">
        <f t="shared" si="10"/>
        <v>29005.756000000001</v>
      </c>
      <c r="J67" s="35">
        <f t="shared" si="10"/>
        <v>0</v>
      </c>
      <c r="K67" s="35">
        <f t="shared" si="10"/>
        <v>0</v>
      </c>
      <c r="L67" s="35">
        <f t="shared" si="10"/>
        <v>0</v>
      </c>
      <c r="M67" s="35">
        <f t="shared" si="10"/>
        <v>0</v>
      </c>
      <c r="N67" s="35">
        <f t="shared" si="10"/>
        <v>0</v>
      </c>
      <c r="O67" s="35">
        <f t="shared" si="10"/>
        <v>0</v>
      </c>
    </row>
    <row r="68" spans="2:15" ht="16" customHeight="1" x14ac:dyDescent="0.35">
      <c r="B68" s="14" t="s">
        <v>820</v>
      </c>
      <c r="C68" s="14" t="s">
        <v>821</v>
      </c>
      <c r="D68" s="15">
        <v>-22725.708470000001</v>
      </c>
      <c r="E68" s="15">
        <v>-25834.85598</v>
      </c>
      <c r="F68" s="15">
        <v>35809.287360000002</v>
      </c>
      <c r="G68" s="15">
        <v>27007.033869999999</v>
      </c>
      <c r="H68" s="15">
        <v>15764.69167</v>
      </c>
      <c r="I68" s="15">
        <v>30025.946250000001</v>
      </c>
      <c r="J68" s="15"/>
      <c r="K68" s="15"/>
      <c r="L68" s="15"/>
      <c r="M68" s="15"/>
      <c r="N68" s="15"/>
      <c r="O68" s="15"/>
    </row>
    <row r="69" spans="2:15" ht="16" customHeight="1" x14ac:dyDescent="0.35">
      <c r="B69" s="14" t="s">
        <v>822</v>
      </c>
      <c r="C69" s="14" t="s">
        <v>823</v>
      </c>
      <c r="D69" s="15">
        <v>-4683.0315399999999</v>
      </c>
      <c r="E69" s="15">
        <v>-1249.8656599999999</v>
      </c>
      <c r="F69" s="15">
        <v>370.96462000000002</v>
      </c>
      <c r="G69" s="15">
        <v>-326.47430000000003</v>
      </c>
      <c r="H69" s="15">
        <v>314.06079</v>
      </c>
      <c r="I69" s="15">
        <v>-1020.19025</v>
      </c>
      <c r="J69" s="15"/>
      <c r="K69" s="15"/>
      <c r="L69" s="15"/>
      <c r="M69" s="15"/>
      <c r="N69" s="15"/>
      <c r="O69" s="15"/>
    </row>
    <row r="70" spans="2:15" ht="16" customHeight="1" x14ac:dyDescent="0.35">
      <c r="B70" s="10"/>
      <c r="C70" s="11" t="s">
        <v>22</v>
      </c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</row>
    <row r="71" spans="2:15" ht="16" customHeight="1" x14ac:dyDescent="0.35">
      <c r="B71" s="38"/>
      <c r="C71" s="34" t="s">
        <v>824</v>
      </c>
      <c r="D71" s="35">
        <f t="shared" ref="D71:O71" si="11">-(-(D72+D73)-D74)</f>
        <v>-440.46413000000007</v>
      </c>
      <c r="E71" s="35">
        <f t="shared" si="11"/>
        <v>-18956.888209999997</v>
      </c>
      <c r="F71" s="35">
        <f t="shared" si="11"/>
        <v>-66010.442480000012</v>
      </c>
      <c r="G71" s="35">
        <f t="shared" si="11"/>
        <v>-180458.05943000002</v>
      </c>
      <c r="H71" s="35">
        <f t="shared" si="11"/>
        <v>-187248.63688999999</v>
      </c>
      <c r="I71" s="35">
        <f t="shared" si="11"/>
        <v>-186844.42606</v>
      </c>
      <c r="J71" s="35">
        <f t="shared" si="11"/>
        <v>0</v>
      </c>
      <c r="K71" s="35">
        <f t="shared" si="11"/>
        <v>0</v>
      </c>
      <c r="L71" s="35">
        <f t="shared" si="11"/>
        <v>0</v>
      </c>
      <c r="M71" s="35">
        <f t="shared" si="11"/>
        <v>0</v>
      </c>
      <c r="N71" s="35">
        <f t="shared" si="11"/>
        <v>0</v>
      </c>
      <c r="O71" s="35">
        <f t="shared" si="11"/>
        <v>0</v>
      </c>
    </row>
    <row r="72" spans="2:15" ht="16" customHeight="1" x14ac:dyDescent="0.35">
      <c r="B72" s="14" t="s">
        <v>825</v>
      </c>
      <c r="C72" s="14" t="s">
        <v>826</v>
      </c>
      <c r="D72" s="15">
        <v>1339.60085</v>
      </c>
      <c r="E72" s="15">
        <v>-2889.8881999999999</v>
      </c>
      <c r="F72" s="15">
        <v>-4911.1895800000002</v>
      </c>
      <c r="G72" s="15">
        <v>-7450.1208699999997</v>
      </c>
      <c r="H72" s="15">
        <v>-8206.9828799999996</v>
      </c>
      <c r="I72" s="15">
        <v>-18713.10787</v>
      </c>
      <c r="J72" s="15"/>
      <c r="K72" s="15"/>
      <c r="L72" s="15"/>
      <c r="M72" s="15"/>
      <c r="N72" s="15"/>
      <c r="O72" s="15"/>
    </row>
    <row r="73" spans="2:15" ht="16" customHeight="1" x14ac:dyDescent="0.35">
      <c r="B73" s="14" t="s">
        <v>827</v>
      </c>
      <c r="C73" s="14" t="s">
        <v>828</v>
      </c>
      <c r="D73" s="15">
        <v>-1780.0649800000001</v>
      </c>
      <c r="E73" s="15">
        <v>-16108.961929999999</v>
      </c>
      <c r="F73" s="15">
        <v>-61393.673490000001</v>
      </c>
      <c r="G73" s="15">
        <v>-173326.26696000001</v>
      </c>
      <c r="H73" s="15">
        <v>-179388.10164000001</v>
      </c>
      <c r="I73" s="15">
        <v>-168477.76582</v>
      </c>
      <c r="J73" s="15"/>
      <c r="K73" s="15"/>
      <c r="L73" s="15"/>
      <c r="M73" s="15"/>
      <c r="N73" s="15"/>
      <c r="O73" s="15"/>
    </row>
    <row r="74" spans="2:15" ht="16" customHeight="1" x14ac:dyDescent="0.35">
      <c r="B74" s="14" t="s">
        <v>829</v>
      </c>
      <c r="C74" s="14" t="s">
        <v>830</v>
      </c>
      <c r="D74" s="15"/>
      <c r="E74" s="15">
        <v>41.961919999999999</v>
      </c>
      <c r="F74" s="15">
        <v>294.42059</v>
      </c>
      <c r="G74" s="15">
        <v>318.32839999999999</v>
      </c>
      <c r="H74" s="15">
        <v>346.44763</v>
      </c>
      <c r="I74" s="15">
        <v>346.44763</v>
      </c>
      <c r="J74" s="15"/>
      <c r="K74" s="15"/>
      <c r="L74" s="15"/>
      <c r="M74" s="15"/>
      <c r="N74" s="15"/>
      <c r="O74" s="15"/>
    </row>
    <row r="75" spans="2:15" ht="16" customHeight="1" x14ac:dyDescent="0.35">
      <c r="B75" s="10"/>
      <c r="C75" s="11" t="s">
        <v>22</v>
      </c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</row>
    <row r="76" spans="2:15" ht="16" customHeight="1" x14ac:dyDescent="0.35">
      <c r="B76" s="38"/>
      <c r="C76" s="34" t="s">
        <v>831</v>
      </c>
      <c r="D76" s="35">
        <f t="shared" ref="D76:O76" si="12">D77+D78</f>
        <v>-163988.24275999999</v>
      </c>
      <c r="E76" s="35">
        <f t="shared" si="12"/>
        <v>-127830.09460000001</v>
      </c>
      <c r="F76" s="35">
        <f t="shared" si="12"/>
        <v>-130931.85197999999</v>
      </c>
      <c r="G76" s="35">
        <f t="shared" si="12"/>
        <v>-102484.9041</v>
      </c>
      <c r="H76" s="35">
        <f t="shared" si="12"/>
        <v>-105177.23638</v>
      </c>
      <c r="I76" s="35">
        <f t="shared" si="12"/>
        <v>-124497.71743999999</v>
      </c>
      <c r="J76" s="35">
        <f t="shared" si="12"/>
        <v>0</v>
      </c>
      <c r="K76" s="35">
        <f t="shared" si="12"/>
        <v>0</v>
      </c>
      <c r="L76" s="35">
        <f t="shared" si="12"/>
        <v>0</v>
      </c>
      <c r="M76" s="35">
        <f t="shared" si="12"/>
        <v>0</v>
      </c>
      <c r="N76" s="35">
        <f t="shared" si="12"/>
        <v>0</v>
      </c>
      <c r="O76" s="35">
        <f t="shared" si="12"/>
        <v>0</v>
      </c>
    </row>
    <row r="77" spans="2:15" ht="16" customHeight="1" x14ac:dyDescent="0.35">
      <c r="B77" s="14" t="s">
        <v>832</v>
      </c>
      <c r="C77" s="14" t="s">
        <v>833</v>
      </c>
      <c r="D77" s="15">
        <v>866.93856000000005</v>
      </c>
      <c r="E77" s="15">
        <v>-75.333410000000001</v>
      </c>
      <c r="F77" s="15">
        <v>3519.83266</v>
      </c>
      <c r="G77" s="15">
        <v>3738.8613599999999</v>
      </c>
      <c r="H77" s="15">
        <v>10658.26325</v>
      </c>
      <c r="I77" s="15">
        <v>11171.77081</v>
      </c>
      <c r="J77" s="15"/>
      <c r="K77" s="15"/>
      <c r="L77" s="15"/>
      <c r="M77" s="15"/>
      <c r="N77" s="15"/>
      <c r="O77" s="15"/>
    </row>
    <row r="78" spans="2:15" ht="16" customHeight="1" x14ac:dyDescent="0.35">
      <c r="B78" s="14" t="s">
        <v>834</v>
      </c>
      <c r="C78" s="14" t="s">
        <v>835</v>
      </c>
      <c r="D78" s="15">
        <v>-164855.18132</v>
      </c>
      <c r="E78" s="15">
        <v>-127754.76119</v>
      </c>
      <c r="F78" s="15">
        <v>-134451.68463999999</v>
      </c>
      <c r="G78" s="15">
        <v>-106223.76546</v>
      </c>
      <c r="H78" s="15">
        <v>-115835.49963000001</v>
      </c>
      <c r="I78" s="15">
        <v>-135669.48824999999</v>
      </c>
      <c r="J78" s="15"/>
      <c r="K78" s="15"/>
      <c r="L78" s="15"/>
      <c r="M78" s="15"/>
      <c r="N78" s="15"/>
      <c r="O78" s="15"/>
    </row>
    <row r="79" spans="2:15" ht="16" customHeight="1" x14ac:dyDescent="0.35">
      <c r="B79" s="10"/>
      <c r="C79" s="11" t="s">
        <v>22</v>
      </c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</row>
    <row r="80" spans="2:15" ht="16" customHeight="1" x14ac:dyDescent="0.35">
      <c r="B80" s="38"/>
      <c r="C80" s="34" t="s">
        <v>836</v>
      </c>
      <c r="D80" s="35">
        <f t="shared" ref="D80:O80" si="13">-(-(D67+D71)-D76)</f>
        <v>-191837.44689999998</v>
      </c>
      <c r="E80" s="35">
        <f t="shared" si="13"/>
        <v>-173871.70445000002</v>
      </c>
      <c r="F80" s="35">
        <f t="shared" si="13"/>
        <v>-160762.04248</v>
      </c>
      <c r="G80" s="35">
        <f t="shared" si="13"/>
        <v>-256262.40396000003</v>
      </c>
      <c r="H80" s="35">
        <f t="shared" si="13"/>
        <v>-276347.12080999999</v>
      </c>
      <c r="I80" s="35">
        <f t="shared" si="13"/>
        <v>-282336.38750000001</v>
      </c>
      <c r="J80" s="35">
        <f t="shared" si="13"/>
        <v>0</v>
      </c>
      <c r="K80" s="35">
        <f t="shared" si="13"/>
        <v>0</v>
      </c>
      <c r="L80" s="35">
        <f t="shared" si="13"/>
        <v>0</v>
      </c>
      <c r="M80" s="35">
        <f t="shared" si="13"/>
        <v>0</v>
      </c>
      <c r="N80" s="35">
        <f t="shared" si="13"/>
        <v>0</v>
      </c>
      <c r="O80" s="35">
        <f t="shared" si="13"/>
        <v>0</v>
      </c>
    </row>
    <row r="81" spans="2:15" ht="16" customHeight="1" x14ac:dyDescent="0.35">
      <c r="B81" s="10"/>
      <c r="C81" s="11" t="s">
        <v>22</v>
      </c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</row>
    <row r="82" spans="2:15" ht="16" customHeight="1" x14ac:dyDescent="0.35">
      <c r="B82" s="38"/>
      <c r="C82" s="34" t="s">
        <v>837</v>
      </c>
      <c r="D82" s="35">
        <f t="shared" ref="D82:O82" si="14">-(-(D84+D86)-D91-D96-D98)</f>
        <v>-32037.251110000001</v>
      </c>
      <c r="E82" s="35">
        <f t="shared" si="14"/>
        <v>-40027.356</v>
      </c>
      <c r="F82" s="35">
        <f t="shared" si="14"/>
        <v>-112105.32244</v>
      </c>
      <c r="G82" s="35">
        <f t="shared" si="14"/>
        <v>-77452.57647</v>
      </c>
      <c r="H82" s="35">
        <f t="shared" si="14"/>
        <v>-78015.414319999996</v>
      </c>
      <c r="I82" s="35">
        <f t="shared" si="14"/>
        <v>-91449.176990000007</v>
      </c>
      <c r="J82" s="35">
        <f t="shared" si="14"/>
        <v>0</v>
      </c>
      <c r="K82" s="35">
        <f t="shared" si="14"/>
        <v>0</v>
      </c>
      <c r="L82" s="35">
        <f t="shared" si="14"/>
        <v>0</v>
      </c>
      <c r="M82" s="35">
        <f t="shared" si="14"/>
        <v>0</v>
      </c>
      <c r="N82" s="35">
        <f t="shared" si="14"/>
        <v>0</v>
      </c>
      <c r="O82" s="35">
        <f t="shared" si="14"/>
        <v>0</v>
      </c>
    </row>
    <row r="83" spans="2:15" ht="16" customHeight="1" x14ac:dyDescent="0.35">
      <c r="B83" s="10"/>
      <c r="C83" s="11" t="s">
        <v>22</v>
      </c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</row>
    <row r="84" spans="2:15" ht="16" customHeight="1" x14ac:dyDescent="0.35">
      <c r="B84" s="14" t="s">
        <v>838</v>
      </c>
      <c r="C84" s="14" t="s">
        <v>839</v>
      </c>
      <c r="D84" s="15">
        <v>-122.09472</v>
      </c>
      <c r="E84" s="15">
        <v>-259.16827999999998</v>
      </c>
      <c r="F84" s="15">
        <v>-1456.0911699999999</v>
      </c>
      <c r="G84" s="15">
        <v>-1642.8257599999999</v>
      </c>
      <c r="H84" s="15">
        <v>-1630.9726000000001</v>
      </c>
      <c r="I84" s="15">
        <v>-1630.9726000000001</v>
      </c>
      <c r="J84" s="15"/>
      <c r="K84" s="15"/>
      <c r="L84" s="15"/>
      <c r="M84" s="15"/>
      <c r="N84" s="15"/>
      <c r="O84" s="15"/>
    </row>
    <row r="85" spans="2:15" ht="16" customHeight="1" x14ac:dyDescent="0.35">
      <c r="B85" s="10"/>
      <c r="C85" s="11" t="s">
        <v>22</v>
      </c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</row>
    <row r="86" spans="2:15" ht="16" customHeight="1" x14ac:dyDescent="0.35">
      <c r="B86" s="38"/>
      <c r="C86" s="34" t="s">
        <v>840</v>
      </c>
      <c r="D86" s="35">
        <f t="shared" ref="D86:O86" si="15">-(-(D87+D88)-D89)</f>
        <v>960.30605000000071</v>
      </c>
      <c r="E86" s="35">
        <f t="shared" si="15"/>
        <v>-2598.9511600000005</v>
      </c>
      <c r="F86" s="35">
        <f t="shared" si="15"/>
        <v>-50001.153019999998</v>
      </c>
      <c r="G86" s="35">
        <f t="shared" si="15"/>
        <v>-18826.063569999998</v>
      </c>
      <c r="H86" s="35">
        <f t="shared" si="15"/>
        <v>-14692.671189999999</v>
      </c>
      <c r="I86" s="35">
        <f t="shared" si="15"/>
        <v>-21910.878130000001</v>
      </c>
      <c r="J86" s="35">
        <f t="shared" si="15"/>
        <v>0</v>
      </c>
      <c r="K86" s="35">
        <f t="shared" si="15"/>
        <v>0</v>
      </c>
      <c r="L86" s="35">
        <f t="shared" si="15"/>
        <v>0</v>
      </c>
      <c r="M86" s="35">
        <f t="shared" si="15"/>
        <v>0</v>
      </c>
      <c r="N86" s="35">
        <f t="shared" si="15"/>
        <v>0</v>
      </c>
      <c r="O86" s="35">
        <f t="shared" si="15"/>
        <v>0</v>
      </c>
    </row>
    <row r="87" spans="2:15" ht="16" customHeight="1" x14ac:dyDescent="0.35">
      <c r="B87" s="14" t="s">
        <v>841</v>
      </c>
      <c r="C87" s="14" t="s">
        <v>842</v>
      </c>
      <c r="D87" s="15">
        <v>10304.002200000001</v>
      </c>
      <c r="E87" s="15">
        <v>10188.24332</v>
      </c>
      <c r="F87" s="15">
        <v>2658.7284100000002</v>
      </c>
      <c r="G87" s="15">
        <v>7662.9445599999999</v>
      </c>
      <c r="H87" s="15">
        <v>4477.3370800000002</v>
      </c>
      <c r="I87" s="15">
        <v>8858.5559300000004</v>
      </c>
      <c r="J87" s="15"/>
      <c r="K87" s="15"/>
      <c r="L87" s="15"/>
      <c r="M87" s="15"/>
      <c r="N87" s="15"/>
      <c r="O87" s="15"/>
    </row>
    <row r="88" spans="2:15" ht="16" customHeight="1" x14ac:dyDescent="0.35">
      <c r="B88" s="14" t="s">
        <v>843</v>
      </c>
      <c r="C88" s="14" t="s">
        <v>844</v>
      </c>
      <c r="D88" s="15">
        <v>-10191.34713</v>
      </c>
      <c r="E88" s="15">
        <v>-8433.8430800000006</v>
      </c>
      <c r="F88" s="15">
        <v>-27309.296999999999</v>
      </c>
      <c r="G88" s="15">
        <v>-10492.9797</v>
      </c>
      <c r="H88" s="15">
        <v>-12026.92376</v>
      </c>
      <c r="I88" s="15">
        <v>-22431.029180000001</v>
      </c>
      <c r="J88" s="15"/>
      <c r="K88" s="15"/>
      <c r="L88" s="15"/>
      <c r="M88" s="15"/>
      <c r="N88" s="15"/>
      <c r="O88" s="15"/>
    </row>
    <row r="89" spans="2:15" ht="16" customHeight="1" x14ac:dyDescent="0.35">
      <c r="B89" s="14" t="s">
        <v>845</v>
      </c>
      <c r="C89" s="14" t="s">
        <v>846</v>
      </c>
      <c r="D89" s="15">
        <v>847.65098</v>
      </c>
      <c r="E89" s="15">
        <v>-4353.3513999999996</v>
      </c>
      <c r="F89" s="15">
        <v>-25350.584429999999</v>
      </c>
      <c r="G89" s="15">
        <v>-15996.02843</v>
      </c>
      <c r="H89" s="15">
        <v>-7143.0845099999997</v>
      </c>
      <c r="I89" s="15">
        <v>-8338.40488</v>
      </c>
      <c r="J89" s="15"/>
      <c r="K89" s="15"/>
      <c r="L89" s="15"/>
      <c r="M89" s="15"/>
      <c r="N89" s="15"/>
      <c r="O89" s="15"/>
    </row>
    <row r="90" spans="2:15" ht="16" customHeight="1" x14ac:dyDescent="0.35">
      <c r="B90" s="10"/>
      <c r="C90" s="11" t="s">
        <v>22</v>
      </c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</row>
    <row r="91" spans="2:15" ht="16" customHeight="1" x14ac:dyDescent="0.35">
      <c r="B91" s="38"/>
      <c r="C91" s="34" t="s">
        <v>847</v>
      </c>
      <c r="D91" s="35">
        <f t="shared" ref="D91:O91" si="16">-(-(D92+D93)-D94)</f>
        <v>-21648.595590000001</v>
      </c>
      <c r="E91" s="35">
        <f t="shared" si="16"/>
        <v>-20237.126049999999</v>
      </c>
      <c r="F91" s="35">
        <f t="shared" si="16"/>
        <v>-37972.432870000004</v>
      </c>
      <c r="G91" s="35">
        <f t="shared" si="16"/>
        <v>-31339.511210000001</v>
      </c>
      <c r="H91" s="35">
        <f t="shared" si="16"/>
        <v>-28149.807769999999</v>
      </c>
      <c r="I91" s="35">
        <f t="shared" si="16"/>
        <v>-34547.757680000002</v>
      </c>
      <c r="J91" s="35">
        <f t="shared" si="16"/>
        <v>0</v>
      </c>
      <c r="K91" s="35">
        <f t="shared" si="16"/>
        <v>0</v>
      </c>
      <c r="L91" s="35">
        <f t="shared" si="16"/>
        <v>0</v>
      </c>
      <c r="M91" s="35">
        <f t="shared" si="16"/>
        <v>0</v>
      </c>
      <c r="N91" s="35">
        <f t="shared" si="16"/>
        <v>0</v>
      </c>
      <c r="O91" s="35">
        <f t="shared" si="16"/>
        <v>0</v>
      </c>
    </row>
    <row r="92" spans="2:15" ht="16" customHeight="1" x14ac:dyDescent="0.35">
      <c r="B92" s="14" t="s">
        <v>848</v>
      </c>
      <c r="C92" s="14" t="s">
        <v>849</v>
      </c>
      <c r="D92" s="15">
        <v>-10110.08143</v>
      </c>
      <c r="E92" s="15">
        <v>-12423.84636</v>
      </c>
      <c r="F92" s="15">
        <v>-8886.1343300000008</v>
      </c>
      <c r="G92" s="15">
        <v>-8731.4850200000001</v>
      </c>
      <c r="H92" s="15">
        <v>-10092.09189</v>
      </c>
      <c r="I92" s="15">
        <v>-10073.61448</v>
      </c>
      <c r="J92" s="15"/>
      <c r="K92" s="15"/>
      <c r="L92" s="15"/>
      <c r="M92" s="15"/>
      <c r="N92" s="15"/>
      <c r="O92" s="15"/>
    </row>
    <row r="93" spans="2:15" ht="16" customHeight="1" x14ac:dyDescent="0.35">
      <c r="B93" s="14" t="s">
        <v>850</v>
      </c>
      <c r="C93" s="14" t="s">
        <v>636</v>
      </c>
      <c r="D93" s="15">
        <v>-34.360999999999997</v>
      </c>
      <c r="E93" s="15">
        <v>-29.195</v>
      </c>
      <c r="F93" s="15">
        <v>-29.242000000000001</v>
      </c>
      <c r="G93" s="15">
        <v>-29.533999999999999</v>
      </c>
      <c r="H93" s="15">
        <v>-29.64</v>
      </c>
      <c r="I93" s="15">
        <v>18.884</v>
      </c>
      <c r="J93" s="15"/>
      <c r="K93" s="15"/>
      <c r="L93" s="15"/>
      <c r="M93" s="15"/>
      <c r="N93" s="15"/>
      <c r="O93" s="15"/>
    </row>
    <row r="94" spans="2:15" ht="16" customHeight="1" x14ac:dyDescent="0.35">
      <c r="B94" s="14" t="s">
        <v>851</v>
      </c>
      <c r="C94" s="14" t="s">
        <v>852</v>
      </c>
      <c r="D94" s="15">
        <v>-11504.15316</v>
      </c>
      <c r="E94" s="15">
        <v>-7784.0846899999997</v>
      </c>
      <c r="F94" s="15">
        <v>-29057.056540000001</v>
      </c>
      <c r="G94" s="15">
        <v>-22578.492190000001</v>
      </c>
      <c r="H94" s="15">
        <v>-18028.07588</v>
      </c>
      <c r="I94" s="15">
        <v>-24493.0272</v>
      </c>
      <c r="J94" s="15"/>
      <c r="K94" s="15"/>
      <c r="L94" s="15"/>
      <c r="M94" s="15"/>
      <c r="N94" s="15"/>
      <c r="O94" s="15"/>
    </row>
    <row r="95" spans="2:15" ht="16" customHeight="1" x14ac:dyDescent="0.35">
      <c r="B95" s="10"/>
      <c r="C95" s="11" t="s">
        <v>22</v>
      </c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</row>
    <row r="96" spans="2:15" ht="16" customHeight="1" x14ac:dyDescent="0.35">
      <c r="B96" s="14" t="s">
        <v>853</v>
      </c>
      <c r="C96" s="14" t="s">
        <v>854</v>
      </c>
      <c r="D96" s="15">
        <v>-280.66886</v>
      </c>
      <c r="E96" s="15">
        <v>-530.88855999999998</v>
      </c>
      <c r="F96" s="15">
        <v>-1165.3976</v>
      </c>
      <c r="G96" s="15">
        <v>-1711.91293</v>
      </c>
      <c r="H96" s="15">
        <v>-2449.28296</v>
      </c>
      <c r="I96" s="15">
        <v>-2254.2800299999999</v>
      </c>
      <c r="J96" s="15"/>
      <c r="K96" s="15"/>
      <c r="L96" s="15"/>
      <c r="M96" s="15"/>
      <c r="N96" s="15"/>
      <c r="O96" s="15"/>
    </row>
    <row r="97" spans="2:15" ht="16" customHeight="1" x14ac:dyDescent="0.35">
      <c r="B97" s="10"/>
      <c r="C97" s="11" t="s">
        <v>22</v>
      </c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</row>
    <row r="98" spans="2:15" ht="16" customHeight="1" x14ac:dyDescent="0.35">
      <c r="B98" s="14" t="s">
        <v>855</v>
      </c>
      <c r="C98" s="14" t="s">
        <v>856</v>
      </c>
      <c r="D98" s="15">
        <v>-10946.197990000001</v>
      </c>
      <c r="E98" s="15">
        <v>-16401.221949999999</v>
      </c>
      <c r="F98" s="15">
        <v>-21510.247780000002</v>
      </c>
      <c r="G98" s="15">
        <v>-23932.262999999999</v>
      </c>
      <c r="H98" s="15">
        <v>-31092.679800000002</v>
      </c>
      <c r="I98" s="15">
        <v>-31105.288550000001</v>
      </c>
      <c r="J98" s="15"/>
      <c r="K98" s="15"/>
      <c r="L98" s="15"/>
      <c r="M98" s="15"/>
      <c r="N98" s="15"/>
      <c r="O98" s="15"/>
    </row>
    <row r="99" spans="2:15" ht="16" customHeight="1" x14ac:dyDescent="0.35">
      <c r="B99" s="10"/>
      <c r="C99" s="11" t="s">
        <v>22</v>
      </c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</row>
    <row r="100" spans="2:15" ht="16" customHeight="1" x14ac:dyDescent="0.35">
      <c r="B100" s="38"/>
      <c r="C100" s="34" t="s">
        <v>857</v>
      </c>
      <c r="D100" s="35">
        <f t="shared" ref="D100:O100" si="17">D80+D82</f>
        <v>-223874.69800999999</v>
      </c>
      <c r="E100" s="35">
        <f t="shared" si="17"/>
        <v>-213899.06045000002</v>
      </c>
      <c r="F100" s="35">
        <f t="shared" si="17"/>
        <v>-272867.36492000002</v>
      </c>
      <c r="G100" s="35">
        <f t="shared" si="17"/>
        <v>-333714.98043</v>
      </c>
      <c r="H100" s="35">
        <f t="shared" si="17"/>
        <v>-354362.53512999997</v>
      </c>
      <c r="I100" s="35">
        <f t="shared" si="17"/>
        <v>-373785.56449000002</v>
      </c>
      <c r="J100" s="35">
        <f t="shared" si="17"/>
        <v>0</v>
      </c>
      <c r="K100" s="35">
        <f t="shared" si="17"/>
        <v>0</v>
      </c>
      <c r="L100" s="35">
        <f t="shared" si="17"/>
        <v>0</v>
      </c>
      <c r="M100" s="35">
        <f t="shared" si="17"/>
        <v>0</v>
      </c>
      <c r="N100" s="35">
        <f t="shared" si="17"/>
        <v>0</v>
      </c>
      <c r="O100" s="35">
        <f t="shared" si="17"/>
        <v>0</v>
      </c>
    </row>
    <row r="101" spans="2:15" ht="16" customHeight="1" x14ac:dyDescent="0.35">
      <c r="B101" s="10"/>
      <c r="C101" s="11" t="s">
        <v>22</v>
      </c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</row>
    <row r="102" spans="2:15" ht="16" customHeight="1" x14ac:dyDescent="0.35">
      <c r="B102" s="14" t="s">
        <v>858</v>
      </c>
      <c r="C102" s="14" t="s">
        <v>859</v>
      </c>
      <c r="D102" s="15">
        <v>-4236.5306099999998</v>
      </c>
      <c r="E102" s="15">
        <v>-7762.8230400000002</v>
      </c>
      <c r="F102" s="15">
        <v>-11751.10889</v>
      </c>
      <c r="G102" s="15">
        <v>-15529.226199999999</v>
      </c>
      <c r="H102" s="15">
        <v>-19485.7088</v>
      </c>
      <c r="I102" s="15">
        <v>-19485.7088</v>
      </c>
      <c r="J102" s="15"/>
      <c r="K102" s="15"/>
      <c r="L102" s="15"/>
      <c r="M102" s="15"/>
      <c r="N102" s="15"/>
      <c r="O102" s="15"/>
    </row>
    <row r="103" spans="2:15" ht="16" customHeight="1" x14ac:dyDescent="0.35">
      <c r="B103" s="10"/>
      <c r="C103" s="11" t="s">
        <v>22</v>
      </c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</row>
    <row r="104" spans="2:15" ht="16" customHeight="1" x14ac:dyDescent="0.35">
      <c r="B104" s="39"/>
      <c r="C104" s="40" t="s">
        <v>860</v>
      </c>
      <c r="D104" s="24">
        <f t="shared" ref="D104:O104" si="18">D18+D20+D21+D23+D27+D31+D40+D45+D56+D60+D62+D100+D102</f>
        <v>-258845.14835999996</v>
      </c>
      <c r="E104" s="24">
        <f t="shared" si="18"/>
        <v>-278786.90781</v>
      </c>
      <c r="F104" s="24">
        <f t="shared" si="18"/>
        <v>-265517.21504000004</v>
      </c>
      <c r="G104" s="24">
        <f t="shared" si="18"/>
        <v>-220801.63781000001</v>
      </c>
      <c r="H104" s="24">
        <f t="shared" si="18"/>
        <v>-109469.13487999994</v>
      </c>
      <c r="I104" s="24">
        <f t="shared" si="18"/>
        <v>-91623.399860000092</v>
      </c>
      <c r="J104" s="24">
        <f t="shared" si="18"/>
        <v>0</v>
      </c>
      <c r="K104" s="24">
        <f t="shared" si="18"/>
        <v>0</v>
      </c>
      <c r="L104" s="24">
        <f t="shared" si="18"/>
        <v>0</v>
      </c>
      <c r="M104" s="24">
        <f t="shared" si="18"/>
        <v>0</v>
      </c>
      <c r="N104" s="24">
        <f t="shared" si="18"/>
        <v>0</v>
      </c>
      <c r="O104" s="24">
        <f t="shared" si="18"/>
        <v>0</v>
      </c>
    </row>
    <row r="105" spans="2:15" ht="16" customHeight="1" x14ac:dyDescent="0.35">
      <c r="B105" s="10"/>
      <c r="C105" s="11" t="s">
        <v>22</v>
      </c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</row>
    <row r="106" spans="2:15" ht="16" customHeight="1" x14ac:dyDescent="0.35">
      <c r="B106" s="38"/>
      <c r="C106" s="34" t="s">
        <v>861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</row>
    <row r="107" spans="2:15" ht="16" customHeight="1" x14ac:dyDescent="0.35">
      <c r="B107" s="10"/>
      <c r="C107" s="11" t="s">
        <v>22</v>
      </c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</row>
    <row r="108" spans="2:15" ht="16" customHeight="1" x14ac:dyDescent="0.35">
      <c r="B108" s="38"/>
      <c r="C108" s="34" t="s">
        <v>862</v>
      </c>
      <c r="D108" s="35">
        <f t="shared" ref="D108:O108" si="19">-(-(D109+D110)-D111-D112-D113-D114)</f>
        <v>-28544.526449999998</v>
      </c>
      <c r="E108" s="35">
        <f t="shared" si="19"/>
        <v>-62509.775170000001</v>
      </c>
      <c r="F108" s="35">
        <f t="shared" si="19"/>
        <v>-104918.12937000001</v>
      </c>
      <c r="G108" s="35">
        <f t="shared" si="19"/>
        <v>-137424.90871000002</v>
      </c>
      <c r="H108" s="35">
        <f t="shared" si="19"/>
        <v>-174077.75907</v>
      </c>
      <c r="I108" s="35">
        <f t="shared" si="19"/>
        <v>-135273.98809</v>
      </c>
      <c r="J108" s="35">
        <f t="shared" si="19"/>
        <v>0</v>
      </c>
      <c r="K108" s="35">
        <f t="shared" si="19"/>
        <v>0</v>
      </c>
      <c r="L108" s="35">
        <f t="shared" si="19"/>
        <v>0</v>
      </c>
      <c r="M108" s="35">
        <f t="shared" si="19"/>
        <v>0</v>
      </c>
      <c r="N108" s="35">
        <f t="shared" si="19"/>
        <v>0</v>
      </c>
      <c r="O108" s="35">
        <f t="shared" si="19"/>
        <v>0</v>
      </c>
    </row>
    <row r="109" spans="2:15" ht="16" customHeight="1" x14ac:dyDescent="0.35">
      <c r="B109" s="14" t="s">
        <v>863</v>
      </c>
      <c r="C109" s="14" t="s">
        <v>864</v>
      </c>
      <c r="D109" s="15">
        <v>-22698.323069999999</v>
      </c>
      <c r="E109" s="15">
        <v>-47889.06869</v>
      </c>
      <c r="F109" s="15">
        <v>-78943.970790000007</v>
      </c>
      <c r="G109" s="15">
        <v>-103579.28116</v>
      </c>
      <c r="H109" s="15">
        <v>-128454.11156</v>
      </c>
      <c r="I109" s="15">
        <v>-94114.297579999999</v>
      </c>
      <c r="J109" s="15"/>
      <c r="K109" s="15"/>
      <c r="L109" s="15"/>
      <c r="M109" s="15"/>
      <c r="N109" s="15"/>
      <c r="O109" s="15"/>
    </row>
    <row r="110" spans="2:15" ht="16" customHeight="1" x14ac:dyDescent="0.35">
      <c r="B110" s="14" t="s">
        <v>865</v>
      </c>
      <c r="C110" s="14" t="s">
        <v>866</v>
      </c>
      <c r="D110" s="15">
        <v>-47.725999999999999</v>
      </c>
      <c r="E110" s="15">
        <v>-137.94335000000001</v>
      </c>
      <c r="F110" s="15">
        <v>-360.50448</v>
      </c>
      <c r="G110" s="15">
        <v>-519.23272999999995</v>
      </c>
      <c r="H110" s="15">
        <v>-521.40497000000005</v>
      </c>
      <c r="I110" s="15">
        <v>-521.40497000000005</v>
      </c>
      <c r="J110" s="15"/>
      <c r="K110" s="15"/>
      <c r="L110" s="15"/>
      <c r="M110" s="15"/>
      <c r="N110" s="15"/>
      <c r="O110" s="15"/>
    </row>
    <row r="111" spans="2:15" ht="16" customHeight="1" x14ac:dyDescent="0.35">
      <c r="B111" s="14" t="s">
        <v>867</v>
      </c>
      <c r="C111" s="14" t="s">
        <v>868</v>
      </c>
      <c r="D111" s="15">
        <v>732.26693999999998</v>
      </c>
      <c r="E111" s="15">
        <v>-1705.0660399999999</v>
      </c>
      <c r="F111" s="15">
        <v>-4279.9714800000002</v>
      </c>
      <c r="G111" s="15">
        <v>-4056.7745399999999</v>
      </c>
      <c r="H111" s="15">
        <v>-5760.6065699999999</v>
      </c>
      <c r="I111" s="15">
        <v>-1296.64957</v>
      </c>
      <c r="J111" s="15"/>
      <c r="K111" s="15"/>
      <c r="L111" s="15"/>
      <c r="M111" s="15"/>
      <c r="N111" s="15"/>
      <c r="O111" s="15"/>
    </row>
    <row r="112" spans="2:15" ht="16" customHeight="1" x14ac:dyDescent="0.35">
      <c r="B112" s="14" t="s">
        <v>869</v>
      </c>
      <c r="C112" s="14" t="s">
        <v>870</v>
      </c>
      <c r="D112" s="15">
        <v>-379.78154000000001</v>
      </c>
      <c r="E112" s="15">
        <v>-422.78892000000002</v>
      </c>
      <c r="F112" s="15">
        <v>-436.55588999999998</v>
      </c>
      <c r="G112" s="15">
        <v>-736.32475999999997</v>
      </c>
      <c r="H112" s="15">
        <v>-4132.0432099999998</v>
      </c>
      <c r="I112" s="15">
        <v>-4132.0432099999998</v>
      </c>
      <c r="J112" s="15"/>
      <c r="K112" s="15"/>
      <c r="L112" s="15"/>
      <c r="M112" s="15"/>
      <c r="N112" s="15"/>
      <c r="O112" s="15"/>
    </row>
    <row r="113" spans="2:15" ht="16" customHeight="1" x14ac:dyDescent="0.35">
      <c r="B113" s="14" t="s">
        <v>871</v>
      </c>
      <c r="C113" s="14" t="s">
        <v>872</v>
      </c>
      <c r="D113" s="15">
        <v>-6129.8212700000004</v>
      </c>
      <c r="E113" s="15">
        <v>-12294.66301</v>
      </c>
      <c r="F113" s="15">
        <v>-20810.041560000001</v>
      </c>
      <c r="G113" s="15">
        <v>-28311.494030000002</v>
      </c>
      <c r="H113" s="15">
        <v>-34948.348080000003</v>
      </c>
      <c r="I113" s="15">
        <v>-34948.348080000003</v>
      </c>
      <c r="J113" s="15"/>
      <c r="K113" s="15"/>
      <c r="L113" s="15"/>
      <c r="M113" s="15"/>
      <c r="N113" s="15"/>
      <c r="O113" s="15"/>
    </row>
    <row r="114" spans="2:15" ht="16" customHeight="1" x14ac:dyDescent="0.35">
      <c r="B114" s="14" t="s">
        <v>873</v>
      </c>
      <c r="C114" s="14" t="s">
        <v>874</v>
      </c>
      <c r="D114" s="15">
        <v>-21.14151</v>
      </c>
      <c r="E114" s="15">
        <v>-60.245159999999998</v>
      </c>
      <c r="F114" s="15">
        <v>-87.085170000000005</v>
      </c>
      <c r="G114" s="15">
        <v>-221.80149</v>
      </c>
      <c r="H114" s="15">
        <v>-261.24468000000002</v>
      </c>
      <c r="I114" s="15">
        <v>-261.24468000000002</v>
      </c>
      <c r="J114" s="15"/>
      <c r="K114" s="15"/>
      <c r="L114" s="15"/>
      <c r="M114" s="15"/>
      <c r="N114" s="15"/>
      <c r="O114" s="15"/>
    </row>
    <row r="115" spans="2:15" ht="16" customHeight="1" x14ac:dyDescent="0.35">
      <c r="B115" s="10"/>
      <c r="C115" s="11" t="s">
        <v>22</v>
      </c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</row>
    <row r="116" spans="2:15" ht="16" customHeight="1" x14ac:dyDescent="0.35">
      <c r="B116" s="38"/>
      <c r="C116" s="34" t="s">
        <v>875</v>
      </c>
      <c r="D116" s="35">
        <f t="shared" ref="D116:O116" si="20">-(-(D117+D118)-D119-D120)</f>
        <v>-10029.68233</v>
      </c>
      <c r="E116" s="35">
        <f t="shared" si="20"/>
        <v>-13249.89762</v>
      </c>
      <c r="F116" s="35">
        <f t="shared" si="20"/>
        <v>-21159.674439999999</v>
      </c>
      <c r="G116" s="35">
        <f t="shared" si="20"/>
        <v>-28601.50589</v>
      </c>
      <c r="H116" s="35">
        <f t="shared" si="20"/>
        <v>-32346.7942</v>
      </c>
      <c r="I116" s="35">
        <f t="shared" si="20"/>
        <v>-32357.806209999999</v>
      </c>
      <c r="J116" s="35">
        <f t="shared" si="20"/>
        <v>0</v>
      </c>
      <c r="K116" s="35">
        <f t="shared" si="20"/>
        <v>0</v>
      </c>
      <c r="L116" s="35">
        <f t="shared" si="20"/>
        <v>0</v>
      </c>
      <c r="M116" s="35">
        <f t="shared" si="20"/>
        <v>0</v>
      </c>
      <c r="N116" s="35">
        <f t="shared" si="20"/>
        <v>0</v>
      </c>
      <c r="O116" s="35">
        <f t="shared" si="20"/>
        <v>0</v>
      </c>
    </row>
    <row r="117" spans="2:15" ht="16" customHeight="1" x14ac:dyDescent="0.35">
      <c r="B117" s="14" t="s">
        <v>876</v>
      </c>
      <c r="C117" s="14" t="s">
        <v>877</v>
      </c>
      <c r="D117" s="15">
        <v>1.0000000000000001E-5</v>
      </c>
      <c r="E117" s="15">
        <v>1.0000000000000001E-5</v>
      </c>
      <c r="F117" s="15">
        <v>649.60001</v>
      </c>
      <c r="G117" s="15">
        <v>1.0000000000000001E-5</v>
      </c>
      <c r="H117" s="15">
        <v>1.0000000000000001E-5</v>
      </c>
      <c r="I117" s="15">
        <v>1.0000000000000001E-5</v>
      </c>
      <c r="J117" s="15"/>
      <c r="K117" s="15"/>
      <c r="L117" s="15"/>
      <c r="M117" s="15"/>
      <c r="N117" s="15"/>
      <c r="O117" s="15"/>
    </row>
    <row r="118" spans="2:15" ht="16" customHeight="1" x14ac:dyDescent="0.35">
      <c r="B118" s="14" t="s">
        <v>878</v>
      </c>
      <c r="C118" s="14" t="s">
        <v>879</v>
      </c>
      <c r="D118" s="15">
        <v>-559.40535999999997</v>
      </c>
      <c r="E118" s="15">
        <v>-626.91526999999996</v>
      </c>
      <c r="F118" s="15">
        <v>-4870.2671899999996</v>
      </c>
      <c r="G118" s="15">
        <v>-7710.2745599999998</v>
      </c>
      <c r="H118" s="15">
        <v>-8231.9418399999995</v>
      </c>
      <c r="I118" s="15">
        <v>-8231.9418399999995</v>
      </c>
      <c r="J118" s="15"/>
      <c r="K118" s="15"/>
      <c r="L118" s="15"/>
      <c r="M118" s="15"/>
      <c r="N118" s="15"/>
      <c r="O118" s="15"/>
    </row>
    <row r="119" spans="2:15" ht="16" customHeight="1" x14ac:dyDescent="0.35">
      <c r="B119" s="14" t="s">
        <v>880</v>
      </c>
      <c r="C119" s="14" t="s">
        <v>881</v>
      </c>
      <c r="D119" s="15">
        <v>0</v>
      </c>
      <c r="E119" s="15">
        <v>-155.98662999999999</v>
      </c>
      <c r="F119" s="15">
        <v>-202.56468000000001</v>
      </c>
      <c r="G119" s="15">
        <v>-211.35772</v>
      </c>
      <c r="H119" s="15">
        <v>-381.42811</v>
      </c>
      <c r="I119" s="15">
        <v>-381.42811</v>
      </c>
      <c r="J119" s="15"/>
      <c r="K119" s="15"/>
      <c r="L119" s="15"/>
      <c r="M119" s="15"/>
      <c r="N119" s="15"/>
      <c r="O119" s="15"/>
    </row>
    <row r="120" spans="2:15" ht="16" customHeight="1" x14ac:dyDescent="0.35">
      <c r="B120" s="14" t="s">
        <v>882</v>
      </c>
      <c r="C120" s="14" t="s">
        <v>883</v>
      </c>
      <c r="D120" s="15">
        <v>-9470.2769800000005</v>
      </c>
      <c r="E120" s="15">
        <v>-12466.995730000001</v>
      </c>
      <c r="F120" s="15">
        <v>-16736.442579999999</v>
      </c>
      <c r="G120" s="15">
        <v>-20679.873619999998</v>
      </c>
      <c r="H120" s="15">
        <v>-23733.42426</v>
      </c>
      <c r="I120" s="15">
        <v>-23744.436269999998</v>
      </c>
      <c r="J120" s="15"/>
      <c r="K120" s="15"/>
      <c r="L120" s="15"/>
      <c r="M120" s="15"/>
      <c r="N120" s="15"/>
      <c r="O120" s="15"/>
    </row>
    <row r="121" spans="2:15" ht="16" customHeight="1" x14ac:dyDescent="0.35">
      <c r="B121" s="10"/>
      <c r="C121" s="11" t="s">
        <v>22</v>
      </c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</row>
    <row r="122" spans="2:15" ht="16" customHeight="1" x14ac:dyDescent="0.35">
      <c r="B122" s="38"/>
      <c r="C122" s="34" t="s">
        <v>884</v>
      </c>
      <c r="D122" s="35">
        <f t="shared" ref="D122:O122" si="21">D108+D116</f>
        <v>-38574.208780000001</v>
      </c>
      <c r="E122" s="35">
        <f t="shared" si="21"/>
        <v>-75759.672789999997</v>
      </c>
      <c r="F122" s="35">
        <f t="shared" si="21"/>
        <v>-126077.80381000001</v>
      </c>
      <c r="G122" s="35">
        <f t="shared" si="21"/>
        <v>-166026.41460000002</v>
      </c>
      <c r="H122" s="35">
        <f t="shared" si="21"/>
        <v>-206424.55327</v>
      </c>
      <c r="I122" s="35">
        <f t="shared" si="21"/>
        <v>-167631.79430000001</v>
      </c>
      <c r="J122" s="35">
        <f t="shared" si="21"/>
        <v>0</v>
      </c>
      <c r="K122" s="35">
        <f t="shared" si="21"/>
        <v>0</v>
      </c>
      <c r="L122" s="35">
        <f t="shared" si="21"/>
        <v>0</v>
      </c>
      <c r="M122" s="35">
        <f t="shared" si="21"/>
        <v>0</v>
      </c>
      <c r="N122" s="35">
        <f t="shared" si="21"/>
        <v>0</v>
      </c>
      <c r="O122" s="35">
        <f t="shared" si="21"/>
        <v>0</v>
      </c>
    </row>
    <row r="123" spans="2:15" ht="16" customHeight="1" x14ac:dyDescent="0.35">
      <c r="B123" s="10"/>
      <c r="C123" s="11" t="s">
        <v>22</v>
      </c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</row>
    <row r="124" spans="2:15" ht="16" customHeight="1" x14ac:dyDescent="0.35">
      <c r="B124" s="38"/>
      <c r="C124" s="34" t="s">
        <v>885</v>
      </c>
      <c r="D124" s="35">
        <f t="shared" ref="D124:O124" si="22">D125+D126</f>
        <v>0</v>
      </c>
      <c r="E124" s="35">
        <f t="shared" si="22"/>
        <v>0</v>
      </c>
      <c r="F124" s="35">
        <f t="shared" si="22"/>
        <v>0</v>
      </c>
      <c r="G124" s="35">
        <f t="shared" si="22"/>
        <v>0</v>
      </c>
      <c r="H124" s="35">
        <f t="shared" si="22"/>
        <v>0</v>
      </c>
      <c r="I124" s="35">
        <f t="shared" si="22"/>
        <v>0</v>
      </c>
      <c r="J124" s="35">
        <f t="shared" si="22"/>
        <v>0</v>
      </c>
      <c r="K124" s="35">
        <f t="shared" si="22"/>
        <v>0</v>
      </c>
      <c r="L124" s="35">
        <f t="shared" si="22"/>
        <v>0</v>
      </c>
      <c r="M124" s="35">
        <f t="shared" si="22"/>
        <v>0</v>
      </c>
      <c r="N124" s="35">
        <f t="shared" si="22"/>
        <v>0</v>
      </c>
      <c r="O124" s="35">
        <f t="shared" si="22"/>
        <v>0</v>
      </c>
    </row>
    <row r="125" spans="2:15" ht="16" customHeight="1" x14ac:dyDescent="0.35">
      <c r="B125" s="14" t="s">
        <v>886</v>
      </c>
      <c r="C125" s="14" t="s">
        <v>887</v>
      </c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</row>
    <row r="126" spans="2:15" ht="16" customHeight="1" x14ac:dyDescent="0.35">
      <c r="B126" s="14" t="s">
        <v>888</v>
      </c>
      <c r="C126" s="14" t="s">
        <v>889</v>
      </c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</row>
    <row r="127" spans="2:15" ht="16" customHeight="1" x14ac:dyDescent="0.35">
      <c r="B127" s="10"/>
      <c r="C127" s="11" t="s">
        <v>22</v>
      </c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</row>
    <row r="128" spans="2:15" ht="16" customHeight="1" x14ac:dyDescent="0.35">
      <c r="B128" s="38"/>
      <c r="C128" s="34" t="s">
        <v>890</v>
      </c>
      <c r="D128" s="35">
        <f t="shared" ref="D128:O128" si="23">D122+D124</f>
        <v>-38574.208780000001</v>
      </c>
      <c r="E128" s="35">
        <f t="shared" si="23"/>
        <v>-75759.672789999997</v>
      </c>
      <c r="F128" s="35">
        <f t="shared" si="23"/>
        <v>-126077.80381000001</v>
      </c>
      <c r="G128" s="35">
        <f t="shared" si="23"/>
        <v>-166026.41460000002</v>
      </c>
      <c r="H128" s="35">
        <f t="shared" si="23"/>
        <v>-206424.55327</v>
      </c>
      <c r="I128" s="35">
        <f t="shared" si="23"/>
        <v>-167631.79430000001</v>
      </c>
      <c r="J128" s="35">
        <f t="shared" si="23"/>
        <v>0</v>
      </c>
      <c r="K128" s="35">
        <f t="shared" si="23"/>
        <v>0</v>
      </c>
      <c r="L128" s="35">
        <f t="shared" si="23"/>
        <v>0</v>
      </c>
      <c r="M128" s="35">
        <f t="shared" si="23"/>
        <v>0</v>
      </c>
      <c r="N128" s="35">
        <f t="shared" si="23"/>
        <v>0</v>
      </c>
      <c r="O128" s="35">
        <f t="shared" si="23"/>
        <v>0</v>
      </c>
    </row>
    <row r="129" spans="2:15" ht="16" customHeight="1" x14ac:dyDescent="0.35">
      <c r="B129" s="10"/>
      <c r="C129" s="11" t="s">
        <v>22</v>
      </c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</row>
    <row r="130" spans="2:15" ht="16" customHeight="1" x14ac:dyDescent="0.35">
      <c r="B130" s="34" t="s">
        <v>891</v>
      </c>
      <c r="C130" s="34" t="s">
        <v>892</v>
      </c>
      <c r="D130" s="35">
        <f t="shared" ref="D130:O130" si="24">D131+D132</f>
        <v>0</v>
      </c>
      <c r="E130" s="35">
        <f t="shared" si="24"/>
        <v>60</v>
      </c>
      <c r="F130" s="35">
        <f t="shared" si="24"/>
        <v>1893.3</v>
      </c>
      <c r="G130" s="35">
        <f t="shared" si="24"/>
        <v>2158.8922699999998</v>
      </c>
      <c r="H130" s="35">
        <f t="shared" si="24"/>
        <v>2158.8922699999998</v>
      </c>
      <c r="I130" s="35">
        <f t="shared" si="24"/>
        <v>2158.8922699999998</v>
      </c>
      <c r="J130" s="35">
        <f t="shared" si="24"/>
        <v>0</v>
      </c>
      <c r="K130" s="35">
        <f t="shared" si="24"/>
        <v>0</v>
      </c>
      <c r="L130" s="35">
        <f t="shared" si="24"/>
        <v>0</v>
      </c>
      <c r="M130" s="35">
        <f t="shared" si="24"/>
        <v>0</v>
      </c>
      <c r="N130" s="35">
        <f t="shared" si="24"/>
        <v>0</v>
      </c>
      <c r="O130" s="35">
        <f t="shared" si="24"/>
        <v>0</v>
      </c>
    </row>
    <row r="131" spans="2:15" ht="16" customHeight="1" x14ac:dyDescent="0.35">
      <c r="B131" s="14" t="s">
        <v>893</v>
      </c>
      <c r="C131" s="14" t="s">
        <v>894</v>
      </c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</row>
    <row r="132" spans="2:15" ht="16" customHeight="1" x14ac:dyDescent="0.35">
      <c r="B132" s="14" t="s">
        <v>895</v>
      </c>
      <c r="C132" s="14" t="s">
        <v>896</v>
      </c>
      <c r="D132" s="15"/>
      <c r="E132" s="15">
        <v>60</v>
      </c>
      <c r="F132" s="15">
        <v>1893.3</v>
      </c>
      <c r="G132" s="15">
        <v>2158.8922699999998</v>
      </c>
      <c r="H132" s="15">
        <v>2158.8922699999998</v>
      </c>
      <c r="I132" s="15">
        <v>2158.8922699999998</v>
      </c>
      <c r="J132" s="15"/>
      <c r="K132" s="15"/>
      <c r="L132" s="15"/>
      <c r="M132" s="15"/>
      <c r="N132" s="15"/>
      <c r="O132" s="15"/>
    </row>
    <row r="133" spans="2:15" ht="16" customHeight="1" x14ac:dyDescent="0.35">
      <c r="B133" s="10"/>
      <c r="C133" s="11" t="s">
        <v>22</v>
      </c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</row>
    <row r="134" spans="2:15" ht="16" customHeight="1" x14ac:dyDescent="0.35">
      <c r="B134" s="38"/>
      <c r="C134" s="34" t="s">
        <v>897</v>
      </c>
      <c r="D134" s="35">
        <f t="shared" ref="D134:O134" si="25">D128+D130</f>
        <v>-38574.208780000001</v>
      </c>
      <c r="E134" s="35">
        <f t="shared" si="25"/>
        <v>-75699.672789999997</v>
      </c>
      <c r="F134" s="35">
        <f t="shared" si="25"/>
        <v>-124184.50381000001</v>
      </c>
      <c r="G134" s="35">
        <f t="shared" si="25"/>
        <v>-163867.52233000001</v>
      </c>
      <c r="H134" s="35">
        <f t="shared" si="25"/>
        <v>-204265.66099999999</v>
      </c>
      <c r="I134" s="35">
        <f t="shared" si="25"/>
        <v>-165472.90203</v>
      </c>
      <c r="J134" s="35">
        <f t="shared" si="25"/>
        <v>0</v>
      </c>
      <c r="K134" s="35">
        <f t="shared" si="25"/>
        <v>0</v>
      </c>
      <c r="L134" s="35">
        <f t="shared" si="25"/>
        <v>0</v>
      </c>
      <c r="M134" s="35">
        <f t="shared" si="25"/>
        <v>0</v>
      </c>
      <c r="N134" s="35">
        <f t="shared" si="25"/>
        <v>0</v>
      </c>
      <c r="O134" s="35">
        <f t="shared" si="25"/>
        <v>0</v>
      </c>
    </row>
    <row r="135" spans="2:15" ht="16" customHeight="1" x14ac:dyDescent="0.35">
      <c r="B135" s="10"/>
      <c r="C135" s="11" t="s">
        <v>22</v>
      </c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</row>
    <row r="136" spans="2:15" ht="16" customHeight="1" x14ac:dyDescent="0.35">
      <c r="B136" s="38"/>
      <c r="C136" s="34" t="s">
        <v>898</v>
      </c>
      <c r="D136" s="35">
        <f t="shared" ref="D136:O136" si="26">D137+D138</f>
        <v>0</v>
      </c>
      <c r="E136" s="35">
        <f t="shared" si="26"/>
        <v>0</v>
      </c>
      <c r="F136" s="35">
        <f t="shared" si="26"/>
        <v>0</v>
      </c>
      <c r="G136" s="35">
        <f t="shared" si="26"/>
        <v>0</v>
      </c>
      <c r="H136" s="35">
        <f t="shared" si="26"/>
        <v>0</v>
      </c>
      <c r="I136" s="35">
        <f t="shared" si="26"/>
        <v>0</v>
      </c>
      <c r="J136" s="35">
        <f t="shared" si="26"/>
        <v>0</v>
      </c>
      <c r="K136" s="35">
        <f t="shared" si="26"/>
        <v>0</v>
      </c>
      <c r="L136" s="35">
        <f t="shared" si="26"/>
        <v>0</v>
      </c>
      <c r="M136" s="35">
        <f t="shared" si="26"/>
        <v>0</v>
      </c>
      <c r="N136" s="35">
        <f t="shared" si="26"/>
        <v>0</v>
      </c>
      <c r="O136" s="35">
        <f t="shared" si="26"/>
        <v>0</v>
      </c>
    </row>
    <row r="137" spans="2:15" ht="16" customHeight="1" x14ac:dyDescent="0.35">
      <c r="B137" s="14" t="s">
        <v>899</v>
      </c>
      <c r="C137" s="14" t="s">
        <v>900</v>
      </c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</row>
    <row r="138" spans="2:15" ht="16" customHeight="1" x14ac:dyDescent="0.35">
      <c r="B138" s="14" t="s">
        <v>901</v>
      </c>
      <c r="C138" s="14" t="s">
        <v>902</v>
      </c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</row>
    <row r="139" spans="2:15" ht="16" customHeight="1" x14ac:dyDescent="0.35">
      <c r="B139" s="10"/>
      <c r="C139" s="11" t="s">
        <v>22</v>
      </c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</row>
    <row r="140" spans="2:15" ht="16" customHeight="1" x14ac:dyDescent="0.35">
      <c r="B140" s="38"/>
      <c r="C140" s="34" t="s">
        <v>903</v>
      </c>
      <c r="D140" s="35">
        <f t="shared" ref="D140:O140" si="27">D141+D142</f>
        <v>0</v>
      </c>
      <c r="E140" s="35">
        <f t="shared" si="27"/>
        <v>0</v>
      </c>
      <c r="F140" s="35">
        <f t="shared" si="27"/>
        <v>0</v>
      </c>
      <c r="G140" s="35">
        <f t="shared" si="27"/>
        <v>0</v>
      </c>
      <c r="H140" s="35">
        <f t="shared" si="27"/>
        <v>0</v>
      </c>
      <c r="I140" s="35">
        <f t="shared" si="27"/>
        <v>0</v>
      </c>
      <c r="J140" s="35">
        <f t="shared" si="27"/>
        <v>0</v>
      </c>
      <c r="K140" s="35">
        <f t="shared" si="27"/>
        <v>0</v>
      </c>
      <c r="L140" s="35">
        <f t="shared" si="27"/>
        <v>0</v>
      </c>
      <c r="M140" s="35">
        <f t="shared" si="27"/>
        <v>0</v>
      </c>
      <c r="N140" s="35">
        <f t="shared" si="27"/>
        <v>0</v>
      </c>
      <c r="O140" s="35">
        <f t="shared" si="27"/>
        <v>0</v>
      </c>
    </row>
    <row r="141" spans="2:15" ht="16" customHeight="1" x14ac:dyDescent="0.35">
      <c r="B141" s="14" t="s">
        <v>904</v>
      </c>
      <c r="C141" s="14" t="s">
        <v>905</v>
      </c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</row>
    <row r="142" spans="2:15" ht="16" customHeight="1" x14ac:dyDescent="0.35">
      <c r="B142" s="14" t="s">
        <v>906</v>
      </c>
      <c r="C142" s="14" t="s">
        <v>907</v>
      </c>
      <c r="D142" s="15">
        <f t="shared" ref="D142:O142" si="28">D143+D144</f>
        <v>0</v>
      </c>
      <c r="E142" s="15">
        <f t="shared" si="28"/>
        <v>0</v>
      </c>
      <c r="F142" s="15">
        <f t="shared" si="28"/>
        <v>0</v>
      </c>
      <c r="G142" s="15">
        <f t="shared" si="28"/>
        <v>0</v>
      </c>
      <c r="H142" s="15">
        <f t="shared" si="28"/>
        <v>0</v>
      </c>
      <c r="I142" s="15">
        <f t="shared" si="28"/>
        <v>0</v>
      </c>
      <c r="J142" s="15">
        <f t="shared" si="28"/>
        <v>0</v>
      </c>
      <c r="K142" s="15">
        <f t="shared" si="28"/>
        <v>0</v>
      </c>
      <c r="L142" s="15">
        <f t="shared" si="28"/>
        <v>0</v>
      </c>
      <c r="M142" s="15">
        <f t="shared" si="28"/>
        <v>0</v>
      </c>
      <c r="N142" s="15">
        <f t="shared" si="28"/>
        <v>0</v>
      </c>
      <c r="O142" s="15">
        <f t="shared" si="28"/>
        <v>0</v>
      </c>
    </row>
    <row r="143" spans="2:15" ht="16" customHeight="1" x14ac:dyDescent="0.35">
      <c r="B143" s="14" t="s">
        <v>908</v>
      </c>
      <c r="C143" s="14" t="s">
        <v>909</v>
      </c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</row>
    <row r="144" spans="2:15" ht="16" customHeight="1" x14ac:dyDescent="0.35">
      <c r="B144" s="14" t="s">
        <v>910</v>
      </c>
      <c r="C144" s="14" t="s">
        <v>911</v>
      </c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</row>
    <row r="145" spans="2:15" ht="16" customHeight="1" x14ac:dyDescent="0.35">
      <c r="B145" s="10"/>
      <c r="C145" s="11" t="s">
        <v>22</v>
      </c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</row>
    <row r="146" spans="2:15" ht="16" customHeight="1" x14ac:dyDescent="0.35">
      <c r="B146" s="38"/>
      <c r="C146" s="34" t="s">
        <v>912</v>
      </c>
      <c r="D146" s="35">
        <f t="shared" ref="D146:O146" si="29">D147+D148</f>
        <v>307700</v>
      </c>
      <c r="E146" s="35">
        <f t="shared" si="29"/>
        <v>353000</v>
      </c>
      <c r="F146" s="35">
        <f t="shared" si="29"/>
        <v>393600</v>
      </c>
      <c r="G146" s="35">
        <f t="shared" si="29"/>
        <v>397700</v>
      </c>
      <c r="H146" s="35">
        <f t="shared" si="29"/>
        <v>329000</v>
      </c>
      <c r="I146" s="35">
        <f t="shared" si="29"/>
        <v>329000</v>
      </c>
      <c r="J146" s="35">
        <f t="shared" si="29"/>
        <v>0</v>
      </c>
      <c r="K146" s="35">
        <f t="shared" si="29"/>
        <v>0</v>
      </c>
      <c r="L146" s="35">
        <f t="shared" si="29"/>
        <v>0</v>
      </c>
      <c r="M146" s="35">
        <f t="shared" si="29"/>
        <v>0</v>
      </c>
      <c r="N146" s="35">
        <f t="shared" si="29"/>
        <v>0</v>
      </c>
      <c r="O146" s="35">
        <f t="shared" si="29"/>
        <v>0</v>
      </c>
    </row>
    <row r="147" spans="2:15" ht="16" customHeight="1" x14ac:dyDescent="0.35">
      <c r="B147" s="14" t="s">
        <v>913</v>
      </c>
      <c r="C147" s="14" t="s">
        <v>914</v>
      </c>
      <c r="D147" s="15">
        <v>307700</v>
      </c>
      <c r="E147" s="15">
        <v>353000</v>
      </c>
      <c r="F147" s="15">
        <v>393600</v>
      </c>
      <c r="G147" s="15">
        <v>397700</v>
      </c>
      <c r="H147" s="15">
        <v>329000</v>
      </c>
      <c r="I147" s="15">
        <v>329000</v>
      </c>
      <c r="J147" s="15"/>
      <c r="K147" s="15"/>
      <c r="L147" s="15"/>
      <c r="M147" s="15"/>
      <c r="N147" s="15"/>
      <c r="O147" s="15"/>
    </row>
    <row r="148" spans="2:15" ht="16" customHeight="1" x14ac:dyDescent="0.35">
      <c r="B148" s="14" t="s">
        <v>915</v>
      </c>
      <c r="C148" s="14" t="s">
        <v>916</v>
      </c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</row>
    <row r="149" spans="2:15" ht="16" customHeight="1" x14ac:dyDescent="0.35">
      <c r="B149" s="10"/>
      <c r="C149" s="11" t="s">
        <v>22</v>
      </c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</row>
    <row r="150" spans="2:15" ht="16" customHeight="1" x14ac:dyDescent="0.35">
      <c r="B150" s="38"/>
      <c r="C150" s="34" t="s">
        <v>917</v>
      </c>
      <c r="D150" s="35">
        <f t="shared" ref="D150:O150" si="30">D151+D152</f>
        <v>-16363.925369999999</v>
      </c>
      <c r="E150" s="35">
        <f t="shared" si="30"/>
        <v>-31485.611340000003</v>
      </c>
      <c r="F150" s="35">
        <f t="shared" si="30"/>
        <v>-50913.912970000005</v>
      </c>
      <c r="G150" s="35">
        <f t="shared" si="30"/>
        <v>-71480.190930000012</v>
      </c>
      <c r="H150" s="35">
        <f t="shared" si="30"/>
        <v>-87260.482879999996</v>
      </c>
      <c r="I150" s="35">
        <f t="shared" si="30"/>
        <v>-91616.359359999988</v>
      </c>
      <c r="J150" s="35">
        <f t="shared" si="30"/>
        <v>0</v>
      </c>
      <c r="K150" s="35">
        <f t="shared" si="30"/>
        <v>0</v>
      </c>
      <c r="L150" s="35">
        <f t="shared" si="30"/>
        <v>0</v>
      </c>
      <c r="M150" s="35">
        <f t="shared" si="30"/>
        <v>0</v>
      </c>
      <c r="N150" s="35">
        <f t="shared" si="30"/>
        <v>0</v>
      </c>
      <c r="O150" s="35">
        <f t="shared" si="30"/>
        <v>0</v>
      </c>
    </row>
    <row r="151" spans="2:15" ht="16" customHeight="1" x14ac:dyDescent="0.35">
      <c r="B151" s="14" t="s">
        <v>918</v>
      </c>
      <c r="C151" s="14" t="s">
        <v>919</v>
      </c>
      <c r="D151" s="15">
        <v>-16376.051729999999</v>
      </c>
      <c r="E151" s="15">
        <v>-31505.821940000002</v>
      </c>
      <c r="F151" s="15">
        <v>-50970.592340000003</v>
      </c>
      <c r="G151" s="15">
        <v>-71535.954450000005</v>
      </c>
      <c r="H151" s="15">
        <v>-87325.869030000002</v>
      </c>
      <c r="I151" s="15">
        <v>-91667.018379999994</v>
      </c>
      <c r="J151" s="15"/>
      <c r="K151" s="15"/>
      <c r="L151" s="15"/>
      <c r="M151" s="15"/>
      <c r="N151" s="15"/>
      <c r="O151" s="15"/>
    </row>
    <row r="152" spans="2:15" ht="16" customHeight="1" x14ac:dyDescent="0.35">
      <c r="B152" s="14" t="s">
        <v>920</v>
      </c>
      <c r="C152" s="14" t="s">
        <v>921</v>
      </c>
      <c r="D152" s="15">
        <v>12.12636</v>
      </c>
      <c r="E152" s="15">
        <v>20.210599999999999</v>
      </c>
      <c r="F152" s="15">
        <v>56.679369999999999</v>
      </c>
      <c r="G152" s="15">
        <v>55.76352</v>
      </c>
      <c r="H152" s="15">
        <v>65.386150000000001</v>
      </c>
      <c r="I152" s="15">
        <v>50.659019999999998</v>
      </c>
      <c r="J152" s="15"/>
      <c r="K152" s="15"/>
      <c r="L152" s="15"/>
      <c r="M152" s="15"/>
      <c r="N152" s="15"/>
      <c r="O152" s="15"/>
    </row>
    <row r="153" spans="2:15" ht="16" customHeight="1" x14ac:dyDescent="0.35">
      <c r="B153" s="10"/>
      <c r="C153" s="11" t="s">
        <v>22</v>
      </c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</row>
    <row r="154" spans="2:15" ht="16" customHeight="1" x14ac:dyDescent="0.35">
      <c r="B154" s="38"/>
      <c r="C154" s="34" t="s">
        <v>922</v>
      </c>
      <c r="D154" s="35">
        <f t="shared" ref="D154:O154" si="31">-(-D155)</f>
        <v>-7773.5870000000004</v>
      </c>
      <c r="E154" s="35">
        <f t="shared" si="31"/>
        <v>3838.3491600000002</v>
      </c>
      <c r="F154" s="35">
        <f t="shared" si="31"/>
        <v>3542.1002699999999</v>
      </c>
      <c r="G154" s="35">
        <f t="shared" si="31"/>
        <v>3644.1466999999998</v>
      </c>
      <c r="H154" s="35">
        <f t="shared" si="31"/>
        <v>3632.4903599999998</v>
      </c>
      <c r="I154" s="35">
        <f t="shared" si="31"/>
        <v>-207.86464000000001</v>
      </c>
      <c r="J154" s="35">
        <f t="shared" si="31"/>
        <v>0</v>
      </c>
      <c r="K154" s="35">
        <f t="shared" si="31"/>
        <v>0</v>
      </c>
      <c r="L154" s="35">
        <f t="shared" si="31"/>
        <v>0</v>
      </c>
      <c r="M154" s="35">
        <f t="shared" si="31"/>
        <v>0</v>
      </c>
      <c r="N154" s="35">
        <f t="shared" si="31"/>
        <v>0</v>
      </c>
      <c r="O154" s="35">
        <f t="shared" si="31"/>
        <v>0</v>
      </c>
    </row>
    <row r="155" spans="2:15" ht="16" customHeight="1" x14ac:dyDescent="0.35">
      <c r="B155" s="14" t="s">
        <v>923</v>
      </c>
      <c r="C155" s="14" t="s">
        <v>924</v>
      </c>
      <c r="D155" s="15">
        <v>-7773.5870000000004</v>
      </c>
      <c r="E155" s="15">
        <v>3838.3491600000002</v>
      </c>
      <c r="F155" s="15">
        <v>3542.1002699999999</v>
      </c>
      <c r="G155" s="15">
        <v>3644.1466999999998</v>
      </c>
      <c r="H155" s="15">
        <v>3632.4903599999998</v>
      </c>
      <c r="I155" s="15">
        <v>-207.86464000000001</v>
      </c>
      <c r="J155" s="15"/>
      <c r="K155" s="15"/>
      <c r="L155" s="15"/>
      <c r="M155" s="15"/>
      <c r="N155" s="15"/>
      <c r="O155" s="15"/>
    </row>
    <row r="156" spans="2:15" ht="16" customHeight="1" x14ac:dyDescent="0.35">
      <c r="B156" s="10"/>
      <c r="C156" s="11" t="s">
        <v>22</v>
      </c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</row>
    <row r="157" spans="2:15" ht="16" customHeight="1" x14ac:dyDescent="0.35">
      <c r="B157" s="38"/>
      <c r="C157" s="34" t="s">
        <v>925</v>
      </c>
      <c r="D157" s="35">
        <f t="shared" ref="D157:O157" si="32">D158+D159</f>
        <v>0</v>
      </c>
      <c r="E157" s="35">
        <f t="shared" si="32"/>
        <v>0</v>
      </c>
      <c r="F157" s="35">
        <f t="shared" si="32"/>
        <v>0</v>
      </c>
      <c r="G157" s="35">
        <f t="shared" si="32"/>
        <v>0</v>
      </c>
      <c r="H157" s="35">
        <f t="shared" si="32"/>
        <v>0</v>
      </c>
      <c r="I157" s="35">
        <f t="shared" si="32"/>
        <v>0</v>
      </c>
      <c r="J157" s="35">
        <f t="shared" si="32"/>
        <v>0</v>
      </c>
      <c r="K157" s="35">
        <f t="shared" si="32"/>
        <v>0</v>
      </c>
      <c r="L157" s="35">
        <f t="shared" si="32"/>
        <v>0</v>
      </c>
      <c r="M157" s="35">
        <f t="shared" si="32"/>
        <v>0</v>
      </c>
      <c r="N157" s="35">
        <f t="shared" si="32"/>
        <v>0</v>
      </c>
      <c r="O157" s="35">
        <f t="shared" si="32"/>
        <v>0</v>
      </c>
    </row>
    <row r="158" spans="2:15" ht="16" customHeight="1" x14ac:dyDescent="0.35">
      <c r="B158" s="14" t="s">
        <v>926</v>
      </c>
      <c r="C158" s="14" t="s">
        <v>927</v>
      </c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</row>
    <row r="159" spans="2:15" ht="16" customHeight="1" x14ac:dyDescent="0.35">
      <c r="B159" s="14" t="s">
        <v>928</v>
      </c>
      <c r="C159" s="14" t="s">
        <v>929</v>
      </c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</row>
    <row r="160" spans="2:15" ht="16" customHeight="1" x14ac:dyDescent="0.35">
      <c r="B160" s="10"/>
      <c r="C160" s="11" t="s">
        <v>22</v>
      </c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</row>
    <row r="161" spans="2:15" ht="16" customHeight="1" x14ac:dyDescent="0.35">
      <c r="B161" s="38"/>
      <c r="C161" s="34" t="s">
        <v>930</v>
      </c>
      <c r="D161" s="35">
        <f t="shared" ref="D161:O161" si="33">-(-D136-D140-D146-D150-D154-D157)</f>
        <v>283562.48762999999</v>
      </c>
      <c r="E161" s="35">
        <f t="shared" si="33"/>
        <v>325352.73781999998</v>
      </c>
      <c r="F161" s="35">
        <f t="shared" si="33"/>
        <v>346228.18729999999</v>
      </c>
      <c r="G161" s="35">
        <f t="shared" si="33"/>
        <v>329863.95576999994</v>
      </c>
      <c r="H161" s="35">
        <f t="shared" si="33"/>
        <v>245372.00748</v>
      </c>
      <c r="I161" s="35">
        <f t="shared" si="33"/>
        <v>237175.77599999998</v>
      </c>
      <c r="J161" s="35">
        <f t="shared" si="33"/>
        <v>0</v>
      </c>
      <c r="K161" s="35">
        <f t="shared" si="33"/>
        <v>0</v>
      </c>
      <c r="L161" s="35">
        <f t="shared" si="33"/>
        <v>0</v>
      </c>
      <c r="M161" s="35">
        <f t="shared" si="33"/>
        <v>0</v>
      </c>
      <c r="N161" s="35">
        <f t="shared" si="33"/>
        <v>0</v>
      </c>
      <c r="O161" s="35">
        <f t="shared" si="33"/>
        <v>0</v>
      </c>
    </row>
    <row r="162" spans="2:15" ht="16" customHeight="1" x14ac:dyDescent="0.35">
      <c r="B162" s="10"/>
      <c r="C162" s="11" t="s">
        <v>22</v>
      </c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</row>
    <row r="163" spans="2:15" ht="16" customHeight="1" x14ac:dyDescent="0.35">
      <c r="B163" s="39"/>
      <c r="C163" s="40" t="s">
        <v>931</v>
      </c>
      <c r="D163" s="24">
        <f t="shared" ref="D163:O163" si="34">D134+D161</f>
        <v>244988.27885</v>
      </c>
      <c r="E163" s="24">
        <f t="shared" si="34"/>
        <v>249653.06503</v>
      </c>
      <c r="F163" s="24">
        <f t="shared" si="34"/>
        <v>222043.68348999997</v>
      </c>
      <c r="G163" s="24">
        <f t="shared" si="34"/>
        <v>165996.43343999994</v>
      </c>
      <c r="H163" s="24">
        <f t="shared" si="34"/>
        <v>41106.346480000007</v>
      </c>
      <c r="I163" s="24">
        <f t="shared" si="34"/>
        <v>71702.873969999986</v>
      </c>
      <c r="J163" s="24">
        <f t="shared" si="34"/>
        <v>0</v>
      </c>
      <c r="K163" s="24">
        <f t="shared" si="34"/>
        <v>0</v>
      </c>
      <c r="L163" s="24">
        <f t="shared" si="34"/>
        <v>0</v>
      </c>
      <c r="M163" s="24">
        <f t="shared" si="34"/>
        <v>0</v>
      </c>
      <c r="N163" s="24">
        <f t="shared" si="34"/>
        <v>0</v>
      </c>
      <c r="O163" s="24">
        <f t="shared" si="34"/>
        <v>0</v>
      </c>
    </row>
    <row r="164" spans="2:15" ht="16" customHeight="1" x14ac:dyDescent="0.35">
      <c r="B164" s="10"/>
      <c r="C164" s="11" t="s">
        <v>22</v>
      </c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</row>
    <row r="165" spans="2:15" ht="16" customHeight="1" x14ac:dyDescent="0.35">
      <c r="B165" s="38"/>
      <c r="C165" s="34" t="s">
        <v>932</v>
      </c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</row>
    <row r="166" spans="2:15" ht="16" customHeight="1" x14ac:dyDescent="0.35">
      <c r="B166" s="10"/>
      <c r="C166" s="11" t="s">
        <v>22</v>
      </c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</row>
    <row r="167" spans="2:15" ht="16" customHeight="1" x14ac:dyDescent="0.35">
      <c r="B167" s="38"/>
      <c r="C167" s="34" t="s">
        <v>933</v>
      </c>
      <c r="D167" s="35">
        <f t="shared" ref="D167:O167" si="35">-(-(D168+D169)-D170)</f>
        <v>0</v>
      </c>
      <c r="E167" s="35">
        <f t="shared" si="35"/>
        <v>0</v>
      </c>
      <c r="F167" s="35">
        <f t="shared" si="35"/>
        <v>0</v>
      </c>
      <c r="G167" s="35">
        <f t="shared" si="35"/>
        <v>0</v>
      </c>
      <c r="H167" s="35">
        <f t="shared" si="35"/>
        <v>0</v>
      </c>
      <c r="I167" s="35">
        <f t="shared" si="35"/>
        <v>0</v>
      </c>
      <c r="J167" s="35">
        <f t="shared" si="35"/>
        <v>0</v>
      </c>
      <c r="K167" s="35">
        <f t="shared" si="35"/>
        <v>0</v>
      </c>
      <c r="L167" s="35">
        <f t="shared" si="35"/>
        <v>0</v>
      </c>
      <c r="M167" s="35">
        <f t="shared" si="35"/>
        <v>0</v>
      </c>
      <c r="N167" s="35">
        <f t="shared" si="35"/>
        <v>0</v>
      </c>
      <c r="O167" s="35">
        <f t="shared" si="35"/>
        <v>0</v>
      </c>
    </row>
    <row r="168" spans="2:15" ht="16" customHeight="1" x14ac:dyDescent="0.35">
      <c r="B168" s="14" t="s">
        <v>934</v>
      </c>
      <c r="C168" s="14" t="s">
        <v>935</v>
      </c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</row>
    <row r="169" spans="2:15" ht="16" customHeight="1" x14ac:dyDescent="0.35">
      <c r="B169" s="14" t="s">
        <v>936</v>
      </c>
      <c r="C169" s="14" t="s">
        <v>937</v>
      </c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</row>
    <row r="170" spans="2:15" ht="16" customHeight="1" x14ac:dyDescent="0.35">
      <c r="B170" s="14" t="s">
        <v>938</v>
      </c>
      <c r="C170" s="14" t="s">
        <v>939</v>
      </c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</row>
    <row r="171" spans="2:15" ht="16" customHeight="1" x14ac:dyDescent="0.35">
      <c r="B171" s="10"/>
      <c r="C171" s="11" t="s">
        <v>22</v>
      </c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</row>
    <row r="172" spans="2:15" ht="16" customHeight="1" x14ac:dyDescent="0.35">
      <c r="B172" s="38"/>
      <c r="C172" s="34" t="s">
        <v>940</v>
      </c>
      <c r="D172" s="35">
        <f t="shared" ref="D172:O172" si="36">D173+D174</f>
        <v>0</v>
      </c>
      <c r="E172" s="35">
        <f t="shared" si="36"/>
        <v>0</v>
      </c>
      <c r="F172" s="35">
        <f t="shared" si="36"/>
        <v>0</v>
      </c>
      <c r="G172" s="35">
        <f t="shared" si="36"/>
        <v>0</v>
      </c>
      <c r="H172" s="35">
        <f t="shared" si="36"/>
        <v>0</v>
      </c>
      <c r="I172" s="35">
        <f t="shared" si="36"/>
        <v>0</v>
      </c>
      <c r="J172" s="35">
        <f t="shared" si="36"/>
        <v>0</v>
      </c>
      <c r="K172" s="35">
        <f t="shared" si="36"/>
        <v>0</v>
      </c>
      <c r="L172" s="35">
        <f t="shared" si="36"/>
        <v>0</v>
      </c>
      <c r="M172" s="35">
        <f t="shared" si="36"/>
        <v>0</v>
      </c>
      <c r="N172" s="35">
        <f t="shared" si="36"/>
        <v>0</v>
      </c>
      <c r="O172" s="35">
        <f t="shared" si="36"/>
        <v>0</v>
      </c>
    </row>
    <row r="173" spans="2:15" ht="16" customHeight="1" x14ac:dyDescent="0.35">
      <c r="B173" s="14" t="s">
        <v>941</v>
      </c>
      <c r="C173" s="14" t="s">
        <v>942</v>
      </c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</row>
    <row r="174" spans="2:15" ht="16" customHeight="1" x14ac:dyDescent="0.35">
      <c r="B174" s="14" t="s">
        <v>943</v>
      </c>
      <c r="C174" s="14" t="s">
        <v>944</v>
      </c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</row>
    <row r="175" spans="2:15" ht="16" customHeight="1" x14ac:dyDescent="0.35">
      <c r="B175" s="10"/>
      <c r="C175" s="11" t="s">
        <v>22</v>
      </c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</row>
    <row r="176" spans="2:15" ht="16" customHeight="1" x14ac:dyDescent="0.35">
      <c r="B176" s="14" t="s">
        <v>945</v>
      </c>
      <c r="C176" s="14" t="s">
        <v>946</v>
      </c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</row>
    <row r="177" spans="2:15" ht="16" customHeight="1" x14ac:dyDescent="0.35">
      <c r="B177" s="10"/>
      <c r="C177" s="11" t="s">
        <v>22</v>
      </c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</row>
    <row r="178" spans="2:15" ht="16" customHeight="1" x14ac:dyDescent="0.35">
      <c r="B178" s="14" t="s">
        <v>947</v>
      </c>
      <c r="C178" s="14" t="s">
        <v>948</v>
      </c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</row>
    <row r="179" spans="2:15" ht="16" customHeight="1" x14ac:dyDescent="0.35">
      <c r="B179" s="10"/>
      <c r="C179" s="11" t="s">
        <v>22</v>
      </c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</row>
    <row r="180" spans="2:15" ht="16" customHeight="1" x14ac:dyDescent="0.35">
      <c r="B180" s="14" t="s">
        <v>949</v>
      </c>
      <c r="C180" s="14" t="s">
        <v>950</v>
      </c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</row>
    <row r="181" spans="2:15" ht="16" customHeight="1" x14ac:dyDescent="0.35">
      <c r="B181" s="10"/>
      <c r="C181" s="11" t="s">
        <v>22</v>
      </c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</row>
    <row r="182" spans="2:15" ht="16" customHeight="1" x14ac:dyDescent="0.35">
      <c r="B182" s="38"/>
      <c r="C182" s="34" t="s">
        <v>951</v>
      </c>
      <c r="D182" s="35">
        <f t="shared" ref="D182:O182" si="37">D183+D184</f>
        <v>0</v>
      </c>
      <c r="E182" s="35">
        <f t="shared" si="37"/>
        <v>0</v>
      </c>
      <c r="F182" s="35">
        <f t="shared" si="37"/>
        <v>0</v>
      </c>
      <c r="G182" s="35">
        <f t="shared" si="37"/>
        <v>0</v>
      </c>
      <c r="H182" s="35">
        <f t="shared" si="37"/>
        <v>0</v>
      </c>
      <c r="I182" s="35">
        <f t="shared" si="37"/>
        <v>0</v>
      </c>
      <c r="J182" s="35">
        <f t="shared" si="37"/>
        <v>0</v>
      </c>
      <c r="K182" s="35">
        <f t="shared" si="37"/>
        <v>0</v>
      </c>
      <c r="L182" s="35">
        <f t="shared" si="37"/>
        <v>0</v>
      </c>
      <c r="M182" s="35">
        <f t="shared" si="37"/>
        <v>0</v>
      </c>
      <c r="N182" s="35">
        <f t="shared" si="37"/>
        <v>0</v>
      </c>
      <c r="O182" s="35">
        <f t="shared" si="37"/>
        <v>0</v>
      </c>
    </row>
    <row r="183" spans="2:15" ht="16" customHeight="1" x14ac:dyDescent="0.35">
      <c r="B183" s="14" t="s">
        <v>952</v>
      </c>
      <c r="C183" s="14" t="s">
        <v>953</v>
      </c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</row>
    <row r="184" spans="2:15" ht="16" customHeight="1" x14ac:dyDescent="0.35">
      <c r="B184" s="14" t="s">
        <v>954</v>
      </c>
      <c r="C184" s="14" t="s">
        <v>955</v>
      </c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</row>
    <row r="185" spans="2:15" ht="16" customHeight="1" x14ac:dyDescent="0.35">
      <c r="B185" s="10"/>
      <c r="C185" s="11" t="s">
        <v>22</v>
      </c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</row>
    <row r="186" spans="2:15" ht="16" customHeight="1" x14ac:dyDescent="0.35">
      <c r="B186" s="38"/>
      <c r="C186" s="34" t="s">
        <v>956</v>
      </c>
      <c r="D186" s="35">
        <f t="shared" ref="D186:O186" si="38">-(-(D187+D188)-D189-D190-D191)</f>
        <v>0</v>
      </c>
      <c r="E186" s="35">
        <f t="shared" si="38"/>
        <v>0</v>
      </c>
      <c r="F186" s="35">
        <f t="shared" si="38"/>
        <v>0</v>
      </c>
      <c r="G186" s="35">
        <f t="shared" si="38"/>
        <v>0</v>
      </c>
      <c r="H186" s="35">
        <f t="shared" si="38"/>
        <v>0</v>
      </c>
      <c r="I186" s="35">
        <f t="shared" si="38"/>
        <v>0</v>
      </c>
      <c r="J186" s="35">
        <f t="shared" si="38"/>
        <v>0</v>
      </c>
      <c r="K186" s="35">
        <f t="shared" si="38"/>
        <v>0</v>
      </c>
      <c r="L186" s="35">
        <f t="shared" si="38"/>
        <v>0</v>
      </c>
      <c r="M186" s="35">
        <f t="shared" si="38"/>
        <v>0</v>
      </c>
      <c r="N186" s="35">
        <f t="shared" si="38"/>
        <v>0</v>
      </c>
      <c r="O186" s="35">
        <f t="shared" si="38"/>
        <v>0</v>
      </c>
    </row>
    <row r="187" spans="2:15" ht="16" customHeight="1" x14ac:dyDescent="0.35">
      <c r="B187" s="14" t="s">
        <v>957</v>
      </c>
      <c r="C187" s="14" t="s">
        <v>958</v>
      </c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</row>
    <row r="188" spans="2:15" ht="16" customHeight="1" x14ac:dyDescent="0.35">
      <c r="B188" s="14" t="s">
        <v>959</v>
      </c>
      <c r="C188" s="14" t="s">
        <v>960</v>
      </c>
      <c r="D188" s="15">
        <v>200</v>
      </c>
      <c r="E188" s="15">
        <v>200</v>
      </c>
      <c r="F188" s="15">
        <v>200</v>
      </c>
      <c r="G188" s="15">
        <v>200</v>
      </c>
      <c r="H188" s="15">
        <v>200</v>
      </c>
      <c r="I188" s="15">
        <v>200</v>
      </c>
      <c r="J188" s="15"/>
      <c r="K188" s="15"/>
      <c r="L188" s="15"/>
      <c r="M188" s="15"/>
      <c r="N188" s="15"/>
      <c r="O188" s="15"/>
    </row>
    <row r="189" spans="2:15" ht="16" customHeight="1" x14ac:dyDescent="0.35">
      <c r="B189" s="14" t="s">
        <v>961</v>
      </c>
      <c r="C189" s="14" t="s">
        <v>962</v>
      </c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</row>
    <row r="190" spans="2:15" ht="16" customHeight="1" x14ac:dyDescent="0.35">
      <c r="B190" s="14" t="s">
        <v>963</v>
      </c>
      <c r="C190" s="14" t="s">
        <v>964</v>
      </c>
      <c r="D190" s="15">
        <v>-200</v>
      </c>
      <c r="E190" s="15">
        <v>-200</v>
      </c>
      <c r="F190" s="15">
        <v>-200</v>
      </c>
      <c r="G190" s="15">
        <v>-200</v>
      </c>
      <c r="H190" s="15">
        <v>-200</v>
      </c>
      <c r="I190" s="15">
        <v>-200</v>
      </c>
      <c r="J190" s="15"/>
      <c r="K190" s="15"/>
      <c r="L190" s="15"/>
      <c r="M190" s="15"/>
      <c r="N190" s="15"/>
      <c r="O190" s="15"/>
    </row>
    <row r="191" spans="2:15" ht="16" customHeight="1" x14ac:dyDescent="0.35">
      <c r="B191" s="14" t="s">
        <v>965</v>
      </c>
      <c r="C191" s="14" t="s">
        <v>966</v>
      </c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</row>
    <row r="192" spans="2:15" ht="16" customHeight="1" x14ac:dyDescent="0.35">
      <c r="B192" s="10"/>
      <c r="C192" s="11" t="s">
        <v>22</v>
      </c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</row>
    <row r="193" spans="2:15" ht="16" customHeight="1" x14ac:dyDescent="0.35">
      <c r="B193" s="38"/>
      <c r="C193" s="34" t="s">
        <v>967</v>
      </c>
      <c r="D193" s="35">
        <f t="shared" ref="D193:O193" si="39">D195+D200+D204</f>
        <v>11910.89625</v>
      </c>
      <c r="E193" s="35">
        <f t="shared" si="39"/>
        <v>27187.875609999999</v>
      </c>
      <c r="F193" s="35">
        <f t="shared" si="39"/>
        <v>41527.56439</v>
      </c>
      <c r="G193" s="35">
        <f t="shared" si="39"/>
        <v>52849.717280000004</v>
      </c>
      <c r="H193" s="35">
        <f t="shared" si="39"/>
        <v>69236.507869999987</v>
      </c>
      <c r="I193" s="35">
        <f t="shared" si="39"/>
        <v>54929.25275</v>
      </c>
      <c r="J193" s="35">
        <f t="shared" si="39"/>
        <v>0</v>
      </c>
      <c r="K193" s="35">
        <f t="shared" si="39"/>
        <v>0</v>
      </c>
      <c r="L193" s="35">
        <f t="shared" si="39"/>
        <v>0</v>
      </c>
      <c r="M193" s="35">
        <f t="shared" si="39"/>
        <v>0</v>
      </c>
      <c r="N193" s="35">
        <f t="shared" si="39"/>
        <v>0</v>
      </c>
      <c r="O193" s="35">
        <f t="shared" si="39"/>
        <v>0</v>
      </c>
    </row>
    <row r="194" spans="2:15" ht="16" customHeight="1" x14ac:dyDescent="0.35">
      <c r="B194" s="10"/>
      <c r="C194" s="11" t="s">
        <v>22</v>
      </c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</row>
    <row r="195" spans="2:15" ht="16" customHeight="1" x14ac:dyDescent="0.35">
      <c r="B195" s="38"/>
      <c r="C195" s="34" t="s">
        <v>968</v>
      </c>
      <c r="D195" s="35">
        <f t="shared" ref="D195:O195" si="40">-(-(D196+D197)-D198)</f>
        <v>13354.22991</v>
      </c>
      <c r="E195" s="35">
        <f t="shared" si="40"/>
        <v>29872.915059999999</v>
      </c>
      <c r="F195" s="35">
        <f t="shared" si="40"/>
        <v>45672.838830000001</v>
      </c>
      <c r="G195" s="35">
        <f t="shared" si="40"/>
        <v>58407.556320000003</v>
      </c>
      <c r="H195" s="35">
        <f t="shared" si="40"/>
        <v>76157.919899999994</v>
      </c>
      <c r="I195" s="35">
        <f t="shared" si="40"/>
        <v>83670.188110000003</v>
      </c>
      <c r="J195" s="35">
        <f t="shared" si="40"/>
        <v>0</v>
      </c>
      <c r="K195" s="35">
        <f t="shared" si="40"/>
        <v>0</v>
      </c>
      <c r="L195" s="35">
        <f t="shared" si="40"/>
        <v>0</v>
      </c>
      <c r="M195" s="35">
        <f t="shared" si="40"/>
        <v>0</v>
      </c>
      <c r="N195" s="35">
        <f t="shared" si="40"/>
        <v>0</v>
      </c>
      <c r="O195" s="35">
        <f t="shared" si="40"/>
        <v>0</v>
      </c>
    </row>
    <row r="196" spans="2:15" ht="16" customHeight="1" x14ac:dyDescent="0.35">
      <c r="B196" s="14" t="s">
        <v>969</v>
      </c>
      <c r="C196" s="14" t="s">
        <v>970</v>
      </c>
      <c r="D196" s="15">
        <v>13354.22991</v>
      </c>
      <c r="E196" s="15">
        <v>29872.915059999999</v>
      </c>
      <c r="F196" s="15">
        <v>45672.838830000001</v>
      </c>
      <c r="G196" s="15">
        <v>58497.913260000001</v>
      </c>
      <c r="H196" s="15">
        <v>76361.240319999997</v>
      </c>
      <c r="I196" s="15">
        <v>83873.508530000006</v>
      </c>
      <c r="J196" s="15"/>
      <c r="K196" s="15"/>
      <c r="L196" s="15"/>
      <c r="M196" s="15"/>
      <c r="N196" s="15"/>
      <c r="O196" s="15"/>
    </row>
    <row r="197" spans="2:15" ht="16" customHeight="1" x14ac:dyDescent="0.35">
      <c r="B197" s="14" t="s">
        <v>971</v>
      </c>
      <c r="C197" s="14" t="s">
        <v>972</v>
      </c>
      <c r="D197" s="15"/>
      <c r="E197" s="15"/>
      <c r="F197" s="15"/>
      <c r="G197" s="15">
        <v>-90.356939999999994</v>
      </c>
      <c r="H197" s="15">
        <v>-203.32042000000001</v>
      </c>
      <c r="I197" s="15">
        <v>-203.32042000000001</v>
      </c>
      <c r="J197" s="15"/>
      <c r="K197" s="15"/>
      <c r="L197" s="15"/>
      <c r="M197" s="15"/>
      <c r="N197" s="15"/>
      <c r="O197" s="15"/>
    </row>
    <row r="198" spans="2:15" ht="16" customHeight="1" x14ac:dyDescent="0.35">
      <c r="B198" s="14" t="s">
        <v>973</v>
      </c>
      <c r="C198" s="14" t="s">
        <v>974</v>
      </c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</row>
    <row r="199" spans="2:15" ht="16" customHeight="1" x14ac:dyDescent="0.35">
      <c r="B199" s="10"/>
      <c r="C199" s="11" t="s">
        <v>22</v>
      </c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</row>
    <row r="200" spans="2:15" ht="16" customHeight="1" x14ac:dyDescent="0.35">
      <c r="B200" s="34" t="s">
        <v>975</v>
      </c>
      <c r="C200" s="34" t="s">
        <v>976</v>
      </c>
      <c r="D200" s="35">
        <f t="shared" ref="D200:O200" si="41">D201+D202</f>
        <v>-1401.41066</v>
      </c>
      <c r="E200" s="35">
        <f t="shared" si="41"/>
        <v>-2567.5944500000001</v>
      </c>
      <c r="F200" s="35">
        <f t="shared" si="41"/>
        <v>-4056.4274400000004</v>
      </c>
      <c r="G200" s="35">
        <f t="shared" si="41"/>
        <v>-5509.9160400000001</v>
      </c>
      <c r="H200" s="35">
        <f t="shared" si="41"/>
        <v>-6889.3020300000007</v>
      </c>
      <c r="I200" s="35">
        <f t="shared" si="41"/>
        <v>-6890.4423599999991</v>
      </c>
      <c r="J200" s="35">
        <f t="shared" si="41"/>
        <v>0</v>
      </c>
      <c r="K200" s="35">
        <f t="shared" si="41"/>
        <v>0</v>
      </c>
      <c r="L200" s="35">
        <f t="shared" si="41"/>
        <v>0</v>
      </c>
      <c r="M200" s="35">
        <f t="shared" si="41"/>
        <v>0</v>
      </c>
      <c r="N200" s="35">
        <f t="shared" si="41"/>
        <v>0</v>
      </c>
      <c r="O200" s="35">
        <f t="shared" si="41"/>
        <v>0</v>
      </c>
    </row>
    <row r="201" spans="2:15" ht="16" customHeight="1" x14ac:dyDescent="0.35">
      <c r="B201" s="14" t="s">
        <v>977</v>
      </c>
      <c r="C201" s="14" t="s">
        <v>978</v>
      </c>
      <c r="D201" s="15">
        <v>-1718.0459499999999</v>
      </c>
      <c r="E201" s="15">
        <v>-3196.7213400000001</v>
      </c>
      <c r="F201" s="15">
        <v>-4996.2937000000002</v>
      </c>
      <c r="G201" s="15">
        <v>-6780.0530900000003</v>
      </c>
      <c r="H201" s="15">
        <v>-8474.1310300000005</v>
      </c>
      <c r="I201" s="15">
        <v>-8475.6508099999992</v>
      </c>
      <c r="J201" s="15"/>
      <c r="K201" s="15"/>
      <c r="L201" s="15"/>
      <c r="M201" s="15"/>
      <c r="N201" s="15"/>
      <c r="O201" s="15"/>
    </row>
    <row r="202" spans="2:15" ht="16" customHeight="1" x14ac:dyDescent="0.35">
      <c r="B202" s="14" t="s">
        <v>979</v>
      </c>
      <c r="C202" s="14" t="s">
        <v>980</v>
      </c>
      <c r="D202" s="15">
        <v>316.63529</v>
      </c>
      <c r="E202" s="15">
        <v>629.12689</v>
      </c>
      <c r="F202" s="15">
        <v>939.86626000000001</v>
      </c>
      <c r="G202" s="15">
        <v>1270.13705</v>
      </c>
      <c r="H202" s="15">
        <v>1584.829</v>
      </c>
      <c r="I202" s="15">
        <v>1585.2084500000001</v>
      </c>
      <c r="J202" s="15"/>
      <c r="K202" s="15"/>
      <c r="L202" s="15"/>
      <c r="M202" s="15"/>
      <c r="N202" s="15"/>
      <c r="O202" s="15"/>
    </row>
    <row r="203" spans="2:15" ht="16" customHeight="1" x14ac:dyDescent="0.35">
      <c r="B203" s="10"/>
      <c r="C203" s="11" t="s">
        <v>22</v>
      </c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</row>
    <row r="204" spans="2:15" ht="16" customHeight="1" x14ac:dyDescent="0.35">
      <c r="B204" s="38"/>
      <c r="C204" s="34" t="s">
        <v>981</v>
      </c>
      <c r="D204" s="35">
        <f t="shared" ref="D204:O204" si="42">D206+D210</f>
        <v>-41.923000000000002</v>
      </c>
      <c r="E204" s="35">
        <f t="shared" si="42"/>
        <v>-117.44499999999999</v>
      </c>
      <c r="F204" s="35">
        <f t="shared" si="42"/>
        <v>-88.846999999999994</v>
      </c>
      <c r="G204" s="35">
        <f t="shared" si="42"/>
        <v>-47.923000000000002</v>
      </c>
      <c r="H204" s="35">
        <f t="shared" si="42"/>
        <v>-32.11</v>
      </c>
      <c r="I204" s="35">
        <f t="shared" si="42"/>
        <v>-21850.492999999999</v>
      </c>
      <c r="J204" s="35">
        <f t="shared" si="42"/>
        <v>0</v>
      </c>
      <c r="K204" s="35">
        <f t="shared" si="42"/>
        <v>0</v>
      </c>
      <c r="L204" s="35">
        <f t="shared" si="42"/>
        <v>0</v>
      </c>
      <c r="M204" s="35">
        <f t="shared" si="42"/>
        <v>0</v>
      </c>
      <c r="N204" s="35">
        <f t="shared" si="42"/>
        <v>0</v>
      </c>
      <c r="O204" s="35">
        <f t="shared" si="42"/>
        <v>0</v>
      </c>
    </row>
    <row r="205" spans="2:15" ht="16" customHeight="1" x14ac:dyDescent="0.35">
      <c r="B205" s="10"/>
      <c r="C205" s="11" t="s">
        <v>22</v>
      </c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</row>
    <row r="206" spans="2:15" ht="16" customHeight="1" x14ac:dyDescent="0.35">
      <c r="B206" s="38"/>
      <c r="C206" s="34" t="s">
        <v>982</v>
      </c>
      <c r="D206" s="35">
        <f t="shared" ref="D206:O206" si="43">D207+D208</f>
        <v>0</v>
      </c>
      <c r="E206" s="35">
        <f t="shared" si="43"/>
        <v>0</v>
      </c>
      <c r="F206" s="35">
        <f t="shared" si="43"/>
        <v>0</v>
      </c>
      <c r="G206" s="35">
        <f t="shared" si="43"/>
        <v>0</v>
      </c>
      <c r="H206" s="35">
        <f t="shared" si="43"/>
        <v>0</v>
      </c>
      <c r="I206" s="35">
        <f t="shared" si="43"/>
        <v>0</v>
      </c>
      <c r="J206" s="35">
        <f t="shared" si="43"/>
        <v>0</v>
      </c>
      <c r="K206" s="35">
        <f t="shared" si="43"/>
        <v>0</v>
      </c>
      <c r="L206" s="35">
        <f t="shared" si="43"/>
        <v>0</v>
      </c>
      <c r="M206" s="35">
        <f t="shared" si="43"/>
        <v>0</v>
      </c>
      <c r="N206" s="35">
        <f t="shared" si="43"/>
        <v>0</v>
      </c>
      <c r="O206" s="35">
        <f t="shared" si="43"/>
        <v>0</v>
      </c>
    </row>
    <row r="207" spans="2:15" ht="16" customHeight="1" x14ac:dyDescent="0.35">
      <c r="B207" s="14" t="s">
        <v>983</v>
      </c>
      <c r="C207" s="14" t="s">
        <v>984</v>
      </c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</row>
    <row r="208" spans="2:15" ht="16" customHeight="1" x14ac:dyDescent="0.35">
      <c r="B208" s="14" t="s">
        <v>985</v>
      </c>
      <c r="C208" s="14" t="s">
        <v>986</v>
      </c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</row>
    <row r="209" spans="2:15" ht="16" customHeight="1" x14ac:dyDescent="0.35">
      <c r="B209" s="10"/>
      <c r="C209" s="11" t="s">
        <v>22</v>
      </c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</row>
    <row r="210" spans="2:15" ht="16" customHeight="1" x14ac:dyDescent="0.35">
      <c r="B210" s="38"/>
      <c r="C210" s="34" t="s">
        <v>987</v>
      </c>
      <c r="D210" s="35">
        <f t="shared" ref="D210:O210" si="44">-(-(D211+D212)-D213)</f>
        <v>-41.923000000000002</v>
      </c>
      <c r="E210" s="35">
        <f t="shared" si="44"/>
        <v>-117.44499999999999</v>
      </c>
      <c r="F210" s="35">
        <f t="shared" si="44"/>
        <v>-88.846999999999994</v>
      </c>
      <c r="G210" s="35">
        <f t="shared" si="44"/>
        <v>-47.923000000000002</v>
      </c>
      <c r="H210" s="35">
        <f t="shared" si="44"/>
        <v>-32.11</v>
      </c>
      <c r="I210" s="35">
        <f t="shared" si="44"/>
        <v>-21850.492999999999</v>
      </c>
      <c r="J210" s="35">
        <f t="shared" si="44"/>
        <v>0</v>
      </c>
      <c r="K210" s="35">
        <f t="shared" si="44"/>
        <v>0</v>
      </c>
      <c r="L210" s="35">
        <f t="shared" si="44"/>
        <v>0</v>
      </c>
      <c r="M210" s="35">
        <f t="shared" si="44"/>
        <v>0</v>
      </c>
      <c r="N210" s="35">
        <f t="shared" si="44"/>
        <v>0</v>
      </c>
      <c r="O210" s="35">
        <f t="shared" si="44"/>
        <v>0</v>
      </c>
    </row>
    <row r="211" spans="2:15" ht="16" customHeight="1" x14ac:dyDescent="0.35">
      <c r="B211" s="14" t="s">
        <v>988</v>
      </c>
      <c r="C211" s="14" t="s">
        <v>989</v>
      </c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</row>
    <row r="212" spans="2:15" ht="16" customHeight="1" x14ac:dyDescent="0.35">
      <c r="B212" s="14" t="s">
        <v>990</v>
      </c>
      <c r="C212" s="14" t="s">
        <v>991</v>
      </c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</row>
    <row r="213" spans="2:15" ht="16" customHeight="1" x14ac:dyDescent="0.35">
      <c r="B213" s="14" t="s">
        <v>992</v>
      </c>
      <c r="C213" s="14" t="s">
        <v>993</v>
      </c>
      <c r="D213" s="15">
        <v>-41.923000000000002</v>
      </c>
      <c r="E213" s="15">
        <v>-117.44499999999999</v>
      </c>
      <c r="F213" s="15">
        <v>-88.846999999999994</v>
      </c>
      <c r="G213" s="15">
        <v>-47.923000000000002</v>
      </c>
      <c r="H213" s="15">
        <v>-32.11</v>
      </c>
      <c r="I213" s="15">
        <v>-21850.492999999999</v>
      </c>
      <c r="J213" s="15"/>
      <c r="K213" s="15"/>
      <c r="L213" s="15"/>
      <c r="M213" s="15"/>
      <c r="N213" s="15"/>
      <c r="O213" s="15"/>
    </row>
    <row r="214" spans="2:15" ht="16" customHeight="1" x14ac:dyDescent="0.35">
      <c r="B214" s="10"/>
      <c r="C214" s="11" t="s">
        <v>22</v>
      </c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</row>
    <row r="215" spans="2:15" ht="16" customHeight="1" x14ac:dyDescent="0.35">
      <c r="B215" s="39"/>
      <c r="C215" s="40" t="s">
        <v>994</v>
      </c>
      <c r="D215" s="24">
        <f t="shared" ref="D215:O215" si="45">D167+D172+D176+D178+D180+D182+D186+D193</f>
        <v>11910.89625</v>
      </c>
      <c r="E215" s="24">
        <f t="shared" si="45"/>
        <v>27187.875609999999</v>
      </c>
      <c r="F215" s="24">
        <f t="shared" si="45"/>
        <v>41527.56439</v>
      </c>
      <c r="G215" s="24">
        <f t="shared" si="45"/>
        <v>52849.717280000004</v>
      </c>
      <c r="H215" s="24">
        <f t="shared" si="45"/>
        <v>69236.507869999987</v>
      </c>
      <c r="I215" s="24">
        <f t="shared" si="45"/>
        <v>54929.25275</v>
      </c>
      <c r="J215" s="24">
        <f t="shared" si="45"/>
        <v>0</v>
      </c>
      <c r="K215" s="24">
        <f t="shared" si="45"/>
        <v>0</v>
      </c>
      <c r="L215" s="24">
        <f t="shared" si="45"/>
        <v>0</v>
      </c>
      <c r="M215" s="24">
        <f t="shared" si="45"/>
        <v>0</v>
      </c>
      <c r="N215" s="24">
        <f t="shared" si="45"/>
        <v>0</v>
      </c>
      <c r="O215" s="24">
        <f t="shared" si="45"/>
        <v>0</v>
      </c>
    </row>
    <row r="216" spans="2:15" ht="16" customHeight="1" x14ac:dyDescent="0.35">
      <c r="B216" s="10"/>
      <c r="C216" s="11" t="s">
        <v>22</v>
      </c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</row>
    <row r="217" spans="2:15" ht="16" customHeight="1" x14ac:dyDescent="0.35">
      <c r="B217" s="40" t="s">
        <v>995</v>
      </c>
      <c r="C217" s="40" t="s">
        <v>996</v>
      </c>
      <c r="D217" s="24">
        <f t="shared" ref="D217:O217" si="46">D104+D163+D215</f>
        <v>-1945.9732599999606</v>
      </c>
      <c r="E217" s="24">
        <f t="shared" si="46"/>
        <v>-1945.9671700000072</v>
      </c>
      <c r="F217" s="24">
        <f t="shared" si="46"/>
        <v>-1945.9671600000729</v>
      </c>
      <c r="G217" s="24">
        <f t="shared" si="46"/>
        <v>-1955.4870900000751</v>
      </c>
      <c r="H217" s="24">
        <f t="shared" si="46"/>
        <v>873.71947000005457</v>
      </c>
      <c r="I217" s="24">
        <f t="shared" si="46"/>
        <v>35008.726859999893</v>
      </c>
      <c r="J217" s="24">
        <f t="shared" si="46"/>
        <v>0</v>
      </c>
      <c r="K217" s="24">
        <f t="shared" si="46"/>
        <v>0</v>
      </c>
      <c r="L217" s="24">
        <f t="shared" si="46"/>
        <v>0</v>
      </c>
      <c r="M217" s="24">
        <f t="shared" si="46"/>
        <v>0</v>
      </c>
      <c r="N217" s="24">
        <f t="shared" si="46"/>
        <v>0</v>
      </c>
      <c r="O217" s="24">
        <f t="shared" si="46"/>
        <v>0</v>
      </c>
    </row>
    <row r="218" spans="2:15" ht="16" customHeight="1" x14ac:dyDescent="0.35">
      <c r="B218" s="10"/>
      <c r="C218" s="11" t="s">
        <v>22</v>
      </c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</row>
    <row r="219" spans="2:15" ht="16" customHeight="1" x14ac:dyDescent="0.35">
      <c r="B219" s="14" t="s">
        <v>997</v>
      </c>
      <c r="C219" s="14" t="s">
        <v>998</v>
      </c>
      <c r="D219" s="15">
        <v>1955.4903200000001</v>
      </c>
      <c r="E219" s="15">
        <v>1955.4903200000001</v>
      </c>
      <c r="F219" s="15">
        <v>1955.4903200000001</v>
      </c>
      <c r="G219" s="15">
        <v>1955.4903200000001</v>
      </c>
      <c r="H219" s="15">
        <v>1955.4903200000001</v>
      </c>
      <c r="I219" s="15">
        <v>1955.4903200000001</v>
      </c>
      <c r="J219" s="15"/>
      <c r="K219" s="15"/>
      <c r="L219" s="15"/>
      <c r="M219" s="15"/>
      <c r="N219" s="15"/>
      <c r="O219" s="15"/>
    </row>
    <row r="220" spans="2:15" ht="16" customHeight="1" x14ac:dyDescent="0.35">
      <c r="B220" s="14" t="s">
        <v>999</v>
      </c>
      <c r="C220" s="14" t="s">
        <v>996</v>
      </c>
      <c r="D220" s="15">
        <f t="shared" ref="D220:O220" si="47">D222-D221-D219</f>
        <v>-1945.9718</v>
      </c>
      <c r="E220" s="15">
        <f t="shared" si="47"/>
        <v>-1945.9718</v>
      </c>
      <c r="F220" s="15">
        <f t="shared" si="47"/>
        <v>-1945.9718</v>
      </c>
      <c r="G220" s="15">
        <f t="shared" si="47"/>
        <v>-1955.4903200000001</v>
      </c>
      <c r="H220" s="15">
        <f t="shared" si="47"/>
        <v>873.71523999999977</v>
      </c>
      <c r="I220" s="15">
        <f t="shared" si="47"/>
        <v>39940.697749999999</v>
      </c>
      <c r="J220" s="15">
        <f t="shared" si="47"/>
        <v>0</v>
      </c>
      <c r="K220" s="15">
        <f t="shared" si="47"/>
        <v>0</v>
      </c>
      <c r="L220" s="15">
        <f t="shared" si="47"/>
        <v>0</v>
      </c>
      <c r="M220" s="15">
        <f t="shared" si="47"/>
        <v>0</v>
      </c>
      <c r="N220" s="15">
        <f t="shared" si="47"/>
        <v>0</v>
      </c>
      <c r="O220" s="15">
        <f t="shared" si="47"/>
        <v>0</v>
      </c>
    </row>
    <row r="221" spans="2:15" ht="16" customHeight="1" x14ac:dyDescent="0.35">
      <c r="B221" s="14" t="s">
        <v>1000</v>
      </c>
      <c r="C221" s="14" t="s">
        <v>1001</v>
      </c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</row>
    <row r="222" spans="2:15" ht="16" customHeight="1" x14ac:dyDescent="0.35">
      <c r="B222" s="14" t="s">
        <v>1002</v>
      </c>
      <c r="C222" s="14" t="s">
        <v>1003</v>
      </c>
      <c r="D222" s="15">
        <v>9.5185200000000005</v>
      </c>
      <c r="E222" s="15">
        <v>9.5185200000000005</v>
      </c>
      <c r="F222" s="15">
        <v>9.5185200000000005</v>
      </c>
      <c r="G222" s="15">
        <v>0</v>
      </c>
      <c r="H222" s="15">
        <v>2829.2055599999999</v>
      </c>
      <c r="I222" s="15">
        <v>41896.188069999997</v>
      </c>
      <c r="J222" s="15"/>
      <c r="K222" s="15"/>
      <c r="L222" s="15"/>
      <c r="M222" s="15"/>
      <c r="N222" s="15"/>
      <c r="O222" s="15"/>
    </row>
    <row r="223" spans="2:15" ht="16" customHeight="1" x14ac:dyDescent="0.35">
      <c r="B223" s="10"/>
      <c r="C223" s="11" t="s">
        <v>22</v>
      </c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</row>
    <row r="224" spans="2:15" ht="16" customHeight="1" x14ac:dyDescent="0.35">
      <c r="B224" s="10"/>
      <c r="C224" s="11" t="s">
        <v>22</v>
      </c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</row>
    <row r="225" spans="2:15" ht="16" customHeight="1" x14ac:dyDescent="0.35">
      <c r="B225" s="41"/>
      <c r="C225" s="36" t="s">
        <v>751</v>
      </c>
      <c r="D225" s="37">
        <f t="shared" ref="D225:O225" si="48">D217-D220</f>
        <v>-1.4599999606161873E-3</v>
      </c>
      <c r="E225" s="37">
        <f t="shared" si="48"/>
        <v>4.6299999928578472E-3</v>
      </c>
      <c r="F225" s="37">
        <f t="shared" si="48"/>
        <v>4.6399999271216075E-3</v>
      </c>
      <c r="G225" s="37">
        <f t="shared" si="48"/>
        <v>3.2299999249971734E-3</v>
      </c>
      <c r="H225" s="37">
        <f t="shared" si="48"/>
        <v>4.2300000548038952E-3</v>
      </c>
      <c r="I225" s="37">
        <f t="shared" si="48"/>
        <v>-4931.970890000106</v>
      </c>
      <c r="J225" s="37">
        <f t="shared" si="48"/>
        <v>0</v>
      </c>
      <c r="K225" s="37">
        <f t="shared" si="48"/>
        <v>0</v>
      </c>
      <c r="L225" s="37">
        <f t="shared" si="48"/>
        <v>0</v>
      </c>
      <c r="M225" s="37">
        <f t="shared" si="48"/>
        <v>0</v>
      </c>
      <c r="N225" s="37">
        <f t="shared" si="48"/>
        <v>0</v>
      </c>
      <c r="O225" s="37">
        <f t="shared" si="48"/>
        <v>0</v>
      </c>
    </row>
    <row r="226" spans="2:15" ht="16" customHeight="1" x14ac:dyDescent="0.35">
      <c r="B226" s="10"/>
      <c r="C226" s="11" t="s">
        <v>22</v>
      </c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</row>
    <row r="227" spans="2:15" ht="16" customHeight="1" x14ac:dyDescent="0.35">
      <c r="B227" s="10"/>
      <c r="C227" s="11" t="s">
        <v>22</v>
      </c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</row>
    <row r="228" spans="2:15" ht="16" customHeight="1" x14ac:dyDescent="0.35">
      <c r="B228" s="38"/>
      <c r="C228" s="34" t="s">
        <v>1004</v>
      </c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</row>
    <row r="229" spans="2:15" ht="16" customHeight="1" x14ac:dyDescent="0.35">
      <c r="B229" s="10"/>
      <c r="C229" s="11" t="s">
        <v>22</v>
      </c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</row>
    <row r="230" spans="2:15" ht="16" customHeight="1" x14ac:dyDescent="0.35">
      <c r="B230" s="42"/>
      <c r="C230" s="14" t="s">
        <v>890</v>
      </c>
      <c r="D230" s="15">
        <f t="shared" ref="D230:O230" si="49">D128</f>
        <v>-38574.208780000001</v>
      </c>
      <c r="E230" s="15">
        <f t="shared" si="49"/>
        <v>-75759.672789999997</v>
      </c>
      <c r="F230" s="15">
        <f t="shared" si="49"/>
        <v>-126077.80381000001</v>
      </c>
      <c r="G230" s="15">
        <f t="shared" si="49"/>
        <v>-166026.41460000002</v>
      </c>
      <c r="H230" s="15">
        <f t="shared" si="49"/>
        <v>-206424.55327</v>
      </c>
      <c r="I230" s="15">
        <f t="shared" si="49"/>
        <v>-167631.79430000001</v>
      </c>
      <c r="J230" s="15">
        <f t="shared" si="49"/>
        <v>0</v>
      </c>
      <c r="K230" s="15">
        <f t="shared" si="49"/>
        <v>0</v>
      </c>
      <c r="L230" s="15">
        <f t="shared" si="49"/>
        <v>0</v>
      </c>
      <c r="M230" s="15">
        <f t="shared" si="49"/>
        <v>0</v>
      </c>
      <c r="N230" s="15">
        <f t="shared" si="49"/>
        <v>0</v>
      </c>
      <c r="O230" s="15">
        <f t="shared" si="49"/>
        <v>0</v>
      </c>
    </row>
    <row r="231" spans="2:15" ht="16" customHeight="1" x14ac:dyDescent="0.35">
      <c r="B231" s="42"/>
      <c r="C231" s="14" t="s">
        <v>892</v>
      </c>
      <c r="D231" s="15">
        <f t="shared" ref="D231:O231" si="50">D130</f>
        <v>0</v>
      </c>
      <c r="E231" s="15">
        <f t="shared" si="50"/>
        <v>60</v>
      </c>
      <c r="F231" s="15">
        <f t="shared" si="50"/>
        <v>1893.3</v>
      </c>
      <c r="G231" s="15">
        <f t="shared" si="50"/>
        <v>2158.8922699999998</v>
      </c>
      <c r="H231" s="15">
        <f t="shared" si="50"/>
        <v>2158.8922699999998</v>
      </c>
      <c r="I231" s="15">
        <f t="shared" si="50"/>
        <v>2158.8922699999998</v>
      </c>
      <c r="J231" s="15">
        <f t="shared" si="50"/>
        <v>0</v>
      </c>
      <c r="K231" s="15">
        <f t="shared" si="50"/>
        <v>0</v>
      </c>
      <c r="L231" s="15">
        <f t="shared" si="50"/>
        <v>0</v>
      </c>
      <c r="M231" s="15">
        <f t="shared" si="50"/>
        <v>0</v>
      </c>
      <c r="N231" s="15">
        <f t="shared" si="50"/>
        <v>0</v>
      </c>
      <c r="O231" s="15">
        <f t="shared" si="50"/>
        <v>0</v>
      </c>
    </row>
    <row r="232" spans="2:15" ht="16" customHeight="1" x14ac:dyDescent="0.35">
      <c r="B232" s="38"/>
      <c r="C232" s="34" t="s">
        <v>1005</v>
      </c>
      <c r="D232" s="35">
        <f t="shared" ref="D232:O232" si="51">D104+D230+D231</f>
        <v>-297419.35713999998</v>
      </c>
      <c r="E232" s="35">
        <f t="shared" si="51"/>
        <v>-354486.58059999999</v>
      </c>
      <c r="F232" s="35">
        <f t="shared" si="51"/>
        <v>-389701.71885000006</v>
      </c>
      <c r="G232" s="35">
        <f t="shared" si="51"/>
        <v>-384669.16013999999</v>
      </c>
      <c r="H232" s="35">
        <f t="shared" si="51"/>
        <v>-313734.79587999993</v>
      </c>
      <c r="I232" s="35">
        <f t="shared" si="51"/>
        <v>-257096.30189000009</v>
      </c>
      <c r="J232" s="35">
        <f t="shared" si="51"/>
        <v>0</v>
      </c>
      <c r="K232" s="35">
        <f t="shared" si="51"/>
        <v>0</v>
      </c>
      <c r="L232" s="35">
        <f t="shared" si="51"/>
        <v>0</v>
      </c>
      <c r="M232" s="35">
        <f t="shared" si="51"/>
        <v>0</v>
      </c>
      <c r="N232" s="35">
        <f t="shared" si="51"/>
        <v>0</v>
      </c>
      <c r="O232" s="35">
        <f t="shared" si="51"/>
        <v>0</v>
      </c>
    </row>
    <row r="233" spans="2:15" ht="16" customHeight="1" x14ac:dyDescent="0.35">
      <c r="B233" s="42"/>
      <c r="C233" s="14" t="s">
        <v>976</v>
      </c>
      <c r="D233" s="15">
        <f t="shared" ref="D233:O233" si="52">D200</f>
        <v>-1401.41066</v>
      </c>
      <c r="E233" s="15">
        <f t="shared" si="52"/>
        <v>-2567.5944500000001</v>
      </c>
      <c r="F233" s="15">
        <f t="shared" si="52"/>
        <v>-4056.4274400000004</v>
      </c>
      <c r="G233" s="15">
        <f t="shared" si="52"/>
        <v>-5509.9160400000001</v>
      </c>
      <c r="H233" s="15">
        <f t="shared" si="52"/>
        <v>-6889.3020300000007</v>
      </c>
      <c r="I233" s="15">
        <f t="shared" si="52"/>
        <v>-6890.4423599999991</v>
      </c>
      <c r="J233" s="15">
        <f t="shared" si="52"/>
        <v>0</v>
      </c>
      <c r="K233" s="15">
        <f t="shared" si="52"/>
        <v>0</v>
      </c>
      <c r="L233" s="15">
        <f t="shared" si="52"/>
        <v>0</v>
      </c>
      <c r="M233" s="15">
        <f t="shared" si="52"/>
        <v>0</v>
      </c>
      <c r="N233" s="15">
        <f t="shared" si="52"/>
        <v>0</v>
      </c>
      <c r="O233" s="15">
        <f t="shared" si="52"/>
        <v>0</v>
      </c>
    </row>
    <row r="234" spans="2:15" ht="16" customHeight="1" x14ac:dyDescent="0.35">
      <c r="B234" s="38"/>
      <c r="C234" s="34" t="s">
        <v>1006</v>
      </c>
      <c r="D234" s="35">
        <f t="shared" ref="D234:O234" si="53">D232+D233</f>
        <v>-298820.76779999997</v>
      </c>
      <c r="E234" s="35">
        <f t="shared" si="53"/>
        <v>-357054.17504999996</v>
      </c>
      <c r="F234" s="35">
        <f t="shared" si="53"/>
        <v>-393758.14629000006</v>
      </c>
      <c r="G234" s="35">
        <f t="shared" si="53"/>
        <v>-390179.07617999997</v>
      </c>
      <c r="H234" s="35">
        <f t="shared" si="53"/>
        <v>-320624.09790999995</v>
      </c>
      <c r="I234" s="35">
        <f t="shared" si="53"/>
        <v>-263986.74425000011</v>
      </c>
      <c r="J234" s="35">
        <f t="shared" si="53"/>
        <v>0</v>
      </c>
      <c r="K234" s="35">
        <f t="shared" si="53"/>
        <v>0</v>
      </c>
      <c r="L234" s="35">
        <f t="shared" si="53"/>
        <v>0</v>
      </c>
      <c r="M234" s="35">
        <f t="shared" si="53"/>
        <v>0</v>
      </c>
      <c r="N234" s="35">
        <f t="shared" si="53"/>
        <v>0</v>
      </c>
      <c r="O234" s="35">
        <f t="shared" si="53"/>
        <v>0</v>
      </c>
    </row>
    <row r="235" spans="2:15" ht="16" customHeight="1" x14ac:dyDescent="0.35">
      <c r="B235" s="42"/>
      <c r="C235" s="14" t="s">
        <v>813</v>
      </c>
      <c r="D235" s="15">
        <f t="shared" ref="D235:O235" si="54">D63</f>
        <v>0</v>
      </c>
      <c r="E235" s="15">
        <f t="shared" si="54"/>
        <v>-44911.874159999999</v>
      </c>
      <c r="F235" s="15">
        <f t="shared" si="54"/>
        <v>-44948.564960000003</v>
      </c>
      <c r="G235" s="15">
        <f t="shared" si="54"/>
        <v>-45327.306960000002</v>
      </c>
      <c r="H235" s="15">
        <f t="shared" si="54"/>
        <v>-45327.306960000002</v>
      </c>
      <c r="I235" s="15">
        <f t="shared" si="54"/>
        <v>-45327.306960000002</v>
      </c>
      <c r="J235" s="15">
        <f t="shared" si="54"/>
        <v>0</v>
      </c>
      <c r="K235" s="15">
        <f t="shared" si="54"/>
        <v>0</v>
      </c>
      <c r="L235" s="15">
        <f t="shared" si="54"/>
        <v>0</v>
      </c>
      <c r="M235" s="15">
        <f t="shared" si="54"/>
        <v>0</v>
      </c>
      <c r="N235" s="15">
        <f t="shared" si="54"/>
        <v>0</v>
      </c>
      <c r="O235" s="15">
        <f t="shared" si="54"/>
        <v>0</v>
      </c>
    </row>
    <row r="236" spans="2:15" ht="16" customHeight="1" x14ac:dyDescent="0.35">
      <c r="B236" s="38"/>
      <c r="C236" s="34" t="s">
        <v>1007</v>
      </c>
      <c r="D236" s="35">
        <f t="shared" ref="D236:O236" si="55">D234-D235</f>
        <v>-298820.76779999997</v>
      </c>
      <c r="E236" s="35">
        <f t="shared" si="55"/>
        <v>-312142.30088999995</v>
      </c>
      <c r="F236" s="35">
        <f t="shared" si="55"/>
        <v>-348809.58133000007</v>
      </c>
      <c r="G236" s="35">
        <f t="shared" si="55"/>
        <v>-344851.76921999996</v>
      </c>
      <c r="H236" s="35">
        <f t="shared" si="55"/>
        <v>-275296.79094999994</v>
      </c>
      <c r="I236" s="35">
        <f t="shared" si="55"/>
        <v>-218659.43729000009</v>
      </c>
      <c r="J236" s="35">
        <f t="shared" si="55"/>
        <v>0</v>
      </c>
      <c r="K236" s="35">
        <f t="shared" si="55"/>
        <v>0</v>
      </c>
      <c r="L236" s="35">
        <f t="shared" si="55"/>
        <v>0</v>
      </c>
      <c r="M236" s="35">
        <f t="shared" si="55"/>
        <v>0</v>
      </c>
      <c r="N236" s="35">
        <f t="shared" si="55"/>
        <v>0</v>
      </c>
      <c r="O236" s="35">
        <f t="shared" si="55"/>
        <v>0</v>
      </c>
    </row>
    <row r="237" spans="2:15" ht="16" customHeight="1" x14ac:dyDescent="0.35">
      <c r="B237" s="10"/>
      <c r="C237" s="11" t="s">
        <v>22</v>
      </c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</row>
    <row r="238" spans="2:15" ht="16" customHeight="1" x14ac:dyDescent="0.35">
      <c r="B238" s="43"/>
      <c r="C238" s="44" t="s">
        <v>1008</v>
      </c>
      <c r="D238" s="45">
        <v>-12.59022336</v>
      </c>
      <c r="E238" s="45">
        <v>-6.2584324020000004</v>
      </c>
      <c r="F238" s="45">
        <v>-2.919762274</v>
      </c>
      <c r="G238" s="45">
        <v>-1.4816466770000001</v>
      </c>
      <c r="H238" s="45">
        <v>-0.764491209</v>
      </c>
      <c r="I238" s="45">
        <v>-0.52918139799999997</v>
      </c>
      <c r="J238" s="45"/>
      <c r="K238" s="45"/>
      <c r="L238" s="45"/>
      <c r="M238" s="45"/>
      <c r="N238" s="45"/>
      <c r="O238" s="45"/>
    </row>
    <row r="239" spans="2:15" ht="16" customHeight="1" x14ac:dyDescent="0.35">
      <c r="B239" s="43"/>
      <c r="C239" s="44" t="s">
        <v>1009</v>
      </c>
      <c r="D239" s="45">
        <v>-23.674354653999998</v>
      </c>
      <c r="E239" s="45">
        <v>24.131938297000001</v>
      </c>
      <c r="F239" s="45">
        <v>-14.119970042</v>
      </c>
      <c r="G239" s="45">
        <v>-3.8714049510000001</v>
      </c>
      <c r="H239" s="45">
        <v>-1.601005674</v>
      </c>
      <c r="I239" s="45">
        <v>-1.066742165</v>
      </c>
      <c r="J239" s="45"/>
      <c r="K239" s="45"/>
      <c r="L239" s="45"/>
      <c r="M239" s="45"/>
      <c r="N239" s="45"/>
      <c r="O239" s="45"/>
    </row>
    <row r="240" spans="2:15" ht="16" customHeight="1" x14ac:dyDescent="0.35">
      <c r="B240" s="43"/>
      <c r="C240" s="44" t="s">
        <v>1010</v>
      </c>
      <c r="D240" s="45">
        <v>-1.6809400720000001</v>
      </c>
      <c r="E240" s="45">
        <v>-0.91540949100000002</v>
      </c>
      <c r="F240" s="45">
        <v>-0.59476138300000003</v>
      </c>
      <c r="G240" s="45">
        <v>-0.39344709300000003</v>
      </c>
      <c r="H240" s="45">
        <v>-0.244677272</v>
      </c>
      <c r="I240" s="45">
        <v>-0.181046822</v>
      </c>
      <c r="J240" s="45"/>
      <c r="K240" s="45"/>
      <c r="L240" s="45"/>
      <c r="M240" s="45"/>
      <c r="N240" s="45"/>
      <c r="O240" s="45"/>
    </row>
    <row r="241" spans="2:15" ht="16" customHeight="1" x14ac:dyDescent="0.35">
      <c r="B241" s="10"/>
      <c r="C241" s="11" t="s">
        <v>22</v>
      </c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</row>
  </sheetData>
  <mergeCells count="1">
    <mergeCell ref="B8:C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F94D9-CC56-4B0A-895A-A8486F652F88}">
  <dimension ref="A3:Q241"/>
  <sheetViews>
    <sheetView showGridLines="0" workbookViewId="0">
      <pane ySplit="10" topLeftCell="A11" activePane="bottomLeft" state="frozen"/>
      <selection pane="bottomLeft" sqref="A1:A1048576"/>
    </sheetView>
  </sheetViews>
  <sheetFormatPr defaultColWidth="9.1796875" defaultRowHeight="16" customHeight="1" x14ac:dyDescent="0.35"/>
  <cols>
    <col min="1" max="1" width="3.1796875" style="1" customWidth="1"/>
    <col min="2" max="2" width="10.7265625" style="1" customWidth="1"/>
    <col min="3" max="3" width="55.7265625" style="1" customWidth="1"/>
    <col min="4" max="26" width="15.7265625" style="1" customWidth="1"/>
    <col min="27" max="16384" width="9.1796875" style="1"/>
  </cols>
  <sheetData>
    <row r="3" spans="1:17" ht="16" customHeight="1" x14ac:dyDescent="0.35">
      <c r="B3" s="2" t="s">
        <v>1011</v>
      </c>
    </row>
    <row r="4" spans="1:17" ht="16" customHeight="1" x14ac:dyDescent="0.35">
      <c r="B4" s="4" t="s">
        <v>270</v>
      </c>
    </row>
    <row r="5" spans="1:17" ht="16" customHeight="1" x14ac:dyDescent="0.35">
      <c r="B5" s="4" t="s">
        <v>271</v>
      </c>
    </row>
    <row r="6" spans="1:17" ht="16" customHeight="1" x14ac:dyDescent="0.35">
      <c r="A6" s="20" t="s">
        <v>1012</v>
      </c>
      <c r="B6" s="1" t="str">
        <f>REPLACE(A6,16,15,"QTD")</f>
        <v>Period length: QTD</v>
      </c>
    </row>
    <row r="7" spans="1:17" ht="16" customHeight="1" x14ac:dyDescent="0.35">
      <c r="A7" s="20"/>
      <c r="B7" s="1" t="s">
        <v>272</v>
      </c>
    </row>
    <row r="8" spans="1:17" ht="16" customHeight="1" x14ac:dyDescent="0.35">
      <c r="A8" s="20"/>
      <c r="B8" s="6">
        <v>46189.339227800927</v>
      </c>
      <c r="C8" s="6"/>
    </row>
    <row r="10" spans="1:17" ht="16" customHeight="1" thickBot="1" x14ac:dyDescent="0.5">
      <c r="B10" s="7"/>
      <c r="C10" s="7"/>
      <c r="D10" s="8" t="s">
        <v>3</v>
      </c>
      <c r="E10" s="8" t="s">
        <v>6</v>
      </c>
      <c r="F10" s="8" t="s">
        <v>9</v>
      </c>
      <c r="G10" s="8" t="s">
        <v>12</v>
      </c>
      <c r="H10" s="21" t="s">
        <v>268</v>
      </c>
      <c r="I10" s="9"/>
      <c r="J10" s="9"/>
      <c r="K10" s="9"/>
      <c r="L10" s="9"/>
      <c r="M10" s="9"/>
      <c r="N10" s="9"/>
      <c r="O10" s="9"/>
      <c r="P10" s="13"/>
      <c r="Q10" s="9"/>
    </row>
    <row r="11" spans="1:17" ht="16" customHeight="1" x14ac:dyDescent="0.45">
      <c r="B11" s="10"/>
      <c r="C11" s="11"/>
      <c r="D11" s="12"/>
      <c r="E11" s="12"/>
      <c r="F11" s="12"/>
      <c r="G11" s="12"/>
      <c r="H11" s="22"/>
      <c r="I11" s="13"/>
      <c r="J11" s="13"/>
      <c r="K11" s="13"/>
      <c r="L11" s="13"/>
      <c r="M11" s="13"/>
      <c r="N11" s="13"/>
      <c r="O11" s="13"/>
      <c r="P11" s="13"/>
      <c r="Q11" s="13"/>
    </row>
    <row r="12" spans="1:17" ht="16" customHeight="1" x14ac:dyDescent="0.35">
      <c r="B12" s="38"/>
      <c r="C12" s="34" t="s">
        <v>754</v>
      </c>
      <c r="D12" s="35"/>
      <c r="E12" s="35"/>
      <c r="F12" s="35"/>
      <c r="G12" s="35"/>
      <c r="H12" s="46"/>
    </row>
    <row r="13" spans="1:17" ht="16" customHeight="1" x14ac:dyDescent="0.35">
      <c r="B13" s="10"/>
      <c r="C13" s="11" t="s">
        <v>22</v>
      </c>
      <c r="D13" s="12"/>
      <c r="E13" s="12"/>
      <c r="F13" s="12"/>
      <c r="G13" s="12"/>
      <c r="H13" s="22"/>
    </row>
    <row r="14" spans="1:17" ht="16" customHeight="1" x14ac:dyDescent="0.35">
      <c r="B14" s="14" t="s">
        <v>755</v>
      </c>
      <c r="C14" s="14" t="s">
        <v>138</v>
      </c>
      <c r="D14" s="15">
        <v>33990.972849999998</v>
      </c>
      <c r="E14" s="15">
        <v>234341.89470999999</v>
      </c>
      <c r="F14" s="15">
        <v>-268332.86755999998</v>
      </c>
      <c r="G14" s="15"/>
      <c r="H14" s="23">
        <f>SUM(D14:G14)</f>
        <v>0</v>
      </c>
    </row>
    <row r="15" spans="1:17" ht="16" customHeight="1" x14ac:dyDescent="0.35">
      <c r="B15" s="10"/>
      <c r="C15" s="11" t="s">
        <v>22</v>
      </c>
      <c r="D15" s="12"/>
      <c r="E15" s="12"/>
      <c r="F15" s="12"/>
      <c r="G15" s="12"/>
      <c r="H15" s="22"/>
    </row>
    <row r="16" spans="1:17" ht="16" customHeight="1" x14ac:dyDescent="0.35">
      <c r="B16" s="14" t="s">
        <v>756</v>
      </c>
      <c r="C16" s="14" t="s">
        <v>757</v>
      </c>
      <c r="D16" s="15">
        <v>85474.089240000001</v>
      </c>
      <c r="E16" s="15">
        <v>59396.225010000002</v>
      </c>
      <c r="F16" s="15">
        <v>-144870.31425</v>
      </c>
      <c r="G16" s="15"/>
      <c r="H16" s="23">
        <f>SUM(D16:G16)</f>
        <v>0</v>
      </c>
    </row>
    <row r="17" spans="2:8" ht="16" customHeight="1" x14ac:dyDescent="0.35">
      <c r="B17" s="10"/>
      <c r="C17" s="11" t="s">
        <v>22</v>
      </c>
      <c r="D17" s="12"/>
      <c r="E17" s="12"/>
      <c r="F17" s="12"/>
      <c r="G17" s="12"/>
      <c r="H17" s="22"/>
    </row>
    <row r="18" spans="2:8" ht="16" customHeight="1" x14ac:dyDescent="0.35">
      <c r="B18" s="34" t="s">
        <v>758</v>
      </c>
      <c r="C18" s="34" t="s">
        <v>126</v>
      </c>
      <c r="D18" s="35">
        <f>D14+D16</f>
        <v>119465.06208999999</v>
      </c>
      <c r="E18" s="35">
        <f>E14+E16</f>
        <v>293738.11972000002</v>
      </c>
      <c r="F18" s="35">
        <f>F14+F16</f>
        <v>-413203.18180999998</v>
      </c>
      <c r="G18" s="35">
        <f>G14+G16</f>
        <v>0</v>
      </c>
      <c r="H18" s="46">
        <f>H14+H16</f>
        <v>0</v>
      </c>
    </row>
    <row r="19" spans="2:8" ht="16" customHeight="1" x14ac:dyDescent="0.35">
      <c r="B19" s="10"/>
      <c r="C19" s="11" t="s">
        <v>22</v>
      </c>
      <c r="D19" s="12"/>
      <c r="E19" s="12"/>
      <c r="F19" s="12"/>
      <c r="G19" s="12"/>
      <c r="H19" s="22"/>
    </row>
    <row r="20" spans="2:8" ht="16" customHeight="1" x14ac:dyDescent="0.35">
      <c r="B20" s="14" t="s">
        <v>759</v>
      </c>
      <c r="C20" s="14" t="s">
        <v>760</v>
      </c>
      <c r="D20" s="15">
        <v>4111.8356599999997</v>
      </c>
      <c r="E20" s="15">
        <v>3069.9229700000001</v>
      </c>
      <c r="F20" s="15">
        <v>-7181.7586300000003</v>
      </c>
      <c r="G20" s="15"/>
      <c r="H20" s="23">
        <f>SUM(D20:G20)</f>
        <v>0</v>
      </c>
    </row>
    <row r="21" spans="2:8" ht="16" customHeight="1" x14ac:dyDescent="0.35">
      <c r="B21" s="14" t="s">
        <v>761</v>
      </c>
      <c r="C21" s="14" t="s">
        <v>762</v>
      </c>
      <c r="D21" s="15">
        <v>11762.56847</v>
      </c>
      <c r="E21" s="15">
        <v>6318.72775</v>
      </c>
      <c r="F21" s="15">
        <v>-18081.29622</v>
      </c>
      <c r="G21" s="15"/>
      <c r="H21" s="23">
        <f>SUM(D21:G21)</f>
        <v>0</v>
      </c>
    </row>
    <row r="22" spans="2:8" ht="16" customHeight="1" x14ac:dyDescent="0.35">
      <c r="B22" s="10"/>
      <c r="C22" s="11" t="s">
        <v>22</v>
      </c>
      <c r="D22" s="12"/>
      <c r="E22" s="12"/>
      <c r="F22" s="12"/>
      <c r="G22" s="12"/>
      <c r="H22" s="22"/>
    </row>
    <row r="23" spans="2:8" ht="16" customHeight="1" x14ac:dyDescent="0.35">
      <c r="B23" s="38"/>
      <c r="C23" s="34" t="s">
        <v>763</v>
      </c>
      <c r="D23" s="35">
        <f>D24+D25</f>
        <v>0</v>
      </c>
      <c r="E23" s="35">
        <f>E24+E25</f>
        <v>0</v>
      </c>
      <c r="F23" s="35">
        <f>F24+F25</f>
        <v>0</v>
      </c>
      <c r="G23" s="35">
        <f>G24+G25</f>
        <v>0</v>
      </c>
      <c r="H23" s="46">
        <f>H24+H25</f>
        <v>0</v>
      </c>
    </row>
    <row r="24" spans="2:8" ht="16" customHeight="1" x14ac:dyDescent="0.35">
      <c r="B24" s="14" t="s">
        <v>764</v>
      </c>
      <c r="C24" s="14" t="s">
        <v>112</v>
      </c>
      <c r="D24" s="15"/>
      <c r="E24" s="15"/>
      <c r="F24" s="15"/>
      <c r="G24" s="15"/>
      <c r="H24" s="23">
        <f>SUM(D24:G24)</f>
        <v>0</v>
      </c>
    </row>
    <row r="25" spans="2:8" ht="16" customHeight="1" x14ac:dyDescent="0.35">
      <c r="B25" s="14" t="s">
        <v>765</v>
      </c>
      <c r="C25" s="14" t="s">
        <v>110</v>
      </c>
      <c r="D25" s="15"/>
      <c r="E25" s="15"/>
      <c r="F25" s="15"/>
      <c r="G25" s="15"/>
      <c r="H25" s="23">
        <f>SUM(D25:G25)</f>
        <v>0</v>
      </c>
    </row>
    <row r="26" spans="2:8" ht="16" customHeight="1" x14ac:dyDescent="0.35">
      <c r="B26" s="10"/>
      <c r="C26" s="11" t="s">
        <v>22</v>
      </c>
      <c r="D26" s="12"/>
      <c r="E26" s="12"/>
      <c r="F26" s="12"/>
      <c r="G26" s="12"/>
      <c r="H26" s="22"/>
    </row>
    <row r="27" spans="2:8" ht="16" customHeight="1" x14ac:dyDescent="0.35">
      <c r="B27" s="38"/>
      <c r="C27" s="34" t="s">
        <v>766</v>
      </c>
      <c r="D27" s="35">
        <f>D28+D29</f>
        <v>0</v>
      </c>
      <c r="E27" s="35">
        <f>E28+E29</f>
        <v>1322.1887899999999</v>
      </c>
      <c r="F27" s="35">
        <f>F28+F29</f>
        <v>-1322.1887899999999</v>
      </c>
      <c r="G27" s="35">
        <f>G28+G29</f>
        <v>0</v>
      </c>
      <c r="H27" s="46">
        <f>H28+H29</f>
        <v>0</v>
      </c>
    </row>
    <row r="28" spans="2:8" ht="16" customHeight="1" x14ac:dyDescent="0.35">
      <c r="B28" s="14" t="s">
        <v>767</v>
      </c>
      <c r="C28" s="14" t="s">
        <v>768</v>
      </c>
      <c r="D28" s="15"/>
      <c r="E28" s="15"/>
      <c r="F28" s="15"/>
      <c r="G28" s="15"/>
      <c r="H28" s="23">
        <f>SUM(D28:G28)</f>
        <v>0</v>
      </c>
    </row>
    <row r="29" spans="2:8" ht="16" customHeight="1" x14ac:dyDescent="0.35">
      <c r="B29" s="14" t="s">
        <v>769</v>
      </c>
      <c r="C29" s="14" t="s">
        <v>770</v>
      </c>
      <c r="D29" s="15"/>
      <c r="E29" s="15">
        <v>1322.1887899999999</v>
      </c>
      <c r="F29" s="15">
        <v>-1322.1887899999999</v>
      </c>
      <c r="G29" s="15"/>
      <c r="H29" s="23">
        <f>SUM(D29:G29)</f>
        <v>0</v>
      </c>
    </row>
    <row r="30" spans="2:8" ht="16" customHeight="1" x14ac:dyDescent="0.35">
      <c r="B30" s="10"/>
      <c r="C30" s="11" t="s">
        <v>22</v>
      </c>
      <c r="D30" s="12"/>
      <c r="E30" s="12"/>
      <c r="F30" s="12"/>
      <c r="G30" s="12"/>
      <c r="H30" s="22"/>
    </row>
    <row r="31" spans="2:8" ht="16" customHeight="1" x14ac:dyDescent="0.35">
      <c r="B31" s="38"/>
      <c r="C31" s="34" t="s">
        <v>771</v>
      </c>
      <c r="D31" s="35">
        <f>D32+D33+D34+D35+D36+D37+D38</f>
        <v>640.10989000000063</v>
      </c>
      <c r="E31" s="35">
        <f>E32+E33+E34+E35+E36+E37+E38</f>
        <v>1205.3158900000003</v>
      </c>
      <c r="F31" s="35">
        <f>F32+F33+F34+F35+F36+F37+F38</f>
        <v>-1845.4257800000005</v>
      </c>
      <c r="G31" s="35">
        <f>G32+G33+G34+G35+G36+G37+G38</f>
        <v>0</v>
      </c>
      <c r="H31" s="46">
        <f>H32+H33+H34+H35+H36+H37+H38</f>
        <v>0</v>
      </c>
    </row>
    <row r="32" spans="2:8" ht="16" customHeight="1" x14ac:dyDescent="0.35">
      <c r="B32" s="14" t="s">
        <v>772</v>
      </c>
      <c r="C32" s="14" t="s">
        <v>88</v>
      </c>
      <c r="D32" s="15">
        <v>-1893.3</v>
      </c>
      <c r="E32" s="15">
        <v>-265.59226999999998</v>
      </c>
      <c r="F32" s="15">
        <v>2158.8922699999998</v>
      </c>
      <c r="G32" s="15"/>
      <c r="H32" s="23">
        <f t="shared" ref="H32:H38" si="0">SUM(D32:G32)</f>
        <v>0</v>
      </c>
    </row>
    <row r="33" spans="2:8" ht="16" customHeight="1" x14ac:dyDescent="0.35">
      <c r="B33" s="14" t="s">
        <v>773</v>
      </c>
      <c r="C33" s="14" t="s">
        <v>774</v>
      </c>
      <c r="D33" s="15">
        <v>-39.624450000000003</v>
      </c>
      <c r="E33" s="15">
        <v>-45.067329999999998</v>
      </c>
      <c r="F33" s="15">
        <v>84.691779999999994</v>
      </c>
      <c r="G33" s="15"/>
      <c r="H33" s="23">
        <f t="shared" si="0"/>
        <v>0</v>
      </c>
    </row>
    <row r="34" spans="2:8" ht="16" customHeight="1" x14ac:dyDescent="0.35">
      <c r="B34" s="14" t="s">
        <v>775</v>
      </c>
      <c r="C34" s="14" t="s">
        <v>776</v>
      </c>
      <c r="D34" s="15">
        <v>-95.825000000000003</v>
      </c>
      <c r="E34" s="15">
        <v>0</v>
      </c>
      <c r="F34" s="15">
        <v>95.825000000000003</v>
      </c>
      <c r="G34" s="15"/>
      <c r="H34" s="23">
        <f t="shared" si="0"/>
        <v>0</v>
      </c>
    </row>
    <row r="35" spans="2:8" ht="16" customHeight="1" x14ac:dyDescent="0.35">
      <c r="B35" s="14" t="s">
        <v>777</v>
      </c>
      <c r="C35" s="14" t="s">
        <v>778</v>
      </c>
      <c r="D35" s="15">
        <v>-3091.0878600000001</v>
      </c>
      <c r="E35" s="15">
        <v>-2042.73172</v>
      </c>
      <c r="F35" s="15">
        <v>5133.8195800000003</v>
      </c>
      <c r="G35" s="15"/>
      <c r="H35" s="23">
        <f t="shared" si="0"/>
        <v>0</v>
      </c>
    </row>
    <row r="36" spans="2:8" ht="16" customHeight="1" x14ac:dyDescent="0.35">
      <c r="B36" s="14" t="s">
        <v>779</v>
      </c>
      <c r="C36" s="14" t="s">
        <v>780</v>
      </c>
      <c r="D36" s="15">
        <v>-15.82118</v>
      </c>
      <c r="E36" s="15">
        <v>-72.765900000000002</v>
      </c>
      <c r="F36" s="15">
        <v>88.58708</v>
      </c>
      <c r="G36" s="15"/>
      <c r="H36" s="23">
        <f t="shared" si="0"/>
        <v>0</v>
      </c>
    </row>
    <row r="37" spans="2:8" ht="16" customHeight="1" x14ac:dyDescent="0.35">
      <c r="B37" s="14" t="s">
        <v>781</v>
      </c>
      <c r="C37" s="14" t="s">
        <v>782</v>
      </c>
      <c r="D37" s="15">
        <v>5775.7683800000004</v>
      </c>
      <c r="E37" s="15">
        <v>3631.4731099999999</v>
      </c>
      <c r="F37" s="15">
        <v>-9407.2414900000003</v>
      </c>
      <c r="G37" s="15"/>
      <c r="H37" s="23">
        <f t="shared" si="0"/>
        <v>0</v>
      </c>
    </row>
    <row r="38" spans="2:8" ht="16" customHeight="1" x14ac:dyDescent="0.35">
      <c r="B38" s="14" t="s">
        <v>783</v>
      </c>
      <c r="C38" s="14" t="s">
        <v>784</v>
      </c>
      <c r="D38" s="15"/>
      <c r="E38" s="15"/>
      <c r="F38" s="15"/>
      <c r="G38" s="15"/>
      <c r="H38" s="23">
        <f t="shared" si="0"/>
        <v>0</v>
      </c>
    </row>
    <row r="39" spans="2:8" ht="16" customHeight="1" x14ac:dyDescent="0.35">
      <c r="B39" s="10"/>
      <c r="C39" s="11" t="s">
        <v>22</v>
      </c>
      <c r="D39" s="12"/>
      <c r="E39" s="12"/>
      <c r="F39" s="12"/>
      <c r="G39" s="12"/>
      <c r="H39" s="22"/>
    </row>
    <row r="40" spans="2:8" ht="16" customHeight="1" x14ac:dyDescent="0.35">
      <c r="B40" s="38"/>
      <c r="C40" s="34" t="s">
        <v>785</v>
      </c>
      <c r="D40" s="35">
        <f>-(-(D41+D42)-D43)</f>
        <v>0</v>
      </c>
      <c r="E40" s="35">
        <f>-(-(E41+E42)-E43)</f>
        <v>0</v>
      </c>
      <c r="F40" s="35">
        <f>-(-(F41+F42)-F43)</f>
        <v>0</v>
      </c>
      <c r="G40" s="35">
        <f>-(-(G41+G42)-G43)</f>
        <v>0</v>
      </c>
      <c r="H40" s="46">
        <f>-(-(H41+H42)-H43)</f>
        <v>0</v>
      </c>
    </row>
    <row r="41" spans="2:8" ht="16" customHeight="1" x14ac:dyDescent="0.35">
      <c r="B41" s="14" t="s">
        <v>786</v>
      </c>
      <c r="C41" s="14" t="s">
        <v>787</v>
      </c>
      <c r="D41" s="15"/>
      <c r="E41" s="15"/>
      <c r="F41" s="15"/>
      <c r="G41" s="15"/>
      <c r="H41" s="23">
        <f>SUM(D41:G41)</f>
        <v>0</v>
      </c>
    </row>
    <row r="42" spans="2:8" ht="16" customHeight="1" x14ac:dyDescent="0.35">
      <c r="B42" s="14" t="s">
        <v>788</v>
      </c>
      <c r="C42" s="14" t="s">
        <v>789</v>
      </c>
      <c r="D42" s="15"/>
      <c r="E42" s="15"/>
      <c r="F42" s="15"/>
      <c r="G42" s="15"/>
      <c r="H42" s="23">
        <f>SUM(D42:G42)</f>
        <v>0</v>
      </c>
    </row>
    <row r="43" spans="2:8" ht="16" customHeight="1" x14ac:dyDescent="0.35">
      <c r="B43" s="14" t="s">
        <v>790</v>
      </c>
      <c r="C43" s="14" t="s">
        <v>791</v>
      </c>
      <c r="D43" s="15"/>
      <c r="E43" s="15"/>
      <c r="F43" s="15"/>
      <c r="G43" s="15"/>
      <c r="H43" s="23">
        <f>SUM(D43:G43)</f>
        <v>0</v>
      </c>
    </row>
    <row r="44" spans="2:8" ht="16" customHeight="1" x14ac:dyDescent="0.35">
      <c r="B44" s="10"/>
      <c r="C44" s="11" t="s">
        <v>22</v>
      </c>
      <c r="D44" s="12"/>
      <c r="E44" s="12"/>
      <c r="F44" s="12"/>
      <c r="G44" s="12"/>
      <c r="H44" s="22"/>
    </row>
    <row r="45" spans="2:8" ht="16" customHeight="1" x14ac:dyDescent="0.35">
      <c r="B45" s="38"/>
      <c r="C45" s="34" t="s">
        <v>792</v>
      </c>
      <c r="D45" s="35">
        <f>D47+D51</f>
        <v>-1453.17788</v>
      </c>
      <c r="E45" s="35">
        <f>E47+E51</f>
        <v>-8831.5250400000004</v>
      </c>
      <c r="F45" s="35">
        <f>F47+F51</f>
        <v>10284.70292</v>
      </c>
      <c r="G45" s="35">
        <f>G47+G51</f>
        <v>0</v>
      </c>
      <c r="H45" s="46">
        <f>H47+H51</f>
        <v>0</v>
      </c>
    </row>
    <row r="46" spans="2:8" ht="16" customHeight="1" x14ac:dyDescent="0.35">
      <c r="B46" s="10"/>
      <c r="C46" s="11" t="s">
        <v>22</v>
      </c>
      <c r="D46" s="12"/>
      <c r="E46" s="12"/>
      <c r="F46" s="12"/>
      <c r="G46" s="12"/>
      <c r="H46" s="22"/>
    </row>
    <row r="47" spans="2:8" ht="16" customHeight="1" x14ac:dyDescent="0.35">
      <c r="B47" s="38"/>
      <c r="C47" s="34" t="s">
        <v>793</v>
      </c>
      <c r="D47" s="35">
        <f>D48+D49</f>
        <v>0</v>
      </c>
      <c r="E47" s="35">
        <f>E48+E49</f>
        <v>0</v>
      </c>
      <c r="F47" s="35">
        <f>F48+F49</f>
        <v>0</v>
      </c>
      <c r="G47" s="35">
        <f>G48+G49</f>
        <v>0</v>
      </c>
      <c r="H47" s="46">
        <f>H48+H49</f>
        <v>0</v>
      </c>
    </row>
    <row r="48" spans="2:8" ht="16" customHeight="1" x14ac:dyDescent="0.35">
      <c r="B48" s="14" t="s">
        <v>794</v>
      </c>
      <c r="C48" s="14" t="s">
        <v>795</v>
      </c>
      <c r="D48" s="15"/>
      <c r="E48" s="15"/>
      <c r="F48" s="15"/>
      <c r="G48" s="15"/>
      <c r="H48" s="23">
        <f>SUM(D48:G48)</f>
        <v>0</v>
      </c>
    </row>
    <row r="49" spans="2:8" ht="16" customHeight="1" x14ac:dyDescent="0.35">
      <c r="B49" s="14" t="s">
        <v>796</v>
      </c>
      <c r="C49" s="14" t="s">
        <v>797</v>
      </c>
      <c r="D49" s="15"/>
      <c r="E49" s="15"/>
      <c r="F49" s="15"/>
      <c r="G49" s="15"/>
      <c r="H49" s="23">
        <f>SUM(D49:G49)</f>
        <v>0</v>
      </c>
    </row>
    <row r="50" spans="2:8" ht="16" customHeight="1" x14ac:dyDescent="0.35">
      <c r="B50" s="10"/>
      <c r="C50" s="11" t="s">
        <v>22</v>
      </c>
      <c r="D50" s="12"/>
      <c r="E50" s="12"/>
      <c r="F50" s="12"/>
      <c r="G50" s="12"/>
      <c r="H50" s="22"/>
    </row>
    <row r="51" spans="2:8" ht="16" customHeight="1" x14ac:dyDescent="0.35">
      <c r="B51" s="38"/>
      <c r="C51" s="34" t="s">
        <v>798</v>
      </c>
      <c r="D51" s="35">
        <f>-(-(D52+D53)-D54)</f>
        <v>-1453.17788</v>
      </c>
      <c r="E51" s="35">
        <f>-(-(E52+E53)-E54)</f>
        <v>-8831.5250400000004</v>
      </c>
      <c r="F51" s="35">
        <f>-(-(F52+F53)-F54)</f>
        <v>10284.70292</v>
      </c>
      <c r="G51" s="35">
        <f>-(-(G52+G53)-G54)</f>
        <v>0</v>
      </c>
      <c r="H51" s="46">
        <f>-(-(H52+H53)-H54)</f>
        <v>0</v>
      </c>
    </row>
    <row r="52" spans="2:8" ht="16" customHeight="1" x14ac:dyDescent="0.35">
      <c r="B52" s="14" t="s">
        <v>799</v>
      </c>
      <c r="C52" s="14" t="s">
        <v>800</v>
      </c>
      <c r="D52" s="15"/>
      <c r="E52" s="15"/>
      <c r="F52" s="15"/>
      <c r="G52" s="15"/>
      <c r="H52" s="23">
        <f>SUM(D52:G52)</f>
        <v>0</v>
      </c>
    </row>
    <row r="53" spans="2:8" ht="16" customHeight="1" x14ac:dyDescent="0.35">
      <c r="B53" s="14" t="s">
        <v>801</v>
      </c>
      <c r="C53" s="14" t="s">
        <v>802</v>
      </c>
      <c r="D53" s="15">
        <v>-513.31161999999995</v>
      </c>
      <c r="E53" s="15">
        <v>-8186.1828500000001</v>
      </c>
      <c r="F53" s="15">
        <v>8699.4944699999996</v>
      </c>
      <c r="G53" s="15"/>
      <c r="H53" s="23">
        <f>SUM(D53:G53)</f>
        <v>0</v>
      </c>
    </row>
    <row r="54" spans="2:8" ht="16" customHeight="1" x14ac:dyDescent="0.35">
      <c r="B54" s="14" t="s">
        <v>803</v>
      </c>
      <c r="C54" s="14" t="s">
        <v>804</v>
      </c>
      <c r="D54" s="15">
        <v>-939.86626000000001</v>
      </c>
      <c r="E54" s="15">
        <v>-645.34218999999996</v>
      </c>
      <c r="F54" s="15">
        <v>1585.2084500000001</v>
      </c>
      <c r="G54" s="15"/>
      <c r="H54" s="23">
        <f>SUM(D54:G54)</f>
        <v>0</v>
      </c>
    </row>
    <row r="55" spans="2:8" ht="16" customHeight="1" x14ac:dyDescent="0.35">
      <c r="B55" s="10"/>
      <c r="C55" s="11" t="s">
        <v>22</v>
      </c>
      <c r="D55" s="12"/>
      <c r="E55" s="12"/>
      <c r="F55" s="12"/>
      <c r="G55" s="12"/>
      <c r="H55" s="22"/>
    </row>
    <row r="56" spans="2:8" ht="16" customHeight="1" x14ac:dyDescent="0.35">
      <c r="B56" s="38"/>
      <c r="C56" s="34" t="s">
        <v>805</v>
      </c>
      <c r="D56" s="35">
        <f>D57+D58</f>
        <v>-24.495799999999999</v>
      </c>
      <c r="E56" s="35">
        <f>E57+E58</f>
        <v>3.9234900000000001</v>
      </c>
      <c r="F56" s="35">
        <f>F57+F58</f>
        <v>20.572310000000002</v>
      </c>
      <c r="G56" s="35">
        <f>G57+G58</f>
        <v>0</v>
      </c>
      <c r="H56" s="46">
        <f>H57+H58</f>
        <v>0</v>
      </c>
    </row>
    <row r="57" spans="2:8" ht="16" customHeight="1" x14ac:dyDescent="0.35">
      <c r="B57" s="14" t="s">
        <v>806</v>
      </c>
      <c r="C57" s="14" t="s">
        <v>805</v>
      </c>
      <c r="D57" s="15">
        <v>-24.495799999999999</v>
      </c>
      <c r="E57" s="15">
        <v>3.9234900000000001</v>
      </c>
      <c r="F57" s="15">
        <v>20.572310000000002</v>
      </c>
      <c r="G57" s="15"/>
      <c r="H57" s="23">
        <f>SUM(D57:G57)</f>
        <v>0</v>
      </c>
    </row>
    <row r="58" spans="2:8" ht="16" customHeight="1" x14ac:dyDescent="0.35">
      <c r="B58" s="14" t="s">
        <v>807</v>
      </c>
      <c r="C58" s="14" t="s">
        <v>808</v>
      </c>
      <c r="D58" s="15"/>
      <c r="E58" s="15"/>
      <c r="F58" s="15"/>
      <c r="G58" s="15"/>
      <c r="H58" s="23">
        <f>SUM(D58:G58)</f>
        <v>0</v>
      </c>
    </row>
    <row r="59" spans="2:8" ht="16" customHeight="1" x14ac:dyDescent="0.35">
      <c r="B59" s="10"/>
      <c r="C59" s="11" t="s">
        <v>22</v>
      </c>
      <c r="D59" s="12"/>
      <c r="E59" s="12"/>
      <c r="F59" s="12"/>
      <c r="G59" s="12"/>
      <c r="H59" s="22"/>
    </row>
    <row r="60" spans="2:8" ht="16" customHeight="1" x14ac:dyDescent="0.35">
      <c r="B60" s="14" t="s">
        <v>809</v>
      </c>
      <c r="C60" s="14" t="s">
        <v>810</v>
      </c>
      <c r="D60" s="15">
        <v>-70452.078699999998</v>
      </c>
      <c r="E60" s="15">
        <v>-13901.31691</v>
      </c>
      <c r="F60" s="15">
        <v>84353.395610000007</v>
      </c>
      <c r="G60" s="15"/>
      <c r="H60" s="23">
        <f>SUM(D60:G60)</f>
        <v>0</v>
      </c>
    </row>
    <row r="61" spans="2:8" ht="16" customHeight="1" x14ac:dyDescent="0.35">
      <c r="B61" s="10"/>
      <c r="C61" s="11" t="s">
        <v>22</v>
      </c>
      <c r="D61" s="12"/>
      <c r="E61" s="12"/>
      <c r="F61" s="12"/>
      <c r="G61" s="12"/>
      <c r="H61" s="22"/>
    </row>
    <row r="62" spans="2:8" ht="16" customHeight="1" x14ac:dyDescent="0.35">
      <c r="B62" s="38"/>
      <c r="C62" s="34" t="s">
        <v>811</v>
      </c>
      <c r="D62" s="35">
        <f>-(-(D63+D64)-D65)</f>
        <v>-44948.564960000003</v>
      </c>
      <c r="E62" s="35">
        <f>-(-(E63+E64)-E65)</f>
        <v>-378.74200000000002</v>
      </c>
      <c r="F62" s="35">
        <f>-(-(F63+F64)-F65)</f>
        <v>45327.306960000002</v>
      </c>
      <c r="G62" s="35">
        <f>-(-(G63+G64)-G65)</f>
        <v>0</v>
      </c>
      <c r="H62" s="46">
        <f>-(-(H63+H64)-H65)</f>
        <v>0</v>
      </c>
    </row>
    <row r="63" spans="2:8" ht="16" customHeight="1" x14ac:dyDescent="0.35">
      <c r="B63" s="14" t="s">
        <v>812</v>
      </c>
      <c r="C63" s="14" t="s">
        <v>813</v>
      </c>
      <c r="D63" s="15">
        <v>-44948.564960000003</v>
      </c>
      <c r="E63" s="15">
        <v>-378.74200000000002</v>
      </c>
      <c r="F63" s="15">
        <v>45327.306960000002</v>
      </c>
      <c r="G63" s="15"/>
      <c r="H63" s="23">
        <f>SUM(D63:G63)</f>
        <v>0</v>
      </c>
    </row>
    <row r="64" spans="2:8" ht="16" customHeight="1" x14ac:dyDescent="0.35">
      <c r="B64" s="14" t="s">
        <v>814</v>
      </c>
      <c r="C64" s="14" t="s">
        <v>815</v>
      </c>
      <c r="D64" s="15"/>
      <c r="E64" s="15"/>
      <c r="F64" s="15"/>
      <c r="G64" s="15"/>
      <c r="H64" s="23">
        <f>SUM(D64:G64)</f>
        <v>0</v>
      </c>
    </row>
    <row r="65" spans="2:8" ht="16" customHeight="1" x14ac:dyDescent="0.35">
      <c r="B65" s="14" t="s">
        <v>816</v>
      </c>
      <c r="C65" s="14" t="s">
        <v>817</v>
      </c>
      <c r="D65" s="15"/>
      <c r="E65" s="15"/>
      <c r="F65" s="15"/>
      <c r="G65" s="15"/>
      <c r="H65" s="23">
        <f>SUM(D65:G65)</f>
        <v>0</v>
      </c>
    </row>
    <row r="66" spans="2:8" ht="16" customHeight="1" x14ac:dyDescent="0.35">
      <c r="B66" s="10"/>
      <c r="C66" s="11" t="s">
        <v>22</v>
      </c>
      <c r="D66" s="12"/>
      <c r="E66" s="12"/>
      <c r="F66" s="12"/>
      <c r="G66" s="12"/>
      <c r="H66" s="22"/>
    </row>
    <row r="67" spans="2:8" ht="16" customHeight="1" x14ac:dyDescent="0.35">
      <c r="B67" s="34" t="s">
        <v>818</v>
      </c>
      <c r="C67" s="34" t="s">
        <v>819</v>
      </c>
      <c r="D67" s="35">
        <f>D68+D69</f>
        <v>36180.251980000001</v>
      </c>
      <c r="E67" s="35">
        <f>E68+E69</f>
        <v>-7174.4959800000006</v>
      </c>
      <c r="F67" s="35">
        <f>F68+F69</f>
        <v>-29005.756000000001</v>
      </c>
      <c r="G67" s="35">
        <f>G68+G69</f>
        <v>0</v>
      </c>
      <c r="H67" s="46">
        <f>H68+H69</f>
        <v>0</v>
      </c>
    </row>
    <row r="68" spans="2:8" ht="16" customHeight="1" x14ac:dyDescent="0.35">
      <c r="B68" s="14" t="s">
        <v>820</v>
      </c>
      <c r="C68" s="14" t="s">
        <v>821</v>
      </c>
      <c r="D68" s="15">
        <v>35809.287360000002</v>
      </c>
      <c r="E68" s="15">
        <v>-5783.3411100000003</v>
      </c>
      <c r="F68" s="15">
        <v>-30025.946250000001</v>
      </c>
      <c r="G68" s="15"/>
      <c r="H68" s="23">
        <f>SUM(D68:G68)</f>
        <v>0</v>
      </c>
    </row>
    <row r="69" spans="2:8" ht="16" customHeight="1" x14ac:dyDescent="0.35">
      <c r="B69" s="14" t="s">
        <v>822</v>
      </c>
      <c r="C69" s="14" t="s">
        <v>823</v>
      </c>
      <c r="D69" s="15">
        <v>370.96462000000002</v>
      </c>
      <c r="E69" s="15">
        <v>-1391.1548700000001</v>
      </c>
      <c r="F69" s="15">
        <v>1020.19025</v>
      </c>
      <c r="G69" s="15"/>
      <c r="H69" s="23">
        <f>SUM(D69:G69)</f>
        <v>0</v>
      </c>
    </row>
    <row r="70" spans="2:8" ht="16" customHeight="1" x14ac:dyDescent="0.35">
      <c r="B70" s="10"/>
      <c r="C70" s="11" t="s">
        <v>22</v>
      </c>
      <c r="D70" s="12"/>
      <c r="E70" s="12"/>
      <c r="F70" s="12"/>
      <c r="G70" s="12"/>
      <c r="H70" s="22"/>
    </row>
    <row r="71" spans="2:8" ht="16" customHeight="1" x14ac:dyDescent="0.35">
      <c r="B71" s="38"/>
      <c r="C71" s="34" t="s">
        <v>824</v>
      </c>
      <c r="D71" s="35">
        <f>-(-(D72+D73)-D74)</f>
        <v>-66010.442480000012</v>
      </c>
      <c r="E71" s="35">
        <f>-(-(E72+E73)-E74)</f>
        <v>-120833.98358</v>
      </c>
      <c r="F71" s="35">
        <f>-(-(F72+F73)-F74)</f>
        <v>186844.42606</v>
      </c>
      <c r="G71" s="35">
        <f>-(-(G72+G73)-G74)</f>
        <v>0</v>
      </c>
      <c r="H71" s="46">
        <f>-(-(H72+H73)-H74)</f>
        <v>0</v>
      </c>
    </row>
    <row r="72" spans="2:8" ht="16" customHeight="1" x14ac:dyDescent="0.35">
      <c r="B72" s="14" t="s">
        <v>825</v>
      </c>
      <c r="C72" s="14" t="s">
        <v>826</v>
      </c>
      <c r="D72" s="15">
        <v>-4911.1895800000002</v>
      </c>
      <c r="E72" s="15">
        <v>-13801.91829</v>
      </c>
      <c r="F72" s="15">
        <v>18713.10787</v>
      </c>
      <c r="G72" s="15"/>
      <c r="H72" s="23">
        <f>SUM(D72:G72)</f>
        <v>0</v>
      </c>
    </row>
    <row r="73" spans="2:8" ht="16" customHeight="1" x14ac:dyDescent="0.35">
      <c r="B73" s="14" t="s">
        <v>827</v>
      </c>
      <c r="C73" s="14" t="s">
        <v>828</v>
      </c>
      <c r="D73" s="15">
        <v>-61393.673490000001</v>
      </c>
      <c r="E73" s="15">
        <v>-107084.09233</v>
      </c>
      <c r="F73" s="15">
        <v>168477.76582</v>
      </c>
      <c r="G73" s="15"/>
      <c r="H73" s="23">
        <f>SUM(D73:G73)</f>
        <v>0</v>
      </c>
    </row>
    <row r="74" spans="2:8" ht="16" customHeight="1" x14ac:dyDescent="0.35">
      <c r="B74" s="14" t="s">
        <v>829</v>
      </c>
      <c r="C74" s="14" t="s">
        <v>830</v>
      </c>
      <c r="D74" s="15">
        <v>294.42059</v>
      </c>
      <c r="E74" s="15">
        <v>52.02704</v>
      </c>
      <c r="F74" s="15">
        <v>-346.44763</v>
      </c>
      <c r="G74" s="15"/>
      <c r="H74" s="23">
        <f>SUM(D74:G74)</f>
        <v>0</v>
      </c>
    </row>
    <row r="75" spans="2:8" ht="16" customHeight="1" x14ac:dyDescent="0.35">
      <c r="B75" s="10"/>
      <c r="C75" s="11" t="s">
        <v>22</v>
      </c>
      <c r="D75" s="12"/>
      <c r="E75" s="12"/>
      <c r="F75" s="12"/>
      <c r="G75" s="12"/>
      <c r="H75" s="22"/>
    </row>
    <row r="76" spans="2:8" ht="16" customHeight="1" x14ac:dyDescent="0.35">
      <c r="B76" s="38"/>
      <c r="C76" s="34" t="s">
        <v>831</v>
      </c>
      <c r="D76" s="35">
        <f>D77+D78</f>
        <v>-130931.85197999999</v>
      </c>
      <c r="E76" s="35">
        <f>E77+E78</f>
        <v>6434.13454</v>
      </c>
      <c r="F76" s="35">
        <f>F77+F78</f>
        <v>124497.71743999999</v>
      </c>
      <c r="G76" s="35">
        <f>G77+G78</f>
        <v>0</v>
      </c>
      <c r="H76" s="46">
        <f>H77+H78</f>
        <v>0</v>
      </c>
    </row>
    <row r="77" spans="2:8" ht="16" customHeight="1" x14ac:dyDescent="0.35">
      <c r="B77" s="14" t="s">
        <v>832</v>
      </c>
      <c r="C77" s="14" t="s">
        <v>833</v>
      </c>
      <c r="D77" s="15">
        <v>3519.83266</v>
      </c>
      <c r="E77" s="15">
        <v>7651.93815</v>
      </c>
      <c r="F77" s="15">
        <v>-11171.77081</v>
      </c>
      <c r="G77" s="15"/>
      <c r="H77" s="23">
        <f>SUM(D77:G77)</f>
        <v>0</v>
      </c>
    </row>
    <row r="78" spans="2:8" ht="16" customHeight="1" x14ac:dyDescent="0.35">
      <c r="B78" s="14" t="s">
        <v>834</v>
      </c>
      <c r="C78" s="14" t="s">
        <v>835</v>
      </c>
      <c r="D78" s="15">
        <v>-134451.68463999999</v>
      </c>
      <c r="E78" s="15">
        <v>-1217.8036099999999</v>
      </c>
      <c r="F78" s="15">
        <v>135669.48824999999</v>
      </c>
      <c r="G78" s="15"/>
      <c r="H78" s="23">
        <f>SUM(D78:G78)</f>
        <v>0</v>
      </c>
    </row>
    <row r="79" spans="2:8" ht="16" customHeight="1" x14ac:dyDescent="0.35">
      <c r="B79" s="10"/>
      <c r="C79" s="11" t="s">
        <v>22</v>
      </c>
      <c r="D79" s="12"/>
      <c r="E79" s="12"/>
      <c r="F79" s="12"/>
      <c r="G79" s="12"/>
      <c r="H79" s="22"/>
    </row>
    <row r="80" spans="2:8" ht="16" customHeight="1" x14ac:dyDescent="0.35">
      <c r="B80" s="38"/>
      <c r="C80" s="34" t="s">
        <v>836</v>
      </c>
      <c r="D80" s="35">
        <f>-(-(D67+D71)-D76)</f>
        <v>-160762.04248</v>
      </c>
      <c r="E80" s="35">
        <f>-(-(E67+E71)-E76)</f>
        <v>-121574.34502000001</v>
      </c>
      <c r="F80" s="35">
        <f>-(-(F67+F71)-F76)</f>
        <v>282336.38750000001</v>
      </c>
      <c r="G80" s="35">
        <f>-(-(G67+G71)-G76)</f>
        <v>0</v>
      </c>
      <c r="H80" s="46">
        <f>-(-(H67+H71)-H76)</f>
        <v>0</v>
      </c>
    </row>
    <row r="81" spans="2:8" ht="16" customHeight="1" x14ac:dyDescent="0.35">
      <c r="B81" s="10"/>
      <c r="C81" s="11" t="s">
        <v>22</v>
      </c>
      <c r="D81" s="12"/>
      <c r="E81" s="12"/>
      <c r="F81" s="12"/>
      <c r="G81" s="12"/>
      <c r="H81" s="22"/>
    </row>
    <row r="82" spans="2:8" ht="16" customHeight="1" x14ac:dyDescent="0.35">
      <c r="B82" s="38"/>
      <c r="C82" s="34" t="s">
        <v>837</v>
      </c>
      <c r="D82" s="35">
        <f>-(-(D84+D86)-D91-D96-D98)</f>
        <v>-112105.32244</v>
      </c>
      <c r="E82" s="35">
        <f>-(-(E84+E86)-E91-E96-E98)</f>
        <v>20656.14545</v>
      </c>
      <c r="F82" s="35">
        <f>-(-(F84+F86)-F91-F96-F98)</f>
        <v>91449.176990000007</v>
      </c>
      <c r="G82" s="35">
        <f>-(-(G84+G86)-G91-G96-G98)</f>
        <v>0</v>
      </c>
      <c r="H82" s="46">
        <f>-(-(H84+H86)-H91-H96-H98)</f>
        <v>0</v>
      </c>
    </row>
    <row r="83" spans="2:8" ht="16" customHeight="1" x14ac:dyDescent="0.35">
      <c r="B83" s="10"/>
      <c r="C83" s="11" t="s">
        <v>22</v>
      </c>
      <c r="D83" s="12"/>
      <c r="E83" s="12"/>
      <c r="F83" s="12"/>
      <c r="G83" s="12"/>
      <c r="H83" s="22"/>
    </row>
    <row r="84" spans="2:8" ht="16" customHeight="1" x14ac:dyDescent="0.35">
      <c r="B84" s="14" t="s">
        <v>838</v>
      </c>
      <c r="C84" s="14" t="s">
        <v>839</v>
      </c>
      <c r="D84" s="15">
        <v>-1456.0911699999999</v>
      </c>
      <c r="E84" s="15">
        <v>-174.88142999999999</v>
      </c>
      <c r="F84" s="15">
        <v>1630.9726000000001</v>
      </c>
      <c r="G84" s="15"/>
      <c r="H84" s="23">
        <f>SUM(D84:G84)</f>
        <v>0</v>
      </c>
    </row>
    <row r="85" spans="2:8" ht="16" customHeight="1" x14ac:dyDescent="0.35">
      <c r="B85" s="10"/>
      <c r="C85" s="11" t="s">
        <v>22</v>
      </c>
      <c r="D85" s="12"/>
      <c r="E85" s="12"/>
      <c r="F85" s="12"/>
      <c r="G85" s="12"/>
      <c r="H85" s="22"/>
    </row>
    <row r="86" spans="2:8" ht="16" customHeight="1" x14ac:dyDescent="0.35">
      <c r="B86" s="38"/>
      <c r="C86" s="34" t="s">
        <v>840</v>
      </c>
      <c r="D86" s="35">
        <f>-(-(D87+D88)-D89)</f>
        <v>-50001.153019999998</v>
      </c>
      <c r="E86" s="35">
        <f>-(-(E87+E88)-E89)</f>
        <v>28090.274890000001</v>
      </c>
      <c r="F86" s="35">
        <f>-(-(F87+F88)-F89)</f>
        <v>21910.878130000001</v>
      </c>
      <c r="G86" s="35">
        <f>-(-(G87+G88)-G89)</f>
        <v>0</v>
      </c>
      <c r="H86" s="46">
        <f>-(-(H87+H88)-H89)</f>
        <v>0</v>
      </c>
    </row>
    <row r="87" spans="2:8" ht="16" customHeight="1" x14ac:dyDescent="0.35">
      <c r="B87" s="14" t="s">
        <v>841</v>
      </c>
      <c r="C87" s="14" t="s">
        <v>842</v>
      </c>
      <c r="D87" s="15">
        <v>2658.7284100000002</v>
      </c>
      <c r="E87" s="15">
        <v>6199.8275199999998</v>
      </c>
      <c r="F87" s="15">
        <v>-8858.5559300000004</v>
      </c>
      <c r="G87" s="15"/>
      <c r="H87" s="23">
        <f>SUM(D87:G87)</f>
        <v>0</v>
      </c>
    </row>
    <row r="88" spans="2:8" ht="16" customHeight="1" x14ac:dyDescent="0.35">
      <c r="B88" s="14" t="s">
        <v>843</v>
      </c>
      <c r="C88" s="14" t="s">
        <v>844</v>
      </c>
      <c r="D88" s="15">
        <v>-27309.296999999999</v>
      </c>
      <c r="E88" s="15">
        <v>4878.26782</v>
      </c>
      <c r="F88" s="15">
        <v>22431.029180000001</v>
      </c>
      <c r="G88" s="15"/>
      <c r="H88" s="23">
        <f>SUM(D88:G88)</f>
        <v>0</v>
      </c>
    </row>
    <row r="89" spans="2:8" ht="16" customHeight="1" x14ac:dyDescent="0.35">
      <c r="B89" s="14" t="s">
        <v>845</v>
      </c>
      <c r="C89" s="14" t="s">
        <v>846</v>
      </c>
      <c r="D89" s="15">
        <v>-25350.584429999999</v>
      </c>
      <c r="E89" s="15">
        <v>17012.179550000001</v>
      </c>
      <c r="F89" s="15">
        <v>8338.40488</v>
      </c>
      <c r="G89" s="15"/>
      <c r="H89" s="23">
        <f>SUM(D89:G89)</f>
        <v>0</v>
      </c>
    </row>
    <row r="90" spans="2:8" ht="16" customHeight="1" x14ac:dyDescent="0.35">
      <c r="B90" s="10"/>
      <c r="C90" s="11" t="s">
        <v>22</v>
      </c>
      <c r="D90" s="12"/>
      <c r="E90" s="12"/>
      <c r="F90" s="12"/>
      <c r="G90" s="12"/>
      <c r="H90" s="22"/>
    </row>
    <row r="91" spans="2:8" ht="16" customHeight="1" x14ac:dyDescent="0.35">
      <c r="B91" s="38"/>
      <c r="C91" s="34" t="s">
        <v>847</v>
      </c>
      <c r="D91" s="35">
        <f>-(-(D92+D93)-D94)</f>
        <v>-37972.432870000004</v>
      </c>
      <c r="E91" s="35">
        <f>-(-(E92+E93)-E94)</f>
        <v>3424.6751899999999</v>
      </c>
      <c r="F91" s="35">
        <f>-(-(F92+F93)-F94)</f>
        <v>34547.757680000002</v>
      </c>
      <c r="G91" s="35">
        <f>-(-(G92+G93)-G94)</f>
        <v>0</v>
      </c>
      <c r="H91" s="46">
        <f>-(-(H92+H93)-H94)</f>
        <v>0</v>
      </c>
    </row>
    <row r="92" spans="2:8" ht="16" customHeight="1" x14ac:dyDescent="0.35">
      <c r="B92" s="14" t="s">
        <v>848</v>
      </c>
      <c r="C92" s="14" t="s">
        <v>849</v>
      </c>
      <c r="D92" s="15">
        <v>-8886.1343300000008</v>
      </c>
      <c r="E92" s="15">
        <v>-1187.4801500000001</v>
      </c>
      <c r="F92" s="15">
        <v>10073.61448</v>
      </c>
      <c r="G92" s="15"/>
      <c r="H92" s="23">
        <f>SUM(D92:G92)</f>
        <v>0</v>
      </c>
    </row>
    <row r="93" spans="2:8" ht="16" customHeight="1" x14ac:dyDescent="0.35">
      <c r="B93" s="14" t="s">
        <v>850</v>
      </c>
      <c r="C93" s="14" t="s">
        <v>636</v>
      </c>
      <c r="D93" s="15">
        <v>-29.242000000000001</v>
      </c>
      <c r="E93" s="15">
        <v>48.125999999999998</v>
      </c>
      <c r="F93" s="15">
        <v>-18.884</v>
      </c>
      <c r="G93" s="15"/>
      <c r="H93" s="23">
        <f>SUM(D93:G93)</f>
        <v>0</v>
      </c>
    </row>
    <row r="94" spans="2:8" ht="16" customHeight="1" x14ac:dyDescent="0.35">
      <c r="B94" s="14" t="s">
        <v>851</v>
      </c>
      <c r="C94" s="14" t="s">
        <v>852</v>
      </c>
      <c r="D94" s="15">
        <v>-29057.056540000001</v>
      </c>
      <c r="E94" s="15">
        <v>4564.02934</v>
      </c>
      <c r="F94" s="15">
        <v>24493.0272</v>
      </c>
      <c r="G94" s="15"/>
      <c r="H94" s="23">
        <f>SUM(D94:G94)</f>
        <v>0</v>
      </c>
    </row>
    <row r="95" spans="2:8" ht="16" customHeight="1" x14ac:dyDescent="0.35">
      <c r="B95" s="10"/>
      <c r="C95" s="11" t="s">
        <v>22</v>
      </c>
      <c r="D95" s="12"/>
      <c r="E95" s="12"/>
      <c r="F95" s="12"/>
      <c r="G95" s="12"/>
      <c r="H95" s="22"/>
    </row>
    <row r="96" spans="2:8" ht="16" customHeight="1" x14ac:dyDescent="0.35">
      <c r="B96" s="14" t="s">
        <v>853</v>
      </c>
      <c r="C96" s="14" t="s">
        <v>854</v>
      </c>
      <c r="D96" s="15">
        <v>-1165.3976</v>
      </c>
      <c r="E96" s="15">
        <v>-1088.8824300000001</v>
      </c>
      <c r="F96" s="15">
        <v>2254.2800299999999</v>
      </c>
      <c r="G96" s="15"/>
      <c r="H96" s="23">
        <f>SUM(D96:G96)</f>
        <v>0</v>
      </c>
    </row>
    <row r="97" spans="2:8" ht="16" customHeight="1" x14ac:dyDescent="0.35">
      <c r="B97" s="10"/>
      <c r="C97" s="11" t="s">
        <v>22</v>
      </c>
      <c r="D97" s="12"/>
      <c r="E97" s="12"/>
      <c r="F97" s="12"/>
      <c r="G97" s="12"/>
      <c r="H97" s="22"/>
    </row>
    <row r="98" spans="2:8" ht="16" customHeight="1" x14ac:dyDescent="0.35">
      <c r="B98" s="14" t="s">
        <v>855</v>
      </c>
      <c r="C98" s="14" t="s">
        <v>856</v>
      </c>
      <c r="D98" s="15">
        <v>-21510.247780000002</v>
      </c>
      <c r="E98" s="15">
        <v>-9595.0407699999996</v>
      </c>
      <c r="F98" s="15">
        <v>31105.288550000001</v>
      </c>
      <c r="G98" s="15"/>
      <c r="H98" s="23">
        <f>SUM(D98:G98)</f>
        <v>0</v>
      </c>
    </row>
    <row r="99" spans="2:8" ht="16" customHeight="1" x14ac:dyDescent="0.35">
      <c r="B99" s="10"/>
      <c r="C99" s="11" t="s">
        <v>22</v>
      </c>
      <c r="D99" s="12"/>
      <c r="E99" s="12"/>
      <c r="F99" s="12"/>
      <c r="G99" s="12"/>
      <c r="H99" s="22"/>
    </row>
    <row r="100" spans="2:8" ht="16" customHeight="1" x14ac:dyDescent="0.35">
      <c r="B100" s="38"/>
      <c r="C100" s="34" t="s">
        <v>857</v>
      </c>
      <c r="D100" s="35">
        <f>D80+D82</f>
        <v>-272867.36492000002</v>
      </c>
      <c r="E100" s="35">
        <f>E80+E82</f>
        <v>-100918.19957000001</v>
      </c>
      <c r="F100" s="35">
        <f>F80+F82</f>
        <v>373785.56449000002</v>
      </c>
      <c r="G100" s="35">
        <f>G80+G82</f>
        <v>0</v>
      </c>
      <c r="H100" s="46">
        <f>H80+H82</f>
        <v>0</v>
      </c>
    </row>
    <row r="101" spans="2:8" ht="16" customHeight="1" x14ac:dyDescent="0.35">
      <c r="B101" s="10"/>
      <c r="C101" s="11" t="s">
        <v>22</v>
      </c>
      <c r="D101" s="12"/>
      <c r="E101" s="12"/>
      <c r="F101" s="12"/>
      <c r="G101" s="12"/>
      <c r="H101" s="22"/>
    </row>
    <row r="102" spans="2:8" ht="16" customHeight="1" x14ac:dyDescent="0.35">
      <c r="B102" s="14" t="s">
        <v>858</v>
      </c>
      <c r="C102" s="14" t="s">
        <v>859</v>
      </c>
      <c r="D102" s="15">
        <v>-11751.10889</v>
      </c>
      <c r="E102" s="15">
        <v>-7734.5999099999999</v>
      </c>
      <c r="F102" s="15">
        <v>19485.7088</v>
      </c>
      <c r="G102" s="15"/>
      <c r="H102" s="23">
        <f>SUM(D102:G102)</f>
        <v>0</v>
      </c>
    </row>
    <row r="103" spans="2:8" ht="16" customHeight="1" x14ac:dyDescent="0.35">
      <c r="B103" s="10"/>
      <c r="C103" s="11" t="s">
        <v>22</v>
      </c>
      <c r="D103" s="12"/>
      <c r="E103" s="12"/>
      <c r="F103" s="12"/>
      <c r="G103" s="12"/>
      <c r="H103" s="22"/>
    </row>
    <row r="104" spans="2:8" ht="16" customHeight="1" x14ac:dyDescent="0.35">
      <c r="B104" s="39"/>
      <c r="C104" s="40" t="s">
        <v>860</v>
      </c>
      <c r="D104" s="24">
        <f>D18+D20+D21+D23+D27+D31+D40+D45+D56+D60+D62+D100+D102</f>
        <v>-265517.21504000004</v>
      </c>
      <c r="E104" s="24">
        <f>E18+E20+E21+E23+E27+E31+E40+E45+E56+E60+E62+E100+E102</f>
        <v>173893.81518000009</v>
      </c>
      <c r="F104" s="24">
        <f>F18+F20+F21+F23+F27+F31+F40+F45+F56+F60+F62+F100+F102</f>
        <v>91623.399860000092</v>
      </c>
      <c r="G104" s="24">
        <f>G18+G20+G21+G23+G27+G31+G40+G45+G56+G60+G62+G100+G102</f>
        <v>0</v>
      </c>
      <c r="H104" s="24">
        <f>H18+H20+H21+H23+H27+H31+H40+H45+H56+H60+H62+H100+H102</f>
        <v>0</v>
      </c>
    </row>
    <row r="105" spans="2:8" ht="16" customHeight="1" x14ac:dyDescent="0.35">
      <c r="B105" s="10"/>
      <c r="C105" s="11" t="s">
        <v>22</v>
      </c>
      <c r="D105" s="12"/>
      <c r="E105" s="12"/>
      <c r="F105" s="12"/>
      <c r="G105" s="12"/>
      <c r="H105" s="22"/>
    </row>
    <row r="106" spans="2:8" ht="16" customHeight="1" x14ac:dyDescent="0.35">
      <c r="B106" s="38"/>
      <c r="C106" s="34" t="s">
        <v>861</v>
      </c>
      <c r="D106" s="35"/>
      <c r="E106" s="35"/>
      <c r="F106" s="35"/>
      <c r="G106" s="35"/>
      <c r="H106" s="46"/>
    </row>
    <row r="107" spans="2:8" ht="16" customHeight="1" x14ac:dyDescent="0.35">
      <c r="B107" s="10"/>
      <c r="C107" s="11" t="s">
        <v>22</v>
      </c>
      <c r="D107" s="12"/>
      <c r="E107" s="12"/>
      <c r="F107" s="12"/>
      <c r="G107" s="12"/>
      <c r="H107" s="22"/>
    </row>
    <row r="108" spans="2:8" ht="16" customHeight="1" x14ac:dyDescent="0.35">
      <c r="B108" s="38"/>
      <c r="C108" s="34" t="s">
        <v>862</v>
      </c>
      <c r="D108" s="35">
        <f>-(-(D109+D110)-D111-D112-D113-D114)</f>
        <v>-104918.12937000001</v>
      </c>
      <c r="E108" s="35">
        <f>-(-(E109+E110)-E111-E112-E113-E114)</f>
        <v>-30355.85872</v>
      </c>
      <c r="F108" s="35">
        <f>-(-(F109+F110)-F111-F112-F113-F114)</f>
        <v>135273.98809</v>
      </c>
      <c r="G108" s="35">
        <f>-(-(G109+G110)-G111-G112-G113-G114)</f>
        <v>0</v>
      </c>
      <c r="H108" s="46">
        <f>-(-(H109+H110)-H111-H112-H113-H114)</f>
        <v>0</v>
      </c>
    </row>
    <row r="109" spans="2:8" ht="16" customHeight="1" x14ac:dyDescent="0.35">
      <c r="B109" s="14" t="s">
        <v>863</v>
      </c>
      <c r="C109" s="14" t="s">
        <v>864</v>
      </c>
      <c r="D109" s="15">
        <v>-78943.970790000007</v>
      </c>
      <c r="E109" s="15">
        <v>-15170.326789999999</v>
      </c>
      <c r="F109" s="15">
        <v>94114.297579999999</v>
      </c>
      <c r="G109" s="15"/>
      <c r="H109" s="23">
        <f t="shared" ref="H109:H114" si="1">SUM(D109:G109)</f>
        <v>0</v>
      </c>
    </row>
    <row r="110" spans="2:8" ht="16" customHeight="1" x14ac:dyDescent="0.35">
      <c r="B110" s="14" t="s">
        <v>865</v>
      </c>
      <c r="C110" s="14" t="s">
        <v>866</v>
      </c>
      <c r="D110" s="15">
        <v>-360.50448</v>
      </c>
      <c r="E110" s="15">
        <v>-160.90048999999999</v>
      </c>
      <c r="F110" s="15">
        <v>521.40497000000005</v>
      </c>
      <c r="G110" s="15"/>
      <c r="H110" s="23">
        <f t="shared" si="1"/>
        <v>0</v>
      </c>
    </row>
    <row r="111" spans="2:8" ht="16" customHeight="1" x14ac:dyDescent="0.35">
      <c r="B111" s="14" t="s">
        <v>867</v>
      </c>
      <c r="C111" s="14" t="s">
        <v>868</v>
      </c>
      <c r="D111" s="15">
        <v>-4279.9714800000002</v>
      </c>
      <c r="E111" s="15">
        <v>2983.3219100000001</v>
      </c>
      <c r="F111" s="15">
        <v>1296.64957</v>
      </c>
      <c r="G111" s="15"/>
      <c r="H111" s="23">
        <f t="shared" si="1"/>
        <v>0</v>
      </c>
    </row>
    <row r="112" spans="2:8" ht="16" customHeight="1" x14ac:dyDescent="0.35">
      <c r="B112" s="14" t="s">
        <v>869</v>
      </c>
      <c r="C112" s="14" t="s">
        <v>870</v>
      </c>
      <c r="D112" s="15">
        <v>-436.55588999999998</v>
      </c>
      <c r="E112" s="15">
        <v>-3695.4873200000002</v>
      </c>
      <c r="F112" s="15">
        <v>4132.0432099999998</v>
      </c>
      <c r="G112" s="15"/>
      <c r="H112" s="23">
        <f t="shared" si="1"/>
        <v>0</v>
      </c>
    </row>
    <row r="113" spans="2:8" ht="16" customHeight="1" x14ac:dyDescent="0.35">
      <c r="B113" s="14" t="s">
        <v>871</v>
      </c>
      <c r="C113" s="14" t="s">
        <v>872</v>
      </c>
      <c r="D113" s="15">
        <v>-20810.041560000001</v>
      </c>
      <c r="E113" s="15">
        <v>-14138.30652</v>
      </c>
      <c r="F113" s="15">
        <v>34948.348080000003</v>
      </c>
      <c r="G113" s="15"/>
      <c r="H113" s="23">
        <f t="shared" si="1"/>
        <v>0</v>
      </c>
    </row>
    <row r="114" spans="2:8" ht="16" customHeight="1" x14ac:dyDescent="0.35">
      <c r="B114" s="14" t="s">
        <v>873</v>
      </c>
      <c r="C114" s="14" t="s">
        <v>874</v>
      </c>
      <c r="D114" s="15">
        <v>-87.085170000000005</v>
      </c>
      <c r="E114" s="15">
        <v>-174.15951000000001</v>
      </c>
      <c r="F114" s="15">
        <v>261.24468000000002</v>
      </c>
      <c r="G114" s="15"/>
      <c r="H114" s="23">
        <f t="shared" si="1"/>
        <v>0</v>
      </c>
    </row>
    <row r="115" spans="2:8" ht="16" customHeight="1" x14ac:dyDescent="0.35">
      <c r="B115" s="10"/>
      <c r="C115" s="11" t="s">
        <v>22</v>
      </c>
      <c r="D115" s="12"/>
      <c r="E115" s="12"/>
      <c r="F115" s="12"/>
      <c r="G115" s="12"/>
      <c r="H115" s="22"/>
    </row>
    <row r="116" spans="2:8" ht="16" customHeight="1" x14ac:dyDescent="0.35">
      <c r="B116" s="38"/>
      <c r="C116" s="34" t="s">
        <v>875</v>
      </c>
      <c r="D116" s="35">
        <f>-(-(D117+D118)-D119-D120)</f>
        <v>-21159.674439999999</v>
      </c>
      <c r="E116" s="35">
        <f>-(-(E117+E118)-E119-E120)</f>
        <v>-11198.13177</v>
      </c>
      <c r="F116" s="35">
        <f>-(-(F117+F118)-F119-F120)</f>
        <v>32357.806209999999</v>
      </c>
      <c r="G116" s="35">
        <f>-(-(G117+G118)-G119-G120)</f>
        <v>0</v>
      </c>
      <c r="H116" s="46">
        <f>-(-(H117+H118)-H119-H120)</f>
        <v>-2.5247573739247027E-14</v>
      </c>
    </row>
    <row r="117" spans="2:8" ht="16" customHeight="1" x14ac:dyDescent="0.35">
      <c r="B117" s="14" t="s">
        <v>876</v>
      </c>
      <c r="C117" s="14" t="s">
        <v>877</v>
      </c>
      <c r="D117" s="15">
        <v>649.60001</v>
      </c>
      <c r="E117" s="15">
        <v>-649.6</v>
      </c>
      <c r="F117" s="15">
        <v>-1.0000000000000001E-5</v>
      </c>
      <c r="G117" s="15"/>
      <c r="H117" s="23">
        <f>SUM(D117:G117)</f>
        <v>-2.5247573739247027E-14</v>
      </c>
    </row>
    <row r="118" spans="2:8" ht="16" customHeight="1" x14ac:dyDescent="0.35">
      <c r="B118" s="14" t="s">
        <v>878</v>
      </c>
      <c r="C118" s="14" t="s">
        <v>879</v>
      </c>
      <c r="D118" s="15">
        <v>-4870.2671899999996</v>
      </c>
      <c r="E118" s="15">
        <v>-3361.6746499999999</v>
      </c>
      <c r="F118" s="15">
        <v>8231.9418399999995</v>
      </c>
      <c r="G118" s="15"/>
      <c r="H118" s="23">
        <f>SUM(D118:G118)</f>
        <v>0</v>
      </c>
    </row>
    <row r="119" spans="2:8" ht="16" customHeight="1" x14ac:dyDescent="0.35">
      <c r="B119" s="14" t="s">
        <v>880</v>
      </c>
      <c r="C119" s="14" t="s">
        <v>881</v>
      </c>
      <c r="D119" s="15">
        <v>-202.56468000000001</v>
      </c>
      <c r="E119" s="15">
        <v>-178.86342999999999</v>
      </c>
      <c r="F119" s="15">
        <v>381.42811</v>
      </c>
      <c r="G119" s="15"/>
      <c r="H119" s="23">
        <f>SUM(D119:G119)</f>
        <v>0</v>
      </c>
    </row>
    <row r="120" spans="2:8" ht="16" customHeight="1" x14ac:dyDescent="0.35">
      <c r="B120" s="14" t="s">
        <v>882</v>
      </c>
      <c r="C120" s="14" t="s">
        <v>883</v>
      </c>
      <c r="D120" s="15">
        <v>-16736.442579999999</v>
      </c>
      <c r="E120" s="15">
        <v>-7007.9936900000002</v>
      </c>
      <c r="F120" s="15">
        <v>23744.436269999998</v>
      </c>
      <c r="G120" s="15"/>
      <c r="H120" s="23">
        <f>SUM(D120:G120)</f>
        <v>0</v>
      </c>
    </row>
    <row r="121" spans="2:8" ht="16" customHeight="1" x14ac:dyDescent="0.35">
      <c r="B121" s="10"/>
      <c r="C121" s="11" t="s">
        <v>22</v>
      </c>
      <c r="D121" s="12"/>
      <c r="E121" s="12"/>
      <c r="F121" s="12"/>
      <c r="G121" s="12"/>
      <c r="H121" s="22"/>
    </row>
    <row r="122" spans="2:8" ht="16" customHeight="1" x14ac:dyDescent="0.35">
      <c r="B122" s="38"/>
      <c r="C122" s="34" t="s">
        <v>884</v>
      </c>
      <c r="D122" s="35">
        <f>D108+D116</f>
        <v>-126077.80381000001</v>
      </c>
      <c r="E122" s="35">
        <f>E108+E116</f>
        <v>-41553.990489999996</v>
      </c>
      <c r="F122" s="35">
        <f>F108+F116</f>
        <v>167631.79430000001</v>
      </c>
      <c r="G122" s="35">
        <f>G108+G116</f>
        <v>0</v>
      </c>
      <c r="H122" s="46">
        <f>H108+H116</f>
        <v>-2.5247573739247027E-14</v>
      </c>
    </row>
    <row r="123" spans="2:8" ht="16" customHeight="1" x14ac:dyDescent="0.35">
      <c r="B123" s="10"/>
      <c r="C123" s="11" t="s">
        <v>22</v>
      </c>
      <c r="D123" s="12"/>
      <c r="E123" s="12"/>
      <c r="F123" s="12"/>
      <c r="G123" s="12"/>
      <c r="H123" s="22"/>
    </row>
    <row r="124" spans="2:8" ht="16" customHeight="1" x14ac:dyDescent="0.35">
      <c r="B124" s="38"/>
      <c r="C124" s="34" t="s">
        <v>885</v>
      </c>
      <c r="D124" s="35">
        <f>D125+D126</f>
        <v>0</v>
      </c>
      <c r="E124" s="35">
        <f>E125+E126</f>
        <v>0</v>
      </c>
      <c r="F124" s="35">
        <f>F125+F126</f>
        <v>0</v>
      </c>
      <c r="G124" s="35">
        <f>G125+G126</f>
        <v>0</v>
      </c>
      <c r="H124" s="46">
        <f>H125+H126</f>
        <v>0</v>
      </c>
    </row>
    <row r="125" spans="2:8" ht="16" customHeight="1" x14ac:dyDescent="0.35">
      <c r="B125" s="14" t="s">
        <v>886</v>
      </c>
      <c r="C125" s="14" t="s">
        <v>887</v>
      </c>
      <c r="D125" s="15"/>
      <c r="E125" s="15"/>
      <c r="F125" s="15"/>
      <c r="G125" s="15"/>
      <c r="H125" s="23">
        <f>SUM(D125:G125)</f>
        <v>0</v>
      </c>
    </row>
    <row r="126" spans="2:8" ht="16" customHeight="1" x14ac:dyDescent="0.35">
      <c r="B126" s="14" t="s">
        <v>888</v>
      </c>
      <c r="C126" s="14" t="s">
        <v>889</v>
      </c>
      <c r="D126" s="15"/>
      <c r="E126" s="15"/>
      <c r="F126" s="15"/>
      <c r="G126" s="15"/>
      <c r="H126" s="23">
        <f>SUM(D126:G126)</f>
        <v>0</v>
      </c>
    </row>
    <row r="127" spans="2:8" ht="16" customHeight="1" x14ac:dyDescent="0.35">
      <c r="B127" s="10"/>
      <c r="C127" s="11" t="s">
        <v>22</v>
      </c>
      <c r="D127" s="12"/>
      <c r="E127" s="12"/>
      <c r="F127" s="12"/>
      <c r="G127" s="12"/>
      <c r="H127" s="22"/>
    </row>
    <row r="128" spans="2:8" ht="16" customHeight="1" x14ac:dyDescent="0.35">
      <c r="B128" s="38"/>
      <c r="C128" s="34" t="s">
        <v>890</v>
      </c>
      <c r="D128" s="35">
        <f>D122+D124</f>
        <v>-126077.80381000001</v>
      </c>
      <c r="E128" s="35">
        <f>E122+E124</f>
        <v>-41553.990489999996</v>
      </c>
      <c r="F128" s="35">
        <f>F122+F124</f>
        <v>167631.79430000001</v>
      </c>
      <c r="G128" s="35">
        <f>G122+G124</f>
        <v>0</v>
      </c>
      <c r="H128" s="46">
        <f>H122+H124</f>
        <v>-2.5247573739247027E-14</v>
      </c>
    </row>
    <row r="129" spans="2:8" ht="16" customHeight="1" x14ac:dyDescent="0.35">
      <c r="B129" s="10"/>
      <c r="C129" s="11" t="s">
        <v>22</v>
      </c>
      <c r="D129" s="12"/>
      <c r="E129" s="12"/>
      <c r="F129" s="12"/>
      <c r="G129" s="12"/>
      <c r="H129" s="22"/>
    </row>
    <row r="130" spans="2:8" ht="16" customHeight="1" x14ac:dyDescent="0.35">
      <c r="B130" s="34" t="s">
        <v>891</v>
      </c>
      <c r="C130" s="34" t="s">
        <v>892</v>
      </c>
      <c r="D130" s="35">
        <f>D131+D132</f>
        <v>1893.3</v>
      </c>
      <c r="E130" s="35">
        <f>E131+E132</f>
        <v>265.59226999999998</v>
      </c>
      <c r="F130" s="35">
        <f>F131+F132</f>
        <v>-2158.8922699999998</v>
      </c>
      <c r="G130" s="35">
        <f>G131+G132</f>
        <v>0</v>
      </c>
      <c r="H130" s="46">
        <f>H131+H132</f>
        <v>0</v>
      </c>
    </row>
    <row r="131" spans="2:8" ht="16" customHeight="1" x14ac:dyDescent="0.35">
      <c r="B131" s="14" t="s">
        <v>893</v>
      </c>
      <c r="C131" s="14" t="s">
        <v>894</v>
      </c>
      <c r="D131" s="15"/>
      <c r="E131" s="15"/>
      <c r="F131" s="15"/>
      <c r="G131" s="15"/>
      <c r="H131" s="23">
        <f>SUM(D131:G131)</f>
        <v>0</v>
      </c>
    </row>
    <row r="132" spans="2:8" ht="16" customHeight="1" x14ac:dyDescent="0.35">
      <c r="B132" s="14" t="s">
        <v>895</v>
      </c>
      <c r="C132" s="14" t="s">
        <v>896</v>
      </c>
      <c r="D132" s="15">
        <v>1893.3</v>
      </c>
      <c r="E132" s="15">
        <v>265.59226999999998</v>
      </c>
      <c r="F132" s="15">
        <v>-2158.8922699999998</v>
      </c>
      <c r="G132" s="15"/>
      <c r="H132" s="23">
        <f>SUM(D132:G132)</f>
        <v>0</v>
      </c>
    </row>
    <row r="133" spans="2:8" ht="16" customHeight="1" x14ac:dyDescent="0.35">
      <c r="B133" s="10"/>
      <c r="C133" s="11" t="s">
        <v>22</v>
      </c>
      <c r="D133" s="12"/>
      <c r="E133" s="12"/>
      <c r="F133" s="12"/>
      <c r="G133" s="12"/>
      <c r="H133" s="22"/>
    </row>
    <row r="134" spans="2:8" ht="16" customHeight="1" x14ac:dyDescent="0.35">
      <c r="B134" s="38"/>
      <c r="C134" s="34" t="s">
        <v>897</v>
      </c>
      <c r="D134" s="35">
        <f>D128+D130</f>
        <v>-124184.50381000001</v>
      </c>
      <c r="E134" s="35">
        <f>E128+E130</f>
        <v>-41288.398219999995</v>
      </c>
      <c r="F134" s="35">
        <f>F128+F130</f>
        <v>165472.90203</v>
      </c>
      <c r="G134" s="35">
        <f>G128+G130</f>
        <v>0</v>
      </c>
      <c r="H134" s="46">
        <f>H128+H130</f>
        <v>-2.5247573739247027E-14</v>
      </c>
    </row>
    <row r="135" spans="2:8" ht="16" customHeight="1" x14ac:dyDescent="0.35">
      <c r="B135" s="10"/>
      <c r="C135" s="11" t="s">
        <v>22</v>
      </c>
      <c r="D135" s="12"/>
      <c r="E135" s="12"/>
      <c r="F135" s="12"/>
      <c r="G135" s="12"/>
      <c r="H135" s="22"/>
    </row>
    <row r="136" spans="2:8" ht="16" customHeight="1" x14ac:dyDescent="0.35">
      <c r="B136" s="38"/>
      <c r="C136" s="34" t="s">
        <v>898</v>
      </c>
      <c r="D136" s="35">
        <f>D137+D138</f>
        <v>0</v>
      </c>
      <c r="E136" s="35">
        <f>E137+E138</f>
        <v>0</v>
      </c>
      <c r="F136" s="35">
        <f>F137+F138</f>
        <v>0</v>
      </c>
      <c r="G136" s="35">
        <f>G137+G138</f>
        <v>0</v>
      </c>
      <c r="H136" s="46">
        <f>H137+H138</f>
        <v>0</v>
      </c>
    </row>
    <row r="137" spans="2:8" ht="16" customHeight="1" x14ac:dyDescent="0.35">
      <c r="B137" s="14" t="s">
        <v>899</v>
      </c>
      <c r="C137" s="14" t="s">
        <v>900</v>
      </c>
      <c r="D137" s="15"/>
      <c r="E137" s="15"/>
      <c r="F137" s="15"/>
      <c r="G137" s="15"/>
      <c r="H137" s="23">
        <f>SUM(D137:G137)</f>
        <v>0</v>
      </c>
    </row>
    <row r="138" spans="2:8" ht="16" customHeight="1" x14ac:dyDescent="0.35">
      <c r="B138" s="14" t="s">
        <v>901</v>
      </c>
      <c r="C138" s="14" t="s">
        <v>902</v>
      </c>
      <c r="D138" s="15"/>
      <c r="E138" s="15"/>
      <c r="F138" s="15"/>
      <c r="G138" s="15"/>
      <c r="H138" s="23">
        <f>SUM(D138:G138)</f>
        <v>0</v>
      </c>
    </row>
    <row r="139" spans="2:8" ht="16" customHeight="1" x14ac:dyDescent="0.35">
      <c r="B139" s="10"/>
      <c r="C139" s="11" t="s">
        <v>22</v>
      </c>
      <c r="D139" s="12"/>
      <c r="E139" s="12"/>
      <c r="F139" s="12"/>
      <c r="G139" s="12"/>
      <c r="H139" s="22"/>
    </row>
    <row r="140" spans="2:8" ht="16" customHeight="1" x14ac:dyDescent="0.35">
      <c r="B140" s="38"/>
      <c r="C140" s="34" t="s">
        <v>903</v>
      </c>
      <c r="D140" s="35">
        <f>D141+D142</f>
        <v>0</v>
      </c>
      <c r="E140" s="35">
        <f>E141+E142</f>
        <v>0</v>
      </c>
      <c r="F140" s="35">
        <f>F141+F142</f>
        <v>0</v>
      </c>
      <c r="G140" s="35">
        <f>G141+G142</f>
        <v>0</v>
      </c>
      <c r="H140" s="46">
        <f>H141+H142</f>
        <v>0</v>
      </c>
    </row>
    <row r="141" spans="2:8" ht="16" customHeight="1" x14ac:dyDescent="0.35">
      <c r="B141" s="14" t="s">
        <v>904</v>
      </c>
      <c r="C141" s="14" t="s">
        <v>905</v>
      </c>
      <c r="D141" s="15"/>
      <c r="E141" s="15"/>
      <c r="F141" s="15"/>
      <c r="G141" s="15"/>
      <c r="H141" s="23">
        <f>SUM(D141:G141)</f>
        <v>0</v>
      </c>
    </row>
    <row r="142" spans="2:8" ht="16" customHeight="1" x14ac:dyDescent="0.35">
      <c r="B142" s="14" t="s">
        <v>906</v>
      </c>
      <c r="C142" s="14" t="s">
        <v>907</v>
      </c>
      <c r="D142" s="15">
        <f>D143+D144</f>
        <v>0</v>
      </c>
      <c r="E142" s="15">
        <f>E143+E144</f>
        <v>0</v>
      </c>
      <c r="F142" s="15">
        <f>F143+F144</f>
        <v>0</v>
      </c>
      <c r="G142" s="15">
        <f>G143+G144</f>
        <v>0</v>
      </c>
      <c r="H142" s="23">
        <f>H143+H144</f>
        <v>0</v>
      </c>
    </row>
    <row r="143" spans="2:8" ht="16" customHeight="1" x14ac:dyDescent="0.35">
      <c r="B143" s="14" t="s">
        <v>908</v>
      </c>
      <c r="C143" s="14" t="s">
        <v>909</v>
      </c>
      <c r="D143" s="15"/>
      <c r="E143" s="15"/>
      <c r="F143" s="15"/>
      <c r="G143" s="15"/>
      <c r="H143" s="23">
        <f>SUM(D143:G143)</f>
        <v>0</v>
      </c>
    </row>
    <row r="144" spans="2:8" ht="16" customHeight="1" x14ac:dyDescent="0.35">
      <c r="B144" s="14" t="s">
        <v>910</v>
      </c>
      <c r="C144" s="14" t="s">
        <v>911</v>
      </c>
      <c r="D144" s="15"/>
      <c r="E144" s="15"/>
      <c r="F144" s="15"/>
      <c r="G144" s="15"/>
      <c r="H144" s="23">
        <f>SUM(D144:G144)</f>
        <v>0</v>
      </c>
    </row>
    <row r="145" spans="2:8" ht="16" customHeight="1" x14ac:dyDescent="0.35">
      <c r="B145" s="10"/>
      <c r="C145" s="11" t="s">
        <v>22</v>
      </c>
      <c r="D145" s="12"/>
      <c r="E145" s="12"/>
      <c r="F145" s="12"/>
      <c r="G145" s="12"/>
      <c r="H145" s="22"/>
    </row>
    <row r="146" spans="2:8" ht="16" customHeight="1" x14ac:dyDescent="0.35">
      <c r="B146" s="38"/>
      <c r="C146" s="34" t="s">
        <v>912</v>
      </c>
      <c r="D146" s="35">
        <f>D147+D148</f>
        <v>393600</v>
      </c>
      <c r="E146" s="35">
        <f>E147+E148</f>
        <v>-64600</v>
      </c>
      <c r="F146" s="35">
        <f>F147+F148</f>
        <v>-329000</v>
      </c>
      <c r="G146" s="35">
        <f>G147+G148</f>
        <v>0</v>
      </c>
      <c r="H146" s="46">
        <f>H147+H148</f>
        <v>0</v>
      </c>
    </row>
    <row r="147" spans="2:8" ht="16" customHeight="1" x14ac:dyDescent="0.35">
      <c r="B147" s="14" t="s">
        <v>913</v>
      </c>
      <c r="C147" s="14" t="s">
        <v>914</v>
      </c>
      <c r="D147" s="15">
        <v>393600</v>
      </c>
      <c r="E147" s="15">
        <v>-64600</v>
      </c>
      <c r="F147" s="15">
        <v>-329000</v>
      </c>
      <c r="G147" s="15"/>
      <c r="H147" s="23">
        <f>SUM(D147:G147)</f>
        <v>0</v>
      </c>
    </row>
    <row r="148" spans="2:8" ht="16" customHeight="1" x14ac:dyDescent="0.35">
      <c r="B148" s="14" t="s">
        <v>915</v>
      </c>
      <c r="C148" s="14" t="s">
        <v>916</v>
      </c>
      <c r="D148" s="15"/>
      <c r="E148" s="15"/>
      <c r="F148" s="15"/>
      <c r="G148" s="15"/>
      <c r="H148" s="23">
        <f>SUM(D148:G148)</f>
        <v>0</v>
      </c>
    </row>
    <row r="149" spans="2:8" ht="16" customHeight="1" x14ac:dyDescent="0.35">
      <c r="B149" s="10"/>
      <c r="C149" s="11" t="s">
        <v>22</v>
      </c>
      <c r="D149" s="12"/>
      <c r="E149" s="12"/>
      <c r="F149" s="12"/>
      <c r="G149" s="12"/>
      <c r="H149" s="22"/>
    </row>
    <row r="150" spans="2:8" ht="16" customHeight="1" x14ac:dyDescent="0.35">
      <c r="B150" s="38"/>
      <c r="C150" s="34" t="s">
        <v>917</v>
      </c>
      <c r="D150" s="35">
        <f>D151+D152</f>
        <v>-50913.912970000005</v>
      </c>
      <c r="E150" s="35">
        <f>E151+E152</f>
        <v>-40702.446389999997</v>
      </c>
      <c r="F150" s="35">
        <f>F151+F152</f>
        <v>91616.359359999988</v>
      </c>
      <c r="G150" s="35">
        <f>G151+G152</f>
        <v>0</v>
      </c>
      <c r="H150" s="46">
        <f>H151+H152</f>
        <v>0</v>
      </c>
    </row>
    <row r="151" spans="2:8" ht="16" customHeight="1" x14ac:dyDescent="0.35">
      <c r="B151" s="14" t="s">
        <v>918</v>
      </c>
      <c r="C151" s="14" t="s">
        <v>919</v>
      </c>
      <c r="D151" s="15">
        <v>-50970.592340000003</v>
      </c>
      <c r="E151" s="15">
        <v>-40696.426039999998</v>
      </c>
      <c r="F151" s="15">
        <v>91667.018379999994</v>
      </c>
      <c r="G151" s="15"/>
      <c r="H151" s="23">
        <f>SUM(D151:G151)</f>
        <v>0</v>
      </c>
    </row>
    <row r="152" spans="2:8" ht="16" customHeight="1" x14ac:dyDescent="0.35">
      <c r="B152" s="14" t="s">
        <v>920</v>
      </c>
      <c r="C152" s="14" t="s">
        <v>921</v>
      </c>
      <c r="D152" s="15">
        <v>56.679369999999999</v>
      </c>
      <c r="E152" s="15">
        <v>-6.0203499999999996</v>
      </c>
      <c r="F152" s="15">
        <v>-50.659019999999998</v>
      </c>
      <c r="G152" s="15"/>
      <c r="H152" s="23">
        <f>SUM(D152:G152)</f>
        <v>0</v>
      </c>
    </row>
    <row r="153" spans="2:8" ht="16" customHeight="1" x14ac:dyDescent="0.35">
      <c r="B153" s="10"/>
      <c r="C153" s="11" t="s">
        <v>22</v>
      </c>
      <c r="D153" s="12"/>
      <c r="E153" s="12"/>
      <c r="F153" s="12"/>
      <c r="G153" s="12"/>
      <c r="H153" s="22"/>
    </row>
    <row r="154" spans="2:8" ht="16" customHeight="1" x14ac:dyDescent="0.35">
      <c r="B154" s="38"/>
      <c r="C154" s="34" t="s">
        <v>922</v>
      </c>
      <c r="D154" s="35">
        <f>-(-D155)</f>
        <v>3542.1002699999999</v>
      </c>
      <c r="E154" s="35">
        <f>-(-E155)</f>
        <v>-3749.9649100000001</v>
      </c>
      <c r="F154" s="35">
        <f>-(-F155)</f>
        <v>207.86464000000001</v>
      </c>
      <c r="G154" s="35">
        <f>-(-G155)</f>
        <v>0</v>
      </c>
      <c r="H154" s="46">
        <f>-(-H155)</f>
        <v>-2.2737367544323206E-13</v>
      </c>
    </row>
    <row r="155" spans="2:8" ht="16" customHeight="1" x14ac:dyDescent="0.35">
      <c r="B155" s="14" t="s">
        <v>923</v>
      </c>
      <c r="C155" s="14" t="s">
        <v>924</v>
      </c>
      <c r="D155" s="15">
        <v>3542.1002699999999</v>
      </c>
      <c r="E155" s="15">
        <v>-3749.9649100000001</v>
      </c>
      <c r="F155" s="15">
        <v>207.86464000000001</v>
      </c>
      <c r="G155" s="15"/>
      <c r="H155" s="23">
        <f>SUM(D155:G155)</f>
        <v>-2.2737367544323206E-13</v>
      </c>
    </row>
    <row r="156" spans="2:8" ht="16" customHeight="1" x14ac:dyDescent="0.35">
      <c r="B156" s="10"/>
      <c r="C156" s="11" t="s">
        <v>22</v>
      </c>
      <c r="D156" s="12"/>
      <c r="E156" s="12"/>
      <c r="F156" s="12"/>
      <c r="G156" s="12"/>
      <c r="H156" s="22"/>
    </row>
    <row r="157" spans="2:8" ht="16" customHeight="1" x14ac:dyDescent="0.35">
      <c r="B157" s="38"/>
      <c r="C157" s="34" t="s">
        <v>925</v>
      </c>
      <c r="D157" s="35">
        <f>D158+D159</f>
        <v>0</v>
      </c>
      <c r="E157" s="35">
        <f>E158+E159</f>
        <v>0</v>
      </c>
      <c r="F157" s="35">
        <f>F158+F159</f>
        <v>0</v>
      </c>
      <c r="G157" s="35">
        <f>G158+G159</f>
        <v>0</v>
      </c>
      <c r="H157" s="46">
        <f>H158+H159</f>
        <v>0</v>
      </c>
    </row>
    <row r="158" spans="2:8" ht="16" customHeight="1" x14ac:dyDescent="0.35">
      <c r="B158" s="14" t="s">
        <v>926</v>
      </c>
      <c r="C158" s="14" t="s">
        <v>927</v>
      </c>
      <c r="D158" s="15"/>
      <c r="E158" s="15"/>
      <c r="F158" s="15"/>
      <c r="G158" s="15"/>
      <c r="H158" s="23">
        <f>SUM(D158:G158)</f>
        <v>0</v>
      </c>
    </row>
    <row r="159" spans="2:8" ht="16" customHeight="1" x14ac:dyDescent="0.35">
      <c r="B159" s="14" t="s">
        <v>928</v>
      </c>
      <c r="C159" s="14" t="s">
        <v>929</v>
      </c>
      <c r="D159" s="15"/>
      <c r="E159" s="15"/>
      <c r="F159" s="15"/>
      <c r="G159" s="15"/>
      <c r="H159" s="23">
        <f>SUM(D159:G159)</f>
        <v>0</v>
      </c>
    </row>
    <row r="160" spans="2:8" ht="16" customHeight="1" x14ac:dyDescent="0.35">
      <c r="B160" s="10"/>
      <c r="C160" s="11" t="s">
        <v>22</v>
      </c>
      <c r="D160" s="12"/>
      <c r="E160" s="12"/>
      <c r="F160" s="12"/>
      <c r="G160" s="12"/>
      <c r="H160" s="22"/>
    </row>
    <row r="161" spans="2:8" ht="16" customHeight="1" x14ac:dyDescent="0.35">
      <c r="B161" s="38"/>
      <c r="C161" s="34" t="s">
        <v>930</v>
      </c>
      <c r="D161" s="35">
        <f>-(-D136-D140-D146-D150-D154-D157)</f>
        <v>346228.18729999999</v>
      </c>
      <c r="E161" s="35">
        <f>-(-E136-E140-E146-E150-E154-E157)</f>
        <v>-109052.41129999999</v>
      </c>
      <c r="F161" s="35">
        <f>-(-F136-F140-F146-F150-F154-F157)</f>
        <v>-237175.77599999998</v>
      </c>
      <c r="G161" s="35">
        <f>-(-G136-G140-G146-G150-G154-G157)</f>
        <v>0</v>
      </c>
      <c r="H161" s="46">
        <f>-(-H136-H140-H146-H150-H154-H157)</f>
        <v>-2.2737367544323206E-13</v>
      </c>
    </row>
    <row r="162" spans="2:8" ht="16" customHeight="1" x14ac:dyDescent="0.35">
      <c r="B162" s="10"/>
      <c r="C162" s="11" t="s">
        <v>22</v>
      </c>
      <c r="D162" s="12"/>
      <c r="E162" s="12"/>
      <c r="F162" s="12"/>
      <c r="G162" s="12"/>
      <c r="H162" s="22"/>
    </row>
    <row r="163" spans="2:8" ht="16" customHeight="1" x14ac:dyDescent="0.35">
      <c r="B163" s="39"/>
      <c r="C163" s="40" t="s">
        <v>931</v>
      </c>
      <c r="D163" s="24">
        <f>D134+D161</f>
        <v>222043.68348999997</v>
      </c>
      <c r="E163" s="24">
        <f>E134+E161</f>
        <v>-150340.80951999998</v>
      </c>
      <c r="F163" s="24">
        <f>F134+F161</f>
        <v>-71702.873969999986</v>
      </c>
      <c r="G163" s="24">
        <f>G134+G161</f>
        <v>0</v>
      </c>
      <c r="H163" s="24">
        <f>H134+H161</f>
        <v>-2.5262124918247909E-13</v>
      </c>
    </row>
    <row r="164" spans="2:8" ht="16" customHeight="1" x14ac:dyDescent="0.35">
      <c r="B164" s="10"/>
      <c r="C164" s="11" t="s">
        <v>22</v>
      </c>
      <c r="D164" s="12"/>
      <c r="E164" s="12"/>
      <c r="F164" s="12"/>
      <c r="G164" s="12"/>
      <c r="H164" s="22"/>
    </row>
    <row r="165" spans="2:8" ht="16" customHeight="1" x14ac:dyDescent="0.35">
      <c r="B165" s="38"/>
      <c r="C165" s="34" t="s">
        <v>932</v>
      </c>
      <c r="D165" s="35"/>
      <c r="E165" s="35"/>
      <c r="F165" s="35"/>
      <c r="G165" s="35"/>
      <c r="H165" s="46"/>
    </row>
    <row r="166" spans="2:8" ht="16" customHeight="1" x14ac:dyDescent="0.35">
      <c r="B166" s="10"/>
      <c r="C166" s="11" t="s">
        <v>22</v>
      </c>
      <c r="D166" s="12"/>
      <c r="E166" s="12"/>
      <c r="F166" s="12"/>
      <c r="G166" s="12"/>
      <c r="H166" s="22"/>
    </row>
    <row r="167" spans="2:8" ht="16" customHeight="1" x14ac:dyDescent="0.35">
      <c r="B167" s="38"/>
      <c r="C167" s="34" t="s">
        <v>933</v>
      </c>
      <c r="D167" s="35">
        <f>-(-(D168+D169)-D170)</f>
        <v>0</v>
      </c>
      <c r="E167" s="35">
        <f>-(-(E168+E169)-E170)</f>
        <v>0</v>
      </c>
      <c r="F167" s="35">
        <f>-(-(F168+F169)-F170)</f>
        <v>0</v>
      </c>
      <c r="G167" s="35">
        <f>-(-(G168+G169)-G170)</f>
        <v>0</v>
      </c>
      <c r="H167" s="46">
        <f>-(-(H168+H169)-H170)</f>
        <v>0</v>
      </c>
    </row>
    <row r="168" spans="2:8" ht="16" customHeight="1" x14ac:dyDescent="0.35">
      <c r="B168" s="14" t="s">
        <v>934</v>
      </c>
      <c r="C168" s="14" t="s">
        <v>935</v>
      </c>
      <c r="D168" s="15"/>
      <c r="E168" s="15"/>
      <c r="F168" s="15"/>
      <c r="G168" s="15"/>
      <c r="H168" s="23">
        <f>SUM(D168:G168)</f>
        <v>0</v>
      </c>
    </row>
    <row r="169" spans="2:8" ht="16" customHeight="1" x14ac:dyDescent="0.35">
      <c r="B169" s="14" t="s">
        <v>936</v>
      </c>
      <c r="C169" s="14" t="s">
        <v>937</v>
      </c>
      <c r="D169" s="15"/>
      <c r="E169" s="15"/>
      <c r="F169" s="15"/>
      <c r="G169" s="15"/>
      <c r="H169" s="23">
        <f>SUM(D169:G169)</f>
        <v>0</v>
      </c>
    </row>
    <row r="170" spans="2:8" ht="16" customHeight="1" x14ac:dyDescent="0.35">
      <c r="B170" s="14" t="s">
        <v>938</v>
      </c>
      <c r="C170" s="14" t="s">
        <v>939</v>
      </c>
      <c r="D170" s="15"/>
      <c r="E170" s="15"/>
      <c r="F170" s="15"/>
      <c r="G170" s="15"/>
      <c r="H170" s="23">
        <f>SUM(D170:G170)</f>
        <v>0</v>
      </c>
    </row>
    <row r="171" spans="2:8" ht="16" customHeight="1" x14ac:dyDescent="0.35">
      <c r="B171" s="10"/>
      <c r="C171" s="11" t="s">
        <v>22</v>
      </c>
      <c r="D171" s="12"/>
      <c r="E171" s="12"/>
      <c r="F171" s="12"/>
      <c r="G171" s="12"/>
      <c r="H171" s="22"/>
    </row>
    <row r="172" spans="2:8" ht="16" customHeight="1" x14ac:dyDescent="0.35">
      <c r="B172" s="38"/>
      <c r="C172" s="34" t="s">
        <v>940</v>
      </c>
      <c r="D172" s="35">
        <f>D173+D174</f>
        <v>0</v>
      </c>
      <c r="E172" s="35">
        <f>E173+E174</f>
        <v>0</v>
      </c>
      <c r="F172" s="35">
        <f>F173+F174</f>
        <v>0</v>
      </c>
      <c r="G172" s="35">
        <f>G173+G174</f>
        <v>0</v>
      </c>
      <c r="H172" s="46">
        <f>H173+H174</f>
        <v>0</v>
      </c>
    </row>
    <row r="173" spans="2:8" ht="16" customHeight="1" x14ac:dyDescent="0.35">
      <c r="B173" s="14" t="s">
        <v>941</v>
      </c>
      <c r="C173" s="14" t="s">
        <v>942</v>
      </c>
      <c r="D173" s="15"/>
      <c r="E173" s="15"/>
      <c r="F173" s="15"/>
      <c r="G173" s="15"/>
      <c r="H173" s="23">
        <f>SUM(D173:G173)</f>
        <v>0</v>
      </c>
    </row>
    <row r="174" spans="2:8" ht="16" customHeight="1" x14ac:dyDescent="0.35">
      <c r="B174" s="14" t="s">
        <v>943</v>
      </c>
      <c r="C174" s="14" t="s">
        <v>944</v>
      </c>
      <c r="D174" s="15"/>
      <c r="E174" s="15"/>
      <c r="F174" s="15"/>
      <c r="G174" s="15"/>
      <c r="H174" s="23">
        <f>SUM(D174:G174)</f>
        <v>0</v>
      </c>
    </row>
    <row r="175" spans="2:8" ht="16" customHeight="1" x14ac:dyDescent="0.35">
      <c r="B175" s="10"/>
      <c r="C175" s="11" t="s">
        <v>22</v>
      </c>
      <c r="D175" s="12"/>
      <c r="E175" s="12"/>
      <c r="F175" s="12"/>
      <c r="G175" s="12"/>
      <c r="H175" s="22"/>
    </row>
    <row r="176" spans="2:8" ht="16" customHeight="1" x14ac:dyDescent="0.35">
      <c r="B176" s="14" t="s">
        <v>945</v>
      </c>
      <c r="C176" s="14" t="s">
        <v>946</v>
      </c>
      <c r="D176" s="15"/>
      <c r="E176" s="15"/>
      <c r="F176" s="15"/>
      <c r="G176" s="15"/>
      <c r="H176" s="23">
        <f>SUM(D176:G176)</f>
        <v>0</v>
      </c>
    </row>
    <row r="177" spans="2:8" ht="16" customHeight="1" x14ac:dyDescent="0.35">
      <c r="B177" s="10"/>
      <c r="C177" s="11" t="s">
        <v>22</v>
      </c>
      <c r="D177" s="12"/>
      <c r="E177" s="12"/>
      <c r="F177" s="12"/>
      <c r="G177" s="12"/>
      <c r="H177" s="22"/>
    </row>
    <row r="178" spans="2:8" ht="16" customHeight="1" x14ac:dyDescent="0.35">
      <c r="B178" s="14" t="s">
        <v>947</v>
      </c>
      <c r="C178" s="14" t="s">
        <v>948</v>
      </c>
      <c r="D178" s="15"/>
      <c r="E178" s="15"/>
      <c r="F178" s="15"/>
      <c r="G178" s="15"/>
      <c r="H178" s="23">
        <f>SUM(D178:G178)</f>
        <v>0</v>
      </c>
    </row>
    <row r="179" spans="2:8" ht="16" customHeight="1" x14ac:dyDescent="0.35">
      <c r="B179" s="10"/>
      <c r="C179" s="11" t="s">
        <v>22</v>
      </c>
      <c r="D179" s="12"/>
      <c r="E179" s="12"/>
      <c r="F179" s="12"/>
      <c r="G179" s="12"/>
      <c r="H179" s="22"/>
    </row>
    <row r="180" spans="2:8" ht="16" customHeight="1" x14ac:dyDescent="0.35">
      <c r="B180" s="14" t="s">
        <v>949</v>
      </c>
      <c r="C180" s="14" t="s">
        <v>950</v>
      </c>
      <c r="D180" s="15"/>
      <c r="E180" s="15"/>
      <c r="F180" s="15"/>
      <c r="G180" s="15"/>
      <c r="H180" s="23">
        <f>SUM(D180:G180)</f>
        <v>0</v>
      </c>
    </row>
    <row r="181" spans="2:8" ht="16" customHeight="1" x14ac:dyDescent="0.35">
      <c r="B181" s="10"/>
      <c r="C181" s="11" t="s">
        <v>22</v>
      </c>
      <c r="D181" s="12"/>
      <c r="E181" s="12"/>
      <c r="F181" s="12"/>
      <c r="G181" s="12"/>
      <c r="H181" s="22"/>
    </row>
    <row r="182" spans="2:8" ht="16" customHeight="1" x14ac:dyDescent="0.35">
      <c r="B182" s="38"/>
      <c r="C182" s="34" t="s">
        <v>951</v>
      </c>
      <c r="D182" s="35">
        <f>D183+D184</f>
        <v>0</v>
      </c>
      <c r="E182" s="35">
        <f>E183+E184</f>
        <v>0</v>
      </c>
      <c r="F182" s="35">
        <f>F183+F184</f>
        <v>0</v>
      </c>
      <c r="G182" s="35">
        <f>G183+G184</f>
        <v>0</v>
      </c>
      <c r="H182" s="46">
        <f>H183+H184</f>
        <v>0</v>
      </c>
    </row>
    <row r="183" spans="2:8" ht="16" customHeight="1" x14ac:dyDescent="0.35">
      <c r="B183" s="14" t="s">
        <v>952</v>
      </c>
      <c r="C183" s="14" t="s">
        <v>953</v>
      </c>
      <c r="D183" s="15"/>
      <c r="E183" s="15"/>
      <c r="F183" s="15"/>
      <c r="G183" s="15"/>
      <c r="H183" s="23">
        <f>SUM(D183:G183)</f>
        <v>0</v>
      </c>
    </row>
    <row r="184" spans="2:8" ht="16" customHeight="1" x14ac:dyDescent="0.35">
      <c r="B184" s="14" t="s">
        <v>954</v>
      </c>
      <c r="C184" s="14" t="s">
        <v>955</v>
      </c>
      <c r="D184" s="15"/>
      <c r="E184" s="15"/>
      <c r="F184" s="15"/>
      <c r="G184" s="15"/>
      <c r="H184" s="23">
        <f>SUM(D184:G184)</f>
        <v>0</v>
      </c>
    </row>
    <row r="185" spans="2:8" ht="16" customHeight="1" x14ac:dyDescent="0.35">
      <c r="B185" s="10"/>
      <c r="C185" s="11" t="s">
        <v>22</v>
      </c>
      <c r="D185" s="12"/>
      <c r="E185" s="12"/>
      <c r="F185" s="12"/>
      <c r="G185" s="12"/>
      <c r="H185" s="22"/>
    </row>
    <row r="186" spans="2:8" ht="16" customHeight="1" x14ac:dyDescent="0.35">
      <c r="B186" s="38"/>
      <c r="C186" s="34" t="s">
        <v>956</v>
      </c>
      <c r="D186" s="35">
        <f>-(-(D187+D188)-D189-D190-D191)</f>
        <v>0</v>
      </c>
      <c r="E186" s="35">
        <f>-(-(E187+E188)-E189-E190-E191)</f>
        <v>0</v>
      </c>
      <c r="F186" s="35">
        <f>-(-(F187+F188)-F189-F190-F191)</f>
        <v>0</v>
      </c>
      <c r="G186" s="35">
        <f>-(-(G187+G188)-G189-G190-G191)</f>
        <v>0</v>
      </c>
      <c r="H186" s="46">
        <f>-(-(H187+H188)-H189-H190-H191)</f>
        <v>0</v>
      </c>
    </row>
    <row r="187" spans="2:8" ht="16" customHeight="1" x14ac:dyDescent="0.35">
      <c r="B187" s="14" t="s">
        <v>957</v>
      </c>
      <c r="C187" s="14" t="s">
        <v>958</v>
      </c>
      <c r="D187" s="15"/>
      <c r="E187" s="15"/>
      <c r="F187" s="15"/>
      <c r="G187" s="15"/>
      <c r="H187" s="23">
        <f>SUM(D187:G187)</f>
        <v>0</v>
      </c>
    </row>
    <row r="188" spans="2:8" ht="16" customHeight="1" x14ac:dyDescent="0.35">
      <c r="B188" s="14" t="s">
        <v>959</v>
      </c>
      <c r="C188" s="14" t="s">
        <v>960</v>
      </c>
      <c r="D188" s="15">
        <v>200</v>
      </c>
      <c r="E188" s="15">
        <v>0</v>
      </c>
      <c r="F188" s="15">
        <v>-200</v>
      </c>
      <c r="G188" s="15"/>
      <c r="H188" s="23">
        <f>SUM(D188:G188)</f>
        <v>0</v>
      </c>
    </row>
    <row r="189" spans="2:8" ht="16" customHeight="1" x14ac:dyDescent="0.35">
      <c r="B189" s="14" t="s">
        <v>961</v>
      </c>
      <c r="C189" s="14" t="s">
        <v>962</v>
      </c>
      <c r="D189" s="15"/>
      <c r="E189" s="15"/>
      <c r="F189" s="15"/>
      <c r="G189" s="15"/>
      <c r="H189" s="23">
        <f>SUM(D189:G189)</f>
        <v>0</v>
      </c>
    </row>
    <row r="190" spans="2:8" ht="16" customHeight="1" x14ac:dyDescent="0.35">
      <c r="B190" s="14" t="s">
        <v>963</v>
      </c>
      <c r="C190" s="14" t="s">
        <v>964</v>
      </c>
      <c r="D190" s="15">
        <v>-200</v>
      </c>
      <c r="E190" s="15">
        <v>0</v>
      </c>
      <c r="F190" s="15">
        <v>200</v>
      </c>
      <c r="G190" s="15"/>
      <c r="H190" s="23">
        <f>SUM(D190:G190)</f>
        <v>0</v>
      </c>
    </row>
    <row r="191" spans="2:8" ht="16" customHeight="1" x14ac:dyDescent="0.35">
      <c r="B191" s="14" t="s">
        <v>965</v>
      </c>
      <c r="C191" s="14" t="s">
        <v>966</v>
      </c>
      <c r="D191" s="15"/>
      <c r="E191" s="15"/>
      <c r="F191" s="15"/>
      <c r="G191" s="15"/>
      <c r="H191" s="23">
        <f>SUM(D191:G191)</f>
        <v>0</v>
      </c>
    </row>
    <row r="192" spans="2:8" ht="16" customHeight="1" x14ac:dyDescent="0.35">
      <c r="B192" s="10"/>
      <c r="C192" s="11" t="s">
        <v>22</v>
      </c>
      <c r="D192" s="12"/>
      <c r="E192" s="12"/>
      <c r="F192" s="12"/>
      <c r="G192" s="12"/>
      <c r="H192" s="22"/>
    </row>
    <row r="193" spans="2:8" ht="16" customHeight="1" x14ac:dyDescent="0.35">
      <c r="B193" s="38"/>
      <c r="C193" s="34" t="s">
        <v>967</v>
      </c>
      <c r="D193" s="35">
        <f>D195+D200+D204</f>
        <v>41527.56439</v>
      </c>
      <c r="E193" s="35">
        <f>E195+E200+E204</f>
        <v>13401.688359999993</v>
      </c>
      <c r="F193" s="35">
        <f>F195+F200+F204</f>
        <v>-54929.25275</v>
      </c>
      <c r="G193" s="35">
        <f>G195+G200+G204</f>
        <v>0</v>
      </c>
      <c r="H193" s="46">
        <f>H195+H200+H204</f>
        <v>0</v>
      </c>
    </row>
    <row r="194" spans="2:8" ht="16" customHeight="1" x14ac:dyDescent="0.35">
      <c r="B194" s="10"/>
      <c r="C194" s="11" t="s">
        <v>22</v>
      </c>
      <c r="D194" s="12"/>
      <c r="E194" s="12"/>
      <c r="F194" s="12"/>
      <c r="G194" s="12"/>
      <c r="H194" s="22"/>
    </row>
    <row r="195" spans="2:8" ht="16" customHeight="1" x14ac:dyDescent="0.35">
      <c r="B195" s="38"/>
      <c r="C195" s="34" t="s">
        <v>968</v>
      </c>
      <c r="D195" s="35">
        <f>-(-(D196+D197)-D198)</f>
        <v>45672.838830000001</v>
      </c>
      <c r="E195" s="35">
        <f>-(-(E196+E197)-E198)</f>
        <v>37997.349279999995</v>
      </c>
      <c r="F195" s="35">
        <f>-(-(F196+F197)-F198)</f>
        <v>-83670.188110000003</v>
      </c>
      <c r="G195" s="35">
        <f>-(-(G196+G197)-G198)</f>
        <v>0</v>
      </c>
      <c r="H195" s="46">
        <f>-(-(H196+H197)-H198)</f>
        <v>0</v>
      </c>
    </row>
    <row r="196" spans="2:8" ht="16" customHeight="1" x14ac:dyDescent="0.35">
      <c r="B196" s="14" t="s">
        <v>969</v>
      </c>
      <c r="C196" s="14" t="s">
        <v>970</v>
      </c>
      <c r="D196" s="15">
        <v>45672.838830000001</v>
      </c>
      <c r="E196" s="15">
        <v>38200.669699999999</v>
      </c>
      <c r="F196" s="15">
        <v>-83873.508530000006</v>
      </c>
      <c r="G196" s="15"/>
      <c r="H196" s="23">
        <f>SUM(D196:G196)</f>
        <v>0</v>
      </c>
    </row>
    <row r="197" spans="2:8" ht="16" customHeight="1" x14ac:dyDescent="0.35">
      <c r="B197" s="14" t="s">
        <v>971</v>
      </c>
      <c r="C197" s="14" t="s">
        <v>972</v>
      </c>
      <c r="D197" s="15"/>
      <c r="E197" s="15">
        <v>-203.32042000000001</v>
      </c>
      <c r="F197" s="15">
        <v>203.32042000000001</v>
      </c>
      <c r="G197" s="15"/>
      <c r="H197" s="23">
        <f>SUM(D197:G197)</f>
        <v>0</v>
      </c>
    </row>
    <row r="198" spans="2:8" ht="16" customHeight="1" x14ac:dyDescent="0.35">
      <c r="B198" s="14" t="s">
        <v>973</v>
      </c>
      <c r="C198" s="14" t="s">
        <v>974</v>
      </c>
      <c r="D198" s="15"/>
      <c r="E198" s="15"/>
      <c r="F198" s="15"/>
      <c r="G198" s="15"/>
      <c r="H198" s="23">
        <f>SUM(D198:G198)</f>
        <v>0</v>
      </c>
    </row>
    <row r="199" spans="2:8" ht="16" customHeight="1" x14ac:dyDescent="0.35">
      <c r="B199" s="10"/>
      <c r="C199" s="11" t="s">
        <v>22</v>
      </c>
      <c r="D199" s="12"/>
      <c r="E199" s="12"/>
      <c r="F199" s="12"/>
      <c r="G199" s="12"/>
      <c r="H199" s="22"/>
    </row>
    <row r="200" spans="2:8" ht="16" customHeight="1" x14ac:dyDescent="0.35">
      <c r="B200" s="34" t="s">
        <v>975</v>
      </c>
      <c r="C200" s="34" t="s">
        <v>976</v>
      </c>
      <c r="D200" s="35">
        <f>D201+D202</f>
        <v>-4056.4274400000004</v>
      </c>
      <c r="E200" s="35">
        <f>E201+E202</f>
        <v>-2834.0149200000001</v>
      </c>
      <c r="F200" s="35">
        <f>F201+F202</f>
        <v>6890.4423599999991</v>
      </c>
      <c r="G200" s="35">
        <f>G201+G202</f>
        <v>0</v>
      </c>
      <c r="H200" s="46">
        <f>H201+H202</f>
        <v>0</v>
      </c>
    </row>
    <row r="201" spans="2:8" ht="16" customHeight="1" x14ac:dyDescent="0.35">
      <c r="B201" s="14" t="s">
        <v>977</v>
      </c>
      <c r="C201" s="14" t="s">
        <v>978</v>
      </c>
      <c r="D201" s="15">
        <v>-4996.2937000000002</v>
      </c>
      <c r="E201" s="15">
        <v>-3479.3571099999999</v>
      </c>
      <c r="F201" s="15">
        <v>8475.6508099999992</v>
      </c>
      <c r="G201" s="15"/>
      <c r="H201" s="23">
        <f>SUM(D201:G201)</f>
        <v>0</v>
      </c>
    </row>
    <row r="202" spans="2:8" ht="16" customHeight="1" x14ac:dyDescent="0.35">
      <c r="B202" s="14" t="s">
        <v>979</v>
      </c>
      <c r="C202" s="14" t="s">
        <v>980</v>
      </c>
      <c r="D202" s="15">
        <v>939.86626000000001</v>
      </c>
      <c r="E202" s="15">
        <v>645.34218999999996</v>
      </c>
      <c r="F202" s="15">
        <v>-1585.2084500000001</v>
      </c>
      <c r="G202" s="15"/>
      <c r="H202" s="23">
        <f>SUM(D202:G202)</f>
        <v>0</v>
      </c>
    </row>
    <row r="203" spans="2:8" ht="16" customHeight="1" x14ac:dyDescent="0.35">
      <c r="B203" s="10"/>
      <c r="C203" s="11" t="s">
        <v>22</v>
      </c>
      <c r="D203" s="12"/>
      <c r="E203" s="12"/>
      <c r="F203" s="12"/>
      <c r="G203" s="12"/>
      <c r="H203" s="22"/>
    </row>
    <row r="204" spans="2:8" ht="16" customHeight="1" x14ac:dyDescent="0.35">
      <c r="B204" s="38"/>
      <c r="C204" s="34" t="s">
        <v>981</v>
      </c>
      <c r="D204" s="35">
        <f>D206+D210</f>
        <v>-88.846999999999994</v>
      </c>
      <c r="E204" s="35">
        <f>E206+E210</f>
        <v>-21761.646000000001</v>
      </c>
      <c r="F204" s="35">
        <f>F206+F210</f>
        <v>21850.492999999999</v>
      </c>
      <c r="G204" s="35">
        <f>G206+G210</f>
        <v>0</v>
      </c>
      <c r="H204" s="46">
        <f>H206+H210</f>
        <v>0</v>
      </c>
    </row>
    <row r="205" spans="2:8" ht="16" customHeight="1" x14ac:dyDescent="0.35">
      <c r="B205" s="10"/>
      <c r="C205" s="11" t="s">
        <v>22</v>
      </c>
      <c r="D205" s="12"/>
      <c r="E205" s="12"/>
      <c r="F205" s="12"/>
      <c r="G205" s="12"/>
      <c r="H205" s="22"/>
    </row>
    <row r="206" spans="2:8" ht="16" customHeight="1" x14ac:dyDescent="0.35">
      <c r="B206" s="38"/>
      <c r="C206" s="34" t="s">
        <v>982</v>
      </c>
      <c r="D206" s="35">
        <f>D207+D208</f>
        <v>0</v>
      </c>
      <c r="E206" s="35">
        <f>E207+E208</f>
        <v>0</v>
      </c>
      <c r="F206" s="35">
        <f>F207+F208</f>
        <v>0</v>
      </c>
      <c r="G206" s="35">
        <f>G207+G208</f>
        <v>0</v>
      </c>
      <c r="H206" s="46">
        <f>H207+H208</f>
        <v>0</v>
      </c>
    </row>
    <row r="207" spans="2:8" ht="16" customHeight="1" x14ac:dyDescent="0.35">
      <c r="B207" s="14" t="s">
        <v>983</v>
      </c>
      <c r="C207" s="14" t="s">
        <v>984</v>
      </c>
      <c r="D207" s="15"/>
      <c r="E207" s="15"/>
      <c r="F207" s="15"/>
      <c r="G207" s="15"/>
      <c r="H207" s="23">
        <f>SUM(D207:G207)</f>
        <v>0</v>
      </c>
    </row>
    <row r="208" spans="2:8" ht="16" customHeight="1" x14ac:dyDescent="0.35">
      <c r="B208" s="14" t="s">
        <v>985</v>
      </c>
      <c r="C208" s="14" t="s">
        <v>986</v>
      </c>
      <c r="D208" s="15"/>
      <c r="E208" s="15"/>
      <c r="F208" s="15"/>
      <c r="G208" s="15"/>
      <c r="H208" s="23">
        <f>SUM(D208:G208)</f>
        <v>0</v>
      </c>
    </row>
    <row r="209" spans="2:8" ht="16" customHeight="1" x14ac:dyDescent="0.35">
      <c r="B209" s="10"/>
      <c r="C209" s="11" t="s">
        <v>22</v>
      </c>
      <c r="D209" s="12"/>
      <c r="E209" s="12"/>
      <c r="F209" s="12"/>
      <c r="G209" s="12"/>
      <c r="H209" s="22"/>
    </row>
    <row r="210" spans="2:8" ht="16" customHeight="1" x14ac:dyDescent="0.35">
      <c r="B210" s="38"/>
      <c r="C210" s="34" t="s">
        <v>987</v>
      </c>
      <c r="D210" s="35">
        <f>-(-(D211+D212)-D213)</f>
        <v>-88.846999999999994</v>
      </c>
      <c r="E210" s="35">
        <f>-(-(E211+E212)-E213)</f>
        <v>-21761.646000000001</v>
      </c>
      <c r="F210" s="35">
        <f>-(-(F211+F212)-F213)</f>
        <v>21850.492999999999</v>
      </c>
      <c r="G210" s="35">
        <f>-(-(G211+G212)-G213)</f>
        <v>0</v>
      </c>
      <c r="H210" s="46">
        <f>-(-(H211+H212)-H213)</f>
        <v>0</v>
      </c>
    </row>
    <row r="211" spans="2:8" ht="16" customHeight="1" x14ac:dyDescent="0.35">
      <c r="B211" s="14" t="s">
        <v>988</v>
      </c>
      <c r="C211" s="14" t="s">
        <v>989</v>
      </c>
      <c r="D211" s="15"/>
      <c r="E211" s="15"/>
      <c r="F211" s="15"/>
      <c r="G211" s="15"/>
      <c r="H211" s="23">
        <f>SUM(D211:G211)</f>
        <v>0</v>
      </c>
    </row>
    <row r="212" spans="2:8" ht="16" customHeight="1" x14ac:dyDescent="0.35">
      <c r="B212" s="14" t="s">
        <v>990</v>
      </c>
      <c r="C212" s="14" t="s">
        <v>991</v>
      </c>
      <c r="D212" s="15"/>
      <c r="E212" s="15"/>
      <c r="F212" s="15"/>
      <c r="G212" s="15"/>
      <c r="H212" s="23">
        <f>SUM(D212:G212)</f>
        <v>0</v>
      </c>
    </row>
    <row r="213" spans="2:8" ht="16" customHeight="1" x14ac:dyDescent="0.35">
      <c r="B213" s="14" t="s">
        <v>992</v>
      </c>
      <c r="C213" s="14" t="s">
        <v>993</v>
      </c>
      <c r="D213" s="15">
        <v>-88.846999999999994</v>
      </c>
      <c r="E213" s="15">
        <v>-21761.646000000001</v>
      </c>
      <c r="F213" s="15">
        <v>21850.492999999999</v>
      </c>
      <c r="G213" s="15"/>
      <c r="H213" s="23">
        <f>SUM(D213:G213)</f>
        <v>0</v>
      </c>
    </row>
    <row r="214" spans="2:8" ht="16" customHeight="1" x14ac:dyDescent="0.35">
      <c r="B214" s="10"/>
      <c r="C214" s="11" t="s">
        <v>22</v>
      </c>
      <c r="D214" s="12"/>
      <c r="E214" s="12"/>
      <c r="F214" s="12"/>
      <c r="G214" s="12"/>
      <c r="H214" s="22"/>
    </row>
    <row r="215" spans="2:8" ht="16" customHeight="1" x14ac:dyDescent="0.35">
      <c r="B215" s="39"/>
      <c r="C215" s="40" t="s">
        <v>994</v>
      </c>
      <c r="D215" s="24">
        <f>D167+D172+D176+D178+D180+D182+D186+D193</f>
        <v>41527.56439</v>
      </c>
      <c r="E215" s="24">
        <f>E167+E172+E176+E178+E180+E182+E186+E193</f>
        <v>13401.688359999993</v>
      </c>
      <c r="F215" s="24">
        <f>F167+F172+F176+F178+F180+F182+F186+F193</f>
        <v>-54929.25275</v>
      </c>
      <c r="G215" s="24">
        <f>G167+G172+G176+G178+G180+G182+G186+G193</f>
        <v>0</v>
      </c>
      <c r="H215" s="24">
        <f>H167+H172+H176+H178+H180+H182+H186+H193</f>
        <v>0</v>
      </c>
    </row>
    <row r="216" spans="2:8" ht="16" customHeight="1" x14ac:dyDescent="0.35">
      <c r="B216" s="10"/>
      <c r="C216" s="11" t="s">
        <v>22</v>
      </c>
      <c r="D216" s="12"/>
      <c r="E216" s="12"/>
      <c r="F216" s="12"/>
      <c r="G216" s="12"/>
      <c r="H216" s="22"/>
    </row>
    <row r="217" spans="2:8" ht="16" customHeight="1" x14ac:dyDescent="0.35">
      <c r="B217" s="40" t="s">
        <v>995</v>
      </c>
      <c r="C217" s="40" t="s">
        <v>996</v>
      </c>
      <c r="D217" s="24">
        <f>D104+D163+D215</f>
        <v>-1945.9671600000729</v>
      </c>
      <c r="E217" s="24">
        <f>E104+E163+E215</f>
        <v>36954.694020000105</v>
      </c>
      <c r="F217" s="24">
        <f>F104+F163+F215</f>
        <v>-35008.726859999893</v>
      </c>
      <c r="G217" s="24">
        <f>G104+G163+G215</f>
        <v>0</v>
      </c>
      <c r="H217" s="24">
        <f>H104+H163+H215</f>
        <v>-2.5262124918247909E-13</v>
      </c>
    </row>
    <row r="218" spans="2:8" ht="16" customHeight="1" x14ac:dyDescent="0.35">
      <c r="B218" s="10"/>
      <c r="C218" s="11" t="s">
        <v>22</v>
      </c>
      <c r="D218" s="12"/>
      <c r="E218" s="12"/>
      <c r="F218" s="12"/>
      <c r="G218" s="12"/>
      <c r="H218" s="22"/>
    </row>
    <row r="219" spans="2:8" ht="16" customHeight="1" x14ac:dyDescent="0.35">
      <c r="B219" s="14" t="s">
        <v>997</v>
      </c>
      <c r="C219" s="14" t="s">
        <v>998</v>
      </c>
      <c r="D219" s="15">
        <v>1955.4903200000001</v>
      </c>
      <c r="E219" s="15">
        <v>0</v>
      </c>
      <c r="F219" s="15">
        <v>-1955.4903200000001</v>
      </c>
      <c r="G219" s="15"/>
      <c r="H219" s="23">
        <f>SUM(D219:G219)</f>
        <v>0</v>
      </c>
    </row>
    <row r="220" spans="2:8" ht="16" customHeight="1" x14ac:dyDescent="0.35">
      <c r="B220" s="14" t="s">
        <v>999</v>
      </c>
      <c r="C220" s="14" t="s">
        <v>996</v>
      </c>
      <c r="D220" s="15">
        <f>D222-D221-D219</f>
        <v>-1945.9718</v>
      </c>
      <c r="E220" s="15">
        <f>E222-E221-E219</f>
        <v>41896.188069999997</v>
      </c>
      <c r="F220" s="15">
        <f>F222-F221-F219</f>
        <v>1955.4903200000001</v>
      </c>
      <c r="G220" s="15">
        <f>G222-G221-G219</f>
        <v>0</v>
      </c>
      <c r="H220" s="23">
        <f>H222-H221-H219</f>
        <v>41905.706589999994</v>
      </c>
    </row>
    <row r="221" spans="2:8" ht="16" customHeight="1" x14ac:dyDescent="0.35">
      <c r="B221" s="14" t="s">
        <v>1000</v>
      </c>
      <c r="C221" s="14" t="s">
        <v>1001</v>
      </c>
      <c r="D221" s="15"/>
      <c r="E221" s="15"/>
      <c r="F221" s="15"/>
      <c r="G221" s="15"/>
      <c r="H221" s="23">
        <f>SUM(D221:G221)</f>
        <v>0</v>
      </c>
    </row>
    <row r="222" spans="2:8" ht="16" customHeight="1" x14ac:dyDescent="0.35">
      <c r="B222" s="14" t="s">
        <v>1002</v>
      </c>
      <c r="C222" s="14" t="s">
        <v>1003</v>
      </c>
      <c r="D222" s="15">
        <v>9.5185200000000005</v>
      </c>
      <c r="E222" s="15">
        <v>41896.188069999997</v>
      </c>
      <c r="F222" s="15"/>
      <c r="G222" s="15"/>
      <c r="H222" s="23">
        <f>SUM(D222:G222)</f>
        <v>41905.706589999994</v>
      </c>
    </row>
    <row r="223" spans="2:8" ht="16" customHeight="1" x14ac:dyDescent="0.35">
      <c r="B223" s="10"/>
      <c r="C223" s="11" t="s">
        <v>22</v>
      </c>
      <c r="D223" s="12"/>
      <c r="E223" s="12"/>
      <c r="F223" s="12"/>
      <c r="G223" s="12"/>
      <c r="H223" s="22"/>
    </row>
    <row r="224" spans="2:8" ht="16" customHeight="1" x14ac:dyDescent="0.35">
      <c r="B224" s="10"/>
      <c r="C224" s="11" t="s">
        <v>22</v>
      </c>
      <c r="D224" s="12"/>
      <c r="E224" s="12"/>
      <c r="F224" s="12"/>
      <c r="G224" s="12"/>
      <c r="H224" s="22"/>
    </row>
    <row r="225" spans="2:8" ht="16" customHeight="1" x14ac:dyDescent="0.35">
      <c r="B225" s="41"/>
      <c r="C225" s="36" t="s">
        <v>751</v>
      </c>
      <c r="D225" s="37">
        <f>D217-D220</f>
        <v>4.6399999271216075E-3</v>
      </c>
      <c r="E225" s="37">
        <f>E217-E220</f>
        <v>-4941.494049999892</v>
      </c>
      <c r="F225" s="37">
        <f>F217-F220</f>
        <v>-36964.217179999891</v>
      </c>
      <c r="G225" s="37">
        <f>G217-G220</f>
        <v>0</v>
      </c>
      <c r="H225" s="47">
        <f>H217-H220</f>
        <v>-41905.706589999994</v>
      </c>
    </row>
    <row r="226" spans="2:8" ht="16" customHeight="1" x14ac:dyDescent="0.35">
      <c r="B226" s="10"/>
      <c r="C226" s="11" t="s">
        <v>22</v>
      </c>
      <c r="D226" s="12"/>
      <c r="E226" s="12"/>
      <c r="F226" s="12"/>
      <c r="G226" s="12"/>
      <c r="H226" s="22"/>
    </row>
    <row r="227" spans="2:8" ht="16" customHeight="1" x14ac:dyDescent="0.35">
      <c r="B227" s="10"/>
      <c r="C227" s="11" t="s">
        <v>22</v>
      </c>
      <c r="D227" s="12"/>
      <c r="E227" s="12"/>
      <c r="F227" s="12"/>
      <c r="G227" s="12"/>
      <c r="H227" s="22"/>
    </row>
    <row r="228" spans="2:8" ht="16" customHeight="1" x14ac:dyDescent="0.35">
      <c r="B228" s="38"/>
      <c r="C228" s="34" t="s">
        <v>1004</v>
      </c>
      <c r="D228" s="35"/>
      <c r="E228" s="35"/>
      <c r="F228" s="35"/>
      <c r="G228" s="35"/>
      <c r="H228" s="46"/>
    </row>
    <row r="229" spans="2:8" ht="16" customHeight="1" x14ac:dyDescent="0.35">
      <c r="B229" s="10"/>
      <c r="C229" s="11" t="s">
        <v>22</v>
      </c>
      <c r="D229" s="12"/>
      <c r="E229" s="12"/>
      <c r="F229" s="12"/>
      <c r="G229" s="12"/>
      <c r="H229" s="22"/>
    </row>
    <row r="230" spans="2:8" ht="16" customHeight="1" x14ac:dyDescent="0.35">
      <c r="B230" s="42"/>
      <c r="C230" s="14" t="s">
        <v>890</v>
      </c>
      <c r="D230" s="15">
        <f>D128</f>
        <v>-126077.80381000001</v>
      </c>
      <c r="E230" s="15">
        <f>E128</f>
        <v>-41553.990489999996</v>
      </c>
      <c r="F230" s="15">
        <f>F128</f>
        <v>167631.79430000001</v>
      </c>
      <c r="G230" s="15">
        <f>G128</f>
        <v>0</v>
      </c>
      <c r="H230" s="23">
        <f>H128</f>
        <v>-2.5247573739247027E-14</v>
      </c>
    </row>
    <row r="231" spans="2:8" ht="16" customHeight="1" x14ac:dyDescent="0.35">
      <c r="B231" s="42"/>
      <c r="C231" s="14" t="s">
        <v>892</v>
      </c>
      <c r="D231" s="15">
        <f>D130</f>
        <v>1893.3</v>
      </c>
      <c r="E231" s="15">
        <f>E130</f>
        <v>265.59226999999998</v>
      </c>
      <c r="F231" s="15">
        <f>F130</f>
        <v>-2158.8922699999998</v>
      </c>
      <c r="G231" s="15">
        <f>G130</f>
        <v>0</v>
      </c>
      <c r="H231" s="23">
        <f>H130</f>
        <v>0</v>
      </c>
    </row>
    <row r="232" spans="2:8" ht="16" customHeight="1" x14ac:dyDescent="0.35">
      <c r="B232" s="38"/>
      <c r="C232" s="34" t="s">
        <v>1005</v>
      </c>
      <c r="D232" s="35">
        <f>D104+D230+D231</f>
        <v>-389701.71885000006</v>
      </c>
      <c r="E232" s="35">
        <f>E104+E230+E231</f>
        <v>132605.41696000009</v>
      </c>
      <c r="F232" s="35">
        <f>F104+F230+F231</f>
        <v>257096.30189000009</v>
      </c>
      <c r="G232" s="35">
        <f>G104+G230+G231</f>
        <v>0</v>
      </c>
      <c r="H232" s="46">
        <f>H104+H230+H231</f>
        <v>-2.5247573739247027E-14</v>
      </c>
    </row>
    <row r="233" spans="2:8" ht="16" customHeight="1" x14ac:dyDescent="0.35">
      <c r="B233" s="42"/>
      <c r="C233" s="14" t="s">
        <v>976</v>
      </c>
      <c r="D233" s="15">
        <f>D200</f>
        <v>-4056.4274400000004</v>
      </c>
      <c r="E233" s="15">
        <f>E200</f>
        <v>-2834.0149200000001</v>
      </c>
      <c r="F233" s="15">
        <f>F200</f>
        <v>6890.4423599999991</v>
      </c>
      <c r="G233" s="15">
        <f>G200</f>
        <v>0</v>
      </c>
      <c r="H233" s="23">
        <f>H200</f>
        <v>0</v>
      </c>
    </row>
    <row r="234" spans="2:8" ht="16" customHeight="1" x14ac:dyDescent="0.35">
      <c r="B234" s="38"/>
      <c r="C234" s="34" t="s">
        <v>1006</v>
      </c>
      <c r="D234" s="35">
        <f>D232+D233</f>
        <v>-393758.14629000006</v>
      </c>
      <c r="E234" s="35">
        <f>E232+E233</f>
        <v>129771.40204000009</v>
      </c>
      <c r="F234" s="35">
        <f>F232+F233</f>
        <v>263986.74425000011</v>
      </c>
      <c r="G234" s="35">
        <f>G232+G233</f>
        <v>0</v>
      </c>
      <c r="H234" s="46">
        <f>H232+H233</f>
        <v>-2.5247573739247027E-14</v>
      </c>
    </row>
    <row r="235" spans="2:8" ht="16" customHeight="1" x14ac:dyDescent="0.35">
      <c r="B235" s="42"/>
      <c r="C235" s="14" t="s">
        <v>813</v>
      </c>
      <c r="D235" s="15">
        <f>D63</f>
        <v>-44948.564960000003</v>
      </c>
      <c r="E235" s="15">
        <f>E63</f>
        <v>-378.74200000000002</v>
      </c>
      <c r="F235" s="15">
        <f>F63</f>
        <v>45327.306960000002</v>
      </c>
      <c r="G235" s="15">
        <f>G63</f>
        <v>0</v>
      </c>
      <c r="H235" s="23">
        <f>H63</f>
        <v>0</v>
      </c>
    </row>
    <row r="236" spans="2:8" ht="16" customHeight="1" x14ac:dyDescent="0.35">
      <c r="B236" s="38"/>
      <c r="C236" s="34" t="s">
        <v>1007</v>
      </c>
      <c r="D236" s="35">
        <f>D234-D235</f>
        <v>-348809.58133000007</v>
      </c>
      <c r="E236" s="35">
        <f>E234-E235</f>
        <v>130150.14404000009</v>
      </c>
      <c r="F236" s="35">
        <f>F234-F235</f>
        <v>218659.43729000009</v>
      </c>
      <c r="G236" s="35">
        <f>G234-G235</f>
        <v>0</v>
      </c>
      <c r="H236" s="46">
        <f>H234-H235</f>
        <v>-2.5247573739247027E-14</v>
      </c>
    </row>
    <row r="237" spans="2:8" ht="16" customHeight="1" x14ac:dyDescent="0.35">
      <c r="B237" s="10"/>
      <c r="C237" s="11" t="s">
        <v>22</v>
      </c>
      <c r="D237" s="12"/>
      <c r="E237" s="12"/>
      <c r="F237" s="12"/>
      <c r="G237" s="12"/>
      <c r="H237" s="22"/>
    </row>
    <row r="238" spans="2:8" ht="16" customHeight="1" x14ac:dyDescent="0.35">
      <c r="B238" s="43"/>
      <c r="C238" s="44" t="s">
        <v>1008</v>
      </c>
      <c r="D238" s="45">
        <v>-2.919762274</v>
      </c>
      <c r="E238" s="45">
        <v>0.44308224000000002</v>
      </c>
      <c r="F238" s="45">
        <v>-0.52918139799999997</v>
      </c>
      <c r="G238" s="45"/>
      <c r="H238" s="48">
        <f>SUM(D238:G238)</f>
        <v>-3.0058614320000001</v>
      </c>
    </row>
    <row r="239" spans="2:8" ht="16" customHeight="1" x14ac:dyDescent="0.35">
      <c r="B239" s="43"/>
      <c r="C239" s="44" t="s">
        <v>1009</v>
      </c>
      <c r="D239" s="45">
        <v>-14.119970042</v>
      </c>
      <c r="E239" s="45">
        <v>0.62136053099999999</v>
      </c>
      <c r="F239" s="45">
        <v>-1.066742165</v>
      </c>
      <c r="G239" s="45"/>
      <c r="H239" s="48">
        <f>SUM(D239:G239)</f>
        <v>-14.565351675999999</v>
      </c>
    </row>
    <row r="240" spans="2:8" ht="16" customHeight="1" x14ac:dyDescent="0.35">
      <c r="B240" s="43"/>
      <c r="C240" s="44" t="s">
        <v>1010</v>
      </c>
      <c r="D240" s="45">
        <v>-0.59476138300000003</v>
      </c>
      <c r="E240" s="45">
        <v>0.16301522700000001</v>
      </c>
      <c r="F240" s="45">
        <v>-0.181046822</v>
      </c>
      <c r="G240" s="45"/>
      <c r="H240" s="48">
        <f>SUM(D240:G240)</f>
        <v>-0.61279297799999999</v>
      </c>
    </row>
    <row r="241" spans="2:8" ht="16" customHeight="1" x14ac:dyDescent="0.35">
      <c r="B241" s="10"/>
      <c r="C241" s="11" t="s">
        <v>22</v>
      </c>
      <c r="D241" s="12"/>
      <c r="E241" s="12"/>
      <c r="F241" s="12"/>
      <c r="G241" s="12"/>
      <c r="H241" s="22"/>
    </row>
  </sheetData>
  <mergeCells count="1">
    <mergeCell ref="B8:C8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3BD17-3771-4021-9012-2D4283E0E0EA}">
  <dimension ref="A3:Q380"/>
  <sheetViews>
    <sheetView showGridLines="0" workbookViewId="0">
      <pane xSplit="3" ySplit="10" topLeftCell="D11" activePane="bottomRight" state="frozen"/>
      <selection pane="topRight" activeCell="D1" sqref="D1"/>
      <selection pane="bottomLeft" activeCell="A7" sqref="A7"/>
      <selection pane="bottomRight" activeCell="B4" sqref="B4:C4"/>
    </sheetView>
  </sheetViews>
  <sheetFormatPr defaultColWidth="9.1796875" defaultRowHeight="16" customHeight="1" x14ac:dyDescent="0.35"/>
  <cols>
    <col min="1" max="1" width="2.453125" style="1" customWidth="1"/>
    <col min="2" max="2" width="10.7265625" style="1" customWidth="1"/>
    <col min="3" max="3" width="55.7265625" style="1" customWidth="1"/>
    <col min="4" max="15" width="14.7265625" style="1" customWidth="1"/>
    <col min="16" max="16" width="15.7265625" style="1" customWidth="1"/>
    <col min="17" max="26" width="14.7265625" style="1" customWidth="1"/>
    <col min="27" max="16384" width="9.1796875" style="1"/>
  </cols>
  <sheetData>
    <row r="3" spans="1:17" ht="16" customHeight="1" x14ac:dyDescent="0.35">
      <c r="B3" s="2" t="s">
        <v>1013</v>
      </c>
      <c r="E3" s="49"/>
      <c r="F3" s="50"/>
    </row>
    <row r="4" spans="1:17" ht="16" customHeight="1" x14ac:dyDescent="0.35">
      <c r="B4" s="33" t="s">
        <v>270</v>
      </c>
      <c r="C4" s="33"/>
    </row>
    <row r="5" spans="1:17" ht="16" customHeight="1" x14ac:dyDescent="0.35">
      <c r="B5" s="4" t="s">
        <v>271</v>
      </c>
    </row>
    <row r="6" spans="1:17" ht="16" customHeight="1" x14ac:dyDescent="0.35">
      <c r="A6" s="27" t="s">
        <v>1014</v>
      </c>
      <c r="B6" s="1" t="str">
        <f>REPLACE(A6,16,7,"MTD")</f>
        <v>Period length: MTD</v>
      </c>
    </row>
    <row r="7" spans="1:17" ht="16" customHeight="1" x14ac:dyDescent="0.35">
      <c r="A7" s="27"/>
      <c r="B7" s="4" t="s">
        <v>272</v>
      </c>
    </row>
    <row r="8" spans="1:17" ht="16" customHeight="1" x14ac:dyDescent="0.35">
      <c r="B8" s="6">
        <v>46189.339227800927</v>
      </c>
      <c r="C8" s="6"/>
    </row>
    <row r="9" spans="1:17" ht="16" customHeight="1" x14ac:dyDescent="0.35">
      <c r="B9" s="51"/>
    </row>
    <row r="10" spans="1:17" ht="16" customHeight="1" thickBot="1" x14ac:dyDescent="0.5">
      <c r="B10" s="7"/>
      <c r="C10" s="28"/>
      <c r="D10" s="8" t="s">
        <v>273</v>
      </c>
      <c r="E10" s="8" t="s">
        <v>274</v>
      </c>
      <c r="F10" s="8" t="s">
        <v>275</v>
      </c>
      <c r="G10" s="8" t="s">
        <v>276</v>
      </c>
      <c r="H10" s="8" t="s">
        <v>5</v>
      </c>
      <c r="I10" s="8" t="s">
        <v>277</v>
      </c>
      <c r="J10" s="8" t="s">
        <v>278</v>
      </c>
      <c r="K10" s="8" t="s">
        <v>279</v>
      </c>
      <c r="L10" s="8" t="s">
        <v>280</v>
      </c>
      <c r="M10" s="8" t="s">
        <v>281</v>
      </c>
      <c r="N10" s="8" t="s">
        <v>282</v>
      </c>
      <c r="O10" s="8" t="s">
        <v>283</v>
      </c>
      <c r="P10" s="21" t="s">
        <v>268</v>
      </c>
      <c r="Q10" s="9"/>
    </row>
    <row r="11" spans="1:17" ht="16" customHeight="1" x14ac:dyDescent="0.45">
      <c r="B11" s="10"/>
      <c r="C11" s="11"/>
      <c r="D11" s="29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22"/>
      <c r="Q11" s="13"/>
    </row>
    <row r="12" spans="1:17" ht="16" customHeight="1" x14ac:dyDescent="0.45">
      <c r="B12" s="38"/>
      <c r="C12" s="34" t="s">
        <v>754</v>
      </c>
      <c r="D12" s="52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46"/>
      <c r="Q12" s="13"/>
    </row>
    <row r="13" spans="1:17" ht="16" customHeight="1" x14ac:dyDescent="0.45">
      <c r="B13" s="10"/>
      <c r="C13" s="11" t="s">
        <v>22</v>
      </c>
      <c r="D13" s="29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22"/>
      <c r="Q13" s="13"/>
    </row>
    <row r="14" spans="1:17" ht="16" customHeight="1" x14ac:dyDescent="0.45">
      <c r="B14" s="14" t="s">
        <v>755</v>
      </c>
      <c r="C14" s="14" t="s">
        <v>138</v>
      </c>
      <c r="D14" s="30">
        <v>-4567.3949700000003</v>
      </c>
      <c r="E14" s="15">
        <v>-1364.83212</v>
      </c>
      <c r="F14" s="15">
        <v>39923.199939999999</v>
      </c>
      <c r="G14" s="15">
        <v>84015.695619999999</v>
      </c>
      <c r="H14" s="15">
        <v>97227.604170000006</v>
      </c>
      <c r="I14" s="15">
        <v>53098.594920000003</v>
      </c>
      <c r="J14" s="15">
        <v>-268332.86755999998</v>
      </c>
      <c r="K14" s="15"/>
      <c r="L14" s="15"/>
      <c r="M14" s="15"/>
      <c r="N14" s="15"/>
      <c r="O14" s="15"/>
      <c r="P14" s="23">
        <f>SUM(D14:O14)</f>
        <v>0</v>
      </c>
      <c r="Q14" s="13"/>
    </row>
    <row r="15" spans="1:17" ht="16" customHeight="1" x14ac:dyDescent="0.45">
      <c r="B15" s="10"/>
      <c r="C15" s="11" t="s">
        <v>22</v>
      </c>
      <c r="D15" s="29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22"/>
      <c r="Q15" s="13"/>
    </row>
    <row r="16" spans="1:17" ht="16" customHeight="1" x14ac:dyDescent="0.45">
      <c r="B16" s="14" t="s">
        <v>756</v>
      </c>
      <c r="C16" s="14" t="s">
        <v>757</v>
      </c>
      <c r="D16" s="30">
        <v>28301.74497</v>
      </c>
      <c r="E16" s="15">
        <v>27505.959050000001</v>
      </c>
      <c r="F16" s="15">
        <v>29666.38522</v>
      </c>
      <c r="G16" s="15">
        <v>29268.23343</v>
      </c>
      <c r="H16" s="15">
        <v>30127.991580000002</v>
      </c>
      <c r="I16" s="15">
        <v>0</v>
      </c>
      <c r="J16" s="15">
        <v>-144870.31425</v>
      </c>
      <c r="K16" s="15"/>
      <c r="L16" s="15"/>
      <c r="M16" s="15"/>
      <c r="N16" s="15"/>
      <c r="O16" s="15"/>
      <c r="P16" s="23">
        <f>SUM(D16:O16)</f>
        <v>0</v>
      </c>
      <c r="Q16" s="13"/>
    </row>
    <row r="17" spans="2:17" ht="16" customHeight="1" x14ac:dyDescent="0.45">
      <c r="B17" s="10"/>
      <c r="C17" s="11" t="s">
        <v>22</v>
      </c>
      <c r="D17" s="29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22"/>
      <c r="Q17" s="13"/>
    </row>
    <row r="18" spans="2:17" ht="16" customHeight="1" x14ac:dyDescent="0.45">
      <c r="B18" s="34" t="s">
        <v>758</v>
      </c>
      <c r="C18" s="34" t="s">
        <v>126</v>
      </c>
      <c r="D18" s="52">
        <f t="shared" ref="D18:P18" si="0">D14+D16</f>
        <v>23734.35</v>
      </c>
      <c r="E18" s="35">
        <f t="shared" si="0"/>
        <v>26141.126930000002</v>
      </c>
      <c r="F18" s="35">
        <f t="shared" si="0"/>
        <v>69589.585160000002</v>
      </c>
      <c r="G18" s="35">
        <f t="shared" si="0"/>
        <v>113283.92905000001</v>
      </c>
      <c r="H18" s="35">
        <f t="shared" si="0"/>
        <v>127355.59575000001</v>
      </c>
      <c r="I18" s="35">
        <f t="shared" si="0"/>
        <v>53098.594920000003</v>
      </c>
      <c r="J18" s="35">
        <f t="shared" si="0"/>
        <v>-413203.18180999998</v>
      </c>
      <c r="K18" s="35">
        <f t="shared" si="0"/>
        <v>0</v>
      </c>
      <c r="L18" s="35">
        <f t="shared" si="0"/>
        <v>0</v>
      </c>
      <c r="M18" s="35">
        <f t="shared" si="0"/>
        <v>0</v>
      </c>
      <c r="N18" s="35">
        <f t="shared" si="0"/>
        <v>0</v>
      </c>
      <c r="O18" s="35">
        <f t="shared" si="0"/>
        <v>0</v>
      </c>
      <c r="P18" s="46">
        <f t="shared" si="0"/>
        <v>0</v>
      </c>
      <c r="Q18" s="13"/>
    </row>
    <row r="19" spans="2:17" ht="16" customHeight="1" x14ac:dyDescent="0.45">
      <c r="B19" s="10"/>
      <c r="C19" s="11" t="s">
        <v>22</v>
      </c>
      <c r="D19" s="29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22"/>
      <c r="Q19" s="13"/>
    </row>
    <row r="20" spans="2:17" ht="16" customHeight="1" x14ac:dyDescent="0.45">
      <c r="B20" s="14" t="s">
        <v>759</v>
      </c>
      <c r="C20" s="14" t="s">
        <v>760</v>
      </c>
      <c r="D20" s="30">
        <v>1356.7952499999999</v>
      </c>
      <c r="E20" s="15">
        <v>1356.4534000000001</v>
      </c>
      <c r="F20" s="15">
        <v>1398.58701</v>
      </c>
      <c r="G20" s="15">
        <v>1570.0426299999999</v>
      </c>
      <c r="H20" s="15">
        <v>1499.8803399999999</v>
      </c>
      <c r="I20" s="15">
        <v>0</v>
      </c>
      <c r="J20" s="15">
        <v>-7181.7586300000003</v>
      </c>
      <c r="K20" s="15"/>
      <c r="L20" s="15"/>
      <c r="M20" s="15"/>
      <c r="N20" s="15"/>
      <c r="O20" s="15"/>
      <c r="P20" s="23">
        <f>SUM(D20:O20)</f>
        <v>0</v>
      </c>
      <c r="Q20" s="13"/>
    </row>
    <row r="21" spans="2:17" ht="16" customHeight="1" x14ac:dyDescent="0.45">
      <c r="B21" s="14" t="s">
        <v>761</v>
      </c>
      <c r="C21" s="14" t="s">
        <v>762</v>
      </c>
      <c r="D21" s="30">
        <v>3939.5516499999999</v>
      </c>
      <c r="E21" s="15">
        <v>3930.2204700000002</v>
      </c>
      <c r="F21" s="15">
        <v>3892.7963500000001</v>
      </c>
      <c r="G21" s="15">
        <v>3829.30654</v>
      </c>
      <c r="H21" s="15">
        <v>2489.42121</v>
      </c>
      <c r="I21" s="15">
        <v>0</v>
      </c>
      <c r="J21" s="15">
        <v>-18081.29622</v>
      </c>
      <c r="K21" s="15"/>
      <c r="L21" s="15"/>
      <c r="M21" s="15"/>
      <c r="N21" s="15"/>
      <c r="O21" s="15"/>
      <c r="P21" s="23">
        <f>SUM(D21:O21)</f>
        <v>0</v>
      </c>
      <c r="Q21" s="13"/>
    </row>
    <row r="22" spans="2:17" ht="16" customHeight="1" x14ac:dyDescent="0.45">
      <c r="B22" s="10"/>
      <c r="C22" s="11" t="s">
        <v>22</v>
      </c>
      <c r="D22" s="29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22"/>
      <c r="Q22" s="13"/>
    </row>
    <row r="23" spans="2:17" ht="16" customHeight="1" x14ac:dyDescent="0.45">
      <c r="B23" s="38"/>
      <c r="C23" s="34" t="s">
        <v>763</v>
      </c>
      <c r="D23" s="52">
        <f t="shared" ref="D23:P23" si="1">D24+D25</f>
        <v>0</v>
      </c>
      <c r="E23" s="35">
        <f t="shared" si="1"/>
        <v>0</v>
      </c>
      <c r="F23" s="35">
        <f t="shared" si="1"/>
        <v>0</v>
      </c>
      <c r="G23" s="35">
        <f t="shared" si="1"/>
        <v>0</v>
      </c>
      <c r="H23" s="35">
        <f t="shared" si="1"/>
        <v>0</v>
      </c>
      <c r="I23" s="35">
        <f t="shared" si="1"/>
        <v>0</v>
      </c>
      <c r="J23" s="35">
        <f t="shared" si="1"/>
        <v>0</v>
      </c>
      <c r="K23" s="35">
        <f t="shared" si="1"/>
        <v>0</v>
      </c>
      <c r="L23" s="35">
        <f t="shared" si="1"/>
        <v>0</v>
      </c>
      <c r="M23" s="35">
        <f t="shared" si="1"/>
        <v>0</v>
      </c>
      <c r="N23" s="35">
        <f t="shared" si="1"/>
        <v>0</v>
      </c>
      <c r="O23" s="35">
        <f t="shared" si="1"/>
        <v>0</v>
      </c>
      <c r="P23" s="46">
        <f t="shared" si="1"/>
        <v>0</v>
      </c>
      <c r="Q23" s="13"/>
    </row>
    <row r="24" spans="2:17" ht="16" customHeight="1" x14ac:dyDescent="0.45">
      <c r="B24" s="14" t="s">
        <v>764</v>
      </c>
      <c r="C24" s="14" t="s">
        <v>112</v>
      </c>
      <c r="D24" s="30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23">
        <f>SUM(D24:O24)</f>
        <v>0</v>
      </c>
      <c r="Q24" s="13"/>
    </row>
    <row r="25" spans="2:17" ht="16" customHeight="1" x14ac:dyDescent="0.45">
      <c r="B25" s="14" t="s">
        <v>765</v>
      </c>
      <c r="C25" s="14" t="s">
        <v>110</v>
      </c>
      <c r="D25" s="30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23">
        <f>SUM(D25:O25)</f>
        <v>0</v>
      </c>
      <c r="Q25" s="13"/>
    </row>
    <row r="26" spans="2:17" ht="16" customHeight="1" x14ac:dyDescent="0.45">
      <c r="B26" s="10"/>
      <c r="C26" s="11" t="s">
        <v>22</v>
      </c>
      <c r="D26" s="29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22"/>
      <c r="Q26" s="13"/>
    </row>
    <row r="27" spans="2:17" ht="16" customHeight="1" x14ac:dyDescent="0.45">
      <c r="B27" s="38"/>
      <c r="C27" s="34" t="s">
        <v>766</v>
      </c>
      <c r="D27" s="52">
        <f t="shared" ref="D27:P27" si="2">D28+D29</f>
        <v>-85.361959999999996</v>
      </c>
      <c r="E27" s="35">
        <f t="shared" si="2"/>
        <v>85.361959999999996</v>
      </c>
      <c r="F27" s="35">
        <f t="shared" si="2"/>
        <v>0</v>
      </c>
      <c r="G27" s="35">
        <f t="shared" si="2"/>
        <v>133.62189000000001</v>
      </c>
      <c r="H27" s="35">
        <f t="shared" si="2"/>
        <v>1188.5669</v>
      </c>
      <c r="I27" s="35">
        <f t="shared" si="2"/>
        <v>0</v>
      </c>
      <c r="J27" s="35">
        <f t="shared" si="2"/>
        <v>-1322.1887899999999</v>
      </c>
      <c r="K27" s="35">
        <f t="shared" si="2"/>
        <v>0</v>
      </c>
      <c r="L27" s="35">
        <f t="shared" si="2"/>
        <v>0</v>
      </c>
      <c r="M27" s="35">
        <f t="shared" si="2"/>
        <v>0</v>
      </c>
      <c r="N27" s="35">
        <f t="shared" si="2"/>
        <v>0</v>
      </c>
      <c r="O27" s="35">
        <f t="shared" si="2"/>
        <v>0</v>
      </c>
      <c r="P27" s="46">
        <f t="shared" si="2"/>
        <v>0</v>
      </c>
      <c r="Q27" s="13"/>
    </row>
    <row r="28" spans="2:17" ht="16" customHeight="1" x14ac:dyDescent="0.45">
      <c r="B28" s="14" t="s">
        <v>767</v>
      </c>
      <c r="C28" s="14" t="s">
        <v>768</v>
      </c>
      <c r="D28" s="30">
        <v>-85.361959999999996</v>
      </c>
      <c r="E28" s="15">
        <v>85.361959999999996</v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23">
        <f>SUM(D28:O28)</f>
        <v>0</v>
      </c>
      <c r="Q28" s="13"/>
    </row>
    <row r="29" spans="2:17" ht="16" customHeight="1" x14ac:dyDescent="0.45">
      <c r="B29" s="14" t="s">
        <v>769</v>
      </c>
      <c r="C29" s="14" t="s">
        <v>770</v>
      </c>
      <c r="D29" s="30"/>
      <c r="E29" s="15"/>
      <c r="F29" s="15"/>
      <c r="G29" s="15">
        <v>133.62189000000001</v>
      </c>
      <c r="H29" s="15">
        <v>1188.5669</v>
      </c>
      <c r="I29" s="15">
        <v>0</v>
      </c>
      <c r="J29" s="15">
        <v>-1322.1887899999999</v>
      </c>
      <c r="K29" s="15"/>
      <c r="L29" s="15"/>
      <c r="M29" s="15"/>
      <c r="N29" s="15"/>
      <c r="O29" s="15"/>
      <c r="P29" s="23">
        <f>SUM(D29:O29)</f>
        <v>0</v>
      </c>
      <c r="Q29" s="13"/>
    </row>
    <row r="30" spans="2:17" ht="16" customHeight="1" x14ac:dyDescent="0.45">
      <c r="B30" s="10"/>
      <c r="C30" s="11" t="s">
        <v>22</v>
      </c>
      <c r="D30" s="29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22"/>
      <c r="Q30" s="13"/>
    </row>
    <row r="31" spans="2:17" ht="16" customHeight="1" x14ac:dyDescent="0.45">
      <c r="B31" s="38"/>
      <c r="C31" s="34" t="s">
        <v>771</v>
      </c>
      <c r="D31" s="52">
        <f t="shared" ref="D31:P31" si="3">D32+D33+D34+D35+D36+D37+D38</f>
        <v>2589.0476099999996</v>
      </c>
      <c r="E31" s="35">
        <f t="shared" si="3"/>
        <v>-10715.623089999999</v>
      </c>
      <c r="F31" s="35">
        <f t="shared" si="3"/>
        <v>8766.6853699999992</v>
      </c>
      <c r="G31" s="35">
        <f t="shared" si="3"/>
        <v>-1793.8644299999999</v>
      </c>
      <c r="H31" s="35">
        <f t="shared" si="3"/>
        <v>5967.6549999999997</v>
      </c>
      <c r="I31" s="35">
        <f t="shared" si="3"/>
        <v>-2968.4746799999998</v>
      </c>
      <c r="J31" s="35">
        <f t="shared" si="3"/>
        <v>-1845.4257800000005</v>
      </c>
      <c r="K31" s="35">
        <f t="shared" si="3"/>
        <v>0</v>
      </c>
      <c r="L31" s="35">
        <f t="shared" si="3"/>
        <v>0</v>
      </c>
      <c r="M31" s="35">
        <f t="shared" si="3"/>
        <v>0</v>
      </c>
      <c r="N31" s="35">
        <f t="shared" si="3"/>
        <v>0</v>
      </c>
      <c r="O31" s="35">
        <f t="shared" si="3"/>
        <v>0</v>
      </c>
      <c r="P31" s="46">
        <f t="shared" si="3"/>
        <v>0</v>
      </c>
      <c r="Q31" s="13"/>
    </row>
    <row r="32" spans="2:17" ht="16" customHeight="1" x14ac:dyDescent="0.45">
      <c r="B32" s="14" t="s">
        <v>772</v>
      </c>
      <c r="C32" s="14" t="s">
        <v>88</v>
      </c>
      <c r="D32" s="30"/>
      <c r="E32" s="15">
        <v>-60</v>
      </c>
      <c r="F32" s="15">
        <v>-1833.3</v>
      </c>
      <c r="G32" s="15">
        <v>-265.59226999999998</v>
      </c>
      <c r="H32" s="15">
        <v>0</v>
      </c>
      <c r="I32" s="15">
        <v>0</v>
      </c>
      <c r="J32" s="15">
        <v>2158.8922699999998</v>
      </c>
      <c r="K32" s="15"/>
      <c r="L32" s="15"/>
      <c r="M32" s="15"/>
      <c r="N32" s="15"/>
      <c r="O32" s="15"/>
      <c r="P32" s="23">
        <f t="shared" ref="P32:P38" si="4">SUM(D32:O32)</f>
        <v>0</v>
      </c>
      <c r="Q32" s="13"/>
    </row>
    <row r="33" spans="2:17" ht="16" customHeight="1" x14ac:dyDescent="0.45">
      <c r="B33" s="14" t="s">
        <v>773</v>
      </c>
      <c r="C33" s="14" t="s">
        <v>774</v>
      </c>
      <c r="D33" s="30"/>
      <c r="E33" s="15"/>
      <c r="F33" s="15">
        <v>-39.624450000000003</v>
      </c>
      <c r="G33" s="15">
        <v>-44.946530000000003</v>
      </c>
      <c r="H33" s="15">
        <v>-0.1208</v>
      </c>
      <c r="I33" s="15">
        <v>0</v>
      </c>
      <c r="J33" s="15">
        <v>84.691779999999994</v>
      </c>
      <c r="K33" s="15"/>
      <c r="L33" s="15"/>
      <c r="M33" s="15"/>
      <c r="N33" s="15"/>
      <c r="O33" s="15"/>
      <c r="P33" s="23">
        <f t="shared" si="4"/>
        <v>0</v>
      </c>
      <c r="Q33" s="13"/>
    </row>
    <row r="34" spans="2:17" ht="16" customHeight="1" x14ac:dyDescent="0.45">
      <c r="B34" s="14" t="s">
        <v>775</v>
      </c>
      <c r="C34" s="14" t="s">
        <v>776</v>
      </c>
      <c r="D34" s="30">
        <v>-500</v>
      </c>
      <c r="E34" s="15">
        <v>500</v>
      </c>
      <c r="F34" s="15">
        <v>-95.825000000000003</v>
      </c>
      <c r="G34" s="15">
        <v>0</v>
      </c>
      <c r="H34" s="15">
        <v>0</v>
      </c>
      <c r="I34" s="15">
        <v>0</v>
      </c>
      <c r="J34" s="15">
        <v>95.825000000000003</v>
      </c>
      <c r="K34" s="15"/>
      <c r="L34" s="15"/>
      <c r="M34" s="15"/>
      <c r="N34" s="15"/>
      <c r="O34" s="15"/>
      <c r="P34" s="23">
        <f t="shared" si="4"/>
        <v>0</v>
      </c>
      <c r="Q34" s="13"/>
    </row>
    <row r="35" spans="2:17" ht="16" customHeight="1" x14ac:dyDescent="0.45">
      <c r="B35" s="14" t="s">
        <v>777</v>
      </c>
      <c r="C35" s="14" t="s">
        <v>778</v>
      </c>
      <c r="D35" s="30">
        <v>-1160.45894</v>
      </c>
      <c r="E35" s="15">
        <v>-1080.8410699999999</v>
      </c>
      <c r="F35" s="15">
        <v>-849.78785000000005</v>
      </c>
      <c r="G35" s="15">
        <v>-991.74399000000005</v>
      </c>
      <c r="H35" s="15">
        <v>-832.26072999999997</v>
      </c>
      <c r="I35" s="15">
        <v>-218.727</v>
      </c>
      <c r="J35" s="15">
        <v>5133.8195800000003</v>
      </c>
      <c r="K35" s="15"/>
      <c r="L35" s="15"/>
      <c r="M35" s="15"/>
      <c r="N35" s="15"/>
      <c r="O35" s="15"/>
      <c r="P35" s="23">
        <f t="shared" si="4"/>
        <v>0</v>
      </c>
      <c r="Q35" s="13"/>
    </row>
    <row r="36" spans="2:17" ht="16" customHeight="1" x14ac:dyDescent="0.45">
      <c r="B36" s="14" t="s">
        <v>779</v>
      </c>
      <c r="C36" s="14" t="s">
        <v>780</v>
      </c>
      <c r="D36" s="30">
        <v>-20.304739999999999</v>
      </c>
      <c r="E36" s="15">
        <v>30.970739999999999</v>
      </c>
      <c r="F36" s="15">
        <v>-26.487179999999999</v>
      </c>
      <c r="G36" s="15">
        <v>-26.261379999999999</v>
      </c>
      <c r="H36" s="15">
        <v>-20.866779999999999</v>
      </c>
      <c r="I36" s="15">
        <v>-25.637740000000001</v>
      </c>
      <c r="J36" s="15">
        <v>88.58708</v>
      </c>
      <c r="K36" s="15"/>
      <c r="L36" s="15"/>
      <c r="M36" s="15"/>
      <c r="N36" s="15"/>
      <c r="O36" s="15"/>
      <c r="P36" s="23">
        <f t="shared" si="4"/>
        <v>0</v>
      </c>
      <c r="Q36" s="13"/>
    </row>
    <row r="37" spans="2:17" ht="16" customHeight="1" x14ac:dyDescent="0.45">
      <c r="B37" s="14" t="s">
        <v>781</v>
      </c>
      <c r="C37" s="14" t="s">
        <v>782</v>
      </c>
      <c r="D37" s="30">
        <v>4269.8112899999996</v>
      </c>
      <c r="E37" s="15">
        <v>-10105.752759999999</v>
      </c>
      <c r="F37" s="15">
        <v>11611.709849999999</v>
      </c>
      <c r="G37" s="15">
        <v>-465.32026000000002</v>
      </c>
      <c r="H37" s="15">
        <v>6820.9033099999997</v>
      </c>
      <c r="I37" s="15">
        <v>-2724.1099399999998</v>
      </c>
      <c r="J37" s="15">
        <v>-9407.2414900000003</v>
      </c>
      <c r="K37" s="15"/>
      <c r="L37" s="15"/>
      <c r="M37" s="15"/>
      <c r="N37" s="15"/>
      <c r="O37" s="15"/>
      <c r="P37" s="23">
        <f t="shared" si="4"/>
        <v>0</v>
      </c>
      <c r="Q37" s="13"/>
    </row>
    <row r="38" spans="2:17" ht="16" customHeight="1" x14ac:dyDescent="0.45">
      <c r="B38" s="14" t="s">
        <v>783</v>
      </c>
      <c r="C38" s="14" t="s">
        <v>784</v>
      </c>
      <c r="D38" s="30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23">
        <f t="shared" si="4"/>
        <v>0</v>
      </c>
      <c r="Q38" s="13"/>
    </row>
    <row r="39" spans="2:17" ht="16" customHeight="1" x14ac:dyDescent="0.45">
      <c r="B39" s="10"/>
      <c r="C39" s="11" t="s">
        <v>22</v>
      </c>
      <c r="D39" s="29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22"/>
      <c r="Q39" s="13"/>
    </row>
    <row r="40" spans="2:17" ht="16" customHeight="1" x14ac:dyDescent="0.45">
      <c r="B40" s="38"/>
      <c r="C40" s="34" t="s">
        <v>785</v>
      </c>
      <c r="D40" s="52">
        <f t="shared" ref="D40:P40" si="5">-(-(D41+D42)-D43)</f>
        <v>0</v>
      </c>
      <c r="E40" s="35">
        <f t="shared" si="5"/>
        <v>0</v>
      </c>
      <c r="F40" s="35">
        <f t="shared" si="5"/>
        <v>0</v>
      </c>
      <c r="G40" s="35">
        <f t="shared" si="5"/>
        <v>0</v>
      </c>
      <c r="H40" s="35">
        <f t="shared" si="5"/>
        <v>0</v>
      </c>
      <c r="I40" s="35">
        <f t="shared" si="5"/>
        <v>0</v>
      </c>
      <c r="J40" s="35">
        <f t="shared" si="5"/>
        <v>0</v>
      </c>
      <c r="K40" s="35">
        <f t="shared" si="5"/>
        <v>0</v>
      </c>
      <c r="L40" s="35">
        <f t="shared" si="5"/>
        <v>0</v>
      </c>
      <c r="M40" s="35">
        <f t="shared" si="5"/>
        <v>0</v>
      </c>
      <c r="N40" s="35">
        <f t="shared" si="5"/>
        <v>0</v>
      </c>
      <c r="O40" s="35">
        <f t="shared" si="5"/>
        <v>0</v>
      </c>
      <c r="P40" s="46">
        <f t="shared" si="5"/>
        <v>0</v>
      </c>
      <c r="Q40" s="13"/>
    </row>
    <row r="41" spans="2:17" ht="16" customHeight="1" x14ac:dyDescent="0.45">
      <c r="B41" s="14" t="s">
        <v>786</v>
      </c>
      <c r="C41" s="14" t="s">
        <v>787</v>
      </c>
      <c r="D41" s="30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23">
        <f>SUM(D41:O41)</f>
        <v>0</v>
      </c>
      <c r="Q41" s="13"/>
    </row>
    <row r="42" spans="2:17" ht="16" customHeight="1" x14ac:dyDescent="0.45">
      <c r="B42" s="14" t="s">
        <v>788</v>
      </c>
      <c r="C42" s="14" t="s">
        <v>789</v>
      </c>
      <c r="D42" s="30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23">
        <f>SUM(D42:O42)</f>
        <v>0</v>
      </c>
      <c r="Q42" s="13"/>
    </row>
    <row r="43" spans="2:17" ht="16" customHeight="1" x14ac:dyDescent="0.45">
      <c r="B43" s="14" t="s">
        <v>790</v>
      </c>
      <c r="C43" s="14" t="s">
        <v>791</v>
      </c>
      <c r="D43" s="30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23">
        <f>SUM(D43:O43)</f>
        <v>0</v>
      </c>
      <c r="Q43" s="13"/>
    </row>
    <row r="44" spans="2:17" ht="16" customHeight="1" x14ac:dyDescent="0.45">
      <c r="B44" s="10"/>
      <c r="C44" s="11" t="s">
        <v>22</v>
      </c>
      <c r="D44" s="29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22"/>
      <c r="Q44" s="13"/>
    </row>
    <row r="45" spans="2:17" ht="16" customHeight="1" x14ac:dyDescent="0.45">
      <c r="B45" s="38"/>
      <c r="C45" s="34" t="s">
        <v>792</v>
      </c>
      <c r="D45" s="52">
        <f t="shared" ref="D45:P45" si="6">D47+D51</f>
        <v>7490.6876999999995</v>
      </c>
      <c r="E45" s="35">
        <f t="shared" si="6"/>
        <v>-609.06608000000006</v>
      </c>
      <c r="F45" s="35">
        <f t="shared" si="6"/>
        <v>-8334.799500000001</v>
      </c>
      <c r="G45" s="35">
        <f t="shared" si="6"/>
        <v>-435.61014</v>
      </c>
      <c r="H45" s="35">
        <f t="shared" si="6"/>
        <v>-352.71646000000004</v>
      </c>
      <c r="I45" s="35">
        <f t="shared" si="6"/>
        <v>-8043.1984400000001</v>
      </c>
      <c r="J45" s="35">
        <f t="shared" si="6"/>
        <v>10284.70292</v>
      </c>
      <c r="K45" s="35">
        <f t="shared" si="6"/>
        <v>0</v>
      </c>
      <c r="L45" s="35">
        <f t="shared" si="6"/>
        <v>0</v>
      </c>
      <c r="M45" s="35">
        <f t="shared" si="6"/>
        <v>0</v>
      </c>
      <c r="N45" s="35">
        <f t="shared" si="6"/>
        <v>0</v>
      </c>
      <c r="O45" s="35">
        <f t="shared" si="6"/>
        <v>0</v>
      </c>
      <c r="P45" s="46">
        <f t="shared" si="6"/>
        <v>0</v>
      </c>
      <c r="Q45" s="13"/>
    </row>
    <row r="46" spans="2:17" ht="16" customHeight="1" x14ac:dyDescent="0.45">
      <c r="B46" s="10"/>
      <c r="C46" s="11" t="s">
        <v>22</v>
      </c>
      <c r="D46" s="29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22"/>
      <c r="Q46" s="13"/>
    </row>
    <row r="47" spans="2:17" ht="16" customHeight="1" x14ac:dyDescent="0.45">
      <c r="B47" s="38"/>
      <c r="C47" s="34" t="s">
        <v>793</v>
      </c>
      <c r="D47" s="52">
        <f t="shared" ref="D47:P47" si="7">D48+D49</f>
        <v>52.873179999999998</v>
      </c>
      <c r="E47" s="35">
        <f t="shared" si="7"/>
        <v>0</v>
      </c>
      <c r="F47" s="35">
        <f t="shared" si="7"/>
        <v>-52.873179999999998</v>
      </c>
      <c r="G47" s="35">
        <f t="shared" si="7"/>
        <v>0</v>
      </c>
      <c r="H47" s="35">
        <f t="shared" si="7"/>
        <v>0</v>
      </c>
      <c r="I47" s="35">
        <f t="shared" si="7"/>
        <v>0</v>
      </c>
      <c r="J47" s="35">
        <f t="shared" si="7"/>
        <v>0</v>
      </c>
      <c r="K47" s="35">
        <f t="shared" si="7"/>
        <v>0</v>
      </c>
      <c r="L47" s="35">
        <f t="shared" si="7"/>
        <v>0</v>
      </c>
      <c r="M47" s="35">
        <f t="shared" si="7"/>
        <v>0</v>
      </c>
      <c r="N47" s="35">
        <f t="shared" si="7"/>
        <v>0</v>
      </c>
      <c r="O47" s="35">
        <f t="shared" si="7"/>
        <v>0</v>
      </c>
      <c r="P47" s="46">
        <f t="shared" si="7"/>
        <v>0</v>
      </c>
      <c r="Q47" s="13"/>
    </row>
    <row r="48" spans="2:17" ht="16" customHeight="1" x14ac:dyDescent="0.45">
      <c r="B48" s="14" t="s">
        <v>794</v>
      </c>
      <c r="C48" s="14" t="s">
        <v>795</v>
      </c>
      <c r="D48" s="30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23">
        <f>SUM(D48:O48)</f>
        <v>0</v>
      </c>
      <c r="Q48" s="13"/>
    </row>
    <row r="49" spans="2:17" ht="16" customHeight="1" x14ac:dyDescent="0.45">
      <c r="B49" s="14" t="s">
        <v>796</v>
      </c>
      <c r="C49" s="14" t="s">
        <v>797</v>
      </c>
      <c r="D49" s="30">
        <v>52.873179999999998</v>
      </c>
      <c r="E49" s="15">
        <v>0</v>
      </c>
      <c r="F49" s="15">
        <v>-52.873179999999998</v>
      </c>
      <c r="G49" s="15"/>
      <c r="H49" s="15"/>
      <c r="I49" s="15"/>
      <c r="J49" s="15"/>
      <c r="K49" s="15"/>
      <c r="L49" s="15"/>
      <c r="M49" s="15"/>
      <c r="N49" s="15"/>
      <c r="O49" s="15"/>
      <c r="P49" s="23">
        <f>SUM(D49:O49)</f>
        <v>0</v>
      </c>
      <c r="Q49" s="13"/>
    </row>
    <row r="50" spans="2:17" ht="16" customHeight="1" x14ac:dyDescent="0.45">
      <c r="B50" s="10"/>
      <c r="C50" s="11" t="s">
        <v>22</v>
      </c>
      <c r="D50" s="29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22"/>
      <c r="Q50" s="13"/>
    </row>
    <row r="51" spans="2:17" ht="16" customHeight="1" x14ac:dyDescent="0.45">
      <c r="B51" s="38"/>
      <c r="C51" s="34" t="s">
        <v>798</v>
      </c>
      <c r="D51" s="52">
        <f t="shared" ref="D51:P51" si="8">-(-(D52+D53)-D54)</f>
        <v>7437.8145199999999</v>
      </c>
      <c r="E51" s="35">
        <f t="shared" si="8"/>
        <v>-609.06608000000006</v>
      </c>
      <c r="F51" s="35">
        <f t="shared" si="8"/>
        <v>-8281.9263200000005</v>
      </c>
      <c r="G51" s="35">
        <f t="shared" si="8"/>
        <v>-435.61014</v>
      </c>
      <c r="H51" s="35">
        <f t="shared" si="8"/>
        <v>-352.71646000000004</v>
      </c>
      <c r="I51" s="35">
        <f t="shared" si="8"/>
        <v>-8043.1984400000001</v>
      </c>
      <c r="J51" s="35">
        <f t="shared" si="8"/>
        <v>10284.70292</v>
      </c>
      <c r="K51" s="35">
        <f t="shared" si="8"/>
        <v>0</v>
      </c>
      <c r="L51" s="35">
        <f t="shared" si="8"/>
        <v>0</v>
      </c>
      <c r="M51" s="35">
        <f t="shared" si="8"/>
        <v>0</v>
      </c>
      <c r="N51" s="35">
        <f t="shared" si="8"/>
        <v>0</v>
      </c>
      <c r="O51" s="35">
        <f t="shared" si="8"/>
        <v>0</v>
      </c>
      <c r="P51" s="46">
        <f t="shared" si="8"/>
        <v>0</v>
      </c>
      <c r="Q51" s="13"/>
    </row>
    <row r="52" spans="2:17" ht="16" customHeight="1" x14ac:dyDescent="0.45">
      <c r="B52" s="14" t="s">
        <v>799</v>
      </c>
      <c r="C52" s="14" t="s">
        <v>800</v>
      </c>
      <c r="D52" s="30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23">
        <f>SUM(D52:O52)</f>
        <v>0</v>
      </c>
      <c r="Q52" s="13"/>
    </row>
    <row r="53" spans="2:17" ht="16" customHeight="1" x14ac:dyDescent="0.45">
      <c r="B53" s="14" t="s">
        <v>801</v>
      </c>
      <c r="C53" s="14" t="s">
        <v>802</v>
      </c>
      <c r="D53" s="30">
        <v>7754.4498100000001</v>
      </c>
      <c r="E53" s="15">
        <v>-296.57447999999999</v>
      </c>
      <c r="F53" s="15">
        <v>-7971.1869500000003</v>
      </c>
      <c r="G53" s="15">
        <v>-105.33935</v>
      </c>
      <c r="H53" s="15">
        <v>-38.024509999999999</v>
      </c>
      <c r="I53" s="15">
        <v>-8042.8189899999998</v>
      </c>
      <c r="J53" s="15">
        <v>8699.4944699999996</v>
      </c>
      <c r="K53" s="15"/>
      <c r="L53" s="15"/>
      <c r="M53" s="15"/>
      <c r="N53" s="15"/>
      <c r="O53" s="15"/>
      <c r="P53" s="23">
        <f>SUM(D53:O53)</f>
        <v>0</v>
      </c>
      <c r="Q53" s="13"/>
    </row>
    <row r="54" spans="2:17" ht="16" customHeight="1" x14ac:dyDescent="0.45">
      <c r="B54" s="14" t="s">
        <v>803</v>
      </c>
      <c r="C54" s="14" t="s">
        <v>804</v>
      </c>
      <c r="D54" s="30">
        <v>-316.63529</v>
      </c>
      <c r="E54" s="15">
        <v>-312.49160000000001</v>
      </c>
      <c r="F54" s="15">
        <v>-310.73937000000001</v>
      </c>
      <c r="G54" s="15">
        <v>-330.27078999999998</v>
      </c>
      <c r="H54" s="15">
        <v>-314.69195000000002</v>
      </c>
      <c r="I54" s="15">
        <v>-0.37945000000000001</v>
      </c>
      <c r="J54" s="15">
        <v>1585.2084500000001</v>
      </c>
      <c r="K54" s="15"/>
      <c r="L54" s="15"/>
      <c r="M54" s="15"/>
      <c r="N54" s="15"/>
      <c r="O54" s="15"/>
      <c r="P54" s="23">
        <f>SUM(D54:O54)</f>
        <v>0</v>
      </c>
      <c r="Q54" s="13"/>
    </row>
    <row r="55" spans="2:17" ht="16" customHeight="1" x14ac:dyDescent="0.45">
      <c r="B55" s="10"/>
      <c r="C55" s="11" t="s">
        <v>22</v>
      </c>
      <c r="D55" s="29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22"/>
      <c r="Q55" s="13"/>
    </row>
    <row r="56" spans="2:17" ht="16" customHeight="1" x14ac:dyDescent="0.45">
      <c r="B56" s="38"/>
      <c r="C56" s="34" t="s">
        <v>805</v>
      </c>
      <c r="D56" s="52">
        <f t="shared" ref="D56:P56" si="9">D57+D58</f>
        <v>-18.01454</v>
      </c>
      <c r="E56" s="35">
        <f t="shared" si="9"/>
        <v>-1265.55726</v>
      </c>
      <c r="F56" s="35">
        <f t="shared" si="9"/>
        <v>1259.076</v>
      </c>
      <c r="G56" s="35">
        <f t="shared" si="9"/>
        <v>-0.24016000000000001</v>
      </c>
      <c r="H56" s="35">
        <f t="shared" si="9"/>
        <v>3.7958099999999999</v>
      </c>
      <c r="I56" s="35">
        <f t="shared" si="9"/>
        <v>0.36784</v>
      </c>
      <c r="J56" s="35">
        <f t="shared" si="9"/>
        <v>20.572310000000002</v>
      </c>
      <c r="K56" s="35">
        <f t="shared" si="9"/>
        <v>0</v>
      </c>
      <c r="L56" s="35">
        <f t="shared" si="9"/>
        <v>0</v>
      </c>
      <c r="M56" s="35">
        <f t="shared" si="9"/>
        <v>0</v>
      </c>
      <c r="N56" s="35">
        <f t="shared" si="9"/>
        <v>0</v>
      </c>
      <c r="O56" s="35">
        <f t="shared" si="9"/>
        <v>0</v>
      </c>
      <c r="P56" s="46">
        <f t="shared" si="9"/>
        <v>8.5265128291212022E-14</v>
      </c>
      <c r="Q56" s="13"/>
    </row>
    <row r="57" spans="2:17" ht="16" customHeight="1" x14ac:dyDescent="0.45">
      <c r="B57" s="14" t="s">
        <v>806</v>
      </c>
      <c r="C57" s="14" t="s">
        <v>805</v>
      </c>
      <c r="D57" s="30">
        <v>-18.01454</v>
      </c>
      <c r="E57" s="15">
        <v>-1265.55726</v>
      </c>
      <c r="F57" s="15">
        <v>1259.076</v>
      </c>
      <c r="G57" s="15">
        <v>-0.24016000000000001</v>
      </c>
      <c r="H57" s="15">
        <v>3.7958099999999999</v>
      </c>
      <c r="I57" s="15">
        <v>0.36784</v>
      </c>
      <c r="J57" s="15">
        <v>20.572310000000002</v>
      </c>
      <c r="K57" s="15"/>
      <c r="L57" s="15"/>
      <c r="M57" s="15"/>
      <c r="N57" s="15"/>
      <c r="O57" s="15"/>
      <c r="P57" s="23">
        <f>SUM(D57:O57)</f>
        <v>8.5265128291212022E-14</v>
      </c>
      <c r="Q57" s="13"/>
    </row>
    <row r="58" spans="2:17" ht="16" customHeight="1" x14ac:dyDescent="0.45">
      <c r="B58" s="14" t="s">
        <v>807</v>
      </c>
      <c r="C58" s="14" t="s">
        <v>808</v>
      </c>
      <c r="D58" s="30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23">
        <f>SUM(D58:O58)</f>
        <v>0</v>
      </c>
      <c r="Q58" s="13"/>
    </row>
    <row r="59" spans="2:17" ht="16" customHeight="1" x14ac:dyDescent="0.45">
      <c r="B59" s="10"/>
      <c r="C59" s="11" t="s">
        <v>22</v>
      </c>
      <c r="D59" s="29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22"/>
      <c r="Q59" s="13"/>
    </row>
    <row r="60" spans="2:17" ht="16" customHeight="1" x14ac:dyDescent="0.45">
      <c r="B60" s="14" t="s">
        <v>809</v>
      </c>
      <c r="C60" s="14" t="s">
        <v>810</v>
      </c>
      <c r="D60" s="30">
        <v>-69740.975449999998</v>
      </c>
      <c r="E60" s="15">
        <v>-402.14675</v>
      </c>
      <c r="F60" s="15">
        <v>-308.95650000000001</v>
      </c>
      <c r="G60" s="15">
        <v>-6867.1333299999997</v>
      </c>
      <c r="H60" s="15">
        <v>-2215.65832</v>
      </c>
      <c r="I60" s="15">
        <v>-4818.5252600000003</v>
      </c>
      <c r="J60" s="15">
        <v>84353.395610000007</v>
      </c>
      <c r="K60" s="15"/>
      <c r="L60" s="15"/>
      <c r="M60" s="15"/>
      <c r="N60" s="15"/>
      <c r="O60" s="15"/>
      <c r="P60" s="23">
        <f>SUM(D60:O60)</f>
        <v>0</v>
      </c>
      <c r="Q60" s="13"/>
    </row>
    <row r="61" spans="2:17" ht="16" customHeight="1" x14ac:dyDescent="0.45">
      <c r="B61" s="10"/>
      <c r="C61" s="11" t="s">
        <v>22</v>
      </c>
      <c r="D61" s="29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22"/>
      <c r="Q61" s="13"/>
    </row>
    <row r="62" spans="2:17" ht="16" customHeight="1" x14ac:dyDescent="0.45">
      <c r="B62" s="38"/>
      <c r="C62" s="34" t="s">
        <v>811</v>
      </c>
      <c r="D62" s="52">
        <f t="shared" ref="D62:P62" si="10">-(-(D63+D64)-D65)</f>
        <v>0</v>
      </c>
      <c r="E62" s="35">
        <f t="shared" si="10"/>
        <v>-44911.874159999999</v>
      </c>
      <c r="F62" s="35">
        <f t="shared" si="10"/>
        <v>-36.690800000000003</v>
      </c>
      <c r="G62" s="35">
        <f t="shared" si="10"/>
        <v>-378.74200000000002</v>
      </c>
      <c r="H62" s="35">
        <f t="shared" si="10"/>
        <v>0</v>
      </c>
      <c r="I62" s="35">
        <f t="shared" si="10"/>
        <v>0</v>
      </c>
      <c r="J62" s="35">
        <f t="shared" si="10"/>
        <v>45327.306960000002</v>
      </c>
      <c r="K62" s="35">
        <f t="shared" si="10"/>
        <v>0</v>
      </c>
      <c r="L62" s="35">
        <f t="shared" si="10"/>
        <v>0</v>
      </c>
      <c r="M62" s="35">
        <f t="shared" si="10"/>
        <v>0</v>
      </c>
      <c r="N62" s="35">
        <f t="shared" si="10"/>
        <v>0</v>
      </c>
      <c r="O62" s="35">
        <f t="shared" si="10"/>
        <v>0</v>
      </c>
      <c r="P62" s="46">
        <f t="shared" si="10"/>
        <v>0</v>
      </c>
      <c r="Q62" s="13"/>
    </row>
    <row r="63" spans="2:17" ht="16" customHeight="1" x14ac:dyDescent="0.45">
      <c r="B63" s="14" t="s">
        <v>812</v>
      </c>
      <c r="C63" s="14" t="s">
        <v>813</v>
      </c>
      <c r="D63" s="30"/>
      <c r="E63" s="15">
        <v>-44911.874159999999</v>
      </c>
      <c r="F63" s="15">
        <v>-36.690800000000003</v>
      </c>
      <c r="G63" s="15">
        <v>-378.74200000000002</v>
      </c>
      <c r="H63" s="15">
        <v>0</v>
      </c>
      <c r="I63" s="15">
        <v>0</v>
      </c>
      <c r="J63" s="15">
        <v>45327.306960000002</v>
      </c>
      <c r="K63" s="15"/>
      <c r="L63" s="15"/>
      <c r="M63" s="15"/>
      <c r="N63" s="15"/>
      <c r="O63" s="15"/>
      <c r="P63" s="23">
        <f>SUM(D63:O63)</f>
        <v>0</v>
      </c>
      <c r="Q63" s="13"/>
    </row>
    <row r="64" spans="2:17" ht="16" customHeight="1" x14ac:dyDescent="0.45">
      <c r="B64" s="14" t="s">
        <v>814</v>
      </c>
      <c r="C64" s="14" t="s">
        <v>815</v>
      </c>
      <c r="D64" s="30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23">
        <f>SUM(D64:O64)</f>
        <v>0</v>
      </c>
      <c r="Q64" s="13"/>
    </row>
    <row r="65" spans="2:17" ht="16" customHeight="1" x14ac:dyDescent="0.45">
      <c r="B65" s="14" t="s">
        <v>816</v>
      </c>
      <c r="C65" s="14" t="s">
        <v>817</v>
      </c>
      <c r="D65" s="30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23">
        <f>SUM(D65:O65)</f>
        <v>0</v>
      </c>
      <c r="Q65" s="13"/>
    </row>
    <row r="66" spans="2:17" ht="16" customHeight="1" x14ac:dyDescent="0.45">
      <c r="B66" s="10"/>
      <c r="C66" s="11" t="s">
        <v>22</v>
      </c>
      <c r="D66" s="29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22"/>
      <c r="Q66" s="13"/>
    </row>
    <row r="67" spans="2:17" ht="16" customHeight="1" x14ac:dyDescent="0.45">
      <c r="B67" s="34" t="s">
        <v>818</v>
      </c>
      <c r="C67" s="34" t="s">
        <v>819</v>
      </c>
      <c r="D67" s="52">
        <f t="shared" ref="D67:P67" si="11">D68+D69</f>
        <v>-27408.740010000001</v>
      </c>
      <c r="E67" s="35">
        <f t="shared" si="11"/>
        <v>324.01837000000023</v>
      </c>
      <c r="F67" s="35">
        <f t="shared" si="11"/>
        <v>63264.973620000004</v>
      </c>
      <c r="G67" s="35">
        <f t="shared" si="11"/>
        <v>-9499.6924099999997</v>
      </c>
      <c r="H67" s="35">
        <f t="shared" si="11"/>
        <v>-10601.80711</v>
      </c>
      <c r="I67" s="35">
        <f t="shared" si="11"/>
        <v>12927.003540000002</v>
      </c>
      <c r="J67" s="35">
        <f t="shared" si="11"/>
        <v>-29005.756000000001</v>
      </c>
      <c r="K67" s="35">
        <f t="shared" si="11"/>
        <v>0</v>
      </c>
      <c r="L67" s="35">
        <f t="shared" si="11"/>
        <v>0</v>
      </c>
      <c r="M67" s="35">
        <f t="shared" si="11"/>
        <v>0</v>
      </c>
      <c r="N67" s="35">
        <f t="shared" si="11"/>
        <v>0</v>
      </c>
      <c r="O67" s="35">
        <f t="shared" si="11"/>
        <v>0</v>
      </c>
      <c r="P67" s="46">
        <f t="shared" si="11"/>
        <v>0</v>
      </c>
      <c r="Q67" s="13"/>
    </row>
    <row r="68" spans="2:17" ht="16" customHeight="1" x14ac:dyDescent="0.45">
      <c r="B68" s="14" t="s">
        <v>820</v>
      </c>
      <c r="C68" s="14" t="s">
        <v>821</v>
      </c>
      <c r="D68" s="30">
        <v>-22725.708470000001</v>
      </c>
      <c r="E68" s="15">
        <v>-3109.1475099999998</v>
      </c>
      <c r="F68" s="15">
        <v>61644.143340000002</v>
      </c>
      <c r="G68" s="15">
        <v>-8802.2534899999991</v>
      </c>
      <c r="H68" s="15">
        <v>-11242.342199999999</v>
      </c>
      <c r="I68" s="15">
        <v>14261.254580000001</v>
      </c>
      <c r="J68" s="15">
        <v>-30025.946250000001</v>
      </c>
      <c r="K68" s="15"/>
      <c r="L68" s="15"/>
      <c r="M68" s="15"/>
      <c r="N68" s="15"/>
      <c r="O68" s="15"/>
      <c r="P68" s="23">
        <f>SUM(D68:O68)</f>
        <v>0</v>
      </c>
      <c r="Q68" s="13"/>
    </row>
    <row r="69" spans="2:17" ht="16" customHeight="1" x14ac:dyDescent="0.45">
      <c r="B69" s="14" t="s">
        <v>822</v>
      </c>
      <c r="C69" s="14" t="s">
        <v>823</v>
      </c>
      <c r="D69" s="30">
        <v>-4683.0315399999999</v>
      </c>
      <c r="E69" s="15">
        <v>3433.16588</v>
      </c>
      <c r="F69" s="15">
        <v>1620.8302799999999</v>
      </c>
      <c r="G69" s="15">
        <v>-697.43892000000005</v>
      </c>
      <c r="H69" s="15">
        <v>640.53508999999997</v>
      </c>
      <c r="I69" s="15">
        <v>-1334.2510400000001</v>
      </c>
      <c r="J69" s="15">
        <v>1020.19025</v>
      </c>
      <c r="K69" s="15"/>
      <c r="L69" s="15"/>
      <c r="M69" s="15"/>
      <c r="N69" s="15"/>
      <c r="O69" s="15"/>
      <c r="P69" s="23">
        <f>SUM(D69:O69)</f>
        <v>0</v>
      </c>
      <c r="Q69" s="13"/>
    </row>
    <row r="70" spans="2:17" ht="16" customHeight="1" x14ac:dyDescent="0.45">
      <c r="B70" s="10"/>
      <c r="C70" s="11" t="s">
        <v>22</v>
      </c>
      <c r="D70" s="29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22"/>
      <c r="Q70" s="13"/>
    </row>
    <row r="71" spans="2:17" ht="16" customHeight="1" x14ac:dyDescent="0.45">
      <c r="B71" s="38"/>
      <c r="C71" s="34" t="s">
        <v>824</v>
      </c>
      <c r="D71" s="52">
        <f t="shared" ref="D71:P71" si="12">-(-(D72+D73)-D74)</f>
        <v>-440.46413000000007</v>
      </c>
      <c r="E71" s="35">
        <f t="shared" si="12"/>
        <v>-18516.424079999997</v>
      </c>
      <c r="F71" s="35">
        <f t="shared" si="12"/>
        <v>-47053.554270000001</v>
      </c>
      <c r="G71" s="35">
        <f t="shared" si="12"/>
        <v>-114447.61695</v>
      </c>
      <c r="H71" s="35">
        <f t="shared" si="12"/>
        <v>-6790.5774599999995</v>
      </c>
      <c r="I71" s="35">
        <f t="shared" si="12"/>
        <v>404.21082999999999</v>
      </c>
      <c r="J71" s="35">
        <f t="shared" si="12"/>
        <v>186844.42606</v>
      </c>
      <c r="K71" s="35">
        <f t="shared" si="12"/>
        <v>0</v>
      </c>
      <c r="L71" s="35">
        <f t="shared" si="12"/>
        <v>0</v>
      </c>
      <c r="M71" s="35">
        <f t="shared" si="12"/>
        <v>0</v>
      </c>
      <c r="N71" s="35">
        <f t="shared" si="12"/>
        <v>0</v>
      </c>
      <c r="O71" s="35">
        <f t="shared" si="12"/>
        <v>0</v>
      </c>
      <c r="P71" s="46">
        <f t="shared" si="12"/>
        <v>0</v>
      </c>
      <c r="Q71" s="13"/>
    </row>
    <row r="72" spans="2:17" ht="16" customHeight="1" x14ac:dyDescent="0.45">
      <c r="B72" s="14" t="s">
        <v>825</v>
      </c>
      <c r="C72" s="14" t="s">
        <v>826</v>
      </c>
      <c r="D72" s="30">
        <v>1339.60085</v>
      </c>
      <c r="E72" s="15">
        <v>-4229.4890500000001</v>
      </c>
      <c r="F72" s="15">
        <v>-2021.3013800000001</v>
      </c>
      <c r="G72" s="15">
        <v>-2538.93129</v>
      </c>
      <c r="H72" s="15">
        <v>-756.86201000000005</v>
      </c>
      <c r="I72" s="15">
        <v>-10506.12499</v>
      </c>
      <c r="J72" s="15">
        <v>18713.10787</v>
      </c>
      <c r="K72" s="15"/>
      <c r="L72" s="15"/>
      <c r="M72" s="15"/>
      <c r="N72" s="15"/>
      <c r="O72" s="15"/>
      <c r="P72" s="23">
        <f>SUM(D72:O72)</f>
        <v>0</v>
      </c>
      <c r="Q72" s="13"/>
    </row>
    <row r="73" spans="2:17" ht="16" customHeight="1" x14ac:dyDescent="0.45">
      <c r="B73" s="14" t="s">
        <v>827</v>
      </c>
      <c r="C73" s="14" t="s">
        <v>828</v>
      </c>
      <c r="D73" s="30">
        <v>-1780.0649800000001</v>
      </c>
      <c r="E73" s="15">
        <v>-14328.89695</v>
      </c>
      <c r="F73" s="15">
        <v>-45284.711560000003</v>
      </c>
      <c r="G73" s="15">
        <v>-111932.59347000001</v>
      </c>
      <c r="H73" s="15">
        <v>-6061.8346799999999</v>
      </c>
      <c r="I73" s="15">
        <v>10910.33582</v>
      </c>
      <c r="J73" s="15">
        <v>168477.76582</v>
      </c>
      <c r="K73" s="15"/>
      <c r="L73" s="15"/>
      <c r="M73" s="15"/>
      <c r="N73" s="15"/>
      <c r="O73" s="15"/>
      <c r="P73" s="23">
        <f>SUM(D73:O73)</f>
        <v>0</v>
      </c>
      <c r="Q73" s="13"/>
    </row>
    <row r="74" spans="2:17" ht="16" customHeight="1" x14ac:dyDescent="0.45">
      <c r="B74" s="14" t="s">
        <v>829</v>
      </c>
      <c r="C74" s="14" t="s">
        <v>830</v>
      </c>
      <c r="D74" s="30"/>
      <c r="E74" s="15">
        <v>41.961919999999999</v>
      </c>
      <c r="F74" s="15">
        <v>252.45867000000001</v>
      </c>
      <c r="G74" s="15">
        <v>23.907810000000001</v>
      </c>
      <c r="H74" s="15">
        <v>28.119230000000002</v>
      </c>
      <c r="I74" s="15">
        <v>0</v>
      </c>
      <c r="J74" s="15">
        <v>-346.44763</v>
      </c>
      <c r="K74" s="15"/>
      <c r="L74" s="15"/>
      <c r="M74" s="15"/>
      <c r="N74" s="15"/>
      <c r="O74" s="15"/>
      <c r="P74" s="23">
        <f>SUM(D74:O74)</f>
        <v>0</v>
      </c>
      <c r="Q74" s="13"/>
    </row>
    <row r="75" spans="2:17" ht="16" customHeight="1" x14ac:dyDescent="0.45">
      <c r="B75" s="10"/>
      <c r="C75" s="11" t="s">
        <v>22</v>
      </c>
      <c r="D75" s="29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22"/>
      <c r="Q75" s="13"/>
    </row>
    <row r="76" spans="2:17" ht="16" customHeight="1" x14ac:dyDescent="0.45">
      <c r="B76" s="38"/>
      <c r="C76" s="34" t="s">
        <v>831</v>
      </c>
      <c r="D76" s="52">
        <f t="shared" ref="D76:P76" si="13">D77+D78</f>
        <v>-163988.24275999999</v>
      </c>
      <c r="E76" s="35">
        <f t="shared" si="13"/>
        <v>36158.148159999997</v>
      </c>
      <c r="F76" s="35">
        <f t="shared" si="13"/>
        <v>-3101.75738</v>
      </c>
      <c r="G76" s="35">
        <f t="shared" si="13"/>
        <v>28446.94788</v>
      </c>
      <c r="H76" s="35">
        <f t="shared" si="13"/>
        <v>-2692.3322799999996</v>
      </c>
      <c r="I76" s="35">
        <f t="shared" si="13"/>
        <v>-19320.481059999998</v>
      </c>
      <c r="J76" s="35">
        <f t="shared" si="13"/>
        <v>124497.71743999999</v>
      </c>
      <c r="K76" s="35">
        <f t="shared" si="13"/>
        <v>0</v>
      </c>
      <c r="L76" s="35">
        <f t="shared" si="13"/>
        <v>0</v>
      </c>
      <c r="M76" s="35">
        <f t="shared" si="13"/>
        <v>0</v>
      </c>
      <c r="N76" s="35">
        <f t="shared" si="13"/>
        <v>0</v>
      </c>
      <c r="O76" s="35">
        <f t="shared" si="13"/>
        <v>0</v>
      </c>
      <c r="P76" s="46">
        <f t="shared" si="13"/>
        <v>0</v>
      </c>
      <c r="Q76" s="13"/>
    </row>
    <row r="77" spans="2:17" ht="16" customHeight="1" x14ac:dyDescent="0.45">
      <c r="B77" s="14" t="s">
        <v>832</v>
      </c>
      <c r="C77" s="14" t="s">
        <v>833</v>
      </c>
      <c r="D77" s="30">
        <v>866.93856000000005</v>
      </c>
      <c r="E77" s="15">
        <v>-942.27197000000001</v>
      </c>
      <c r="F77" s="15">
        <v>3595.1660700000002</v>
      </c>
      <c r="G77" s="15">
        <v>219.02869999999999</v>
      </c>
      <c r="H77" s="15">
        <v>6919.4018900000001</v>
      </c>
      <c r="I77" s="15">
        <v>513.50756000000001</v>
      </c>
      <c r="J77" s="15">
        <v>-11171.77081</v>
      </c>
      <c r="K77" s="15"/>
      <c r="L77" s="15"/>
      <c r="M77" s="15"/>
      <c r="N77" s="15"/>
      <c r="O77" s="15"/>
      <c r="P77" s="23">
        <f>SUM(D77:O77)</f>
        <v>0</v>
      </c>
      <c r="Q77" s="13"/>
    </row>
    <row r="78" spans="2:17" ht="16" customHeight="1" x14ac:dyDescent="0.45">
      <c r="B78" s="14" t="s">
        <v>834</v>
      </c>
      <c r="C78" s="14" t="s">
        <v>835</v>
      </c>
      <c r="D78" s="30">
        <v>-164855.18132</v>
      </c>
      <c r="E78" s="15">
        <v>37100.420129999999</v>
      </c>
      <c r="F78" s="15">
        <v>-6696.9234500000002</v>
      </c>
      <c r="G78" s="15">
        <v>28227.919180000001</v>
      </c>
      <c r="H78" s="15">
        <v>-9611.7341699999997</v>
      </c>
      <c r="I78" s="15">
        <v>-19833.98862</v>
      </c>
      <c r="J78" s="15">
        <v>135669.48824999999</v>
      </c>
      <c r="K78" s="15"/>
      <c r="L78" s="15"/>
      <c r="M78" s="15"/>
      <c r="N78" s="15"/>
      <c r="O78" s="15"/>
      <c r="P78" s="23">
        <f>SUM(D78:O78)</f>
        <v>0</v>
      </c>
      <c r="Q78" s="13"/>
    </row>
    <row r="79" spans="2:17" ht="16" customHeight="1" x14ac:dyDescent="0.45">
      <c r="B79" s="10"/>
      <c r="C79" s="11" t="s">
        <v>22</v>
      </c>
      <c r="D79" s="29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22"/>
      <c r="Q79" s="13"/>
    </row>
    <row r="80" spans="2:17" ht="16" customHeight="1" x14ac:dyDescent="0.45">
      <c r="B80" s="38"/>
      <c r="C80" s="34" t="s">
        <v>836</v>
      </c>
      <c r="D80" s="52">
        <f t="shared" ref="D80:P80" si="14">-(-(D67+D71)-D76)</f>
        <v>-191837.44689999998</v>
      </c>
      <c r="E80" s="35">
        <f t="shared" si="14"/>
        <v>17965.742450000002</v>
      </c>
      <c r="F80" s="35">
        <f t="shared" si="14"/>
        <v>13109.661970000005</v>
      </c>
      <c r="G80" s="35">
        <f t="shared" si="14"/>
        <v>-95500.361479999992</v>
      </c>
      <c r="H80" s="35">
        <f t="shared" si="14"/>
        <v>-20084.716849999997</v>
      </c>
      <c r="I80" s="35">
        <f t="shared" si="14"/>
        <v>-5989.2666899999967</v>
      </c>
      <c r="J80" s="35">
        <f t="shared" si="14"/>
        <v>282336.38750000001</v>
      </c>
      <c r="K80" s="35">
        <f t="shared" si="14"/>
        <v>0</v>
      </c>
      <c r="L80" s="35">
        <f t="shared" si="14"/>
        <v>0</v>
      </c>
      <c r="M80" s="35">
        <f t="shared" si="14"/>
        <v>0</v>
      </c>
      <c r="N80" s="35">
        <f t="shared" si="14"/>
        <v>0</v>
      </c>
      <c r="O80" s="35">
        <f t="shared" si="14"/>
        <v>0</v>
      </c>
      <c r="P80" s="46">
        <f t="shared" si="14"/>
        <v>0</v>
      </c>
      <c r="Q80" s="13"/>
    </row>
    <row r="81" spans="2:17" ht="16" customHeight="1" x14ac:dyDescent="0.45">
      <c r="B81" s="10"/>
      <c r="C81" s="11" t="s">
        <v>22</v>
      </c>
      <c r="D81" s="29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22"/>
      <c r="Q81" s="13"/>
    </row>
    <row r="82" spans="2:17" ht="16" customHeight="1" x14ac:dyDescent="0.45">
      <c r="B82" s="38"/>
      <c r="C82" s="34" t="s">
        <v>837</v>
      </c>
      <c r="D82" s="52">
        <f t="shared" ref="D82:P82" si="15">-(-(D84+D86)-D91-D96-D98)</f>
        <v>-32037.251110000001</v>
      </c>
      <c r="E82" s="35">
        <f t="shared" si="15"/>
        <v>-7990.1048899999996</v>
      </c>
      <c r="F82" s="35">
        <f t="shared" si="15"/>
        <v>-72077.966440000004</v>
      </c>
      <c r="G82" s="35">
        <f t="shared" si="15"/>
        <v>34652.745969999996</v>
      </c>
      <c r="H82" s="35">
        <f t="shared" si="15"/>
        <v>-562.83785000000171</v>
      </c>
      <c r="I82" s="35">
        <f t="shared" si="15"/>
        <v>-13433.762669999998</v>
      </c>
      <c r="J82" s="35">
        <f t="shared" si="15"/>
        <v>91449.176990000007</v>
      </c>
      <c r="K82" s="35">
        <f t="shared" si="15"/>
        <v>0</v>
      </c>
      <c r="L82" s="35">
        <f t="shared" si="15"/>
        <v>0</v>
      </c>
      <c r="M82" s="35">
        <f t="shared" si="15"/>
        <v>0</v>
      </c>
      <c r="N82" s="35">
        <f t="shared" si="15"/>
        <v>0</v>
      </c>
      <c r="O82" s="35">
        <f t="shared" si="15"/>
        <v>0</v>
      </c>
      <c r="P82" s="46">
        <f t="shared" si="15"/>
        <v>0</v>
      </c>
      <c r="Q82" s="13"/>
    </row>
    <row r="83" spans="2:17" ht="16" customHeight="1" x14ac:dyDescent="0.45">
      <c r="B83" s="10"/>
      <c r="C83" s="11" t="s">
        <v>22</v>
      </c>
      <c r="D83" s="29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22"/>
      <c r="Q83" s="13"/>
    </row>
    <row r="84" spans="2:17" ht="16" customHeight="1" x14ac:dyDescent="0.45">
      <c r="B84" s="14" t="s">
        <v>838</v>
      </c>
      <c r="C84" s="14" t="s">
        <v>839</v>
      </c>
      <c r="D84" s="30">
        <v>-122.09472</v>
      </c>
      <c r="E84" s="15">
        <v>-137.07355999999999</v>
      </c>
      <c r="F84" s="15">
        <v>-1196.9228900000001</v>
      </c>
      <c r="G84" s="15">
        <v>-186.73459</v>
      </c>
      <c r="H84" s="15">
        <v>11.853160000000001</v>
      </c>
      <c r="I84" s="15">
        <v>0</v>
      </c>
      <c r="J84" s="15">
        <v>1630.9726000000001</v>
      </c>
      <c r="K84" s="15"/>
      <c r="L84" s="15"/>
      <c r="M84" s="15"/>
      <c r="N84" s="15"/>
      <c r="O84" s="15"/>
      <c r="P84" s="23">
        <f>SUM(D84:O84)</f>
        <v>0</v>
      </c>
      <c r="Q84" s="13"/>
    </row>
    <row r="85" spans="2:17" ht="16" customHeight="1" x14ac:dyDescent="0.45">
      <c r="B85" s="10"/>
      <c r="C85" s="11" t="s">
        <v>22</v>
      </c>
      <c r="D85" s="29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22"/>
      <c r="Q85" s="13"/>
    </row>
    <row r="86" spans="2:17" ht="16" customHeight="1" x14ac:dyDescent="0.45">
      <c r="B86" s="38"/>
      <c r="C86" s="34" t="s">
        <v>840</v>
      </c>
      <c r="D86" s="52">
        <f t="shared" ref="D86:P86" si="16">-(-(D87+D88)-D89)</f>
        <v>960.30605000000071</v>
      </c>
      <c r="E86" s="35">
        <f t="shared" si="16"/>
        <v>-3559.2572099999998</v>
      </c>
      <c r="F86" s="35">
        <f t="shared" si="16"/>
        <v>-47402.201860000001</v>
      </c>
      <c r="G86" s="35">
        <f t="shared" si="16"/>
        <v>31175.089449999999</v>
      </c>
      <c r="H86" s="35">
        <f t="shared" si="16"/>
        <v>4133.3923799999993</v>
      </c>
      <c r="I86" s="35">
        <f t="shared" si="16"/>
        <v>-7218.20694</v>
      </c>
      <c r="J86" s="35">
        <f t="shared" si="16"/>
        <v>21910.878130000001</v>
      </c>
      <c r="K86" s="35">
        <f t="shared" si="16"/>
        <v>0</v>
      </c>
      <c r="L86" s="35">
        <f t="shared" si="16"/>
        <v>0</v>
      </c>
      <c r="M86" s="35">
        <f t="shared" si="16"/>
        <v>0</v>
      </c>
      <c r="N86" s="35">
        <f t="shared" si="16"/>
        <v>0</v>
      </c>
      <c r="O86" s="35">
        <f t="shared" si="16"/>
        <v>0</v>
      </c>
      <c r="P86" s="46">
        <f t="shared" si="16"/>
        <v>0</v>
      </c>
      <c r="Q86" s="13"/>
    </row>
    <row r="87" spans="2:17" ht="16" customHeight="1" x14ac:dyDescent="0.45">
      <c r="B87" s="14" t="s">
        <v>841</v>
      </c>
      <c r="C87" s="14" t="s">
        <v>842</v>
      </c>
      <c r="D87" s="30">
        <v>10304.002200000001</v>
      </c>
      <c r="E87" s="15">
        <v>-115.75888</v>
      </c>
      <c r="F87" s="15">
        <v>-7529.5149099999999</v>
      </c>
      <c r="G87" s="15">
        <v>5004.2161500000002</v>
      </c>
      <c r="H87" s="15">
        <v>-3185.6074800000001</v>
      </c>
      <c r="I87" s="15">
        <v>4381.2188500000002</v>
      </c>
      <c r="J87" s="15">
        <v>-8858.5559300000004</v>
      </c>
      <c r="K87" s="15"/>
      <c r="L87" s="15"/>
      <c r="M87" s="15"/>
      <c r="N87" s="15"/>
      <c r="O87" s="15"/>
      <c r="P87" s="23">
        <f>SUM(D87:O87)</f>
        <v>0</v>
      </c>
      <c r="Q87" s="13"/>
    </row>
    <row r="88" spans="2:17" ht="16" customHeight="1" x14ac:dyDescent="0.45">
      <c r="B88" s="14" t="s">
        <v>843</v>
      </c>
      <c r="C88" s="14" t="s">
        <v>844</v>
      </c>
      <c r="D88" s="30">
        <v>-10191.34713</v>
      </c>
      <c r="E88" s="15">
        <v>1757.50405</v>
      </c>
      <c r="F88" s="15">
        <v>-18875.45392</v>
      </c>
      <c r="G88" s="15">
        <v>16816.317299999999</v>
      </c>
      <c r="H88" s="15">
        <v>-1533.94406</v>
      </c>
      <c r="I88" s="15">
        <v>-10404.10542</v>
      </c>
      <c r="J88" s="15">
        <v>22431.029180000001</v>
      </c>
      <c r="K88" s="15"/>
      <c r="L88" s="15"/>
      <c r="M88" s="15"/>
      <c r="N88" s="15"/>
      <c r="O88" s="15"/>
      <c r="P88" s="23">
        <f>SUM(D88:O88)</f>
        <v>0</v>
      </c>
      <c r="Q88" s="13"/>
    </row>
    <row r="89" spans="2:17" ht="16" customHeight="1" x14ac:dyDescent="0.45">
      <c r="B89" s="14" t="s">
        <v>845</v>
      </c>
      <c r="C89" s="14" t="s">
        <v>846</v>
      </c>
      <c r="D89" s="30">
        <v>847.65098</v>
      </c>
      <c r="E89" s="15">
        <v>-5201.0023799999999</v>
      </c>
      <c r="F89" s="15">
        <v>-20997.233029999999</v>
      </c>
      <c r="G89" s="15">
        <v>9354.5560000000005</v>
      </c>
      <c r="H89" s="15">
        <v>8852.9439199999997</v>
      </c>
      <c r="I89" s="15">
        <v>-1195.3203699999999</v>
      </c>
      <c r="J89" s="15">
        <v>8338.40488</v>
      </c>
      <c r="K89" s="15"/>
      <c r="L89" s="15"/>
      <c r="M89" s="15"/>
      <c r="N89" s="15"/>
      <c r="O89" s="15"/>
      <c r="P89" s="23">
        <f>SUM(D89:O89)</f>
        <v>0</v>
      </c>
      <c r="Q89" s="13"/>
    </row>
    <row r="90" spans="2:17" ht="16" customHeight="1" x14ac:dyDescent="0.45">
      <c r="B90" s="10"/>
      <c r="C90" s="11" t="s">
        <v>22</v>
      </c>
      <c r="D90" s="29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22"/>
      <c r="Q90" s="13"/>
    </row>
    <row r="91" spans="2:17" ht="16" customHeight="1" x14ac:dyDescent="0.45">
      <c r="B91" s="38"/>
      <c r="C91" s="34" t="s">
        <v>847</v>
      </c>
      <c r="D91" s="52">
        <f t="shared" ref="D91:P91" si="17">-(-(D92+D93)-D94)</f>
        <v>-21648.595590000001</v>
      </c>
      <c r="E91" s="35">
        <f t="shared" si="17"/>
        <v>1411.4695400000005</v>
      </c>
      <c r="F91" s="35">
        <f t="shared" si="17"/>
        <v>-17735.306820000002</v>
      </c>
      <c r="G91" s="35">
        <f t="shared" si="17"/>
        <v>6632.92166</v>
      </c>
      <c r="H91" s="35">
        <f t="shared" si="17"/>
        <v>3189.7034399999993</v>
      </c>
      <c r="I91" s="35">
        <f t="shared" si="17"/>
        <v>-6397.9499100000003</v>
      </c>
      <c r="J91" s="35">
        <f t="shared" si="17"/>
        <v>34547.757680000002</v>
      </c>
      <c r="K91" s="35">
        <f t="shared" si="17"/>
        <v>0</v>
      </c>
      <c r="L91" s="35">
        <f t="shared" si="17"/>
        <v>0</v>
      </c>
      <c r="M91" s="35">
        <f t="shared" si="17"/>
        <v>0</v>
      </c>
      <c r="N91" s="35">
        <f t="shared" si="17"/>
        <v>0</v>
      </c>
      <c r="O91" s="35">
        <f t="shared" si="17"/>
        <v>0</v>
      </c>
      <c r="P91" s="46">
        <f t="shared" si="17"/>
        <v>0</v>
      </c>
      <c r="Q91" s="13"/>
    </row>
    <row r="92" spans="2:17" ht="16" customHeight="1" x14ac:dyDescent="0.45">
      <c r="B92" s="14" t="s">
        <v>848</v>
      </c>
      <c r="C92" s="14" t="s">
        <v>849</v>
      </c>
      <c r="D92" s="30">
        <v>-10110.08143</v>
      </c>
      <c r="E92" s="15">
        <v>-2313.7649299999998</v>
      </c>
      <c r="F92" s="15">
        <v>3537.7120300000001</v>
      </c>
      <c r="G92" s="15">
        <v>154.64931000000001</v>
      </c>
      <c r="H92" s="15">
        <v>-1360.6068700000001</v>
      </c>
      <c r="I92" s="15">
        <v>18.477409999999999</v>
      </c>
      <c r="J92" s="15">
        <v>10073.61448</v>
      </c>
      <c r="K92" s="15"/>
      <c r="L92" s="15"/>
      <c r="M92" s="15"/>
      <c r="N92" s="15"/>
      <c r="O92" s="15"/>
      <c r="P92" s="23">
        <f>SUM(D92:O92)</f>
        <v>0</v>
      </c>
      <c r="Q92" s="13"/>
    </row>
    <row r="93" spans="2:17" ht="16" customHeight="1" x14ac:dyDescent="0.45">
      <c r="B93" s="14" t="s">
        <v>850</v>
      </c>
      <c r="C93" s="14" t="s">
        <v>636</v>
      </c>
      <c r="D93" s="30">
        <v>-34.360999999999997</v>
      </c>
      <c r="E93" s="15">
        <v>5.1660000000000004</v>
      </c>
      <c r="F93" s="15">
        <v>-4.7E-2</v>
      </c>
      <c r="G93" s="15">
        <v>-0.29199999999999998</v>
      </c>
      <c r="H93" s="15">
        <v>-0.106</v>
      </c>
      <c r="I93" s="15">
        <v>48.524000000000001</v>
      </c>
      <c r="J93" s="15">
        <v>-18.884</v>
      </c>
      <c r="K93" s="15"/>
      <c r="L93" s="15"/>
      <c r="M93" s="15"/>
      <c r="N93" s="15"/>
      <c r="O93" s="15"/>
      <c r="P93" s="23">
        <f>SUM(D93:O93)</f>
        <v>0</v>
      </c>
      <c r="Q93" s="13"/>
    </row>
    <row r="94" spans="2:17" ht="16" customHeight="1" x14ac:dyDescent="0.45">
      <c r="B94" s="14" t="s">
        <v>851</v>
      </c>
      <c r="C94" s="14" t="s">
        <v>852</v>
      </c>
      <c r="D94" s="30">
        <v>-11504.15316</v>
      </c>
      <c r="E94" s="15">
        <v>3720.0684700000002</v>
      </c>
      <c r="F94" s="15">
        <v>-21272.971850000002</v>
      </c>
      <c r="G94" s="15">
        <v>6478.5643499999996</v>
      </c>
      <c r="H94" s="15">
        <v>4550.4163099999996</v>
      </c>
      <c r="I94" s="15">
        <v>-6464.9513200000001</v>
      </c>
      <c r="J94" s="15">
        <v>24493.0272</v>
      </c>
      <c r="K94" s="15"/>
      <c r="L94" s="15"/>
      <c r="M94" s="15"/>
      <c r="N94" s="15"/>
      <c r="O94" s="15"/>
      <c r="P94" s="23">
        <f>SUM(D94:O94)</f>
        <v>0</v>
      </c>
      <c r="Q94" s="13"/>
    </row>
    <row r="95" spans="2:17" ht="16" customHeight="1" x14ac:dyDescent="0.45">
      <c r="B95" s="10"/>
      <c r="C95" s="11" t="s">
        <v>22</v>
      </c>
      <c r="D95" s="29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22"/>
      <c r="Q95" s="13"/>
    </row>
    <row r="96" spans="2:17" ht="16" customHeight="1" x14ac:dyDescent="0.45">
      <c r="B96" s="14" t="s">
        <v>853</v>
      </c>
      <c r="C96" s="14" t="s">
        <v>854</v>
      </c>
      <c r="D96" s="30">
        <v>-280.66886</v>
      </c>
      <c r="E96" s="15">
        <v>-250.21969999999999</v>
      </c>
      <c r="F96" s="15">
        <v>-634.50904000000003</v>
      </c>
      <c r="G96" s="15">
        <v>-546.51532999999995</v>
      </c>
      <c r="H96" s="15">
        <v>-737.37003000000004</v>
      </c>
      <c r="I96" s="15">
        <v>195.00292999999999</v>
      </c>
      <c r="J96" s="15">
        <v>2254.2800299999999</v>
      </c>
      <c r="K96" s="15"/>
      <c r="L96" s="15"/>
      <c r="M96" s="15"/>
      <c r="N96" s="15"/>
      <c r="O96" s="15"/>
      <c r="P96" s="23">
        <f>SUM(D96:O96)</f>
        <v>0</v>
      </c>
      <c r="Q96" s="13"/>
    </row>
    <row r="97" spans="2:17" ht="16" customHeight="1" x14ac:dyDescent="0.45">
      <c r="B97" s="10"/>
      <c r="C97" s="11" t="s">
        <v>22</v>
      </c>
      <c r="D97" s="29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22"/>
      <c r="Q97" s="13"/>
    </row>
    <row r="98" spans="2:17" ht="16" customHeight="1" x14ac:dyDescent="0.45">
      <c r="B98" s="14" t="s">
        <v>855</v>
      </c>
      <c r="C98" s="14" t="s">
        <v>856</v>
      </c>
      <c r="D98" s="30">
        <v>-10946.197990000001</v>
      </c>
      <c r="E98" s="15">
        <v>-5455.0239600000004</v>
      </c>
      <c r="F98" s="15">
        <v>-5109.0258299999996</v>
      </c>
      <c r="G98" s="15">
        <v>-2422.0152200000002</v>
      </c>
      <c r="H98" s="15">
        <v>-7160.4168</v>
      </c>
      <c r="I98" s="15">
        <v>-12.608750000000001</v>
      </c>
      <c r="J98" s="15">
        <v>31105.288550000001</v>
      </c>
      <c r="K98" s="15"/>
      <c r="L98" s="15"/>
      <c r="M98" s="15"/>
      <c r="N98" s="15"/>
      <c r="O98" s="15"/>
      <c r="P98" s="23">
        <f>SUM(D98:O98)</f>
        <v>0</v>
      </c>
      <c r="Q98" s="13"/>
    </row>
    <row r="99" spans="2:17" ht="16" customHeight="1" x14ac:dyDescent="0.45">
      <c r="B99" s="10"/>
      <c r="C99" s="11" t="s">
        <v>22</v>
      </c>
      <c r="D99" s="29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22"/>
      <c r="Q99" s="13"/>
    </row>
    <row r="100" spans="2:17" ht="16" customHeight="1" x14ac:dyDescent="0.45">
      <c r="B100" s="38"/>
      <c r="C100" s="34" t="s">
        <v>857</v>
      </c>
      <c r="D100" s="52">
        <f t="shared" ref="D100:P100" si="18">D80+D82</f>
        <v>-223874.69800999999</v>
      </c>
      <c r="E100" s="35">
        <f t="shared" si="18"/>
        <v>9975.6375600000028</v>
      </c>
      <c r="F100" s="35">
        <f t="shared" si="18"/>
        <v>-58968.304470000003</v>
      </c>
      <c r="G100" s="35">
        <f t="shared" si="18"/>
        <v>-60847.615509999996</v>
      </c>
      <c r="H100" s="35">
        <f t="shared" si="18"/>
        <v>-20647.554700000001</v>
      </c>
      <c r="I100" s="35">
        <f t="shared" si="18"/>
        <v>-19423.029359999993</v>
      </c>
      <c r="J100" s="35">
        <f t="shared" si="18"/>
        <v>373785.56449000002</v>
      </c>
      <c r="K100" s="35">
        <f t="shared" si="18"/>
        <v>0</v>
      </c>
      <c r="L100" s="35">
        <f t="shared" si="18"/>
        <v>0</v>
      </c>
      <c r="M100" s="35">
        <f t="shared" si="18"/>
        <v>0</v>
      </c>
      <c r="N100" s="35">
        <f t="shared" si="18"/>
        <v>0</v>
      </c>
      <c r="O100" s="35">
        <f t="shared" si="18"/>
        <v>0</v>
      </c>
      <c r="P100" s="46">
        <f t="shared" si="18"/>
        <v>0</v>
      </c>
      <c r="Q100" s="13"/>
    </row>
    <row r="101" spans="2:17" ht="16" customHeight="1" x14ac:dyDescent="0.45">
      <c r="B101" s="10"/>
      <c r="C101" s="11" t="s">
        <v>22</v>
      </c>
      <c r="D101" s="29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22"/>
      <c r="Q101" s="13"/>
    </row>
    <row r="102" spans="2:17" ht="16" customHeight="1" x14ac:dyDescent="0.45">
      <c r="B102" s="14" t="s">
        <v>858</v>
      </c>
      <c r="C102" s="14" t="s">
        <v>859</v>
      </c>
      <c r="D102" s="30">
        <v>-4236.5306099999998</v>
      </c>
      <c r="E102" s="15">
        <v>-3526.29243</v>
      </c>
      <c r="F102" s="15">
        <v>-3988.2858500000002</v>
      </c>
      <c r="G102" s="15">
        <v>-3778.1173100000001</v>
      </c>
      <c r="H102" s="15">
        <v>-3956.4825999999998</v>
      </c>
      <c r="I102" s="15">
        <v>0</v>
      </c>
      <c r="J102" s="15">
        <v>19485.7088</v>
      </c>
      <c r="K102" s="15"/>
      <c r="L102" s="15"/>
      <c r="M102" s="15"/>
      <c r="N102" s="15"/>
      <c r="O102" s="15"/>
      <c r="P102" s="23">
        <f>SUM(D102:O102)</f>
        <v>0</v>
      </c>
      <c r="Q102" s="13"/>
    </row>
    <row r="103" spans="2:17" ht="16" customHeight="1" x14ac:dyDescent="0.45">
      <c r="B103" s="10"/>
      <c r="C103" s="11" t="s">
        <v>22</v>
      </c>
      <c r="D103" s="29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22"/>
      <c r="Q103" s="13"/>
    </row>
    <row r="104" spans="2:17" ht="16" customHeight="1" x14ac:dyDescent="0.45">
      <c r="B104" s="39"/>
      <c r="C104" s="40" t="s">
        <v>860</v>
      </c>
      <c r="D104" s="53">
        <f t="shared" ref="D104:P104" si="19">D18+D20+D21+D23+D27+D31+D40+D45+D56+D60+D62+D100+D102</f>
        <v>-258845.14835999996</v>
      </c>
      <c r="E104" s="24">
        <f t="shared" si="19"/>
        <v>-19941.759450000001</v>
      </c>
      <c r="F104" s="24">
        <f t="shared" si="19"/>
        <v>13269.692770000023</v>
      </c>
      <c r="G104" s="24">
        <f t="shared" si="19"/>
        <v>44715.577230000003</v>
      </c>
      <c r="H104" s="24">
        <f t="shared" si="19"/>
        <v>111332.50293000003</v>
      </c>
      <c r="I104" s="24">
        <f t="shared" si="19"/>
        <v>17845.735020000007</v>
      </c>
      <c r="J104" s="24">
        <f t="shared" si="19"/>
        <v>91623.399860000092</v>
      </c>
      <c r="K104" s="24">
        <f t="shared" si="19"/>
        <v>0</v>
      </c>
      <c r="L104" s="24">
        <f t="shared" si="19"/>
        <v>0</v>
      </c>
      <c r="M104" s="24">
        <f t="shared" si="19"/>
        <v>0</v>
      </c>
      <c r="N104" s="24">
        <f t="shared" si="19"/>
        <v>0</v>
      </c>
      <c r="O104" s="24">
        <f t="shared" si="19"/>
        <v>0</v>
      </c>
      <c r="P104" s="24">
        <f t="shared" si="19"/>
        <v>8.5265128291212022E-14</v>
      </c>
      <c r="Q104" s="13"/>
    </row>
    <row r="105" spans="2:17" ht="16" customHeight="1" x14ac:dyDescent="0.45">
      <c r="B105" s="10"/>
      <c r="C105" s="11" t="s">
        <v>22</v>
      </c>
      <c r="D105" s="29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22"/>
      <c r="Q105" s="13"/>
    </row>
    <row r="106" spans="2:17" ht="16" customHeight="1" x14ac:dyDescent="0.45">
      <c r="B106" s="38"/>
      <c r="C106" s="34" t="s">
        <v>861</v>
      </c>
      <c r="D106" s="52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46"/>
      <c r="Q106" s="13"/>
    </row>
    <row r="107" spans="2:17" ht="16" customHeight="1" x14ac:dyDescent="0.45">
      <c r="B107" s="10"/>
      <c r="C107" s="11" t="s">
        <v>22</v>
      </c>
      <c r="D107" s="29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22"/>
      <c r="Q107" s="13"/>
    </row>
    <row r="108" spans="2:17" ht="16" customHeight="1" x14ac:dyDescent="0.45">
      <c r="B108" s="38"/>
      <c r="C108" s="34" t="s">
        <v>862</v>
      </c>
      <c r="D108" s="52">
        <f t="shared" ref="D108:P108" si="20">-(-(D109+D110)-D111-D112-D113-D114)</f>
        <v>-28544.526449999998</v>
      </c>
      <c r="E108" s="35">
        <f t="shared" si="20"/>
        <v>-33965.248719999996</v>
      </c>
      <c r="F108" s="35">
        <f t="shared" si="20"/>
        <v>-42408.354199999994</v>
      </c>
      <c r="G108" s="35">
        <f t="shared" si="20"/>
        <v>-32506.779339999997</v>
      </c>
      <c r="H108" s="35">
        <f t="shared" si="20"/>
        <v>-36652.850359999997</v>
      </c>
      <c r="I108" s="35">
        <f t="shared" si="20"/>
        <v>38803.770980000001</v>
      </c>
      <c r="J108" s="35">
        <f t="shared" si="20"/>
        <v>135273.98809</v>
      </c>
      <c r="K108" s="35">
        <f t="shared" si="20"/>
        <v>0</v>
      </c>
      <c r="L108" s="35">
        <f t="shared" si="20"/>
        <v>0</v>
      </c>
      <c r="M108" s="35">
        <f t="shared" si="20"/>
        <v>0</v>
      </c>
      <c r="N108" s="35">
        <f t="shared" si="20"/>
        <v>0</v>
      </c>
      <c r="O108" s="35">
        <f t="shared" si="20"/>
        <v>0</v>
      </c>
      <c r="P108" s="46">
        <f t="shared" si="20"/>
        <v>0</v>
      </c>
      <c r="Q108" s="13"/>
    </row>
    <row r="109" spans="2:17" ht="16" customHeight="1" x14ac:dyDescent="0.45">
      <c r="B109" s="14" t="s">
        <v>863</v>
      </c>
      <c r="C109" s="14" t="s">
        <v>864</v>
      </c>
      <c r="D109" s="30">
        <v>-22698.323069999999</v>
      </c>
      <c r="E109" s="15">
        <v>-25190.745620000002</v>
      </c>
      <c r="F109" s="15">
        <v>-31054.902099999999</v>
      </c>
      <c r="G109" s="15">
        <v>-24635.310369999999</v>
      </c>
      <c r="H109" s="15">
        <v>-24874.830399999999</v>
      </c>
      <c r="I109" s="15">
        <v>34339.813979999999</v>
      </c>
      <c r="J109" s="15">
        <v>94114.297579999999</v>
      </c>
      <c r="K109" s="15"/>
      <c r="L109" s="15"/>
      <c r="M109" s="15"/>
      <c r="N109" s="15"/>
      <c r="O109" s="15"/>
      <c r="P109" s="23">
        <f t="shared" ref="P109:P114" si="21">SUM(D109:O109)</f>
        <v>0</v>
      </c>
      <c r="Q109" s="13"/>
    </row>
    <row r="110" spans="2:17" ht="16" customHeight="1" x14ac:dyDescent="0.45">
      <c r="B110" s="14" t="s">
        <v>865</v>
      </c>
      <c r="C110" s="14" t="s">
        <v>866</v>
      </c>
      <c r="D110" s="30">
        <v>-47.725999999999999</v>
      </c>
      <c r="E110" s="15">
        <v>-90.217349999999996</v>
      </c>
      <c r="F110" s="15">
        <v>-222.56112999999999</v>
      </c>
      <c r="G110" s="15">
        <v>-158.72825</v>
      </c>
      <c r="H110" s="15">
        <v>-2.1722399999999999</v>
      </c>
      <c r="I110" s="15">
        <v>0</v>
      </c>
      <c r="J110" s="15">
        <v>521.40497000000005</v>
      </c>
      <c r="K110" s="15"/>
      <c r="L110" s="15"/>
      <c r="M110" s="15"/>
      <c r="N110" s="15"/>
      <c r="O110" s="15"/>
      <c r="P110" s="23">
        <f t="shared" si="21"/>
        <v>0</v>
      </c>
      <c r="Q110" s="13"/>
    </row>
    <row r="111" spans="2:17" ht="16" customHeight="1" x14ac:dyDescent="0.45">
      <c r="B111" s="14" t="s">
        <v>867</v>
      </c>
      <c r="C111" s="14" t="s">
        <v>868</v>
      </c>
      <c r="D111" s="30">
        <v>732.26693999999998</v>
      </c>
      <c r="E111" s="15">
        <v>-2437.3329800000001</v>
      </c>
      <c r="F111" s="15">
        <v>-2574.90544</v>
      </c>
      <c r="G111" s="15">
        <v>223.19694000000001</v>
      </c>
      <c r="H111" s="15">
        <v>-1703.83203</v>
      </c>
      <c r="I111" s="15">
        <v>4463.9570000000003</v>
      </c>
      <c r="J111" s="15">
        <v>1296.64957</v>
      </c>
      <c r="K111" s="15"/>
      <c r="L111" s="15"/>
      <c r="M111" s="15"/>
      <c r="N111" s="15"/>
      <c r="O111" s="15"/>
      <c r="P111" s="23">
        <f t="shared" si="21"/>
        <v>0</v>
      </c>
      <c r="Q111" s="13"/>
    </row>
    <row r="112" spans="2:17" ht="16" customHeight="1" x14ac:dyDescent="0.45">
      <c r="B112" s="14" t="s">
        <v>869</v>
      </c>
      <c r="C112" s="14" t="s">
        <v>870</v>
      </c>
      <c r="D112" s="30">
        <v>-379.78154000000001</v>
      </c>
      <c r="E112" s="15">
        <v>-43.007379999999998</v>
      </c>
      <c r="F112" s="15">
        <v>-13.766970000000001</v>
      </c>
      <c r="G112" s="15">
        <v>-299.76886999999999</v>
      </c>
      <c r="H112" s="15">
        <v>-3395.7184499999998</v>
      </c>
      <c r="I112" s="15">
        <v>0</v>
      </c>
      <c r="J112" s="15">
        <v>4132.0432099999998</v>
      </c>
      <c r="K112" s="15"/>
      <c r="L112" s="15"/>
      <c r="M112" s="15"/>
      <c r="N112" s="15"/>
      <c r="O112" s="15"/>
      <c r="P112" s="23">
        <f t="shared" si="21"/>
        <v>0</v>
      </c>
      <c r="Q112" s="13"/>
    </row>
    <row r="113" spans="2:17" ht="16" customHeight="1" x14ac:dyDescent="0.45">
      <c r="B113" s="14" t="s">
        <v>871</v>
      </c>
      <c r="C113" s="14" t="s">
        <v>872</v>
      </c>
      <c r="D113" s="30">
        <v>-6129.8212700000004</v>
      </c>
      <c r="E113" s="15">
        <v>-6164.8417399999998</v>
      </c>
      <c r="F113" s="15">
        <v>-8515.3785499999994</v>
      </c>
      <c r="G113" s="15">
        <v>-7501.4524700000002</v>
      </c>
      <c r="H113" s="15">
        <v>-6636.8540499999999</v>
      </c>
      <c r="I113" s="15">
        <v>0</v>
      </c>
      <c r="J113" s="15">
        <v>34948.348080000003</v>
      </c>
      <c r="K113" s="15"/>
      <c r="L113" s="15"/>
      <c r="M113" s="15"/>
      <c r="N113" s="15"/>
      <c r="O113" s="15"/>
      <c r="P113" s="23">
        <f t="shared" si="21"/>
        <v>0</v>
      </c>
      <c r="Q113" s="13"/>
    </row>
    <row r="114" spans="2:17" ht="16" customHeight="1" x14ac:dyDescent="0.45">
      <c r="B114" s="14" t="s">
        <v>873</v>
      </c>
      <c r="C114" s="14" t="s">
        <v>874</v>
      </c>
      <c r="D114" s="30">
        <v>-21.14151</v>
      </c>
      <c r="E114" s="15">
        <v>-39.103650000000002</v>
      </c>
      <c r="F114" s="15">
        <v>-26.840009999999999</v>
      </c>
      <c r="G114" s="15">
        <v>-134.71632</v>
      </c>
      <c r="H114" s="15">
        <v>-39.443190000000001</v>
      </c>
      <c r="I114" s="15">
        <v>0</v>
      </c>
      <c r="J114" s="15">
        <v>261.24468000000002</v>
      </c>
      <c r="K114" s="15"/>
      <c r="L114" s="15"/>
      <c r="M114" s="15"/>
      <c r="N114" s="15"/>
      <c r="O114" s="15"/>
      <c r="P114" s="23">
        <f t="shared" si="21"/>
        <v>0</v>
      </c>
      <c r="Q114" s="13"/>
    </row>
    <row r="115" spans="2:17" ht="16" customHeight="1" x14ac:dyDescent="0.45">
      <c r="B115" s="10"/>
      <c r="C115" s="11" t="s">
        <v>22</v>
      </c>
      <c r="D115" s="29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22"/>
      <c r="Q115" s="13"/>
    </row>
    <row r="116" spans="2:17" ht="16" customHeight="1" x14ac:dyDescent="0.45">
      <c r="B116" s="38"/>
      <c r="C116" s="34" t="s">
        <v>875</v>
      </c>
      <c r="D116" s="52">
        <f t="shared" ref="D116:P116" si="22">-(-(D117+D118)-D119-D120)</f>
        <v>-10029.68233</v>
      </c>
      <c r="E116" s="35">
        <f t="shared" si="22"/>
        <v>-3220.2152900000001</v>
      </c>
      <c r="F116" s="35">
        <f t="shared" si="22"/>
        <v>-7909.776820000001</v>
      </c>
      <c r="G116" s="35">
        <f t="shared" si="22"/>
        <v>-7441.8314499999997</v>
      </c>
      <c r="H116" s="35">
        <f t="shared" si="22"/>
        <v>-3745.2883099999999</v>
      </c>
      <c r="I116" s="35">
        <f t="shared" si="22"/>
        <v>-11.01201</v>
      </c>
      <c r="J116" s="35">
        <f t="shared" si="22"/>
        <v>32357.806209999999</v>
      </c>
      <c r="K116" s="35">
        <f t="shared" si="22"/>
        <v>0</v>
      </c>
      <c r="L116" s="35">
        <f t="shared" si="22"/>
        <v>0</v>
      </c>
      <c r="M116" s="35">
        <f t="shared" si="22"/>
        <v>0</v>
      </c>
      <c r="N116" s="35">
        <f t="shared" si="22"/>
        <v>0</v>
      </c>
      <c r="O116" s="35">
        <f t="shared" si="22"/>
        <v>0</v>
      </c>
      <c r="P116" s="46">
        <f t="shared" si="22"/>
        <v>-2.5247573739247027E-14</v>
      </c>
      <c r="Q116" s="13"/>
    </row>
    <row r="117" spans="2:17" ht="16" customHeight="1" x14ac:dyDescent="0.45">
      <c r="B117" s="14" t="s">
        <v>876</v>
      </c>
      <c r="C117" s="14" t="s">
        <v>877</v>
      </c>
      <c r="D117" s="30">
        <v>1.0000000000000001E-5</v>
      </c>
      <c r="E117" s="15">
        <v>0</v>
      </c>
      <c r="F117" s="15">
        <v>649.6</v>
      </c>
      <c r="G117" s="15">
        <v>-649.6</v>
      </c>
      <c r="H117" s="15">
        <v>0</v>
      </c>
      <c r="I117" s="15">
        <v>0</v>
      </c>
      <c r="J117" s="15">
        <v>-1.0000000000000001E-5</v>
      </c>
      <c r="K117" s="15"/>
      <c r="L117" s="15"/>
      <c r="M117" s="15"/>
      <c r="N117" s="15"/>
      <c r="O117" s="15"/>
      <c r="P117" s="23">
        <f>SUM(D117:O117)</f>
        <v>-2.5247573739247027E-14</v>
      </c>
      <c r="Q117" s="13"/>
    </row>
    <row r="118" spans="2:17" ht="16" customHeight="1" x14ac:dyDescent="0.45">
      <c r="B118" s="14" t="s">
        <v>878</v>
      </c>
      <c r="C118" s="14" t="s">
        <v>879</v>
      </c>
      <c r="D118" s="30">
        <v>-559.40535999999997</v>
      </c>
      <c r="E118" s="15">
        <v>-67.509910000000005</v>
      </c>
      <c r="F118" s="15">
        <v>-4243.3519200000001</v>
      </c>
      <c r="G118" s="15">
        <v>-2840.0073699999998</v>
      </c>
      <c r="H118" s="15">
        <v>-521.66728000000001</v>
      </c>
      <c r="I118" s="15">
        <v>0</v>
      </c>
      <c r="J118" s="15">
        <v>8231.9418399999995</v>
      </c>
      <c r="K118" s="15"/>
      <c r="L118" s="15"/>
      <c r="M118" s="15"/>
      <c r="N118" s="15"/>
      <c r="O118" s="15"/>
      <c r="P118" s="23">
        <f>SUM(D118:O118)</f>
        <v>0</v>
      </c>
      <c r="Q118" s="13"/>
    </row>
    <row r="119" spans="2:17" ht="16" customHeight="1" x14ac:dyDescent="0.45">
      <c r="B119" s="14" t="s">
        <v>880</v>
      </c>
      <c r="C119" s="14" t="s">
        <v>881</v>
      </c>
      <c r="D119" s="30">
        <v>0</v>
      </c>
      <c r="E119" s="15">
        <v>-155.98662999999999</v>
      </c>
      <c r="F119" s="15">
        <v>-46.578049999999998</v>
      </c>
      <c r="G119" s="15">
        <v>-8.7930399999999995</v>
      </c>
      <c r="H119" s="15">
        <v>-170.07039</v>
      </c>
      <c r="I119" s="15">
        <v>0</v>
      </c>
      <c r="J119" s="15">
        <v>381.42811</v>
      </c>
      <c r="K119" s="15"/>
      <c r="L119" s="15"/>
      <c r="M119" s="15"/>
      <c r="N119" s="15"/>
      <c r="O119" s="15"/>
      <c r="P119" s="23">
        <f>SUM(D119:O119)</f>
        <v>0</v>
      </c>
      <c r="Q119" s="13"/>
    </row>
    <row r="120" spans="2:17" ht="16" customHeight="1" x14ac:dyDescent="0.45">
      <c r="B120" s="14" t="s">
        <v>882</v>
      </c>
      <c r="C120" s="14" t="s">
        <v>883</v>
      </c>
      <c r="D120" s="30">
        <v>-9470.2769800000005</v>
      </c>
      <c r="E120" s="15">
        <v>-2996.71875</v>
      </c>
      <c r="F120" s="15">
        <v>-4269.4468500000003</v>
      </c>
      <c r="G120" s="15">
        <v>-3943.4310399999999</v>
      </c>
      <c r="H120" s="15">
        <v>-3053.5506399999999</v>
      </c>
      <c r="I120" s="15">
        <v>-11.01201</v>
      </c>
      <c r="J120" s="15">
        <v>23744.436269999998</v>
      </c>
      <c r="K120" s="15"/>
      <c r="L120" s="15"/>
      <c r="M120" s="15"/>
      <c r="N120" s="15"/>
      <c r="O120" s="15"/>
      <c r="P120" s="23">
        <f>SUM(D120:O120)</f>
        <v>0</v>
      </c>
      <c r="Q120" s="13"/>
    </row>
    <row r="121" spans="2:17" ht="16" customHeight="1" x14ac:dyDescent="0.45">
      <c r="B121" s="10"/>
      <c r="C121" s="11" t="s">
        <v>22</v>
      </c>
      <c r="D121" s="29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22"/>
      <c r="Q121" s="13"/>
    </row>
    <row r="122" spans="2:17" ht="16" customHeight="1" x14ac:dyDescent="0.45">
      <c r="B122" s="38"/>
      <c r="C122" s="34" t="s">
        <v>884</v>
      </c>
      <c r="D122" s="52">
        <f t="shared" ref="D122:P122" si="23">D108+D116</f>
        <v>-38574.208780000001</v>
      </c>
      <c r="E122" s="35">
        <f t="shared" si="23"/>
        <v>-37185.464009999996</v>
      </c>
      <c r="F122" s="35">
        <f t="shared" si="23"/>
        <v>-50318.131019999993</v>
      </c>
      <c r="G122" s="35">
        <f t="shared" si="23"/>
        <v>-39948.610789999999</v>
      </c>
      <c r="H122" s="35">
        <f t="shared" si="23"/>
        <v>-40398.13867</v>
      </c>
      <c r="I122" s="35">
        <f t="shared" si="23"/>
        <v>38792.758970000003</v>
      </c>
      <c r="J122" s="35">
        <f t="shared" si="23"/>
        <v>167631.79430000001</v>
      </c>
      <c r="K122" s="35">
        <f t="shared" si="23"/>
        <v>0</v>
      </c>
      <c r="L122" s="35">
        <f t="shared" si="23"/>
        <v>0</v>
      </c>
      <c r="M122" s="35">
        <f t="shared" si="23"/>
        <v>0</v>
      </c>
      <c r="N122" s="35">
        <f t="shared" si="23"/>
        <v>0</v>
      </c>
      <c r="O122" s="35">
        <f t="shared" si="23"/>
        <v>0</v>
      </c>
      <c r="P122" s="46">
        <f t="shared" si="23"/>
        <v>-2.5247573739247027E-14</v>
      </c>
      <c r="Q122" s="13"/>
    </row>
    <row r="123" spans="2:17" ht="16" customHeight="1" x14ac:dyDescent="0.45">
      <c r="B123" s="10"/>
      <c r="C123" s="11" t="s">
        <v>22</v>
      </c>
      <c r="D123" s="29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22"/>
      <c r="Q123" s="13"/>
    </row>
    <row r="124" spans="2:17" ht="16" customHeight="1" x14ac:dyDescent="0.45">
      <c r="B124" s="38"/>
      <c r="C124" s="34" t="s">
        <v>885</v>
      </c>
      <c r="D124" s="52">
        <f t="shared" ref="D124:P124" si="24">D125+D126</f>
        <v>0</v>
      </c>
      <c r="E124" s="35">
        <f t="shared" si="24"/>
        <v>0</v>
      </c>
      <c r="F124" s="35">
        <f t="shared" si="24"/>
        <v>0</v>
      </c>
      <c r="G124" s="35">
        <f t="shared" si="24"/>
        <v>0</v>
      </c>
      <c r="H124" s="35">
        <f t="shared" si="24"/>
        <v>0</v>
      </c>
      <c r="I124" s="35">
        <f t="shared" si="24"/>
        <v>0</v>
      </c>
      <c r="J124" s="35">
        <f t="shared" si="24"/>
        <v>0</v>
      </c>
      <c r="K124" s="35">
        <f t="shared" si="24"/>
        <v>0</v>
      </c>
      <c r="L124" s="35">
        <f t="shared" si="24"/>
        <v>0</v>
      </c>
      <c r="M124" s="35">
        <f t="shared" si="24"/>
        <v>0</v>
      </c>
      <c r="N124" s="35">
        <f t="shared" si="24"/>
        <v>0</v>
      </c>
      <c r="O124" s="35">
        <f t="shared" si="24"/>
        <v>0</v>
      </c>
      <c r="P124" s="46">
        <f t="shared" si="24"/>
        <v>0</v>
      </c>
      <c r="Q124" s="13"/>
    </row>
    <row r="125" spans="2:17" ht="16" customHeight="1" x14ac:dyDescent="0.45">
      <c r="B125" s="14" t="s">
        <v>886</v>
      </c>
      <c r="C125" s="14" t="s">
        <v>887</v>
      </c>
      <c r="D125" s="30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23">
        <f>SUM(D125:O125)</f>
        <v>0</v>
      </c>
      <c r="Q125" s="13"/>
    </row>
    <row r="126" spans="2:17" ht="16" customHeight="1" x14ac:dyDescent="0.45">
      <c r="B126" s="14" t="s">
        <v>888</v>
      </c>
      <c r="C126" s="14" t="s">
        <v>889</v>
      </c>
      <c r="D126" s="30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23">
        <f>SUM(D126:O126)</f>
        <v>0</v>
      </c>
      <c r="Q126" s="13"/>
    </row>
    <row r="127" spans="2:17" ht="16" customHeight="1" x14ac:dyDescent="0.45">
      <c r="B127" s="10"/>
      <c r="C127" s="11" t="s">
        <v>22</v>
      </c>
      <c r="D127" s="29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22"/>
      <c r="Q127" s="13"/>
    </row>
    <row r="128" spans="2:17" ht="16" customHeight="1" x14ac:dyDescent="0.45">
      <c r="B128" s="38"/>
      <c r="C128" s="34" t="s">
        <v>890</v>
      </c>
      <c r="D128" s="52">
        <f t="shared" ref="D128:P128" si="25">D122+D124</f>
        <v>-38574.208780000001</v>
      </c>
      <c r="E128" s="35">
        <f t="shared" si="25"/>
        <v>-37185.464009999996</v>
      </c>
      <c r="F128" s="35">
        <f t="shared" si="25"/>
        <v>-50318.131019999993</v>
      </c>
      <c r="G128" s="35">
        <f t="shared" si="25"/>
        <v>-39948.610789999999</v>
      </c>
      <c r="H128" s="35">
        <f t="shared" si="25"/>
        <v>-40398.13867</v>
      </c>
      <c r="I128" s="35">
        <f t="shared" si="25"/>
        <v>38792.758970000003</v>
      </c>
      <c r="J128" s="35">
        <f t="shared" si="25"/>
        <v>167631.79430000001</v>
      </c>
      <c r="K128" s="35">
        <f t="shared" si="25"/>
        <v>0</v>
      </c>
      <c r="L128" s="35">
        <f t="shared" si="25"/>
        <v>0</v>
      </c>
      <c r="M128" s="35">
        <f t="shared" si="25"/>
        <v>0</v>
      </c>
      <c r="N128" s="35">
        <f t="shared" si="25"/>
        <v>0</v>
      </c>
      <c r="O128" s="35">
        <f t="shared" si="25"/>
        <v>0</v>
      </c>
      <c r="P128" s="46">
        <f t="shared" si="25"/>
        <v>-2.5247573739247027E-14</v>
      </c>
      <c r="Q128" s="13"/>
    </row>
    <row r="129" spans="2:17" ht="16" customHeight="1" x14ac:dyDescent="0.45">
      <c r="B129" s="10"/>
      <c r="C129" s="11" t="s">
        <v>22</v>
      </c>
      <c r="D129" s="29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22"/>
      <c r="Q129" s="13"/>
    </row>
    <row r="130" spans="2:17" ht="16" customHeight="1" x14ac:dyDescent="0.45">
      <c r="B130" s="34" t="s">
        <v>891</v>
      </c>
      <c r="C130" s="34" t="s">
        <v>892</v>
      </c>
      <c r="D130" s="52">
        <f t="shared" ref="D130:P130" si="26">D131+D132</f>
        <v>0</v>
      </c>
      <c r="E130" s="35">
        <f t="shared" si="26"/>
        <v>60</v>
      </c>
      <c r="F130" s="35">
        <f t="shared" si="26"/>
        <v>1833.3</v>
      </c>
      <c r="G130" s="35">
        <f t="shared" si="26"/>
        <v>265.59226999999998</v>
      </c>
      <c r="H130" s="35">
        <f t="shared" si="26"/>
        <v>0</v>
      </c>
      <c r="I130" s="35">
        <f t="shared" si="26"/>
        <v>0</v>
      </c>
      <c r="J130" s="35">
        <f t="shared" si="26"/>
        <v>-2158.8922699999998</v>
      </c>
      <c r="K130" s="35">
        <f t="shared" si="26"/>
        <v>0</v>
      </c>
      <c r="L130" s="35">
        <f t="shared" si="26"/>
        <v>0</v>
      </c>
      <c r="M130" s="35">
        <f t="shared" si="26"/>
        <v>0</v>
      </c>
      <c r="N130" s="35">
        <f t="shared" si="26"/>
        <v>0</v>
      </c>
      <c r="O130" s="35">
        <f t="shared" si="26"/>
        <v>0</v>
      </c>
      <c r="P130" s="46">
        <f t="shared" si="26"/>
        <v>0</v>
      </c>
      <c r="Q130" s="13"/>
    </row>
    <row r="131" spans="2:17" ht="16" customHeight="1" x14ac:dyDescent="0.45">
      <c r="B131" s="14" t="s">
        <v>893</v>
      </c>
      <c r="C131" s="14" t="s">
        <v>894</v>
      </c>
      <c r="D131" s="30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23">
        <f>SUM(D131:O131)</f>
        <v>0</v>
      </c>
      <c r="Q131" s="13"/>
    </row>
    <row r="132" spans="2:17" ht="16" customHeight="1" x14ac:dyDescent="0.45">
      <c r="B132" s="14" t="s">
        <v>895</v>
      </c>
      <c r="C132" s="14" t="s">
        <v>896</v>
      </c>
      <c r="D132" s="30"/>
      <c r="E132" s="15">
        <v>60</v>
      </c>
      <c r="F132" s="15">
        <v>1833.3</v>
      </c>
      <c r="G132" s="15">
        <v>265.59226999999998</v>
      </c>
      <c r="H132" s="15">
        <v>0</v>
      </c>
      <c r="I132" s="15">
        <v>0</v>
      </c>
      <c r="J132" s="15">
        <v>-2158.8922699999998</v>
      </c>
      <c r="K132" s="15"/>
      <c r="L132" s="15"/>
      <c r="M132" s="15"/>
      <c r="N132" s="15"/>
      <c r="O132" s="15"/>
      <c r="P132" s="23">
        <f>SUM(D132:O132)</f>
        <v>0</v>
      </c>
      <c r="Q132" s="13"/>
    </row>
    <row r="133" spans="2:17" ht="16" customHeight="1" x14ac:dyDescent="0.45">
      <c r="B133" s="10"/>
      <c r="C133" s="11" t="s">
        <v>22</v>
      </c>
      <c r="D133" s="29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22"/>
      <c r="Q133" s="13"/>
    </row>
    <row r="134" spans="2:17" ht="16" customHeight="1" x14ac:dyDescent="0.45">
      <c r="B134" s="38"/>
      <c r="C134" s="34" t="s">
        <v>897</v>
      </c>
      <c r="D134" s="52">
        <f t="shared" ref="D134:P134" si="27">D128+D130</f>
        <v>-38574.208780000001</v>
      </c>
      <c r="E134" s="35">
        <f t="shared" si="27"/>
        <v>-37125.464009999996</v>
      </c>
      <c r="F134" s="35">
        <f t="shared" si="27"/>
        <v>-48484.831019999991</v>
      </c>
      <c r="G134" s="35">
        <f t="shared" si="27"/>
        <v>-39683.018519999998</v>
      </c>
      <c r="H134" s="35">
        <f t="shared" si="27"/>
        <v>-40398.13867</v>
      </c>
      <c r="I134" s="35">
        <f t="shared" si="27"/>
        <v>38792.758970000003</v>
      </c>
      <c r="J134" s="35">
        <f t="shared" si="27"/>
        <v>165472.90203</v>
      </c>
      <c r="K134" s="35">
        <f t="shared" si="27"/>
        <v>0</v>
      </c>
      <c r="L134" s="35">
        <f t="shared" si="27"/>
        <v>0</v>
      </c>
      <c r="M134" s="35">
        <f t="shared" si="27"/>
        <v>0</v>
      </c>
      <c r="N134" s="35">
        <f t="shared" si="27"/>
        <v>0</v>
      </c>
      <c r="O134" s="35">
        <f t="shared" si="27"/>
        <v>0</v>
      </c>
      <c r="P134" s="46">
        <f t="shared" si="27"/>
        <v>-2.5247573739247027E-14</v>
      </c>
      <c r="Q134" s="13"/>
    </row>
    <row r="135" spans="2:17" ht="16" customHeight="1" x14ac:dyDescent="0.45">
      <c r="B135" s="10"/>
      <c r="C135" s="11" t="s">
        <v>22</v>
      </c>
      <c r="D135" s="29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22"/>
      <c r="Q135" s="13"/>
    </row>
    <row r="136" spans="2:17" ht="16" customHeight="1" x14ac:dyDescent="0.45">
      <c r="B136" s="38"/>
      <c r="C136" s="34" t="s">
        <v>898</v>
      </c>
      <c r="D136" s="52">
        <f t="shared" ref="D136:P136" si="28">D137+D138</f>
        <v>0</v>
      </c>
      <c r="E136" s="35">
        <f t="shared" si="28"/>
        <v>0</v>
      </c>
      <c r="F136" s="35">
        <f t="shared" si="28"/>
        <v>0</v>
      </c>
      <c r="G136" s="35">
        <f t="shared" si="28"/>
        <v>0</v>
      </c>
      <c r="H136" s="35">
        <f t="shared" si="28"/>
        <v>0</v>
      </c>
      <c r="I136" s="35">
        <f t="shared" si="28"/>
        <v>0</v>
      </c>
      <c r="J136" s="35">
        <f t="shared" si="28"/>
        <v>0</v>
      </c>
      <c r="K136" s="35">
        <f t="shared" si="28"/>
        <v>0</v>
      </c>
      <c r="L136" s="35">
        <f t="shared" si="28"/>
        <v>0</v>
      </c>
      <c r="M136" s="35">
        <f t="shared" si="28"/>
        <v>0</v>
      </c>
      <c r="N136" s="35">
        <f t="shared" si="28"/>
        <v>0</v>
      </c>
      <c r="O136" s="35">
        <f t="shared" si="28"/>
        <v>0</v>
      </c>
      <c r="P136" s="46">
        <f t="shared" si="28"/>
        <v>0</v>
      </c>
      <c r="Q136" s="13"/>
    </row>
    <row r="137" spans="2:17" ht="16" customHeight="1" x14ac:dyDescent="0.45">
      <c r="B137" s="14" t="s">
        <v>899</v>
      </c>
      <c r="C137" s="14" t="s">
        <v>900</v>
      </c>
      <c r="D137" s="30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23">
        <f>SUM(D137:O137)</f>
        <v>0</v>
      </c>
      <c r="Q137" s="13"/>
    </row>
    <row r="138" spans="2:17" ht="16" customHeight="1" x14ac:dyDescent="0.45">
      <c r="B138" s="14" t="s">
        <v>901</v>
      </c>
      <c r="C138" s="14" t="s">
        <v>902</v>
      </c>
      <c r="D138" s="30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23">
        <f>SUM(D138:O138)</f>
        <v>0</v>
      </c>
      <c r="Q138" s="13"/>
    </row>
    <row r="139" spans="2:17" ht="16" customHeight="1" x14ac:dyDescent="0.45">
      <c r="B139" s="10"/>
      <c r="C139" s="11" t="s">
        <v>22</v>
      </c>
      <c r="D139" s="29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22"/>
      <c r="Q139" s="13"/>
    </row>
    <row r="140" spans="2:17" ht="16" customHeight="1" x14ac:dyDescent="0.45">
      <c r="B140" s="38"/>
      <c r="C140" s="34" t="s">
        <v>903</v>
      </c>
      <c r="D140" s="52">
        <f t="shared" ref="D140:P140" si="29">D141+D142</f>
        <v>0</v>
      </c>
      <c r="E140" s="35">
        <f t="shared" si="29"/>
        <v>0</v>
      </c>
      <c r="F140" s="35">
        <f t="shared" si="29"/>
        <v>0</v>
      </c>
      <c r="G140" s="35">
        <f t="shared" si="29"/>
        <v>0</v>
      </c>
      <c r="H140" s="35">
        <f t="shared" si="29"/>
        <v>0</v>
      </c>
      <c r="I140" s="35">
        <f t="shared" si="29"/>
        <v>0</v>
      </c>
      <c r="J140" s="35">
        <f t="shared" si="29"/>
        <v>0</v>
      </c>
      <c r="K140" s="35">
        <f t="shared" si="29"/>
        <v>0</v>
      </c>
      <c r="L140" s="35">
        <f t="shared" si="29"/>
        <v>0</v>
      </c>
      <c r="M140" s="35">
        <f t="shared" si="29"/>
        <v>0</v>
      </c>
      <c r="N140" s="35">
        <f t="shared" si="29"/>
        <v>0</v>
      </c>
      <c r="O140" s="35">
        <f t="shared" si="29"/>
        <v>0</v>
      </c>
      <c r="P140" s="46">
        <f t="shared" si="29"/>
        <v>0</v>
      </c>
      <c r="Q140" s="13"/>
    </row>
    <row r="141" spans="2:17" ht="16" customHeight="1" x14ac:dyDescent="0.45">
      <c r="B141" s="14" t="s">
        <v>904</v>
      </c>
      <c r="C141" s="14" t="s">
        <v>905</v>
      </c>
      <c r="D141" s="30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23">
        <f>SUM(D141:O141)</f>
        <v>0</v>
      </c>
      <c r="Q141" s="13"/>
    </row>
    <row r="142" spans="2:17" ht="16" customHeight="1" x14ac:dyDescent="0.45">
      <c r="B142" s="14" t="s">
        <v>906</v>
      </c>
      <c r="C142" s="14" t="s">
        <v>907</v>
      </c>
      <c r="D142" s="30">
        <f t="shared" ref="D142:P142" si="30">D143+D144</f>
        <v>0</v>
      </c>
      <c r="E142" s="15">
        <f t="shared" si="30"/>
        <v>0</v>
      </c>
      <c r="F142" s="15">
        <f t="shared" si="30"/>
        <v>0</v>
      </c>
      <c r="G142" s="15">
        <f t="shared" si="30"/>
        <v>0</v>
      </c>
      <c r="H142" s="15">
        <f t="shared" si="30"/>
        <v>0</v>
      </c>
      <c r="I142" s="15">
        <f t="shared" si="30"/>
        <v>0</v>
      </c>
      <c r="J142" s="15">
        <f t="shared" si="30"/>
        <v>0</v>
      </c>
      <c r="K142" s="15">
        <f t="shared" si="30"/>
        <v>0</v>
      </c>
      <c r="L142" s="15">
        <f t="shared" si="30"/>
        <v>0</v>
      </c>
      <c r="M142" s="15">
        <f t="shared" si="30"/>
        <v>0</v>
      </c>
      <c r="N142" s="15">
        <f t="shared" si="30"/>
        <v>0</v>
      </c>
      <c r="O142" s="15">
        <f t="shared" si="30"/>
        <v>0</v>
      </c>
      <c r="P142" s="23">
        <f t="shared" si="30"/>
        <v>0</v>
      </c>
      <c r="Q142" s="13"/>
    </row>
    <row r="143" spans="2:17" ht="16" customHeight="1" x14ac:dyDescent="0.45">
      <c r="B143" s="14" t="s">
        <v>908</v>
      </c>
      <c r="C143" s="14" t="s">
        <v>909</v>
      </c>
      <c r="D143" s="30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23">
        <f>SUM(D143:O143)</f>
        <v>0</v>
      </c>
      <c r="Q143" s="13"/>
    </row>
    <row r="144" spans="2:17" ht="16" customHeight="1" x14ac:dyDescent="0.45">
      <c r="B144" s="14" t="s">
        <v>910</v>
      </c>
      <c r="C144" s="14" t="s">
        <v>911</v>
      </c>
      <c r="D144" s="30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23">
        <f>SUM(D144:O144)</f>
        <v>0</v>
      </c>
      <c r="Q144" s="13"/>
    </row>
    <row r="145" spans="2:17" ht="16" customHeight="1" x14ac:dyDescent="0.45">
      <c r="B145" s="10"/>
      <c r="C145" s="11" t="s">
        <v>22</v>
      </c>
      <c r="D145" s="29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22"/>
      <c r="Q145" s="13"/>
    </row>
    <row r="146" spans="2:17" ht="16" customHeight="1" x14ac:dyDescent="0.45">
      <c r="B146" s="38"/>
      <c r="C146" s="34" t="s">
        <v>912</v>
      </c>
      <c r="D146" s="52">
        <f t="shared" ref="D146:P146" si="31">D147+D148</f>
        <v>307700</v>
      </c>
      <c r="E146" s="35">
        <f t="shared" si="31"/>
        <v>45300</v>
      </c>
      <c r="F146" s="35">
        <f t="shared" si="31"/>
        <v>40600</v>
      </c>
      <c r="G146" s="35">
        <f t="shared" si="31"/>
        <v>4100</v>
      </c>
      <c r="H146" s="35">
        <f t="shared" si="31"/>
        <v>-68700</v>
      </c>
      <c r="I146" s="35">
        <f t="shared" si="31"/>
        <v>0</v>
      </c>
      <c r="J146" s="35">
        <f t="shared" si="31"/>
        <v>-329000</v>
      </c>
      <c r="K146" s="35">
        <f t="shared" si="31"/>
        <v>0</v>
      </c>
      <c r="L146" s="35">
        <f t="shared" si="31"/>
        <v>0</v>
      </c>
      <c r="M146" s="35">
        <f t="shared" si="31"/>
        <v>0</v>
      </c>
      <c r="N146" s="35">
        <f t="shared" si="31"/>
        <v>0</v>
      </c>
      <c r="O146" s="35">
        <f t="shared" si="31"/>
        <v>0</v>
      </c>
      <c r="P146" s="46">
        <f t="shared" si="31"/>
        <v>0</v>
      </c>
      <c r="Q146" s="13"/>
    </row>
    <row r="147" spans="2:17" ht="16" customHeight="1" x14ac:dyDescent="0.45">
      <c r="B147" s="14" t="s">
        <v>913</v>
      </c>
      <c r="C147" s="14" t="s">
        <v>914</v>
      </c>
      <c r="D147" s="30">
        <v>307700</v>
      </c>
      <c r="E147" s="15">
        <v>45300</v>
      </c>
      <c r="F147" s="15">
        <v>40600</v>
      </c>
      <c r="G147" s="15">
        <v>4100</v>
      </c>
      <c r="H147" s="15">
        <v>-68700</v>
      </c>
      <c r="I147" s="15">
        <v>0</v>
      </c>
      <c r="J147" s="15">
        <v>-329000</v>
      </c>
      <c r="K147" s="15"/>
      <c r="L147" s="15"/>
      <c r="M147" s="15"/>
      <c r="N147" s="15"/>
      <c r="O147" s="15"/>
      <c r="P147" s="23">
        <f>SUM(D147:O147)</f>
        <v>0</v>
      </c>
      <c r="Q147" s="13"/>
    </row>
    <row r="148" spans="2:17" ht="16" customHeight="1" x14ac:dyDescent="0.45">
      <c r="B148" s="14" t="s">
        <v>915</v>
      </c>
      <c r="C148" s="14" t="s">
        <v>916</v>
      </c>
      <c r="D148" s="30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23">
        <f>SUM(D148:O148)</f>
        <v>0</v>
      </c>
      <c r="Q148" s="13"/>
    </row>
    <row r="149" spans="2:17" ht="16" customHeight="1" x14ac:dyDescent="0.45">
      <c r="B149" s="10"/>
      <c r="C149" s="11" t="s">
        <v>22</v>
      </c>
      <c r="D149" s="29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22"/>
      <c r="Q149" s="13"/>
    </row>
    <row r="150" spans="2:17" ht="16" customHeight="1" x14ac:dyDescent="0.45">
      <c r="B150" s="38"/>
      <c r="C150" s="34" t="s">
        <v>917</v>
      </c>
      <c r="D150" s="52">
        <f t="shared" ref="D150:P150" si="32">D151+D152</f>
        <v>-16363.925369999999</v>
      </c>
      <c r="E150" s="35">
        <f t="shared" si="32"/>
        <v>-15121.68597</v>
      </c>
      <c r="F150" s="35">
        <f t="shared" si="32"/>
        <v>-19428.301630000002</v>
      </c>
      <c r="G150" s="35">
        <f t="shared" si="32"/>
        <v>-20566.277959999999</v>
      </c>
      <c r="H150" s="35">
        <f t="shared" si="32"/>
        <v>-15780.291950000001</v>
      </c>
      <c r="I150" s="35">
        <f t="shared" si="32"/>
        <v>-4355.8764799999999</v>
      </c>
      <c r="J150" s="35">
        <f t="shared" si="32"/>
        <v>91616.359359999988</v>
      </c>
      <c r="K150" s="35">
        <f t="shared" si="32"/>
        <v>0</v>
      </c>
      <c r="L150" s="35">
        <f t="shared" si="32"/>
        <v>0</v>
      </c>
      <c r="M150" s="35">
        <f t="shared" si="32"/>
        <v>0</v>
      </c>
      <c r="N150" s="35">
        <f t="shared" si="32"/>
        <v>0</v>
      </c>
      <c r="O150" s="35">
        <f t="shared" si="32"/>
        <v>0</v>
      </c>
      <c r="P150" s="46">
        <f t="shared" si="32"/>
        <v>0</v>
      </c>
      <c r="Q150" s="13"/>
    </row>
    <row r="151" spans="2:17" ht="16" customHeight="1" x14ac:dyDescent="0.45">
      <c r="B151" s="14" t="s">
        <v>918</v>
      </c>
      <c r="C151" s="14" t="s">
        <v>919</v>
      </c>
      <c r="D151" s="30">
        <v>-16376.051729999999</v>
      </c>
      <c r="E151" s="15">
        <v>-15129.770210000001</v>
      </c>
      <c r="F151" s="15">
        <v>-19464.770400000001</v>
      </c>
      <c r="G151" s="15">
        <v>-20565.362109999998</v>
      </c>
      <c r="H151" s="15">
        <v>-15789.914580000001</v>
      </c>
      <c r="I151" s="15">
        <v>-4341.1493499999997</v>
      </c>
      <c r="J151" s="15">
        <v>91667.018379999994</v>
      </c>
      <c r="K151" s="15"/>
      <c r="L151" s="15"/>
      <c r="M151" s="15"/>
      <c r="N151" s="15"/>
      <c r="O151" s="15"/>
      <c r="P151" s="23">
        <f>SUM(D151:O151)</f>
        <v>0</v>
      </c>
      <c r="Q151" s="13"/>
    </row>
    <row r="152" spans="2:17" ht="16" customHeight="1" x14ac:dyDescent="0.35">
      <c r="B152" s="14" t="s">
        <v>920</v>
      </c>
      <c r="C152" s="14" t="s">
        <v>921</v>
      </c>
      <c r="D152" s="30">
        <v>12.12636</v>
      </c>
      <c r="E152" s="15">
        <v>8.0842399999999994</v>
      </c>
      <c r="F152" s="15">
        <v>36.468769999999999</v>
      </c>
      <c r="G152" s="15">
        <v>-0.91585000000000005</v>
      </c>
      <c r="H152" s="15">
        <v>9.6226299999999991</v>
      </c>
      <c r="I152" s="15">
        <v>-14.727130000000001</v>
      </c>
      <c r="J152" s="15">
        <v>-50.659019999999998</v>
      </c>
      <c r="K152" s="15"/>
      <c r="L152" s="15"/>
      <c r="M152" s="15"/>
      <c r="N152" s="15"/>
      <c r="O152" s="15"/>
      <c r="P152" s="23">
        <f>SUM(D152:O152)</f>
        <v>0</v>
      </c>
    </row>
    <row r="153" spans="2:17" ht="16" customHeight="1" x14ac:dyDescent="0.35">
      <c r="B153" s="10"/>
      <c r="C153" s="11" t="s">
        <v>22</v>
      </c>
      <c r="D153" s="29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22"/>
    </row>
    <row r="154" spans="2:17" ht="16" customHeight="1" x14ac:dyDescent="0.35">
      <c r="B154" s="38"/>
      <c r="C154" s="34" t="s">
        <v>922</v>
      </c>
      <c r="D154" s="52">
        <f t="shared" ref="D154:P154" si="33">-(-D155)</f>
        <v>-7773.5870000000004</v>
      </c>
      <c r="E154" s="35">
        <f t="shared" si="33"/>
        <v>11611.936159999999</v>
      </c>
      <c r="F154" s="35">
        <f t="shared" si="33"/>
        <v>-296.24889000000002</v>
      </c>
      <c r="G154" s="35">
        <f t="shared" si="33"/>
        <v>102.04643</v>
      </c>
      <c r="H154" s="35">
        <f t="shared" si="33"/>
        <v>-11.65634</v>
      </c>
      <c r="I154" s="35">
        <f t="shared" si="33"/>
        <v>-3840.355</v>
      </c>
      <c r="J154" s="35">
        <f t="shared" si="33"/>
        <v>207.86464000000001</v>
      </c>
      <c r="K154" s="35">
        <f t="shared" si="33"/>
        <v>0</v>
      </c>
      <c r="L154" s="35">
        <f t="shared" si="33"/>
        <v>0</v>
      </c>
      <c r="M154" s="35">
        <f t="shared" si="33"/>
        <v>0</v>
      </c>
      <c r="N154" s="35">
        <f t="shared" si="33"/>
        <v>0</v>
      </c>
      <c r="O154" s="35">
        <f t="shared" si="33"/>
        <v>0</v>
      </c>
      <c r="P154" s="46">
        <f t="shared" si="33"/>
        <v>-1.1368683772161603E-12</v>
      </c>
    </row>
    <row r="155" spans="2:17" ht="16" customHeight="1" x14ac:dyDescent="0.35">
      <c r="B155" s="14" t="s">
        <v>923</v>
      </c>
      <c r="C155" s="14" t="s">
        <v>924</v>
      </c>
      <c r="D155" s="30">
        <v>-7773.5870000000004</v>
      </c>
      <c r="E155" s="15">
        <v>11611.936159999999</v>
      </c>
      <c r="F155" s="15">
        <v>-296.24889000000002</v>
      </c>
      <c r="G155" s="15">
        <v>102.04643</v>
      </c>
      <c r="H155" s="15">
        <v>-11.65634</v>
      </c>
      <c r="I155" s="15">
        <v>-3840.355</v>
      </c>
      <c r="J155" s="15">
        <v>207.86464000000001</v>
      </c>
      <c r="K155" s="15"/>
      <c r="L155" s="15"/>
      <c r="M155" s="15"/>
      <c r="N155" s="15"/>
      <c r="O155" s="15"/>
      <c r="P155" s="23">
        <f>SUM(D155:O155)</f>
        <v>-1.1368683772161603E-12</v>
      </c>
    </row>
    <row r="156" spans="2:17" ht="16" customHeight="1" x14ac:dyDescent="0.35">
      <c r="B156" s="10"/>
      <c r="C156" s="11" t="s">
        <v>22</v>
      </c>
      <c r="D156" s="29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22"/>
    </row>
    <row r="157" spans="2:17" ht="16" customHeight="1" x14ac:dyDescent="0.35">
      <c r="B157" s="38"/>
      <c r="C157" s="34" t="s">
        <v>925</v>
      </c>
      <c r="D157" s="52">
        <f t="shared" ref="D157:P157" si="34">D158+D159</f>
        <v>0</v>
      </c>
      <c r="E157" s="35">
        <f t="shared" si="34"/>
        <v>0</v>
      </c>
      <c r="F157" s="35">
        <f t="shared" si="34"/>
        <v>0</v>
      </c>
      <c r="G157" s="35">
        <f t="shared" si="34"/>
        <v>0</v>
      </c>
      <c r="H157" s="35">
        <f t="shared" si="34"/>
        <v>0</v>
      </c>
      <c r="I157" s="35">
        <f t="shared" si="34"/>
        <v>0</v>
      </c>
      <c r="J157" s="35">
        <f t="shared" si="34"/>
        <v>0</v>
      </c>
      <c r="K157" s="35">
        <f t="shared" si="34"/>
        <v>0</v>
      </c>
      <c r="L157" s="35">
        <f t="shared" si="34"/>
        <v>0</v>
      </c>
      <c r="M157" s="35">
        <f t="shared" si="34"/>
        <v>0</v>
      </c>
      <c r="N157" s="35">
        <f t="shared" si="34"/>
        <v>0</v>
      </c>
      <c r="O157" s="35">
        <f t="shared" si="34"/>
        <v>0</v>
      </c>
      <c r="P157" s="46">
        <f t="shared" si="34"/>
        <v>0</v>
      </c>
    </row>
    <row r="158" spans="2:17" ht="16" customHeight="1" x14ac:dyDescent="0.35">
      <c r="B158" s="14" t="s">
        <v>926</v>
      </c>
      <c r="C158" s="14" t="s">
        <v>927</v>
      </c>
      <c r="D158" s="30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23">
        <f>SUM(D158:O158)</f>
        <v>0</v>
      </c>
    </row>
    <row r="159" spans="2:17" ht="16" customHeight="1" x14ac:dyDescent="0.35">
      <c r="B159" s="14" t="s">
        <v>928</v>
      </c>
      <c r="C159" s="14" t="s">
        <v>929</v>
      </c>
      <c r="D159" s="30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23">
        <f>SUM(D159:O159)</f>
        <v>0</v>
      </c>
    </row>
    <row r="160" spans="2:17" ht="16" customHeight="1" x14ac:dyDescent="0.35">
      <c r="B160" s="10"/>
      <c r="C160" s="11" t="s">
        <v>22</v>
      </c>
      <c r="D160" s="29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22"/>
    </row>
    <row r="161" spans="2:16" ht="16" customHeight="1" x14ac:dyDescent="0.35">
      <c r="B161" s="38"/>
      <c r="C161" s="34" t="s">
        <v>930</v>
      </c>
      <c r="D161" s="52">
        <f t="shared" ref="D161:P161" si="35">-(-D136-D140-D146-D150-D154-D157)</f>
        <v>283562.48762999999</v>
      </c>
      <c r="E161" s="35">
        <f t="shared" si="35"/>
        <v>41790.250189999999</v>
      </c>
      <c r="F161" s="35">
        <f t="shared" si="35"/>
        <v>20875.449479999999</v>
      </c>
      <c r="G161" s="35">
        <f t="shared" si="35"/>
        <v>-16364.231529999999</v>
      </c>
      <c r="H161" s="35">
        <f t="shared" si="35"/>
        <v>-84491.94829</v>
      </c>
      <c r="I161" s="35">
        <f t="shared" si="35"/>
        <v>-8196.2314800000004</v>
      </c>
      <c r="J161" s="35">
        <f t="shared" si="35"/>
        <v>-237175.77599999998</v>
      </c>
      <c r="K161" s="35">
        <f t="shared" si="35"/>
        <v>0</v>
      </c>
      <c r="L161" s="35">
        <f t="shared" si="35"/>
        <v>0</v>
      </c>
      <c r="M161" s="35">
        <f t="shared" si="35"/>
        <v>0</v>
      </c>
      <c r="N161" s="35">
        <f t="shared" si="35"/>
        <v>0</v>
      </c>
      <c r="O161" s="35">
        <f t="shared" si="35"/>
        <v>0</v>
      </c>
      <c r="P161" s="46">
        <f t="shared" si="35"/>
        <v>-1.1368683772161603E-12</v>
      </c>
    </row>
    <row r="162" spans="2:16" ht="16" customHeight="1" x14ac:dyDescent="0.35">
      <c r="B162" s="10"/>
      <c r="C162" s="11" t="s">
        <v>22</v>
      </c>
      <c r="D162" s="29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22"/>
    </row>
    <row r="163" spans="2:16" ht="16" customHeight="1" x14ac:dyDescent="0.35">
      <c r="B163" s="39"/>
      <c r="C163" s="40" t="s">
        <v>931</v>
      </c>
      <c r="D163" s="53">
        <f t="shared" ref="D163:P163" si="36">D134+D161</f>
        <v>244988.27885</v>
      </c>
      <c r="E163" s="24">
        <f t="shared" si="36"/>
        <v>4664.7861800000028</v>
      </c>
      <c r="F163" s="24">
        <f t="shared" si="36"/>
        <v>-27609.381539999991</v>
      </c>
      <c r="G163" s="24">
        <f t="shared" si="36"/>
        <v>-56047.250049999995</v>
      </c>
      <c r="H163" s="24">
        <f t="shared" si="36"/>
        <v>-124890.08696</v>
      </c>
      <c r="I163" s="24">
        <f t="shared" si="36"/>
        <v>30596.52749</v>
      </c>
      <c r="J163" s="24">
        <f t="shared" si="36"/>
        <v>-71702.873969999986</v>
      </c>
      <c r="K163" s="24">
        <f t="shared" si="36"/>
        <v>0</v>
      </c>
      <c r="L163" s="24">
        <f t="shared" si="36"/>
        <v>0</v>
      </c>
      <c r="M163" s="24">
        <f t="shared" si="36"/>
        <v>0</v>
      </c>
      <c r="N163" s="24">
        <f t="shared" si="36"/>
        <v>0</v>
      </c>
      <c r="O163" s="24">
        <f t="shared" si="36"/>
        <v>0</v>
      </c>
      <c r="P163" s="24">
        <f t="shared" si="36"/>
        <v>-1.1621159509554073E-12</v>
      </c>
    </row>
    <row r="164" spans="2:16" ht="16" customHeight="1" x14ac:dyDescent="0.35">
      <c r="B164" s="10"/>
      <c r="C164" s="11" t="s">
        <v>22</v>
      </c>
      <c r="D164" s="29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22"/>
    </row>
    <row r="165" spans="2:16" ht="16" customHeight="1" x14ac:dyDescent="0.35">
      <c r="B165" s="38"/>
      <c r="C165" s="34" t="s">
        <v>932</v>
      </c>
      <c r="D165" s="52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46"/>
    </row>
    <row r="166" spans="2:16" ht="16" customHeight="1" x14ac:dyDescent="0.35">
      <c r="B166" s="10"/>
      <c r="C166" s="11" t="s">
        <v>22</v>
      </c>
      <c r="D166" s="29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22"/>
    </row>
    <row r="167" spans="2:16" ht="16" customHeight="1" x14ac:dyDescent="0.35">
      <c r="B167" s="38"/>
      <c r="C167" s="34" t="s">
        <v>933</v>
      </c>
      <c r="D167" s="52">
        <f t="shared" ref="D167:P167" si="37">-(-(D168+D169)-D170)</f>
        <v>0</v>
      </c>
      <c r="E167" s="35">
        <f t="shared" si="37"/>
        <v>0</v>
      </c>
      <c r="F167" s="35">
        <f t="shared" si="37"/>
        <v>0</v>
      </c>
      <c r="G167" s="35">
        <f t="shared" si="37"/>
        <v>0</v>
      </c>
      <c r="H167" s="35">
        <f t="shared" si="37"/>
        <v>0</v>
      </c>
      <c r="I167" s="35">
        <f t="shared" si="37"/>
        <v>0</v>
      </c>
      <c r="J167" s="35">
        <f t="shared" si="37"/>
        <v>0</v>
      </c>
      <c r="K167" s="35">
        <f t="shared" si="37"/>
        <v>0</v>
      </c>
      <c r="L167" s="35">
        <f t="shared" si="37"/>
        <v>0</v>
      </c>
      <c r="M167" s="35">
        <f t="shared" si="37"/>
        <v>0</v>
      </c>
      <c r="N167" s="35">
        <f t="shared" si="37"/>
        <v>0</v>
      </c>
      <c r="O167" s="35">
        <f t="shared" si="37"/>
        <v>0</v>
      </c>
      <c r="P167" s="46">
        <f t="shared" si="37"/>
        <v>0</v>
      </c>
    </row>
    <row r="168" spans="2:16" ht="16" customHeight="1" x14ac:dyDescent="0.35">
      <c r="B168" s="14" t="s">
        <v>934</v>
      </c>
      <c r="C168" s="14" t="s">
        <v>935</v>
      </c>
      <c r="D168" s="30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23">
        <f>SUM(D168:O168)</f>
        <v>0</v>
      </c>
    </row>
    <row r="169" spans="2:16" ht="16" customHeight="1" x14ac:dyDescent="0.35">
      <c r="B169" s="14" t="s">
        <v>936</v>
      </c>
      <c r="C169" s="14" t="s">
        <v>937</v>
      </c>
      <c r="D169" s="30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23">
        <f>SUM(D169:O169)</f>
        <v>0</v>
      </c>
    </row>
    <row r="170" spans="2:16" ht="16" customHeight="1" x14ac:dyDescent="0.35">
      <c r="B170" s="14" t="s">
        <v>938</v>
      </c>
      <c r="C170" s="14" t="s">
        <v>939</v>
      </c>
      <c r="D170" s="30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23">
        <f>SUM(D170:O170)</f>
        <v>0</v>
      </c>
    </row>
    <row r="171" spans="2:16" ht="16" customHeight="1" x14ac:dyDescent="0.35">
      <c r="B171" s="10"/>
      <c r="C171" s="11" t="s">
        <v>22</v>
      </c>
      <c r="D171" s="29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22"/>
    </row>
    <row r="172" spans="2:16" ht="16" customHeight="1" x14ac:dyDescent="0.35">
      <c r="B172" s="38"/>
      <c r="C172" s="34" t="s">
        <v>940</v>
      </c>
      <c r="D172" s="52">
        <f t="shared" ref="D172:P172" si="38">D173+D174</f>
        <v>0</v>
      </c>
      <c r="E172" s="35">
        <f t="shared" si="38"/>
        <v>0</v>
      </c>
      <c r="F172" s="35">
        <f t="shared" si="38"/>
        <v>0</v>
      </c>
      <c r="G172" s="35">
        <f t="shared" si="38"/>
        <v>0</v>
      </c>
      <c r="H172" s="35">
        <f t="shared" si="38"/>
        <v>0</v>
      </c>
      <c r="I172" s="35">
        <f t="shared" si="38"/>
        <v>0</v>
      </c>
      <c r="J172" s="35">
        <f t="shared" si="38"/>
        <v>0</v>
      </c>
      <c r="K172" s="35">
        <f t="shared" si="38"/>
        <v>0</v>
      </c>
      <c r="L172" s="35">
        <f t="shared" si="38"/>
        <v>0</v>
      </c>
      <c r="M172" s="35">
        <f t="shared" si="38"/>
        <v>0</v>
      </c>
      <c r="N172" s="35">
        <f t="shared" si="38"/>
        <v>0</v>
      </c>
      <c r="O172" s="35">
        <f t="shared" si="38"/>
        <v>0</v>
      </c>
      <c r="P172" s="46">
        <f t="shared" si="38"/>
        <v>0</v>
      </c>
    </row>
    <row r="173" spans="2:16" ht="16" customHeight="1" x14ac:dyDescent="0.35">
      <c r="B173" s="14" t="s">
        <v>941</v>
      </c>
      <c r="C173" s="14" t="s">
        <v>942</v>
      </c>
      <c r="D173" s="30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23">
        <f>SUM(D173:O173)</f>
        <v>0</v>
      </c>
    </row>
    <row r="174" spans="2:16" ht="16" customHeight="1" x14ac:dyDescent="0.35">
      <c r="B174" s="14" t="s">
        <v>943</v>
      </c>
      <c r="C174" s="14" t="s">
        <v>944</v>
      </c>
      <c r="D174" s="30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23">
        <f>SUM(D174:O174)</f>
        <v>0</v>
      </c>
    </row>
    <row r="175" spans="2:16" ht="16" customHeight="1" x14ac:dyDescent="0.35">
      <c r="B175" s="10"/>
      <c r="C175" s="11" t="s">
        <v>22</v>
      </c>
      <c r="D175" s="29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22"/>
    </row>
    <row r="176" spans="2:16" ht="16" customHeight="1" x14ac:dyDescent="0.35">
      <c r="B176" s="14" t="s">
        <v>945</v>
      </c>
      <c r="C176" s="14" t="s">
        <v>946</v>
      </c>
      <c r="D176" s="30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23">
        <f>SUM(D176:O176)</f>
        <v>0</v>
      </c>
    </row>
    <row r="177" spans="2:16" ht="16" customHeight="1" x14ac:dyDescent="0.35">
      <c r="B177" s="10"/>
      <c r="C177" s="11" t="s">
        <v>22</v>
      </c>
      <c r="D177" s="29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22"/>
    </row>
    <row r="178" spans="2:16" ht="16" customHeight="1" x14ac:dyDescent="0.35">
      <c r="B178" s="14" t="s">
        <v>947</v>
      </c>
      <c r="C178" s="14" t="s">
        <v>948</v>
      </c>
      <c r="D178" s="30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23">
        <f>SUM(D178:O178)</f>
        <v>0</v>
      </c>
    </row>
    <row r="179" spans="2:16" ht="16" customHeight="1" x14ac:dyDescent="0.35">
      <c r="B179" s="10"/>
      <c r="C179" s="11" t="s">
        <v>22</v>
      </c>
      <c r="D179" s="29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22"/>
    </row>
    <row r="180" spans="2:16" ht="16" customHeight="1" x14ac:dyDescent="0.35">
      <c r="B180" s="14" t="s">
        <v>949</v>
      </c>
      <c r="C180" s="14" t="s">
        <v>950</v>
      </c>
      <c r="D180" s="30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23">
        <f>SUM(D180:O180)</f>
        <v>0</v>
      </c>
    </row>
    <row r="181" spans="2:16" ht="16" customHeight="1" x14ac:dyDescent="0.35">
      <c r="B181" s="10"/>
      <c r="C181" s="11" t="s">
        <v>22</v>
      </c>
      <c r="D181" s="29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22"/>
    </row>
    <row r="182" spans="2:16" ht="16" customHeight="1" x14ac:dyDescent="0.35">
      <c r="B182" s="38"/>
      <c r="C182" s="34" t="s">
        <v>951</v>
      </c>
      <c r="D182" s="52">
        <f t="shared" ref="D182:P182" si="39">D183+D184</f>
        <v>0</v>
      </c>
      <c r="E182" s="35">
        <f t="shared" si="39"/>
        <v>0</v>
      </c>
      <c r="F182" s="35">
        <f t="shared" si="39"/>
        <v>0</v>
      </c>
      <c r="G182" s="35">
        <f t="shared" si="39"/>
        <v>0</v>
      </c>
      <c r="H182" s="35">
        <f t="shared" si="39"/>
        <v>0</v>
      </c>
      <c r="I182" s="35">
        <f t="shared" si="39"/>
        <v>0</v>
      </c>
      <c r="J182" s="35">
        <f t="shared" si="39"/>
        <v>0</v>
      </c>
      <c r="K182" s="35">
        <f t="shared" si="39"/>
        <v>0</v>
      </c>
      <c r="L182" s="35">
        <f t="shared" si="39"/>
        <v>0</v>
      </c>
      <c r="M182" s="35">
        <f t="shared" si="39"/>
        <v>0</v>
      </c>
      <c r="N182" s="35">
        <f t="shared" si="39"/>
        <v>0</v>
      </c>
      <c r="O182" s="35">
        <f t="shared" si="39"/>
        <v>0</v>
      </c>
      <c r="P182" s="46">
        <f t="shared" si="39"/>
        <v>0</v>
      </c>
    </row>
    <row r="183" spans="2:16" ht="16" customHeight="1" x14ac:dyDescent="0.35">
      <c r="B183" s="14" t="s">
        <v>952</v>
      </c>
      <c r="C183" s="14" t="s">
        <v>953</v>
      </c>
      <c r="D183" s="30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23">
        <f>SUM(D183:O183)</f>
        <v>0</v>
      </c>
    </row>
    <row r="184" spans="2:16" ht="16" customHeight="1" x14ac:dyDescent="0.35">
      <c r="B184" s="14" t="s">
        <v>954</v>
      </c>
      <c r="C184" s="14" t="s">
        <v>955</v>
      </c>
      <c r="D184" s="30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23">
        <f>SUM(D184:O184)</f>
        <v>0</v>
      </c>
    </row>
    <row r="185" spans="2:16" ht="16" customHeight="1" x14ac:dyDescent="0.35">
      <c r="B185" s="10"/>
      <c r="C185" s="11" t="s">
        <v>22</v>
      </c>
      <c r="D185" s="29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22"/>
    </row>
    <row r="186" spans="2:16" ht="16" customHeight="1" x14ac:dyDescent="0.35">
      <c r="B186" s="38"/>
      <c r="C186" s="34" t="s">
        <v>956</v>
      </c>
      <c r="D186" s="52">
        <f t="shared" ref="D186:P186" si="40">-(-(D187+D188)-D189-D190-D191)</f>
        <v>0</v>
      </c>
      <c r="E186" s="35">
        <f t="shared" si="40"/>
        <v>0</v>
      </c>
      <c r="F186" s="35">
        <f t="shared" si="40"/>
        <v>0</v>
      </c>
      <c r="G186" s="35">
        <f t="shared" si="40"/>
        <v>0</v>
      </c>
      <c r="H186" s="35">
        <f t="shared" si="40"/>
        <v>0</v>
      </c>
      <c r="I186" s="35">
        <f t="shared" si="40"/>
        <v>0</v>
      </c>
      <c r="J186" s="35">
        <f t="shared" si="40"/>
        <v>0</v>
      </c>
      <c r="K186" s="35">
        <f t="shared" si="40"/>
        <v>0</v>
      </c>
      <c r="L186" s="35">
        <f t="shared" si="40"/>
        <v>0</v>
      </c>
      <c r="M186" s="35">
        <f t="shared" si="40"/>
        <v>0</v>
      </c>
      <c r="N186" s="35">
        <f t="shared" si="40"/>
        <v>0</v>
      </c>
      <c r="O186" s="35">
        <f t="shared" si="40"/>
        <v>0</v>
      </c>
      <c r="P186" s="46">
        <f t="shared" si="40"/>
        <v>0</v>
      </c>
    </row>
    <row r="187" spans="2:16" ht="16" customHeight="1" x14ac:dyDescent="0.35">
      <c r="B187" s="14" t="s">
        <v>957</v>
      </c>
      <c r="C187" s="14" t="s">
        <v>958</v>
      </c>
      <c r="D187" s="30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23">
        <f>SUM(D187:O187)</f>
        <v>0</v>
      </c>
    </row>
    <row r="188" spans="2:16" ht="16" customHeight="1" x14ac:dyDescent="0.35">
      <c r="B188" s="14" t="s">
        <v>959</v>
      </c>
      <c r="C188" s="14" t="s">
        <v>960</v>
      </c>
      <c r="D188" s="30">
        <v>200</v>
      </c>
      <c r="E188" s="15">
        <v>0</v>
      </c>
      <c r="F188" s="15">
        <v>0</v>
      </c>
      <c r="G188" s="15">
        <v>0</v>
      </c>
      <c r="H188" s="15">
        <v>0</v>
      </c>
      <c r="I188" s="15">
        <v>0</v>
      </c>
      <c r="J188" s="15">
        <v>-200</v>
      </c>
      <c r="K188" s="15"/>
      <c r="L188" s="15"/>
      <c r="M188" s="15"/>
      <c r="N188" s="15"/>
      <c r="O188" s="15"/>
      <c r="P188" s="23">
        <f>SUM(D188:O188)</f>
        <v>0</v>
      </c>
    </row>
    <row r="189" spans="2:16" ht="16" customHeight="1" x14ac:dyDescent="0.35">
      <c r="B189" s="14" t="s">
        <v>961</v>
      </c>
      <c r="C189" s="14" t="s">
        <v>962</v>
      </c>
      <c r="D189" s="30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23">
        <f>SUM(D189:O189)</f>
        <v>0</v>
      </c>
    </row>
    <row r="190" spans="2:16" ht="16" customHeight="1" x14ac:dyDescent="0.35">
      <c r="B190" s="14" t="s">
        <v>963</v>
      </c>
      <c r="C190" s="14" t="s">
        <v>964</v>
      </c>
      <c r="D190" s="30">
        <v>-200</v>
      </c>
      <c r="E190" s="15">
        <v>0</v>
      </c>
      <c r="F190" s="15">
        <v>0</v>
      </c>
      <c r="G190" s="15">
        <v>0</v>
      </c>
      <c r="H190" s="15">
        <v>0</v>
      </c>
      <c r="I190" s="15">
        <v>0</v>
      </c>
      <c r="J190" s="15">
        <v>200</v>
      </c>
      <c r="K190" s="15"/>
      <c r="L190" s="15"/>
      <c r="M190" s="15"/>
      <c r="N190" s="15"/>
      <c r="O190" s="15"/>
      <c r="P190" s="23">
        <f>SUM(D190:O190)</f>
        <v>0</v>
      </c>
    </row>
    <row r="191" spans="2:16" ht="16" customHeight="1" x14ac:dyDescent="0.35">
      <c r="B191" s="14" t="s">
        <v>965</v>
      </c>
      <c r="C191" s="14" t="s">
        <v>966</v>
      </c>
      <c r="D191" s="30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23">
        <f>SUM(D191:O191)</f>
        <v>0</v>
      </c>
    </row>
    <row r="192" spans="2:16" ht="16" customHeight="1" x14ac:dyDescent="0.35">
      <c r="B192" s="10"/>
      <c r="C192" s="11" t="s">
        <v>22</v>
      </c>
      <c r="D192" s="29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22"/>
    </row>
    <row r="193" spans="2:16" ht="16" customHeight="1" x14ac:dyDescent="0.35">
      <c r="B193" s="38"/>
      <c r="C193" s="34" t="s">
        <v>967</v>
      </c>
      <c r="D193" s="52">
        <f t="shared" ref="D193:P193" si="41">D195+D200+D204</f>
        <v>11910.89625</v>
      </c>
      <c r="E193" s="35">
        <f t="shared" si="41"/>
        <v>15276.979360000001</v>
      </c>
      <c r="F193" s="35">
        <f t="shared" si="41"/>
        <v>14339.688779999999</v>
      </c>
      <c r="G193" s="35">
        <f t="shared" si="41"/>
        <v>11322.152890000001</v>
      </c>
      <c r="H193" s="35">
        <f t="shared" si="41"/>
        <v>16386.790590000001</v>
      </c>
      <c r="I193" s="35">
        <f t="shared" si="41"/>
        <v>-14307.255120000002</v>
      </c>
      <c r="J193" s="35">
        <f t="shared" si="41"/>
        <v>-54929.25275</v>
      </c>
      <c r="K193" s="35">
        <f t="shared" si="41"/>
        <v>0</v>
      </c>
      <c r="L193" s="35">
        <f t="shared" si="41"/>
        <v>0</v>
      </c>
      <c r="M193" s="35">
        <f t="shared" si="41"/>
        <v>0</v>
      </c>
      <c r="N193" s="35">
        <f t="shared" si="41"/>
        <v>0</v>
      </c>
      <c r="O193" s="35">
        <f t="shared" si="41"/>
        <v>0</v>
      </c>
      <c r="P193" s="46">
        <f t="shared" si="41"/>
        <v>0</v>
      </c>
    </row>
    <row r="194" spans="2:16" ht="16" customHeight="1" x14ac:dyDescent="0.35">
      <c r="B194" s="10"/>
      <c r="C194" s="11" t="s">
        <v>22</v>
      </c>
      <c r="D194" s="29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22"/>
    </row>
    <row r="195" spans="2:16" ht="16" customHeight="1" x14ac:dyDescent="0.35">
      <c r="B195" s="38"/>
      <c r="C195" s="34" t="s">
        <v>968</v>
      </c>
      <c r="D195" s="52">
        <f t="shared" ref="D195:P195" si="42">-(-(D196+D197)-D198)</f>
        <v>13354.22991</v>
      </c>
      <c r="E195" s="35">
        <f t="shared" si="42"/>
        <v>16518.685150000001</v>
      </c>
      <c r="F195" s="35">
        <f t="shared" si="42"/>
        <v>15799.923769999999</v>
      </c>
      <c r="G195" s="35">
        <f t="shared" si="42"/>
        <v>12734.717490000001</v>
      </c>
      <c r="H195" s="35">
        <f t="shared" si="42"/>
        <v>17750.363580000001</v>
      </c>
      <c r="I195" s="35">
        <f t="shared" si="42"/>
        <v>7512.2682100000002</v>
      </c>
      <c r="J195" s="35">
        <f t="shared" si="42"/>
        <v>-83670.188110000003</v>
      </c>
      <c r="K195" s="35">
        <f t="shared" si="42"/>
        <v>0</v>
      </c>
      <c r="L195" s="35">
        <f t="shared" si="42"/>
        <v>0</v>
      </c>
      <c r="M195" s="35">
        <f t="shared" si="42"/>
        <v>0</v>
      </c>
      <c r="N195" s="35">
        <f t="shared" si="42"/>
        <v>0</v>
      </c>
      <c r="O195" s="35">
        <f t="shared" si="42"/>
        <v>0</v>
      </c>
      <c r="P195" s="46">
        <f t="shared" si="42"/>
        <v>0</v>
      </c>
    </row>
    <row r="196" spans="2:16" ht="16" customHeight="1" x14ac:dyDescent="0.35">
      <c r="B196" s="14" t="s">
        <v>969</v>
      </c>
      <c r="C196" s="14" t="s">
        <v>970</v>
      </c>
      <c r="D196" s="30">
        <v>13354.22991</v>
      </c>
      <c r="E196" s="15">
        <v>16518.685150000001</v>
      </c>
      <c r="F196" s="15">
        <v>15799.923769999999</v>
      </c>
      <c r="G196" s="15">
        <v>12825.074430000001</v>
      </c>
      <c r="H196" s="15">
        <v>17863.32706</v>
      </c>
      <c r="I196" s="15">
        <v>7512.2682100000002</v>
      </c>
      <c r="J196" s="15">
        <v>-83873.508530000006</v>
      </c>
      <c r="K196" s="15"/>
      <c r="L196" s="15"/>
      <c r="M196" s="15"/>
      <c r="N196" s="15"/>
      <c r="O196" s="15"/>
      <c r="P196" s="23">
        <f>SUM(D196:O196)</f>
        <v>0</v>
      </c>
    </row>
    <row r="197" spans="2:16" ht="16" customHeight="1" x14ac:dyDescent="0.35">
      <c r="B197" s="14" t="s">
        <v>971</v>
      </c>
      <c r="C197" s="14" t="s">
        <v>972</v>
      </c>
      <c r="D197" s="30"/>
      <c r="E197" s="15"/>
      <c r="F197" s="15"/>
      <c r="G197" s="15">
        <v>-90.356939999999994</v>
      </c>
      <c r="H197" s="15">
        <v>-112.96348</v>
      </c>
      <c r="I197" s="15">
        <v>0</v>
      </c>
      <c r="J197" s="15">
        <v>203.32042000000001</v>
      </c>
      <c r="K197" s="15"/>
      <c r="L197" s="15"/>
      <c r="M197" s="15"/>
      <c r="N197" s="15"/>
      <c r="O197" s="15"/>
      <c r="P197" s="23">
        <f>SUM(D197:O197)</f>
        <v>0</v>
      </c>
    </row>
    <row r="198" spans="2:16" ht="16" customHeight="1" x14ac:dyDescent="0.35">
      <c r="B198" s="14" t="s">
        <v>973</v>
      </c>
      <c r="C198" s="14" t="s">
        <v>974</v>
      </c>
      <c r="D198" s="30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23">
        <f>SUM(D198:O198)</f>
        <v>0</v>
      </c>
    </row>
    <row r="199" spans="2:16" ht="16" customHeight="1" x14ac:dyDescent="0.35">
      <c r="B199" s="10"/>
      <c r="C199" s="11" t="s">
        <v>22</v>
      </c>
      <c r="D199" s="29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22"/>
    </row>
    <row r="200" spans="2:16" ht="16" customHeight="1" x14ac:dyDescent="0.35">
      <c r="B200" s="34" t="s">
        <v>975</v>
      </c>
      <c r="C200" s="34" t="s">
        <v>976</v>
      </c>
      <c r="D200" s="52">
        <f t="shared" ref="D200:P200" si="43">D201+D202</f>
        <v>-1401.41066</v>
      </c>
      <c r="E200" s="35">
        <f t="shared" si="43"/>
        <v>-1166.18379</v>
      </c>
      <c r="F200" s="35">
        <f t="shared" si="43"/>
        <v>-1488.8329899999999</v>
      </c>
      <c r="G200" s="35">
        <f t="shared" si="43"/>
        <v>-1453.4885999999999</v>
      </c>
      <c r="H200" s="35">
        <f t="shared" si="43"/>
        <v>-1379.3859899999998</v>
      </c>
      <c r="I200" s="35">
        <f t="shared" si="43"/>
        <v>-1.1403299999999998</v>
      </c>
      <c r="J200" s="35">
        <f t="shared" si="43"/>
        <v>6890.4423599999991</v>
      </c>
      <c r="K200" s="35">
        <f t="shared" si="43"/>
        <v>0</v>
      </c>
      <c r="L200" s="35">
        <f t="shared" si="43"/>
        <v>0</v>
      </c>
      <c r="M200" s="35">
        <f t="shared" si="43"/>
        <v>0</v>
      </c>
      <c r="N200" s="35">
        <f t="shared" si="43"/>
        <v>0</v>
      </c>
      <c r="O200" s="35">
        <f t="shared" si="43"/>
        <v>0</v>
      </c>
      <c r="P200" s="46">
        <f t="shared" si="43"/>
        <v>0</v>
      </c>
    </row>
    <row r="201" spans="2:16" ht="16" customHeight="1" x14ac:dyDescent="0.35">
      <c r="B201" s="14" t="s">
        <v>977</v>
      </c>
      <c r="C201" s="14" t="s">
        <v>978</v>
      </c>
      <c r="D201" s="30">
        <v>-1718.0459499999999</v>
      </c>
      <c r="E201" s="15">
        <v>-1478.6753900000001</v>
      </c>
      <c r="F201" s="15">
        <v>-1799.5723599999999</v>
      </c>
      <c r="G201" s="15">
        <v>-1783.7593899999999</v>
      </c>
      <c r="H201" s="15">
        <v>-1694.0779399999999</v>
      </c>
      <c r="I201" s="15">
        <v>-1.5197799999999999</v>
      </c>
      <c r="J201" s="15">
        <v>8475.6508099999992</v>
      </c>
      <c r="K201" s="15"/>
      <c r="L201" s="15"/>
      <c r="M201" s="15"/>
      <c r="N201" s="15"/>
      <c r="O201" s="15"/>
      <c r="P201" s="23">
        <f>SUM(D201:O201)</f>
        <v>0</v>
      </c>
    </row>
    <row r="202" spans="2:16" ht="16" customHeight="1" x14ac:dyDescent="0.35">
      <c r="B202" s="14" t="s">
        <v>979</v>
      </c>
      <c r="C202" s="14" t="s">
        <v>980</v>
      </c>
      <c r="D202" s="30">
        <v>316.63529</v>
      </c>
      <c r="E202" s="15">
        <v>312.49160000000001</v>
      </c>
      <c r="F202" s="15">
        <v>310.73937000000001</v>
      </c>
      <c r="G202" s="15">
        <v>330.27078999999998</v>
      </c>
      <c r="H202" s="15">
        <v>314.69195000000002</v>
      </c>
      <c r="I202" s="15">
        <v>0.37945000000000001</v>
      </c>
      <c r="J202" s="15">
        <v>-1585.2084500000001</v>
      </c>
      <c r="K202" s="15"/>
      <c r="L202" s="15"/>
      <c r="M202" s="15"/>
      <c r="N202" s="15"/>
      <c r="O202" s="15"/>
      <c r="P202" s="23">
        <f>SUM(D202:O202)</f>
        <v>0</v>
      </c>
    </row>
    <row r="203" spans="2:16" ht="16" customHeight="1" x14ac:dyDescent="0.35">
      <c r="B203" s="10"/>
      <c r="C203" s="11" t="s">
        <v>22</v>
      </c>
      <c r="D203" s="29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22"/>
    </row>
    <row r="204" spans="2:16" ht="16" customHeight="1" x14ac:dyDescent="0.35">
      <c r="B204" s="38"/>
      <c r="C204" s="34" t="s">
        <v>981</v>
      </c>
      <c r="D204" s="52">
        <f t="shared" ref="D204:P204" si="44">D206+D210</f>
        <v>-41.923000000000002</v>
      </c>
      <c r="E204" s="35">
        <f t="shared" si="44"/>
        <v>-75.522000000000006</v>
      </c>
      <c r="F204" s="35">
        <f t="shared" si="44"/>
        <v>28.597999999999999</v>
      </c>
      <c r="G204" s="35">
        <f t="shared" si="44"/>
        <v>40.923999999999999</v>
      </c>
      <c r="H204" s="35">
        <f t="shared" si="44"/>
        <v>15.813000000000001</v>
      </c>
      <c r="I204" s="35">
        <f t="shared" si="44"/>
        <v>-21818.383000000002</v>
      </c>
      <c r="J204" s="35">
        <f t="shared" si="44"/>
        <v>21850.492999999999</v>
      </c>
      <c r="K204" s="35">
        <f t="shared" si="44"/>
        <v>0</v>
      </c>
      <c r="L204" s="35">
        <f t="shared" si="44"/>
        <v>0</v>
      </c>
      <c r="M204" s="35">
        <f t="shared" si="44"/>
        <v>0</v>
      </c>
      <c r="N204" s="35">
        <f t="shared" si="44"/>
        <v>0</v>
      </c>
      <c r="O204" s="35">
        <f t="shared" si="44"/>
        <v>0</v>
      </c>
      <c r="P204" s="46">
        <f t="shared" si="44"/>
        <v>0</v>
      </c>
    </row>
    <row r="205" spans="2:16" ht="16" customHeight="1" x14ac:dyDescent="0.35">
      <c r="B205" s="10"/>
      <c r="C205" s="11" t="s">
        <v>22</v>
      </c>
      <c r="D205" s="29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22"/>
    </row>
    <row r="206" spans="2:16" ht="16" customHeight="1" x14ac:dyDescent="0.35">
      <c r="B206" s="38"/>
      <c r="C206" s="34" t="s">
        <v>982</v>
      </c>
      <c r="D206" s="52">
        <f t="shared" ref="D206:P206" si="45">D207+D208</f>
        <v>0</v>
      </c>
      <c r="E206" s="35">
        <f t="shared" si="45"/>
        <v>0</v>
      </c>
      <c r="F206" s="35">
        <f t="shared" si="45"/>
        <v>0</v>
      </c>
      <c r="G206" s="35">
        <f t="shared" si="45"/>
        <v>0</v>
      </c>
      <c r="H206" s="35">
        <f t="shared" si="45"/>
        <v>0</v>
      </c>
      <c r="I206" s="35">
        <f t="shared" si="45"/>
        <v>0</v>
      </c>
      <c r="J206" s="35">
        <f t="shared" si="45"/>
        <v>0</v>
      </c>
      <c r="K206" s="35">
        <f t="shared" si="45"/>
        <v>0</v>
      </c>
      <c r="L206" s="35">
        <f t="shared" si="45"/>
        <v>0</v>
      </c>
      <c r="M206" s="35">
        <f t="shared" si="45"/>
        <v>0</v>
      </c>
      <c r="N206" s="35">
        <f t="shared" si="45"/>
        <v>0</v>
      </c>
      <c r="O206" s="35">
        <f t="shared" si="45"/>
        <v>0</v>
      </c>
      <c r="P206" s="46">
        <f t="shared" si="45"/>
        <v>0</v>
      </c>
    </row>
    <row r="207" spans="2:16" ht="16" customHeight="1" x14ac:dyDescent="0.35">
      <c r="B207" s="14" t="s">
        <v>983</v>
      </c>
      <c r="C207" s="14" t="s">
        <v>984</v>
      </c>
      <c r="D207" s="30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23">
        <f>SUM(D207:O207)</f>
        <v>0</v>
      </c>
    </row>
    <row r="208" spans="2:16" ht="16" customHeight="1" x14ac:dyDescent="0.35">
      <c r="B208" s="14" t="s">
        <v>985</v>
      </c>
      <c r="C208" s="14" t="s">
        <v>986</v>
      </c>
      <c r="D208" s="30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23">
        <f>SUM(D208:O208)</f>
        <v>0</v>
      </c>
    </row>
    <row r="209" spans="2:16" ht="16" customHeight="1" x14ac:dyDescent="0.35">
      <c r="B209" s="10"/>
      <c r="C209" s="11" t="s">
        <v>22</v>
      </c>
      <c r="D209" s="29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22"/>
    </row>
    <row r="210" spans="2:16" ht="16" customHeight="1" x14ac:dyDescent="0.35">
      <c r="B210" s="38"/>
      <c r="C210" s="34" t="s">
        <v>987</v>
      </c>
      <c r="D210" s="52">
        <f t="shared" ref="D210:P210" si="46">-(-(D211+D212)-D213)</f>
        <v>-41.923000000000002</v>
      </c>
      <c r="E210" s="35">
        <f t="shared" si="46"/>
        <v>-75.522000000000006</v>
      </c>
      <c r="F210" s="35">
        <f t="shared" si="46"/>
        <v>28.597999999999999</v>
      </c>
      <c r="G210" s="35">
        <f t="shared" si="46"/>
        <v>40.923999999999999</v>
      </c>
      <c r="H210" s="35">
        <f t="shared" si="46"/>
        <v>15.813000000000001</v>
      </c>
      <c r="I210" s="35">
        <f t="shared" si="46"/>
        <v>-21818.383000000002</v>
      </c>
      <c r="J210" s="35">
        <f t="shared" si="46"/>
        <v>21850.492999999999</v>
      </c>
      <c r="K210" s="35">
        <f t="shared" si="46"/>
        <v>0</v>
      </c>
      <c r="L210" s="35">
        <f t="shared" si="46"/>
        <v>0</v>
      </c>
      <c r="M210" s="35">
        <f t="shared" si="46"/>
        <v>0</v>
      </c>
      <c r="N210" s="35">
        <f t="shared" si="46"/>
        <v>0</v>
      </c>
      <c r="O210" s="35">
        <f t="shared" si="46"/>
        <v>0</v>
      </c>
      <c r="P210" s="46">
        <f t="shared" si="46"/>
        <v>0</v>
      </c>
    </row>
    <row r="211" spans="2:16" ht="16" customHeight="1" x14ac:dyDescent="0.35">
      <c r="B211" s="14" t="s">
        <v>988</v>
      </c>
      <c r="C211" s="14" t="s">
        <v>989</v>
      </c>
      <c r="D211" s="30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23">
        <f>SUM(D211:O211)</f>
        <v>0</v>
      </c>
    </row>
    <row r="212" spans="2:16" ht="16" customHeight="1" x14ac:dyDescent="0.35">
      <c r="B212" s="14" t="s">
        <v>990</v>
      </c>
      <c r="C212" s="14" t="s">
        <v>991</v>
      </c>
      <c r="D212" s="30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23">
        <f>SUM(D212:O212)</f>
        <v>0</v>
      </c>
    </row>
    <row r="213" spans="2:16" ht="16" customHeight="1" x14ac:dyDescent="0.35">
      <c r="B213" s="14" t="s">
        <v>992</v>
      </c>
      <c r="C213" s="14" t="s">
        <v>993</v>
      </c>
      <c r="D213" s="30">
        <v>-41.923000000000002</v>
      </c>
      <c r="E213" s="15">
        <v>-75.522000000000006</v>
      </c>
      <c r="F213" s="15">
        <v>28.597999999999999</v>
      </c>
      <c r="G213" s="15">
        <v>40.923999999999999</v>
      </c>
      <c r="H213" s="15">
        <v>15.813000000000001</v>
      </c>
      <c r="I213" s="15">
        <v>-21818.383000000002</v>
      </c>
      <c r="J213" s="15">
        <v>21850.492999999999</v>
      </c>
      <c r="K213" s="15"/>
      <c r="L213" s="15"/>
      <c r="M213" s="15"/>
      <c r="N213" s="15"/>
      <c r="O213" s="15"/>
      <c r="P213" s="23">
        <f>SUM(D213:O213)</f>
        <v>0</v>
      </c>
    </row>
    <row r="214" spans="2:16" ht="16" customHeight="1" x14ac:dyDescent="0.35">
      <c r="B214" s="10"/>
      <c r="C214" s="11" t="s">
        <v>22</v>
      </c>
      <c r="D214" s="29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22"/>
    </row>
    <row r="215" spans="2:16" ht="16" customHeight="1" x14ac:dyDescent="0.35">
      <c r="B215" s="39"/>
      <c r="C215" s="40" t="s">
        <v>994</v>
      </c>
      <c r="D215" s="53">
        <f t="shared" ref="D215:P215" si="47">D167+D172+D176+D178+D180+D182+D186+D193</f>
        <v>11910.89625</v>
      </c>
      <c r="E215" s="24">
        <f t="shared" si="47"/>
        <v>15276.979360000001</v>
      </c>
      <c r="F215" s="24">
        <f t="shared" si="47"/>
        <v>14339.688779999999</v>
      </c>
      <c r="G215" s="24">
        <f t="shared" si="47"/>
        <v>11322.152890000001</v>
      </c>
      <c r="H215" s="24">
        <f t="shared" si="47"/>
        <v>16386.790590000001</v>
      </c>
      <c r="I215" s="24">
        <f t="shared" si="47"/>
        <v>-14307.255120000002</v>
      </c>
      <c r="J215" s="24">
        <f t="shared" si="47"/>
        <v>-54929.25275</v>
      </c>
      <c r="K215" s="24">
        <f t="shared" si="47"/>
        <v>0</v>
      </c>
      <c r="L215" s="24">
        <f t="shared" si="47"/>
        <v>0</v>
      </c>
      <c r="M215" s="24">
        <f t="shared" si="47"/>
        <v>0</v>
      </c>
      <c r="N215" s="24">
        <f t="shared" si="47"/>
        <v>0</v>
      </c>
      <c r="O215" s="24">
        <f t="shared" si="47"/>
        <v>0</v>
      </c>
      <c r="P215" s="24">
        <f t="shared" si="47"/>
        <v>0</v>
      </c>
    </row>
    <row r="216" spans="2:16" ht="16" customHeight="1" x14ac:dyDescent="0.35">
      <c r="B216" s="10"/>
      <c r="C216" s="11" t="s">
        <v>22</v>
      </c>
      <c r="D216" s="29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22"/>
    </row>
    <row r="217" spans="2:16" ht="16" customHeight="1" x14ac:dyDescent="0.35">
      <c r="B217" s="40" t="s">
        <v>995</v>
      </c>
      <c r="C217" s="40" t="s">
        <v>996</v>
      </c>
      <c r="D217" s="53">
        <f t="shared" ref="D217:P217" si="48">D104+D163+D215</f>
        <v>-1945.9732599999606</v>
      </c>
      <c r="E217" s="24">
        <f t="shared" si="48"/>
        <v>6.0900000025867485E-3</v>
      </c>
      <c r="F217" s="24">
        <f t="shared" si="48"/>
        <v>1.0000030670198612E-5</v>
      </c>
      <c r="G217" s="24">
        <f t="shared" si="48"/>
        <v>-9.519929999991291</v>
      </c>
      <c r="H217" s="24">
        <f t="shared" si="48"/>
        <v>2829.2065600000315</v>
      </c>
      <c r="I217" s="24">
        <f t="shared" si="48"/>
        <v>34135.007390000006</v>
      </c>
      <c r="J217" s="24">
        <f t="shared" si="48"/>
        <v>-35008.726859999893</v>
      </c>
      <c r="K217" s="24">
        <f t="shared" si="48"/>
        <v>0</v>
      </c>
      <c r="L217" s="24">
        <f t="shared" si="48"/>
        <v>0</v>
      </c>
      <c r="M217" s="24">
        <f t="shared" si="48"/>
        <v>0</v>
      </c>
      <c r="N217" s="24">
        <f t="shared" si="48"/>
        <v>0</v>
      </c>
      <c r="O217" s="24">
        <f t="shared" si="48"/>
        <v>0</v>
      </c>
      <c r="P217" s="24">
        <f t="shared" si="48"/>
        <v>-1.0768508226641953E-12</v>
      </c>
    </row>
    <row r="218" spans="2:16" ht="16" customHeight="1" x14ac:dyDescent="0.35">
      <c r="B218" s="10"/>
      <c r="C218" s="11" t="s">
        <v>22</v>
      </c>
      <c r="D218" s="29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22"/>
    </row>
    <row r="219" spans="2:16" ht="16" customHeight="1" x14ac:dyDescent="0.35">
      <c r="B219" s="14" t="s">
        <v>997</v>
      </c>
      <c r="C219" s="14" t="s">
        <v>998</v>
      </c>
      <c r="D219" s="30">
        <v>1955.4903200000001</v>
      </c>
      <c r="E219" s="15">
        <v>0</v>
      </c>
      <c r="F219" s="15">
        <v>0</v>
      </c>
      <c r="G219" s="15">
        <v>0</v>
      </c>
      <c r="H219" s="15">
        <v>0</v>
      </c>
      <c r="I219" s="15">
        <v>0</v>
      </c>
      <c r="J219" s="15">
        <v>-1955.4903200000001</v>
      </c>
      <c r="K219" s="15"/>
      <c r="L219" s="15"/>
      <c r="M219" s="15"/>
      <c r="N219" s="15"/>
      <c r="O219" s="15"/>
      <c r="P219" s="23">
        <f>SUM(D219:O219)</f>
        <v>0</v>
      </c>
    </row>
    <row r="220" spans="2:16" ht="16" customHeight="1" x14ac:dyDescent="0.35">
      <c r="B220" s="14" t="s">
        <v>999</v>
      </c>
      <c r="C220" s="14" t="s">
        <v>996</v>
      </c>
      <c r="D220" s="30">
        <f t="shared" ref="D220:P220" si="49">D222-D221-D219</f>
        <v>-1945.9718</v>
      </c>
      <c r="E220" s="15">
        <f t="shared" si="49"/>
        <v>9.5185200000000005</v>
      </c>
      <c r="F220" s="15">
        <f t="shared" si="49"/>
        <v>9.5185200000000005</v>
      </c>
      <c r="G220" s="15">
        <f t="shared" si="49"/>
        <v>0</v>
      </c>
      <c r="H220" s="15">
        <f t="shared" si="49"/>
        <v>2829.2055599999999</v>
      </c>
      <c r="I220" s="15">
        <f t="shared" si="49"/>
        <v>41896.188069999997</v>
      </c>
      <c r="J220" s="15">
        <f t="shared" si="49"/>
        <v>1955.4903200000001</v>
      </c>
      <c r="K220" s="15">
        <f t="shared" si="49"/>
        <v>0</v>
      </c>
      <c r="L220" s="15">
        <f t="shared" si="49"/>
        <v>0</v>
      </c>
      <c r="M220" s="15">
        <f t="shared" si="49"/>
        <v>0</v>
      </c>
      <c r="N220" s="15">
        <f t="shared" si="49"/>
        <v>0</v>
      </c>
      <c r="O220" s="15">
        <f t="shared" si="49"/>
        <v>0</v>
      </c>
      <c r="P220" s="23">
        <f t="shared" si="49"/>
        <v>44753.949189999999</v>
      </c>
    </row>
    <row r="221" spans="2:16" ht="16" customHeight="1" x14ac:dyDescent="0.35">
      <c r="B221" s="14" t="s">
        <v>1000</v>
      </c>
      <c r="C221" s="14" t="s">
        <v>1001</v>
      </c>
      <c r="D221" s="30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23">
        <f>SUM(D221:O221)</f>
        <v>0</v>
      </c>
    </row>
    <row r="222" spans="2:16" ht="16" customHeight="1" x14ac:dyDescent="0.35">
      <c r="B222" s="14" t="s">
        <v>1002</v>
      </c>
      <c r="C222" s="14" t="s">
        <v>1003</v>
      </c>
      <c r="D222" s="30">
        <v>9.5185200000000005</v>
      </c>
      <c r="E222" s="15">
        <v>9.5185200000000005</v>
      </c>
      <c r="F222" s="15">
        <v>9.5185200000000005</v>
      </c>
      <c r="G222" s="15">
        <v>0</v>
      </c>
      <c r="H222" s="15">
        <v>2829.2055599999999</v>
      </c>
      <c r="I222" s="15">
        <v>41896.188069999997</v>
      </c>
      <c r="J222" s="15"/>
      <c r="K222" s="15"/>
      <c r="L222" s="15"/>
      <c r="M222" s="15"/>
      <c r="N222" s="15"/>
      <c r="O222" s="15"/>
      <c r="P222" s="23">
        <f>SUM(D222:O222)</f>
        <v>44753.949189999999</v>
      </c>
    </row>
    <row r="223" spans="2:16" ht="16" customHeight="1" x14ac:dyDescent="0.35">
      <c r="B223" s="10"/>
      <c r="C223" s="11" t="s">
        <v>22</v>
      </c>
      <c r="D223" s="29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22"/>
    </row>
    <row r="224" spans="2:16" ht="16" customHeight="1" x14ac:dyDescent="0.35">
      <c r="B224" s="10"/>
      <c r="C224" s="11" t="s">
        <v>22</v>
      </c>
      <c r="D224" s="29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22"/>
    </row>
    <row r="225" spans="2:16" ht="16" customHeight="1" x14ac:dyDescent="0.35">
      <c r="B225" s="41"/>
      <c r="C225" s="36" t="s">
        <v>751</v>
      </c>
      <c r="D225" s="54">
        <f t="shared" ref="D225:P225" si="50">D217-D220</f>
        <v>-1.4599999606161873E-3</v>
      </c>
      <c r="E225" s="37">
        <f t="shared" si="50"/>
        <v>-9.5124299999974138</v>
      </c>
      <c r="F225" s="37">
        <f t="shared" si="50"/>
        <v>-9.5185099999693303</v>
      </c>
      <c r="G225" s="37">
        <f t="shared" si="50"/>
        <v>-9.519929999991291</v>
      </c>
      <c r="H225" s="37">
        <f t="shared" si="50"/>
        <v>1.000000031581294E-3</v>
      </c>
      <c r="I225" s="37">
        <f t="shared" si="50"/>
        <v>-7761.1806799999904</v>
      </c>
      <c r="J225" s="37">
        <f t="shared" si="50"/>
        <v>-36964.217179999891</v>
      </c>
      <c r="K225" s="37">
        <f t="shared" si="50"/>
        <v>0</v>
      </c>
      <c r="L225" s="37">
        <f t="shared" si="50"/>
        <v>0</v>
      </c>
      <c r="M225" s="37">
        <f t="shared" si="50"/>
        <v>0</v>
      </c>
      <c r="N225" s="37">
        <f t="shared" si="50"/>
        <v>0</v>
      </c>
      <c r="O225" s="37">
        <f t="shared" si="50"/>
        <v>0</v>
      </c>
      <c r="P225" s="47">
        <f t="shared" si="50"/>
        <v>-44753.949189999999</v>
      </c>
    </row>
    <row r="226" spans="2:16" ht="16" customHeight="1" x14ac:dyDescent="0.35">
      <c r="B226" s="10"/>
      <c r="C226" s="11" t="s">
        <v>22</v>
      </c>
      <c r="D226" s="29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22"/>
    </row>
    <row r="227" spans="2:16" ht="16" customHeight="1" x14ac:dyDescent="0.35">
      <c r="B227" s="10"/>
      <c r="C227" s="11" t="s">
        <v>22</v>
      </c>
      <c r="D227" s="29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22"/>
    </row>
    <row r="228" spans="2:16" ht="16" customHeight="1" x14ac:dyDescent="0.35">
      <c r="B228" s="38"/>
      <c r="C228" s="34" t="s">
        <v>1004</v>
      </c>
      <c r="D228" s="52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46"/>
    </row>
    <row r="229" spans="2:16" ht="16" customHeight="1" x14ac:dyDescent="0.35">
      <c r="B229" s="10"/>
      <c r="C229" s="11" t="s">
        <v>22</v>
      </c>
      <c r="D229" s="29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22"/>
    </row>
    <row r="230" spans="2:16" ht="16" customHeight="1" x14ac:dyDescent="0.35">
      <c r="B230" s="42"/>
      <c r="C230" s="14" t="s">
        <v>890</v>
      </c>
      <c r="D230" s="30">
        <f t="shared" ref="D230:P230" si="51">D128</f>
        <v>-38574.208780000001</v>
      </c>
      <c r="E230" s="15">
        <f t="shared" si="51"/>
        <v>-37185.464009999996</v>
      </c>
      <c r="F230" s="15">
        <f t="shared" si="51"/>
        <v>-50318.131019999993</v>
      </c>
      <c r="G230" s="15">
        <f t="shared" si="51"/>
        <v>-39948.610789999999</v>
      </c>
      <c r="H230" s="15">
        <f t="shared" si="51"/>
        <v>-40398.13867</v>
      </c>
      <c r="I230" s="15">
        <f t="shared" si="51"/>
        <v>38792.758970000003</v>
      </c>
      <c r="J230" s="15">
        <f t="shared" si="51"/>
        <v>167631.79430000001</v>
      </c>
      <c r="K230" s="15">
        <f t="shared" si="51"/>
        <v>0</v>
      </c>
      <c r="L230" s="15">
        <f t="shared" si="51"/>
        <v>0</v>
      </c>
      <c r="M230" s="15">
        <f t="shared" si="51"/>
        <v>0</v>
      </c>
      <c r="N230" s="15">
        <f t="shared" si="51"/>
        <v>0</v>
      </c>
      <c r="O230" s="15">
        <f t="shared" si="51"/>
        <v>0</v>
      </c>
      <c r="P230" s="23">
        <f t="shared" si="51"/>
        <v>-2.5247573739247027E-14</v>
      </c>
    </row>
    <row r="231" spans="2:16" ht="16" customHeight="1" x14ac:dyDescent="0.35">
      <c r="B231" s="42"/>
      <c r="C231" s="14" t="s">
        <v>892</v>
      </c>
      <c r="D231" s="30">
        <f t="shared" ref="D231:P231" si="52">D130</f>
        <v>0</v>
      </c>
      <c r="E231" s="15">
        <f t="shared" si="52"/>
        <v>60</v>
      </c>
      <c r="F231" s="15">
        <f t="shared" si="52"/>
        <v>1833.3</v>
      </c>
      <c r="G231" s="15">
        <f t="shared" si="52"/>
        <v>265.59226999999998</v>
      </c>
      <c r="H231" s="15">
        <f t="shared" si="52"/>
        <v>0</v>
      </c>
      <c r="I231" s="15">
        <f t="shared" si="52"/>
        <v>0</v>
      </c>
      <c r="J231" s="15">
        <f t="shared" si="52"/>
        <v>-2158.8922699999998</v>
      </c>
      <c r="K231" s="15">
        <f t="shared" si="52"/>
        <v>0</v>
      </c>
      <c r="L231" s="15">
        <f t="shared" si="52"/>
        <v>0</v>
      </c>
      <c r="M231" s="15">
        <f t="shared" si="52"/>
        <v>0</v>
      </c>
      <c r="N231" s="15">
        <f t="shared" si="52"/>
        <v>0</v>
      </c>
      <c r="O231" s="15">
        <f t="shared" si="52"/>
        <v>0</v>
      </c>
      <c r="P231" s="23">
        <f t="shared" si="52"/>
        <v>0</v>
      </c>
    </row>
    <row r="232" spans="2:16" ht="16" customHeight="1" x14ac:dyDescent="0.35">
      <c r="B232" s="38"/>
      <c r="C232" s="34" t="s">
        <v>1005</v>
      </c>
      <c r="D232" s="52">
        <f t="shared" ref="D232:P232" si="53">D104+D230+D231</f>
        <v>-297419.35713999998</v>
      </c>
      <c r="E232" s="35">
        <f t="shared" si="53"/>
        <v>-57067.223459999994</v>
      </c>
      <c r="F232" s="35">
        <f t="shared" si="53"/>
        <v>-35215.138249999967</v>
      </c>
      <c r="G232" s="35">
        <f t="shared" si="53"/>
        <v>5032.5587100000039</v>
      </c>
      <c r="H232" s="35">
        <f t="shared" si="53"/>
        <v>70934.364260000031</v>
      </c>
      <c r="I232" s="35">
        <f t="shared" si="53"/>
        <v>56638.49399000001</v>
      </c>
      <c r="J232" s="35">
        <f t="shared" si="53"/>
        <v>257096.30189000009</v>
      </c>
      <c r="K232" s="35">
        <f t="shared" si="53"/>
        <v>0</v>
      </c>
      <c r="L232" s="35">
        <f t="shared" si="53"/>
        <v>0</v>
      </c>
      <c r="M232" s="35">
        <f t="shared" si="53"/>
        <v>0</v>
      </c>
      <c r="N232" s="35">
        <f t="shared" si="53"/>
        <v>0</v>
      </c>
      <c r="O232" s="35">
        <f t="shared" si="53"/>
        <v>0</v>
      </c>
      <c r="P232" s="46">
        <f t="shared" si="53"/>
        <v>6.0017554551964995E-14</v>
      </c>
    </row>
    <row r="233" spans="2:16" ht="16" customHeight="1" x14ac:dyDescent="0.35">
      <c r="B233" s="42"/>
      <c r="C233" s="14" t="s">
        <v>976</v>
      </c>
      <c r="D233" s="30">
        <f t="shared" ref="D233:P233" si="54">D200</f>
        <v>-1401.41066</v>
      </c>
      <c r="E233" s="15">
        <f t="shared" si="54"/>
        <v>-1166.18379</v>
      </c>
      <c r="F233" s="15">
        <f t="shared" si="54"/>
        <v>-1488.8329899999999</v>
      </c>
      <c r="G233" s="15">
        <f t="shared" si="54"/>
        <v>-1453.4885999999999</v>
      </c>
      <c r="H233" s="15">
        <f t="shared" si="54"/>
        <v>-1379.3859899999998</v>
      </c>
      <c r="I233" s="15">
        <f t="shared" si="54"/>
        <v>-1.1403299999999998</v>
      </c>
      <c r="J233" s="15">
        <f t="shared" si="54"/>
        <v>6890.4423599999991</v>
      </c>
      <c r="K233" s="15">
        <f t="shared" si="54"/>
        <v>0</v>
      </c>
      <c r="L233" s="15">
        <f t="shared" si="54"/>
        <v>0</v>
      </c>
      <c r="M233" s="15">
        <f t="shared" si="54"/>
        <v>0</v>
      </c>
      <c r="N233" s="15">
        <f t="shared" si="54"/>
        <v>0</v>
      </c>
      <c r="O233" s="15">
        <f t="shared" si="54"/>
        <v>0</v>
      </c>
      <c r="P233" s="23">
        <f t="shared" si="54"/>
        <v>0</v>
      </c>
    </row>
    <row r="234" spans="2:16" ht="16" customHeight="1" x14ac:dyDescent="0.35">
      <c r="B234" s="38"/>
      <c r="C234" s="34" t="s">
        <v>1006</v>
      </c>
      <c r="D234" s="52">
        <f t="shared" ref="D234:P234" si="55">D232+D233</f>
        <v>-298820.76779999997</v>
      </c>
      <c r="E234" s="35">
        <f t="shared" si="55"/>
        <v>-58233.407249999997</v>
      </c>
      <c r="F234" s="35">
        <f t="shared" si="55"/>
        <v>-36703.97123999997</v>
      </c>
      <c r="G234" s="35">
        <f t="shared" si="55"/>
        <v>3579.0701100000042</v>
      </c>
      <c r="H234" s="35">
        <f t="shared" si="55"/>
        <v>69554.978270000036</v>
      </c>
      <c r="I234" s="35">
        <f t="shared" si="55"/>
        <v>56637.353660000008</v>
      </c>
      <c r="J234" s="35">
        <f t="shared" si="55"/>
        <v>263986.74425000011</v>
      </c>
      <c r="K234" s="35">
        <f t="shared" si="55"/>
        <v>0</v>
      </c>
      <c r="L234" s="35">
        <f t="shared" si="55"/>
        <v>0</v>
      </c>
      <c r="M234" s="35">
        <f t="shared" si="55"/>
        <v>0</v>
      </c>
      <c r="N234" s="35">
        <f t="shared" si="55"/>
        <v>0</v>
      </c>
      <c r="O234" s="35">
        <f t="shared" si="55"/>
        <v>0</v>
      </c>
      <c r="P234" s="46">
        <f t="shared" si="55"/>
        <v>6.0017554551964995E-14</v>
      </c>
    </row>
    <row r="235" spans="2:16" ht="16" customHeight="1" x14ac:dyDescent="0.35">
      <c r="B235" s="42"/>
      <c r="C235" s="14" t="s">
        <v>813</v>
      </c>
      <c r="D235" s="30">
        <f t="shared" ref="D235:P235" si="56">D63</f>
        <v>0</v>
      </c>
      <c r="E235" s="15">
        <f t="shared" si="56"/>
        <v>-44911.874159999999</v>
      </c>
      <c r="F235" s="15">
        <f t="shared" si="56"/>
        <v>-36.690800000000003</v>
      </c>
      <c r="G235" s="15">
        <f t="shared" si="56"/>
        <v>-378.74200000000002</v>
      </c>
      <c r="H235" s="15">
        <f t="shared" si="56"/>
        <v>0</v>
      </c>
      <c r="I235" s="15">
        <f t="shared" si="56"/>
        <v>0</v>
      </c>
      <c r="J235" s="15">
        <f t="shared" si="56"/>
        <v>45327.306960000002</v>
      </c>
      <c r="K235" s="15">
        <f t="shared" si="56"/>
        <v>0</v>
      </c>
      <c r="L235" s="15">
        <f t="shared" si="56"/>
        <v>0</v>
      </c>
      <c r="M235" s="15">
        <f t="shared" si="56"/>
        <v>0</v>
      </c>
      <c r="N235" s="15">
        <f t="shared" si="56"/>
        <v>0</v>
      </c>
      <c r="O235" s="15">
        <f t="shared" si="56"/>
        <v>0</v>
      </c>
      <c r="P235" s="23">
        <f t="shared" si="56"/>
        <v>0</v>
      </c>
    </row>
    <row r="236" spans="2:16" ht="16" customHeight="1" x14ac:dyDescent="0.35">
      <c r="B236" s="38"/>
      <c r="C236" s="34" t="s">
        <v>1007</v>
      </c>
      <c r="D236" s="52">
        <f t="shared" ref="D236:P236" si="57">D234-D235</f>
        <v>-298820.76779999997</v>
      </c>
      <c r="E236" s="35">
        <f t="shared" si="57"/>
        <v>-13321.533089999997</v>
      </c>
      <c r="F236" s="35">
        <f t="shared" si="57"/>
        <v>-36667.280439999973</v>
      </c>
      <c r="G236" s="35">
        <f t="shared" si="57"/>
        <v>3957.8121100000044</v>
      </c>
      <c r="H236" s="35">
        <f t="shared" si="57"/>
        <v>69554.978270000036</v>
      </c>
      <c r="I236" s="35">
        <f t="shared" si="57"/>
        <v>56637.353660000008</v>
      </c>
      <c r="J236" s="35">
        <f t="shared" si="57"/>
        <v>218659.43729000009</v>
      </c>
      <c r="K236" s="35">
        <f t="shared" si="57"/>
        <v>0</v>
      </c>
      <c r="L236" s="35">
        <f t="shared" si="57"/>
        <v>0</v>
      </c>
      <c r="M236" s="35">
        <f t="shared" si="57"/>
        <v>0</v>
      </c>
      <c r="N236" s="35">
        <f t="shared" si="57"/>
        <v>0</v>
      </c>
      <c r="O236" s="35">
        <f t="shared" si="57"/>
        <v>0</v>
      </c>
      <c r="P236" s="46">
        <f t="shared" si="57"/>
        <v>6.0017554551964995E-14</v>
      </c>
    </row>
    <row r="237" spans="2:16" ht="16" customHeight="1" x14ac:dyDescent="0.35">
      <c r="B237" s="10"/>
      <c r="C237" s="11" t="s">
        <v>22</v>
      </c>
      <c r="D237" s="29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22"/>
    </row>
    <row r="238" spans="2:16" ht="16" customHeight="1" x14ac:dyDescent="0.35">
      <c r="B238" s="43"/>
      <c r="C238" s="44" t="s">
        <v>1008</v>
      </c>
      <c r="D238" s="55">
        <v>-12.59022336</v>
      </c>
      <c r="E238" s="45">
        <v>-0.50960056600000003</v>
      </c>
      <c r="F238" s="45">
        <v>-0.52690758800000004</v>
      </c>
      <c r="G238" s="45">
        <v>3.4937100999999998E-2</v>
      </c>
      <c r="H238" s="45">
        <v>0.54614779899999999</v>
      </c>
      <c r="I238" s="45">
        <v>1.0666450540000001</v>
      </c>
      <c r="J238" s="45">
        <v>-0.52918139799999997</v>
      </c>
      <c r="K238" s="45"/>
      <c r="L238" s="45"/>
      <c r="M238" s="45"/>
      <c r="N238" s="45"/>
      <c r="O238" s="45"/>
      <c r="P238" s="48">
        <f>SUM(D238:O238)</f>
        <v>-12.508182957999999</v>
      </c>
    </row>
    <row r="239" spans="2:16" ht="16" customHeight="1" x14ac:dyDescent="0.35">
      <c r="B239" s="43"/>
      <c r="C239" s="44" t="s">
        <v>1009</v>
      </c>
      <c r="D239" s="55">
        <v>-23.674354653999998</v>
      </c>
      <c r="E239" s="45">
        <v>2.094021482</v>
      </c>
      <c r="F239" s="45">
        <v>-0.83272868</v>
      </c>
      <c r="G239" s="45">
        <v>7.0128155999999997E-2</v>
      </c>
      <c r="H239" s="45">
        <v>0.73431449999999998</v>
      </c>
      <c r="I239" s="45">
        <v>1.257246109</v>
      </c>
      <c r="J239" s="45">
        <v>-1.066742165</v>
      </c>
      <c r="K239" s="45"/>
      <c r="L239" s="45"/>
      <c r="M239" s="45"/>
      <c r="N239" s="45"/>
      <c r="O239" s="45"/>
      <c r="P239" s="48">
        <f>SUM(D239:O239)</f>
        <v>-21.418115252</v>
      </c>
    </row>
    <row r="240" spans="2:16" ht="16" customHeight="1" x14ac:dyDescent="0.35">
      <c r="B240" s="43"/>
      <c r="C240" s="44" t="s">
        <v>1010</v>
      </c>
      <c r="D240" s="55">
        <v>-1.6809400720000001</v>
      </c>
      <c r="E240" s="45">
        <v>-0.274325439</v>
      </c>
      <c r="F240" s="45">
        <v>-0.13494339299999999</v>
      </c>
      <c r="G240" s="45">
        <v>1.0857182999999999E-2</v>
      </c>
      <c r="H240" s="45">
        <v>0.21824453899999999</v>
      </c>
      <c r="I240" s="45">
        <v>0.383417497</v>
      </c>
      <c r="J240" s="45">
        <v>-0.181046822</v>
      </c>
      <c r="K240" s="45"/>
      <c r="L240" s="45"/>
      <c r="M240" s="45"/>
      <c r="N240" s="45"/>
      <c r="O240" s="45"/>
      <c r="P240" s="48">
        <f>SUM(D240:O240)</f>
        <v>-1.658736507</v>
      </c>
    </row>
    <row r="241" spans="2:16" ht="16" customHeight="1" x14ac:dyDescent="0.35">
      <c r="B241" s="11"/>
      <c r="C241" s="11" t="s">
        <v>22</v>
      </c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22"/>
    </row>
    <row r="242" spans="2:16" ht="16" customHeight="1" x14ac:dyDescent="0.45">
      <c r="B242" s="13"/>
      <c r="C242" s="9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</row>
    <row r="243" spans="2:16" ht="16" customHeight="1" x14ac:dyDescent="0.45">
      <c r="B243" s="13"/>
      <c r="C243" s="9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</row>
    <row r="244" spans="2:16" ht="16" customHeight="1" x14ac:dyDescent="0.45">
      <c r="B244" s="13"/>
      <c r="C244" s="9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</row>
    <row r="245" spans="2:16" ht="16" customHeight="1" x14ac:dyDescent="0.45">
      <c r="B245" s="13"/>
      <c r="C245" s="9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</row>
    <row r="246" spans="2:16" ht="16" customHeight="1" x14ac:dyDescent="0.45">
      <c r="B246" s="13"/>
      <c r="C246" s="9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</row>
    <row r="247" spans="2:16" ht="16" customHeight="1" x14ac:dyDescent="0.45">
      <c r="B247" s="13"/>
      <c r="C247" s="9"/>
      <c r="D247" s="13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</row>
    <row r="248" spans="2:16" ht="16" customHeight="1" x14ac:dyDescent="0.45">
      <c r="B248" s="13"/>
      <c r="C248" s="9"/>
      <c r="D248" s="13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</row>
    <row r="249" spans="2:16" ht="16" customHeight="1" x14ac:dyDescent="0.45">
      <c r="B249" s="13"/>
      <c r="C249" s="9"/>
      <c r="D249" s="13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</row>
    <row r="250" spans="2:16" ht="16" customHeight="1" x14ac:dyDescent="0.45">
      <c r="B250" s="13"/>
      <c r="C250" s="9"/>
      <c r="D250" s="13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</row>
    <row r="251" spans="2:16" ht="16" customHeight="1" x14ac:dyDescent="0.45">
      <c r="B251" s="13"/>
      <c r="C251" s="9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</row>
    <row r="252" spans="2:16" ht="16" customHeight="1" x14ac:dyDescent="0.45">
      <c r="B252" s="13"/>
      <c r="C252" s="9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</row>
    <row r="253" spans="2:16" ht="16" customHeight="1" x14ac:dyDescent="0.45">
      <c r="B253" s="13"/>
      <c r="C253" s="9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</row>
    <row r="254" spans="2:16" ht="16" customHeight="1" x14ac:dyDescent="0.45">
      <c r="B254" s="13"/>
      <c r="C254" s="9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</row>
    <row r="255" spans="2:16" ht="16" customHeight="1" x14ac:dyDescent="0.45">
      <c r="B255" s="13"/>
      <c r="C255" s="9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</row>
    <row r="256" spans="2:16" ht="16" customHeight="1" x14ac:dyDescent="0.45">
      <c r="B256" s="13"/>
      <c r="C256" s="9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</row>
    <row r="257" spans="2:16" ht="16" customHeight="1" x14ac:dyDescent="0.45">
      <c r="B257" s="13"/>
      <c r="C257" s="9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</row>
    <row r="258" spans="2:16" ht="16" customHeight="1" x14ac:dyDescent="0.45">
      <c r="B258" s="13"/>
      <c r="C258" s="9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</row>
    <row r="259" spans="2:16" ht="16" customHeight="1" x14ac:dyDescent="0.45">
      <c r="B259" s="13"/>
      <c r="C259" s="9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</row>
    <row r="260" spans="2:16" ht="16" customHeight="1" x14ac:dyDescent="0.45">
      <c r="B260" s="13"/>
      <c r="C260" s="9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</row>
    <row r="261" spans="2:16" ht="16" customHeight="1" x14ac:dyDescent="0.45">
      <c r="B261" s="13"/>
      <c r="C261" s="9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</row>
    <row r="262" spans="2:16" ht="16" customHeight="1" x14ac:dyDescent="0.45">
      <c r="B262" s="13"/>
      <c r="C262" s="9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</row>
    <row r="263" spans="2:16" ht="16" customHeight="1" x14ac:dyDescent="0.45">
      <c r="B263" s="13"/>
      <c r="C263" s="9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</row>
    <row r="264" spans="2:16" ht="16" customHeight="1" x14ac:dyDescent="0.45">
      <c r="B264" s="13"/>
      <c r="C264" s="9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</row>
    <row r="265" spans="2:16" ht="16" customHeight="1" x14ac:dyDescent="0.45">
      <c r="B265" s="13"/>
      <c r="C265" s="9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</row>
    <row r="266" spans="2:16" ht="16" customHeight="1" x14ac:dyDescent="0.45">
      <c r="B266" s="13"/>
      <c r="C266" s="9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</row>
    <row r="267" spans="2:16" ht="16" customHeight="1" x14ac:dyDescent="0.45">
      <c r="B267" s="13"/>
      <c r="C267" s="9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</row>
    <row r="268" spans="2:16" ht="16" customHeight="1" x14ac:dyDescent="0.45">
      <c r="B268" s="13"/>
      <c r="C268" s="9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</row>
    <row r="269" spans="2:16" ht="16" customHeight="1" x14ac:dyDescent="0.45">
      <c r="B269" s="13"/>
      <c r="C269" s="9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</row>
    <row r="270" spans="2:16" ht="16" customHeight="1" x14ac:dyDescent="0.45">
      <c r="B270" s="13"/>
      <c r="C270" s="9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</row>
    <row r="271" spans="2:16" ht="16" customHeight="1" x14ac:dyDescent="0.45">
      <c r="B271" s="13"/>
      <c r="C271" s="9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</row>
    <row r="272" spans="2:16" ht="16" customHeight="1" x14ac:dyDescent="0.45">
      <c r="B272" s="13"/>
      <c r="C272" s="9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</row>
    <row r="273" spans="2:16" ht="16" customHeight="1" x14ac:dyDescent="0.45">
      <c r="B273" s="13"/>
      <c r="C273" s="9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</row>
    <row r="274" spans="2:16" ht="16" customHeight="1" x14ac:dyDescent="0.45">
      <c r="B274" s="13"/>
      <c r="C274" s="9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</row>
    <row r="275" spans="2:16" ht="16" customHeight="1" x14ac:dyDescent="0.45">
      <c r="B275" s="13"/>
      <c r="C275" s="9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</row>
    <row r="276" spans="2:16" ht="16" customHeight="1" x14ac:dyDescent="0.45">
      <c r="B276" s="13"/>
      <c r="C276" s="9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</row>
    <row r="277" spans="2:16" ht="16" customHeight="1" x14ac:dyDescent="0.45">
      <c r="B277" s="13"/>
      <c r="C277" s="9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</row>
    <row r="278" spans="2:16" ht="16" customHeight="1" x14ac:dyDescent="0.45">
      <c r="B278" s="13"/>
      <c r="C278" s="9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</row>
    <row r="279" spans="2:16" ht="16" customHeight="1" x14ac:dyDescent="0.45">
      <c r="B279" s="13"/>
      <c r="C279" s="9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</row>
    <row r="280" spans="2:16" ht="16" customHeight="1" x14ac:dyDescent="0.45">
      <c r="B280" s="13"/>
      <c r="C280" s="9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</row>
    <row r="281" spans="2:16" ht="16" customHeight="1" x14ac:dyDescent="0.45">
      <c r="B281" s="13"/>
      <c r="C281" s="9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</row>
    <row r="282" spans="2:16" ht="16" customHeight="1" x14ac:dyDescent="0.45">
      <c r="B282" s="13"/>
      <c r="C282" s="9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</row>
    <row r="283" spans="2:16" ht="16" customHeight="1" x14ac:dyDescent="0.45">
      <c r="B283" s="13"/>
      <c r="C283" s="9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</row>
    <row r="284" spans="2:16" ht="16" customHeight="1" x14ac:dyDescent="0.45">
      <c r="B284" s="13"/>
      <c r="C284" s="9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</row>
    <row r="285" spans="2:16" ht="16" customHeight="1" x14ac:dyDescent="0.45">
      <c r="B285" s="13"/>
      <c r="C285" s="9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</row>
    <row r="286" spans="2:16" ht="16" customHeight="1" x14ac:dyDescent="0.45">
      <c r="B286" s="13"/>
      <c r="C286" s="9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</row>
    <row r="287" spans="2:16" ht="16" customHeight="1" x14ac:dyDescent="0.45">
      <c r="B287" s="13"/>
      <c r="C287" s="9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</row>
    <row r="288" spans="2:16" ht="16" customHeight="1" x14ac:dyDescent="0.45">
      <c r="B288" s="13"/>
      <c r="C288" s="9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</row>
    <row r="289" spans="2:16" ht="16" customHeight="1" x14ac:dyDescent="0.45">
      <c r="B289" s="13"/>
      <c r="C289" s="9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</row>
    <row r="290" spans="2:16" ht="16" customHeight="1" x14ac:dyDescent="0.45">
      <c r="B290" s="13"/>
      <c r="C290" s="9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</row>
    <row r="291" spans="2:16" ht="16" customHeight="1" x14ac:dyDescent="0.45">
      <c r="B291" s="13"/>
      <c r="C291" s="9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</row>
    <row r="292" spans="2:16" ht="16" customHeight="1" x14ac:dyDescent="0.45">
      <c r="B292" s="13"/>
      <c r="C292" s="9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</row>
    <row r="293" spans="2:16" ht="16" customHeight="1" x14ac:dyDescent="0.45">
      <c r="B293" s="13"/>
      <c r="C293" s="9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</row>
    <row r="294" spans="2:16" ht="16" customHeight="1" x14ac:dyDescent="0.45">
      <c r="B294" s="13"/>
      <c r="C294" s="9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</row>
    <row r="295" spans="2:16" ht="16" customHeight="1" x14ac:dyDescent="0.45">
      <c r="B295" s="13"/>
      <c r="C295" s="9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</row>
    <row r="296" spans="2:16" ht="16" customHeight="1" x14ac:dyDescent="0.45">
      <c r="B296" s="13"/>
      <c r="C296" s="9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</row>
    <row r="297" spans="2:16" ht="16" customHeight="1" x14ac:dyDescent="0.45">
      <c r="B297" s="13"/>
      <c r="C297" s="9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</row>
    <row r="298" spans="2:16" ht="16" customHeight="1" x14ac:dyDescent="0.45">
      <c r="B298" s="13"/>
      <c r="C298" s="9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</row>
    <row r="299" spans="2:16" ht="16" customHeight="1" x14ac:dyDescent="0.45">
      <c r="B299" s="13"/>
      <c r="C299" s="9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</row>
    <row r="300" spans="2:16" ht="16" customHeight="1" x14ac:dyDescent="0.45">
      <c r="B300" s="13"/>
      <c r="C300" s="9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</row>
    <row r="301" spans="2:16" ht="16" customHeight="1" x14ac:dyDescent="0.45">
      <c r="B301" s="13"/>
      <c r="C301" s="9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</row>
    <row r="302" spans="2:16" ht="16" customHeight="1" x14ac:dyDescent="0.45">
      <c r="B302" s="13"/>
      <c r="C302" s="9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</row>
    <row r="303" spans="2:16" ht="16" customHeight="1" x14ac:dyDescent="0.45">
      <c r="B303" s="13"/>
      <c r="C303" s="9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</row>
    <row r="304" spans="2:16" ht="16" customHeight="1" x14ac:dyDescent="0.45">
      <c r="B304" s="13"/>
      <c r="C304" s="9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</row>
    <row r="305" spans="2:16" ht="16" customHeight="1" x14ac:dyDescent="0.45">
      <c r="B305" s="13"/>
      <c r="C305" s="9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</row>
    <row r="306" spans="2:16" ht="16" customHeight="1" x14ac:dyDescent="0.45">
      <c r="B306" s="13"/>
      <c r="C306" s="9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</row>
    <row r="307" spans="2:16" ht="16" customHeight="1" x14ac:dyDescent="0.45">
      <c r="B307" s="13"/>
      <c r="C307" s="9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</row>
    <row r="308" spans="2:16" ht="16" customHeight="1" x14ac:dyDescent="0.45">
      <c r="B308" s="13"/>
      <c r="C308" s="9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</row>
    <row r="309" spans="2:16" ht="16" customHeight="1" x14ac:dyDescent="0.45">
      <c r="B309" s="13"/>
      <c r="C309" s="9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</row>
    <row r="310" spans="2:16" ht="16" customHeight="1" x14ac:dyDescent="0.45">
      <c r="B310" s="13"/>
      <c r="C310" s="9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</row>
    <row r="311" spans="2:16" ht="16" customHeight="1" x14ac:dyDescent="0.45">
      <c r="B311" s="13"/>
      <c r="C311" s="9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</row>
    <row r="312" spans="2:16" ht="16" customHeight="1" x14ac:dyDescent="0.45">
      <c r="B312" s="13"/>
      <c r="C312" s="9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</row>
    <row r="313" spans="2:16" ht="16" customHeight="1" x14ac:dyDescent="0.45">
      <c r="B313" s="13"/>
      <c r="C313" s="9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</row>
    <row r="314" spans="2:16" ht="16" customHeight="1" x14ac:dyDescent="0.45">
      <c r="B314" s="13"/>
      <c r="C314" s="9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</row>
    <row r="315" spans="2:16" ht="16" customHeight="1" x14ac:dyDescent="0.45">
      <c r="B315" s="13"/>
      <c r="C315" s="9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</row>
    <row r="316" spans="2:16" ht="16" customHeight="1" x14ac:dyDescent="0.45">
      <c r="B316" s="13"/>
      <c r="C316" s="9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</row>
    <row r="317" spans="2:16" ht="16" customHeight="1" x14ac:dyDescent="0.45">
      <c r="B317" s="13"/>
      <c r="C317" s="9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</row>
    <row r="318" spans="2:16" ht="16" customHeight="1" x14ac:dyDescent="0.45">
      <c r="B318" s="13"/>
      <c r="C318" s="9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</row>
    <row r="319" spans="2:16" ht="16" customHeight="1" x14ac:dyDescent="0.45">
      <c r="B319" s="13"/>
      <c r="C319" s="9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</row>
    <row r="320" spans="2:16" ht="16" customHeight="1" x14ac:dyDescent="0.45">
      <c r="B320" s="13"/>
      <c r="C320" s="9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</row>
    <row r="321" spans="2:16" ht="16" customHeight="1" x14ac:dyDescent="0.45">
      <c r="B321" s="13"/>
      <c r="C321" s="9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</row>
    <row r="322" spans="2:16" ht="16" customHeight="1" x14ac:dyDescent="0.45">
      <c r="B322" s="13"/>
      <c r="C322" s="9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</row>
    <row r="323" spans="2:16" ht="16" customHeight="1" x14ac:dyDescent="0.45">
      <c r="B323" s="13"/>
      <c r="C323" s="9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</row>
    <row r="324" spans="2:16" ht="16" customHeight="1" x14ac:dyDescent="0.45">
      <c r="B324" s="13"/>
      <c r="C324" s="9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</row>
    <row r="325" spans="2:16" ht="16" customHeight="1" x14ac:dyDescent="0.45">
      <c r="B325" s="13"/>
      <c r="C325" s="9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</row>
    <row r="326" spans="2:16" ht="16" customHeight="1" x14ac:dyDescent="0.45">
      <c r="B326" s="13"/>
      <c r="C326" s="9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</row>
    <row r="327" spans="2:16" ht="16" customHeight="1" x14ac:dyDescent="0.45">
      <c r="B327" s="13"/>
      <c r="C327" s="9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</row>
    <row r="328" spans="2:16" ht="16" customHeight="1" x14ac:dyDescent="0.45">
      <c r="B328" s="13"/>
      <c r="C328" s="9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</row>
    <row r="329" spans="2:16" ht="16" customHeight="1" x14ac:dyDescent="0.45">
      <c r="B329" s="13"/>
      <c r="C329" s="9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</row>
    <row r="330" spans="2:16" ht="16" customHeight="1" x14ac:dyDescent="0.45">
      <c r="B330" s="13"/>
      <c r="C330" s="9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</row>
    <row r="331" spans="2:16" ht="16" customHeight="1" x14ac:dyDescent="0.45">
      <c r="B331" s="13"/>
      <c r="C331" s="9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</row>
    <row r="332" spans="2:16" ht="16" customHeight="1" x14ac:dyDescent="0.45">
      <c r="B332" s="13"/>
      <c r="C332" s="9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</row>
    <row r="333" spans="2:16" ht="16" customHeight="1" x14ac:dyDescent="0.45">
      <c r="B333" s="13"/>
      <c r="C333" s="9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</row>
    <row r="334" spans="2:16" ht="16" customHeight="1" x14ac:dyDescent="0.45">
      <c r="B334" s="13"/>
      <c r="C334" s="9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</row>
    <row r="335" spans="2:16" ht="16" customHeight="1" x14ac:dyDescent="0.45">
      <c r="B335" s="13"/>
      <c r="C335" s="9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</row>
    <row r="336" spans="2:16" ht="16" customHeight="1" x14ac:dyDescent="0.45">
      <c r="B336" s="13"/>
      <c r="C336" s="9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</row>
    <row r="337" spans="2:16" ht="16" customHeight="1" x14ac:dyDescent="0.45">
      <c r="B337" s="13"/>
      <c r="C337" s="9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</row>
    <row r="338" spans="2:16" ht="16" customHeight="1" x14ac:dyDescent="0.45">
      <c r="B338" s="13"/>
      <c r="C338" s="9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</row>
    <row r="339" spans="2:16" ht="16" customHeight="1" x14ac:dyDescent="0.45">
      <c r="B339" s="13"/>
      <c r="C339" s="9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</row>
    <row r="340" spans="2:16" ht="16" customHeight="1" x14ac:dyDescent="0.45">
      <c r="B340" s="13"/>
      <c r="C340" s="9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</row>
    <row r="341" spans="2:16" ht="16" customHeight="1" x14ac:dyDescent="0.45">
      <c r="B341" s="13"/>
      <c r="C341" s="9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</row>
    <row r="342" spans="2:16" ht="16" customHeight="1" x14ac:dyDescent="0.45">
      <c r="B342" s="13"/>
      <c r="C342" s="9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</row>
    <row r="343" spans="2:16" ht="16" customHeight="1" x14ac:dyDescent="0.45">
      <c r="B343" s="13"/>
      <c r="C343" s="9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</row>
    <row r="344" spans="2:16" ht="16" customHeight="1" x14ac:dyDescent="0.45">
      <c r="B344" s="13"/>
      <c r="C344" s="9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</row>
    <row r="345" spans="2:16" ht="16" customHeight="1" x14ac:dyDescent="0.45">
      <c r="B345" s="13"/>
      <c r="C345" s="9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</row>
    <row r="346" spans="2:16" ht="16" customHeight="1" x14ac:dyDescent="0.45">
      <c r="B346" s="13"/>
      <c r="C346" s="9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</row>
    <row r="347" spans="2:16" ht="16" customHeight="1" x14ac:dyDescent="0.45">
      <c r="B347" s="13"/>
      <c r="C347" s="9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</row>
    <row r="348" spans="2:16" ht="16" customHeight="1" x14ac:dyDescent="0.45">
      <c r="B348" s="13"/>
      <c r="C348" s="9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</row>
    <row r="349" spans="2:16" ht="16" customHeight="1" x14ac:dyDescent="0.45">
      <c r="B349" s="13"/>
      <c r="C349" s="9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</row>
    <row r="350" spans="2:16" ht="16" customHeight="1" x14ac:dyDescent="0.45">
      <c r="B350" s="13"/>
      <c r="C350" s="9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</row>
    <row r="351" spans="2:16" ht="16" customHeight="1" x14ac:dyDescent="0.45">
      <c r="B351" s="13"/>
      <c r="C351" s="9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</row>
    <row r="352" spans="2:16" ht="16" customHeight="1" x14ac:dyDescent="0.45">
      <c r="B352" s="13"/>
      <c r="C352" s="9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</row>
    <row r="353" spans="2:16" ht="16" customHeight="1" x14ac:dyDescent="0.45">
      <c r="B353" s="13"/>
      <c r="C353" s="9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</row>
    <row r="354" spans="2:16" ht="16" customHeight="1" x14ac:dyDescent="0.45">
      <c r="B354" s="13"/>
      <c r="C354" s="9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</row>
    <row r="355" spans="2:16" ht="16" customHeight="1" x14ac:dyDescent="0.45">
      <c r="B355" s="13"/>
      <c r="C355" s="9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</row>
    <row r="356" spans="2:16" ht="16" customHeight="1" x14ac:dyDescent="0.45">
      <c r="B356" s="13"/>
      <c r="C356" s="9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</row>
    <row r="357" spans="2:16" ht="16" customHeight="1" x14ac:dyDescent="0.45">
      <c r="B357" s="13"/>
      <c r="C357" s="9"/>
      <c r="D357" s="13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</row>
    <row r="358" spans="2:16" ht="16" customHeight="1" x14ac:dyDescent="0.45">
      <c r="B358" s="13"/>
      <c r="C358" s="9"/>
      <c r="D358" s="13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</row>
    <row r="359" spans="2:16" ht="16" customHeight="1" x14ac:dyDescent="0.45">
      <c r="B359" s="13"/>
      <c r="C359" s="9"/>
      <c r="D359" s="13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</row>
    <row r="360" spans="2:16" ht="16" customHeight="1" x14ac:dyDescent="0.45">
      <c r="B360" s="13"/>
      <c r="C360" s="9"/>
      <c r="D360" s="13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</row>
    <row r="361" spans="2:16" ht="16" customHeight="1" x14ac:dyDescent="0.45">
      <c r="B361" s="13"/>
      <c r="C361" s="9"/>
      <c r="D361" s="13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</row>
    <row r="362" spans="2:16" ht="16" customHeight="1" x14ac:dyDescent="0.45">
      <c r="B362" s="13"/>
      <c r="C362" s="9"/>
      <c r="D362" s="13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</row>
    <row r="363" spans="2:16" ht="16" customHeight="1" x14ac:dyDescent="0.45">
      <c r="B363" s="13"/>
      <c r="C363" s="9"/>
      <c r="D363" s="13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</row>
    <row r="364" spans="2:16" ht="16" customHeight="1" x14ac:dyDescent="0.45">
      <c r="B364" s="13"/>
      <c r="C364" s="9"/>
      <c r="D364" s="13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</row>
    <row r="365" spans="2:16" ht="16" customHeight="1" x14ac:dyDescent="0.45">
      <c r="B365" s="13"/>
      <c r="C365" s="9"/>
      <c r="D365" s="13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</row>
    <row r="366" spans="2:16" ht="16" customHeight="1" x14ac:dyDescent="0.45">
      <c r="B366" s="13"/>
      <c r="C366" s="9"/>
      <c r="D366" s="13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</row>
    <row r="367" spans="2:16" ht="16" customHeight="1" x14ac:dyDescent="0.45">
      <c r="B367" s="13"/>
      <c r="C367" s="9"/>
      <c r="D367" s="13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</row>
    <row r="368" spans="2:16" ht="16" customHeight="1" x14ac:dyDescent="0.45">
      <c r="B368" s="13"/>
      <c r="C368" s="9"/>
      <c r="D368" s="13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</row>
    <row r="369" spans="2:16" ht="16" customHeight="1" x14ac:dyDescent="0.45">
      <c r="B369" s="13"/>
      <c r="C369" s="9"/>
      <c r="D369" s="13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</row>
    <row r="370" spans="2:16" ht="16" customHeight="1" x14ac:dyDescent="0.45">
      <c r="B370" s="13"/>
      <c r="C370" s="9"/>
      <c r="D370" s="13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</row>
    <row r="371" spans="2:16" ht="16" customHeight="1" x14ac:dyDescent="0.45">
      <c r="B371" s="13"/>
      <c r="C371" s="9"/>
      <c r="D371" s="13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</row>
    <row r="372" spans="2:16" ht="16" customHeight="1" x14ac:dyDescent="0.45">
      <c r="B372" s="13"/>
      <c r="C372" s="9"/>
      <c r="D372" s="13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</row>
    <row r="373" spans="2:16" ht="16" customHeight="1" x14ac:dyDescent="0.45">
      <c r="B373" s="13"/>
      <c r="C373" s="9"/>
      <c r="D373" s="13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</row>
    <row r="374" spans="2:16" ht="16" customHeight="1" x14ac:dyDescent="0.45">
      <c r="B374" s="13"/>
      <c r="C374" s="9"/>
      <c r="D374" s="13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</row>
    <row r="375" spans="2:16" ht="16" customHeight="1" x14ac:dyDescent="0.45">
      <c r="B375" s="13"/>
      <c r="C375" s="9"/>
      <c r="D375" s="13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</row>
    <row r="376" spans="2:16" ht="16" customHeight="1" x14ac:dyDescent="0.45">
      <c r="B376" s="13"/>
      <c r="C376" s="9"/>
      <c r="D376" s="13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</row>
    <row r="377" spans="2:16" ht="16" customHeight="1" x14ac:dyDescent="0.45">
      <c r="B377" s="13"/>
      <c r="C377" s="9"/>
      <c r="D377" s="13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</row>
    <row r="378" spans="2:16" ht="16" customHeight="1" x14ac:dyDescent="0.45">
      <c r="B378" s="13"/>
      <c r="C378" s="9"/>
      <c r="D378" s="13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</row>
    <row r="379" spans="2:16" ht="16" customHeight="1" x14ac:dyDescent="0.45">
      <c r="B379" s="13"/>
      <c r="C379" s="9"/>
      <c r="D379" s="13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</row>
    <row r="380" spans="2:16" ht="16" customHeight="1" x14ac:dyDescent="0.45">
      <c r="B380" s="13"/>
      <c r="C380" s="9"/>
      <c r="D380" s="13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</row>
  </sheetData>
  <mergeCells count="2">
    <mergeCell ref="B4:C4"/>
    <mergeCell ref="B8:C8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6F03D-DA8F-4A5D-A8F8-A2CA7BEEE1EC}">
  <dimension ref="B3:AH156"/>
  <sheetViews>
    <sheetView showGridLines="0" zoomScale="90" zoomScaleNormal="90" workbookViewId="0">
      <pane xSplit="6" ySplit="8" topLeftCell="G9" activePane="bottomRight" state="frozen"/>
      <selection pane="topRight" activeCell="G1" sqref="G1"/>
      <selection pane="bottomLeft" activeCell="A7" sqref="A7"/>
      <selection pane="bottomRight" activeCell="B4" sqref="B4:E4"/>
    </sheetView>
  </sheetViews>
  <sheetFormatPr defaultColWidth="9.1796875" defaultRowHeight="16" customHeight="1" x14ac:dyDescent="0.35"/>
  <cols>
    <col min="1" max="1" width="1.81640625" style="1" customWidth="1"/>
    <col min="2" max="2" width="10.7265625" style="1" customWidth="1"/>
    <col min="3" max="3" width="50.7265625" style="1" customWidth="1"/>
    <col min="4" max="4" width="1.7265625" style="1" customWidth="1"/>
    <col min="5" max="5" width="14.7265625" style="1" customWidth="1"/>
    <col min="6" max="6" width="1.7265625" style="1" customWidth="1"/>
    <col min="7" max="15" width="14.7265625" style="1" customWidth="1"/>
    <col min="16" max="16" width="1.7265625" style="1" customWidth="1"/>
    <col min="17" max="25" width="14.7265625" style="1" customWidth="1"/>
    <col min="26" max="26" width="1.7265625" style="1" customWidth="1"/>
    <col min="27" max="27" width="14.7265625" style="1" customWidth="1"/>
    <col min="28" max="28" width="1.7265625" style="1" customWidth="1"/>
    <col min="29" max="49" width="14.7265625" style="1" customWidth="1"/>
    <col min="50" max="16384" width="9.1796875" style="1"/>
  </cols>
  <sheetData>
    <row r="3" spans="2:34" ht="16" customHeight="1" x14ac:dyDescent="0.35">
      <c r="B3" s="2" t="s">
        <v>1015</v>
      </c>
    </row>
    <row r="4" spans="2:34" ht="16" customHeight="1" x14ac:dyDescent="0.35">
      <c r="B4" s="33" t="s">
        <v>270</v>
      </c>
      <c r="C4" s="33"/>
      <c r="D4" s="33"/>
      <c r="E4" s="33"/>
    </row>
    <row r="5" spans="2:34" ht="16" customHeight="1" x14ac:dyDescent="0.35">
      <c r="B5" s="4" t="s">
        <v>1016</v>
      </c>
    </row>
    <row r="6" spans="2:34" ht="16" customHeight="1" x14ac:dyDescent="0.35">
      <c r="B6" s="56">
        <v>46189.339573368059</v>
      </c>
      <c r="C6" s="56"/>
    </row>
    <row r="7" spans="2:34" s="57" customFormat="1" ht="26.5" thickBot="1" x14ac:dyDescent="0.4">
      <c r="B7" s="3"/>
      <c r="E7" s="21" t="s">
        <v>1017</v>
      </c>
      <c r="G7" s="58" t="s">
        <v>1018</v>
      </c>
      <c r="H7" s="58" t="s">
        <v>1019</v>
      </c>
      <c r="I7" s="58" t="s">
        <v>1020</v>
      </c>
      <c r="J7" s="58" t="s">
        <v>1021</v>
      </c>
      <c r="K7" s="58" t="s">
        <v>1022</v>
      </c>
      <c r="L7" s="58" t="s">
        <v>1023</v>
      </c>
      <c r="M7" s="58" t="s">
        <v>1024</v>
      </c>
      <c r="N7" s="58" t="s">
        <v>1025</v>
      </c>
      <c r="O7" s="21" t="s">
        <v>1026</v>
      </c>
      <c r="Q7" s="58" t="s">
        <v>1027</v>
      </c>
      <c r="R7" s="58" t="s">
        <v>1028</v>
      </c>
      <c r="S7" s="58" t="s">
        <v>1029</v>
      </c>
      <c r="T7" s="58" t="s">
        <v>1030</v>
      </c>
      <c r="U7" s="58" t="s">
        <v>1031</v>
      </c>
      <c r="V7" s="58" t="s">
        <v>1032</v>
      </c>
      <c r="W7" s="58" t="s">
        <v>1033</v>
      </c>
      <c r="X7" s="58" t="s">
        <v>1034</v>
      </c>
      <c r="Y7" s="21" t="s">
        <v>1035</v>
      </c>
      <c r="AA7" s="21" t="s">
        <v>1036</v>
      </c>
      <c r="AC7" s="58" t="s">
        <v>1037</v>
      </c>
      <c r="AD7" s="58" t="s">
        <v>1038</v>
      </c>
      <c r="AE7" s="21" t="s">
        <v>1039</v>
      </c>
    </row>
    <row r="8" spans="2:34" ht="40" hidden="1" customHeight="1" thickBot="1" x14ac:dyDescent="0.5">
      <c r="B8" s="7"/>
      <c r="C8" s="28"/>
      <c r="D8" s="59"/>
      <c r="E8" s="21" t="s">
        <v>1017</v>
      </c>
      <c r="F8" s="59"/>
      <c r="G8" s="8" t="s">
        <v>1018</v>
      </c>
      <c r="H8" s="8" t="s">
        <v>1019</v>
      </c>
      <c r="I8" s="8" t="s">
        <v>1020</v>
      </c>
      <c r="J8" s="8" t="s">
        <v>1040</v>
      </c>
      <c r="K8" s="8" t="s">
        <v>1022</v>
      </c>
      <c r="L8" s="8" t="s">
        <v>1023</v>
      </c>
      <c r="M8" s="8" t="s">
        <v>1024</v>
      </c>
      <c r="N8" s="8" t="s">
        <v>1025</v>
      </c>
      <c r="O8" s="21" t="s">
        <v>1026</v>
      </c>
      <c r="P8" s="59"/>
      <c r="Q8" s="8" t="s">
        <v>1027</v>
      </c>
      <c r="R8" s="8" t="s">
        <v>1028</v>
      </c>
      <c r="S8" s="8" t="s">
        <v>1029</v>
      </c>
      <c r="T8" s="8" t="s">
        <v>1030</v>
      </c>
      <c r="U8" s="8" t="s">
        <v>1031</v>
      </c>
      <c r="V8" s="8" t="s">
        <v>1032</v>
      </c>
      <c r="W8" s="8" t="s">
        <v>1033</v>
      </c>
      <c r="X8" s="8" t="s">
        <v>1034</v>
      </c>
      <c r="Y8" s="21" t="s">
        <v>1035</v>
      </c>
      <c r="Z8" s="59"/>
      <c r="AA8" s="21" t="s">
        <v>1036</v>
      </c>
      <c r="AB8" s="59"/>
      <c r="AC8" s="8" t="s">
        <v>1037</v>
      </c>
      <c r="AD8" s="8" t="s">
        <v>1038</v>
      </c>
      <c r="AE8" s="21" t="s">
        <v>1039</v>
      </c>
      <c r="AF8" s="9"/>
      <c r="AG8" s="9"/>
      <c r="AH8" s="9"/>
    </row>
    <row r="9" spans="2:34" ht="16" customHeight="1" x14ac:dyDescent="0.45">
      <c r="B9" s="11"/>
      <c r="C9" s="11"/>
      <c r="D9" s="29"/>
      <c r="E9" s="60"/>
      <c r="F9" s="29"/>
      <c r="G9" s="29"/>
      <c r="H9" s="29"/>
      <c r="I9" s="29"/>
      <c r="J9" s="29"/>
      <c r="K9" s="29"/>
      <c r="L9" s="29"/>
      <c r="M9" s="29"/>
      <c r="N9" s="29"/>
      <c r="O9" s="60"/>
      <c r="P9" s="29"/>
      <c r="Q9" s="29"/>
      <c r="R9" s="29"/>
      <c r="S9" s="29"/>
      <c r="T9" s="29"/>
      <c r="U9" s="29"/>
      <c r="V9" s="29"/>
      <c r="W9" s="29"/>
      <c r="X9" s="29"/>
      <c r="Y9" s="60"/>
      <c r="Z9" s="29"/>
      <c r="AA9" s="60"/>
      <c r="AB9" s="12"/>
      <c r="AC9" s="12"/>
      <c r="AD9" s="12"/>
      <c r="AE9" s="22"/>
      <c r="AF9" s="13"/>
      <c r="AG9" s="9"/>
      <c r="AH9" s="13"/>
    </row>
    <row r="10" spans="2:34" ht="16" customHeight="1" x14ac:dyDescent="0.45">
      <c r="B10" s="14" t="s">
        <v>13</v>
      </c>
      <c r="C10" s="14" t="s">
        <v>14</v>
      </c>
      <c r="D10" s="61"/>
      <c r="E10" s="62">
        <f>O10+Y10+AA10+AE10</f>
        <v>97145.869120000003</v>
      </c>
      <c r="F10" s="61"/>
      <c r="G10" s="30">
        <v>83399.431519999998</v>
      </c>
      <c r="H10" s="30">
        <v>6554.5960400000004</v>
      </c>
      <c r="I10" s="30">
        <v>25242.012559999999</v>
      </c>
      <c r="J10" s="30">
        <v>-18050.170999999998</v>
      </c>
      <c r="K10" s="30">
        <f>SUM(G10:J10)</f>
        <v>97145.869120000003</v>
      </c>
      <c r="L10" s="30"/>
      <c r="M10" s="30"/>
      <c r="N10" s="30"/>
      <c r="O10" s="62">
        <f>SUM(K10:N10)</f>
        <v>97145.869120000003</v>
      </c>
      <c r="P10" s="61"/>
      <c r="Q10" s="30"/>
      <c r="R10" s="30"/>
      <c r="S10" s="30"/>
      <c r="T10" s="30"/>
      <c r="U10" s="30"/>
      <c r="V10" s="30"/>
      <c r="W10" s="30"/>
      <c r="X10" s="30"/>
      <c r="Y10" s="62">
        <f>SUM(Q10:X10)</f>
        <v>0</v>
      </c>
      <c r="Z10" s="61"/>
      <c r="AA10" s="62"/>
      <c r="AB10" s="63"/>
      <c r="AC10" s="15"/>
      <c r="AD10" s="15"/>
      <c r="AE10" s="23">
        <f>AC10+AD10</f>
        <v>0</v>
      </c>
      <c r="AF10" s="13"/>
      <c r="AG10" s="13"/>
      <c r="AH10" s="13"/>
    </row>
    <row r="11" spans="2:34" ht="16" customHeight="1" x14ac:dyDescent="0.45">
      <c r="B11" s="14" t="s">
        <v>15</v>
      </c>
      <c r="C11" s="14" t="s">
        <v>16</v>
      </c>
      <c r="D11" s="61"/>
      <c r="E11" s="62">
        <f>O11+Y11+AA11+AE11</f>
        <v>0</v>
      </c>
      <c r="F11" s="61"/>
      <c r="G11" s="30"/>
      <c r="H11" s="30"/>
      <c r="I11" s="30"/>
      <c r="J11" s="30"/>
      <c r="K11" s="30">
        <f>SUM(G11:J11)</f>
        <v>0</v>
      </c>
      <c r="L11" s="30"/>
      <c r="M11" s="30"/>
      <c r="N11" s="30"/>
      <c r="O11" s="62">
        <f>SUM(K11:N11)</f>
        <v>0</v>
      </c>
      <c r="P11" s="61"/>
      <c r="Q11" s="30"/>
      <c r="R11" s="30"/>
      <c r="S11" s="30"/>
      <c r="T11" s="30"/>
      <c r="U11" s="30"/>
      <c r="V11" s="30"/>
      <c r="W11" s="30"/>
      <c r="X11" s="30"/>
      <c r="Y11" s="62">
        <f>SUM(Q11:X11)</f>
        <v>0</v>
      </c>
      <c r="Z11" s="61"/>
      <c r="AA11" s="62"/>
      <c r="AB11" s="63"/>
      <c r="AC11" s="15"/>
      <c r="AD11" s="15"/>
      <c r="AE11" s="23">
        <f>AC11+AD11</f>
        <v>0</v>
      </c>
      <c r="AF11" s="13"/>
      <c r="AG11" s="13"/>
      <c r="AH11" s="13"/>
    </row>
    <row r="12" spans="2:34" ht="16" customHeight="1" x14ac:dyDescent="0.35">
      <c r="B12" s="14" t="s">
        <v>17</v>
      </c>
      <c r="C12" s="14" t="s">
        <v>18</v>
      </c>
      <c r="D12" s="61"/>
      <c r="E12" s="62">
        <f>O12+Y12+AA12+AE12</f>
        <v>1213250.0488100001</v>
      </c>
      <c r="F12" s="61"/>
      <c r="G12" s="30">
        <v>1065695.33177</v>
      </c>
      <c r="H12" s="30">
        <v>101406.74784</v>
      </c>
      <c r="I12" s="30">
        <v>46147.9692</v>
      </c>
      <c r="J12" s="30"/>
      <c r="K12" s="30">
        <f>SUM(G12:J12)</f>
        <v>1213250.0488100001</v>
      </c>
      <c r="L12" s="30"/>
      <c r="M12" s="30"/>
      <c r="N12" s="30"/>
      <c r="O12" s="62">
        <f>SUM(K12:N12)</f>
        <v>1213250.0488100001</v>
      </c>
      <c r="P12" s="61"/>
      <c r="Q12" s="30"/>
      <c r="R12" s="30"/>
      <c r="S12" s="30"/>
      <c r="T12" s="30"/>
      <c r="U12" s="30"/>
      <c r="V12" s="30"/>
      <c r="W12" s="30"/>
      <c r="X12" s="30"/>
      <c r="Y12" s="62">
        <f>SUM(Q12:X12)</f>
        <v>0</v>
      </c>
      <c r="Z12" s="61"/>
      <c r="AA12" s="62"/>
      <c r="AB12" s="63"/>
      <c r="AC12" s="15"/>
      <c r="AD12" s="15"/>
      <c r="AE12" s="23">
        <f>AC12+AD12</f>
        <v>0</v>
      </c>
    </row>
    <row r="13" spans="2:34" ht="16" customHeight="1" x14ac:dyDescent="0.35">
      <c r="B13" s="16" t="s">
        <v>19</v>
      </c>
      <c r="C13" s="16" t="s">
        <v>20</v>
      </c>
      <c r="D13" s="64"/>
      <c r="E13" s="53">
        <f>-(-(E10+E11)-E12)</f>
        <v>1310395.91793</v>
      </c>
      <c r="F13" s="64"/>
      <c r="G13" s="31">
        <f t="shared" ref="G13:O13" si="0">-(-(G10+G11)-G12)</f>
        <v>1149094.7632900001</v>
      </c>
      <c r="H13" s="31">
        <f t="shared" si="0"/>
        <v>107961.34388</v>
      </c>
      <c r="I13" s="31">
        <f t="shared" si="0"/>
        <v>71389.981759999995</v>
      </c>
      <c r="J13" s="31">
        <f t="shared" si="0"/>
        <v>-18050.170999999998</v>
      </c>
      <c r="K13" s="31">
        <f t="shared" si="0"/>
        <v>1310395.91793</v>
      </c>
      <c r="L13" s="31">
        <f t="shared" si="0"/>
        <v>0</v>
      </c>
      <c r="M13" s="31">
        <f t="shared" si="0"/>
        <v>0</v>
      </c>
      <c r="N13" s="31">
        <f t="shared" si="0"/>
        <v>0</v>
      </c>
      <c r="O13" s="53">
        <f t="shared" si="0"/>
        <v>1310395.91793</v>
      </c>
      <c r="P13" s="64"/>
      <c r="Q13" s="31">
        <f t="shared" ref="Q13:Y13" si="1">-(-(Q10+Q11)-Q12)</f>
        <v>0</v>
      </c>
      <c r="R13" s="31">
        <f t="shared" si="1"/>
        <v>0</v>
      </c>
      <c r="S13" s="31">
        <f t="shared" si="1"/>
        <v>0</v>
      </c>
      <c r="T13" s="31">
        <f t="shared" si="1"/>
        <v>0</v>
      </c>
      <c r="U13" s="31">
        <f t="shared" si="1"/>
        <v>0</v>
      </c>
      <c r="V13" s="31">
        <f t="shared" si="1"/>
        <v>0</v>
      </c>
      <c r="W13" s="31">
        <f t="shared" si="1"/>
        <v>0</v>
      </c>
      <c r="X13" s="31">
        <f t="shared" si="1"/>
        <v>0</v>
      </c>
      <c r="Y13" s="53">
        <f t="shared" si="1"/>
        <v>0</v>
      </c>
      <c r="Z13" s="64"/>
      <c r="AA13" s="53">
        <f>-(-(AA10+AA11)-AA12)</f>
        <v>0</v>
      </c>
      <c r="AB13" s="65"/>
      <c r="AC13" s="17">
        <f>-(-(AC10+AC11)-AC12)</f>
        <v>0</v>
      </c>
      <c r="AD13" s="17">
        <f>-(-(AD10+AD11)-AD12)</f>
        <v>0</v>
      </c>
      <c r="AE13" s="24">
        <f>-(-(AE10+AE11)-AE12)</f>
        <v>0</v>
      </c>
    </row>
    <row r="14" spans="2:34" ht="16" customHeight="1" x14ac:dyDescent="0.35">
      <c r="B14" s="11" t="s">
        <v>21</v>
      </c>
      <c r="C14" s="11" t="s">
        <v>22</v>
      </c>
      <c r="D14" s="29"/>
      <c r="E14" s="60"/>
      <c r="F14" s="29"/>
      <c r="G14" s="29"/>
      <c r="H14" s="29"/>
      <c r="I14" s="29"/>
      <c r="J14" s="29"/>
      <c r="K14" s="29"/>
      <c r="L14" s="29"/>
      <c r="M14" s="29"/>
      <c r="N14" s="29"/>
      <c r="O14" s="60"/>
      <c r="P14" s="29"/>
      <c r="Q14" s="29"/>
      <c r="R14" s="29"/>
      <c r="S14" s="29"/>
      <c r="T14" s="29"/>
      <c r="U14" s="29"/>
      <c r="V14" s="29"/>
      <c r="W14" s="29"/>
      <c r="X14" s="29"/>
      <c r="Y14" s="60"/>
      <c r="Z14" s="29"/>
      <c r="AA14" s="60"/>
      <c r="AB14" s="12"/>
      <c r="AC14" s="12"/>
      <c r="AD14" s="12"/>
      <c r="AE14" s="22"/>
    </row>
    <row r="15" spans="2:34" ht="16" customHeight="1" x14ac:dyDescent="0.35">
      <c r="B15" s="14" t="s">
        <v>23</v>
      </c>
      <c r="C15" s="14" t="s">
        <v>24</v>
      </c>
      <c r="D15" s="61"/>
      <c r="E15" s="62">
        <f t="shared" ref="E15:E22" si="2">O15+Y15+AA15+AE15</f>
        <v>-138573.78227999998</v>
      </c>
      <c r="F15" s="61"/>
      <c r="G15" s="30">
        <v>-122179.86833</v>
      </c>
      <c r="H15" s="30">
        <v>-16393.913949999998</v>
      </c>
      <c r="I15" s="30"/>
      <c r="J15" s="30"/>
      <c r="K15" s="30">
        <f t="shared" ref="K15:K22" si="3">SUM(G15:J15)</f>
        <v>-138573.78227999998</v>
      </c>
      <c r="L15" s="30"/>
      <c r="M15" s="30"/>
      <c r="N15" s="30"/>
      <c r="O15" s="62">
        <f t="shared" ref="O15:O22" si="4">SUM(K15:N15)</f>
        <v>-138573.78227999998</v>
      </c>
      <c r="P15" s="61"/>
      <c r="Q15" s="30"/>
      <c r="R15" s="30"/>
      <c r="S15" s="30"/>
      <c r="T15" s="30"/>
      <c r="U15" s="30"/>
      <c r="V15" s="30"/>
      <c r="W15" s="30"/>
      <c r="X15" s="30"/>
      <c r="Y15" s="62">
        <f t="shared" ref="Y15:Y22" si="5">SUM(Q15:X15)</f>
        <v>0</v>
      </c>
      <c r="Z15" s="61"/>
      <c r="AA15" s="62"/>
      <c r="AB15" s="63"/>
      <c r="AC15" s="15"/>
      <c r="AD15" s="15"/>
      <c r="AE15" s="23">
        <f t="shared" ref="AE15:AE22" si="6">AC15+AD15</f>
        <v>0</v>
      </c>
    </row>
    <row r="16" spans="2:34" ht="16" customHeight="1" x14ac:dyDescent="0.35">
      <c r="B16" s="14" t="s">
        <v>25</v>
      </c>
      <c r="C16" s="14" t="s">
        <v>26</v>
      </c>
      <c r="D16" s="61"/>
      <c r="E16" s="62">
        <f t="shared" si="2"/>
        <v>-2312.0261700000001</v>
      </c>
      <c r="F16" s="61"/>
      <c r="G16" s="30">
        <v>-2312.0261700000001</v>
      </c>
      <c r="H16" s="30"/>
      <c r="I16" s="30"/>
      <c r="J16" s="30"/>
      <c r="K16" s="30">
        <f t="shared" si="3"/>
        <v>-2312.0261700000001</v>
      </c>
      <c r="L16" s="30"/>
      <c r="M16" s="30"/>
      <c r="N16" s="30"/>
      <c r="O16" s="62">
        <f t="shared" si="4"/>
        <v>-2312.0261700000001</v>
      </c>
      <c r="P16" s="61"/>
      <c r="Q16" s="30"/>
      <c r="R16" s="30"/>
      <c r="S16" s="30"/>
      <c r="T16" s="30"/>
      <c r="U16" s="30"/>
      <c r="V16" s="30"/>
      <c r="W16" s="30"/>
      <c r="X16" s="30"/>
      <c r="Y16" s="62">
        <f t="shared" si="5"/>
        <v>0</v>
      </c>
      <c r="Z16" s="61"/>
      <c r="AA16" s="62"/>
      <c r="AB16" s="63"/>
      <c r="AC16" s="15"/>
      <c r="AD16" s="15"/>
      <c r="AE16" s="23">
        <f t="shared" si="6"/>
        <v>0</v>
      </c>
    </row>
    <row r="17" spans="2:31" ht="16" customHeight="1" x14ac:dyDescent="0.35">
      <c r="B17" s="14" t="s">
        <v>27</v>
      </c>
      <c r="C17" s="14" t="s">
        <v>28</v>
      </c>
      <c r="D17" s="61"/>
      <c r="E17" s="62">
        <f t="shared" si="2"/>
        <v>-39348.453109999995</v>
      </c>
      <c r="F17" s="61"/>
      <c r="G17" s="30">
        <v>-36729.495349999997</v>
      </c>
      <c r="H17" s="30">
        <v>-2618.9577599999998</v>
      </c>
      <c r="I17" s="30"/>
      <c r="J17" s="30"/>
      <c r="K17" s="30">
        <f t="shared" si="3"/>
        <v>-39348.453109999995</v>
      </c>
      <c r="L17" s="30"/>
      <c r="M17" s="30"/>
      <c r="N17" s="30"/>
      <c r="O17" s="62">
        <f t="shared" si="4"/>
        <v>-39348.453109999995</v>
      </c>
      <c r="P17" s="61"/>
      <c r="Q17" s="30"/>
      <c r="R17" s="30"/>
      <c r="S17" s="30"/>
      <c r="T17" s="30"/>
      <c r="U17" s="30"/>
      <c r="V17" s="30"/>
      <c r="W17" s="30"/>
      <c r="X17" s="30"/>
      <c r="Y17" s="62">
        <f t="shared" si="5"/>
        <v>0</v>
      </c>
      <c r="Z17" s="61"/>
      <c r="AA17" s="62"/>
      <c r="AB17" s="63"/>
      <c r="AC17" s="15"/>
      <c r="AD17" s="15"/>
      <c r="AE17" s="23">
        <f t="shared" si="6"/>
        <v>0</v>
      </c>
    </row>
    <row r="18" spans="2:31" ht="16" customHeight="1" x14ac:dyDescent="0.35">
      <c r="B18" s="14" t="s">
        <v>29</v>
      </c>
      <c r="C18" s="14" t="s">
        <v>30</v>
      </c>
      <c r="D18" s="61"/>
      <c r="E18" s="62">
        <f t="shared" si="2"/>
        <v>-5312.5511099999994</v>
      </c>
      <c r="F18" s="61"/>
      <c r="G18" s="30">
        <v>-5306.7320399999999</v>
      </c>
      <c r="H18" s="30">
        <v>-5.81907</v>
      </c>
      <c r="I18" s="30"/>
      <c r="J18" s="30"/>
      <c r="K18" s="30">
        <f t="shared" si="3"/>
        <v>-5312.5511099999994</v>
      </c>
      <c r="L18" s="30"/>
      <c r="M18" s="30"/>
      <c r="N18" s="30"/>
      <c r="O18" s="62">
        <f t="shared" si="4"/>
        <v>-5312.5511099999994</v>
      </c>
      <c r="P18" s="61"/>
      <c r="Q18" s="30"/>
      <c r="R18" s="30"/>
      <c r="S18" s="30"/>
      <c r="T18" s="30"/>
      <c r="U18" s="30"/>
      <c r="V18" s="30"/>
      <c r="W18" s="30"/>
      <c r="X18" s="30"/>
      <c r="Y18" s="62">
        <f t="shared" si="5"/>
        <v>0</v>
      </c>
      <c r="Z18" s="61"/>
      <c r="AA18" s="62"/>
      <c r="AB18" s="63"/>
      <c r="AC18" s="15"/>
      <c r="AD18" s="15"/>
      <c r="AE18" s="23">
        <f t="shared" si="6"/>
        <v>0</v>
      </c>
    </row>
    <row r="19" spans="2:31" ht="16" customHeight="1" x14ac:dyDescent="0.35">
      <c r="B19" s="14" t="s">
        <v>31</v>
      </c>
      <c r="C19" s="14" t="s">
        <v>32</v>
      </c>
      <c r="D19" s="61"/>
      <c r="E19" s="62">
        <f t="shared" si="2"/>
        <v>-79576.840670000005</v>
      </c>
      <c r="F19" s="61"/>
      <c r="G19" s="30">
        <v>-76621.363410000005</v>
      </c>
      <c r="H19" s="30">
        <v>-2955.4772600000001</v>
      </c>
      <c r="I19" s="30"/>
      <c r="J19" s="30"/>
      <c r="K19" s="30">
        <f t="shared" si="3"/>
        <v>-79576.840670000005</v>
      </c>
      <c r="L19" s="30"/>
      <c r="M19" s="30"/>
      <c r="N19" s="30"/>
      <c r="O19" s="62">
        <f t="shared" si="4"/>
        <v>-79576.840670000005</v>
      </c>
      <c r="P19" s="61"/>
      <c r="Q19" s="30"/>
      <c r="R19" s="30"/>
      <c r="S19" s="30"/>
      <c r="T19" s="30"/>
      <c r="U19" s="30"/>
      <c r="V19" s="30"/>
      <c r="W19" s="30"/>
      <c r="X19" s="30"/>
      <c r="Y19" s="62">
        <f t="shared" si="5"/>
        <v>0</v>
      </c>
      <c r="Z19" s="61"/>
      <c r="AA19" s="62"/>
      <c r="AB19" s="63"/>
      <c r="AC19" s="15">
        <v>0</v>
      </c>
      <c r="AD19" s="15"/>
      <c r="AE19" s="23">
        <f t="shared" si="6"/>
        <v>0</v>
      </c>
    </row>
    <row r="20" spans="2:31" ht="16" customHeight="1" x14ac:dyDescent="0.35">
      <c r="B20" s="14" t="s">
        <v>33</v>
      </c>
      <c r="C20" s="14" t="s">
        <v>34</v>
      </c>
      <c r="D20" s="61"/>
      <c r="E20" s="62">
        <f t="shared" si="2"/>
        <v>0</v>
      </c>
      <c r="F20" s="61"/>
      <c r="G20" s="30"/>
      <c r="H20" s="30"/>
      <c r="I20" s="30"/>
      <c r="J20" s="30"/>
      <c r="K20" s="30">
        <f t="shared" si="3"/>
        <v>0</v>
      </c>
      <c r="L20" s="30"/>
      <c r="M20" s="30"/>
      <c r="N20" s="30"/>
      <c r="O20" s="62">
        <f t="shared" si="4"/>
        <v>0</v>
      </c>
      <c r="P20" s="61"/>
      <c r="Q20" s="30"/>
      <c r="R20" s="30"/>
      <c r="S20" s="30"/>
      <c r="T20" s="30"/>
      <c r="U20" s="30"/>
      <c r="V20" s="30"/>
      <c r="W20" s="30"/>
      <c r="X20" s="30"/>
      <c r="Y20" s="62">
        <f t="shared" si="5"/>
        <v>0</v>
      </c>
      <c r="Z20" s="61"/>
      <c r="AA20" s="62"/>
      <c r="AB20" s="63"/>
      <c r="AC20" s="15"/>
      <c r="AD20" s="15"/>
      <c r="AE20" s="23">
        <f t="shared" si="6"/>
        <v>0</v>
      </c>
    </row>
    <row r="21" spans="2:31" ht="16" customHeight="1" x14ac:dyDescent="0.35">
      <c r="B21" s="14" t="s">
        <v>35</v>
      </c>
      <c r="C21" s="14" t="s">
        <v>36</v>
      </c>
      <c r="D21" s="61"/>
      <c r="E21" s="62">
        <f t="shared" si="2"/>
        <v>0</v>
      </c>
      <c r="F21" s="61"/>
      <c r="G21" s="30"/>
      <c r="H21" s="30"/>
      <c r="I21" s="30"/>
      <c r="J21" s="30"/>
      <c r="K21" s="30">
        <f t="shared" si="3"/>
        <v>0</v>
      </c>
      <c r="L21" s="30"/>
      <c r="M21" s="30"/>
      <c r="N21" s="30"/>
      <c r="O21" s="62">
        <f t="shared" si="4"/>
        <v>0</v>
      </c>
      <c r="P21" s="61"/>
      <c r="Q21" s="30"/>
      <c r="R21" s="30"/>
      <c r="S21" s="30"/>
      <c r="T21" s="30"/>
      <c r="U21" s="30"/>
      <c r="V21" s="30"/>
      <c r="W21" s="30"/>
      <c r="X21" s="30"/>
      <c r="Y21" s="62">
        <f t="shared" si="5"/>
        <v>0</v>
      </c>
      <c r="Z21" s="61"/>
      <c r="AA21" s="62"/>
      <c r="AB21" s="63"/>
      <c r="AC21" s="15"/>
      <c r="AD21" s="15"/>
      <c r="AE21" s="23">
        <f t="shared" si="6"/>
        <v>0</v>
      </c>
    </row>
    <row r="22" spans="2:31" ht="16" customHeight="1" x14ac:dyDescent="0.35">
      <c r="B22" s="14" t="s">
        <v>37</v>
      </c>
      <c r="C22" s="14" t="s">
        <v>38</v>
      </c>
      <c r="D22" s="61"/>
      <c r="E22" s="62">
        <f t="shared" si="2"/>
        <v>0</v>
      </c>
      <c r="F22" s="61"/>
      <c r="G22" s="30"/>
      <c r="H22" s="30"/>
      <c r="I22" s="30"/>
      <c r="J22" s="30"/>
      <c r="K22" s="30">
        <f t="shared" si="3"/>
        <v>0</v>
      </c>
      <c r="L22" s="30"/>
      <c r="M22" s="30"/>
      <c r="N22" s="30"/>
      <c r="O22" s="62">
        <f t="shared" si="4"/>
        <v>0</v>
      </c>
      <c r="P22" s="61"/>
      <c r="Q22" s="30"/>
      <c r="R22" s="30"/>
      <c r="S22" s="30"/>
      <c r="T22" s="30"/>
      <c r="U22" s="30"/>
      <c r="V22" s="30"/>
      <c r="W22" s="30"/>
      <c r="X22" s="30"/>
      <c r="Y22" s="62">
        <f t="shared" si="5"/>
        <v>0</v>
      </c>
      <c r="Z22" s="61"/>
      <c r="AA22" s="62"/>
      <c r="AB22" s="63"/>
      <c r="AC22" s="15"/>
      <c r="AD22" s="15"/>
      <c r="AE22" s="23">
        <f t="shared" si="6"/>
        <v>0</v>
      </c>
    </row>
    <row r="23" spans="2:31" ht="16" customHeight="1" x14ac:dyDescent="0.35">
      <c r="B23" s="16" t="s">
        <v>39</v>
      </c>
      <c r="C23" s="16" t="s">
        <v>40</v>
      </c>
      <c r="D23" s="64"/>
      <c r="E23" s="53">
        <f>-(-(E15+E16)-E17-E18-E19-E21-E20)</f>
        <v>-265123.65333999996</v>
      </c>
      <c r="F23" s="64"/>
      <c r="G23" s="31">
        <f t="shared" ref="G23:O23" si="7">-(-(G15+G16)-G17-G18-G19-G21-G20)</f>
        <v>-243149.4853</v>
      </c>
      <c r="H23" s="31">
        <f t="shared" si="7"/>
        <v>-21974.16804</v>
      </c>
      <c r="I23" s="31">
        <f t="shared" si="7"/>
        <v>0</v>
      </c>
      <c r="J23" s="31">
        <f t="shared" si="7"/>
        <v>0</v>
      </c>
      <c r="K23" s="31">
        <f t="shared" si="7"/>
        <v>-265123.65333999996</v>
      </c>
      <c r="L23" s="31">
        <f t="shared" si="7"/>
        <v>0</v>
      </c>
      <c r="M23" s="31">
        <f t="shared" si="7"/>
        <v>0</v>
      </c>
      <c r="N23" s="31">
        <f t="shared" si="7"/>
        <v>0</v>
      </c>
      <c r="O23" s="53">
        <f t="shared" si="7"/>
        <v>-265123.65333999996</v>
      </c>
      <c r="P23" s="64"/>
      <c r="Q23" s="31">
        <f t="shared" ref="Q23:Y23" si="8">-(-(Q15+Q16)-Q17-Q18-Q19-Q21-Q20)</f>
        <v>0</v>
      </c>
      <c r="R23" s="31">
        <f t="shared" si="8"/>
        <v>0</v>
      </c>
      <c r="S23" s="31">
        <f t="shared" si="8"/>
        <v>0</v>
      </c>
      <c r="T23" s="31">
        <f t="shared" si="8"/>
        <v>0</v>
      </c>
      <c r="U23" s="31">
        <f t="shared" si="8"/>
        <v>0</v>
      </c>
      <c r="V23" s="31">
        <f t="shared" si="8"/>
        <v>0</v>
      </c>
      <c r="W23" s="31">
        <f t="shared" si="8"/>
        <v>0</v>
      </c>
      <c r="X23" s="31">
        <f t="shared" si="8"/>
        <v>0</v>
      </c>
      <c r="Y23" s="53">
        <f t="shared" si="8"/>
        <v>0</v>
      </c>
      <c r="Z23" s="64"/>
      <c r="AA23" s="53">
        <f>-(-(AA15+AA16)-AA17-AA18-AA19-AA21-AA20)</f>
        <v>0</v>
      </c>
      <c r="AB23" s="65"/>
      <c r="AC23" s="17">
        <f>-(-(AC15+AC16)-AC17-AC18-AC19-AC21-AC20)</f>
        <v>0</v>
      </c>
      <c r="AD23" s="17">
        <f>-(-(AD15+AD16)-AD17-AD18-AD19-AD21-AD20)</f>
        <v>0</v>
      </c>
      <c r="AE23" s="24">
        <f>-(-(AE15+AE16)-AE17-AE18-AE19-AE21-AE20)</f>
        <v>0</v>
      </c>
    </row>
    <row r="24" spans="2:31" ht="16" customHeight="1" x14ac:dyDescent="0.35">
      <c r="B24" s="11" t="s">
        <v>41</v>
      </c>
      <c r="C24" s="11" t="s">
        <v>22</v>
      </c>
      <c r="D24" s="29"/>
      <c r="E24" s="60"/>
      <c r="F24" s="29"/>
      <c r="G24" s="29"/>
      <c r="H24" s="29"/>
      <c r="I24" s="29"/>
      <c r="J24" s="29"/>
      <c r="K24" s="29"/>
      <c r="L24" s="29"/>
      <c r="M24" s="29"/>
      <c r="N24" s="29"/>
      <c r="O24" s="60"/>
      <c r="P24" s="29"/>
      <c r="Q24" s="29"/>
      <c r="R24" s="29"/>
      <c r="S24" s="29"/>
      <c r="T24" s="29"/>
      <c r="U24" s="29"/>
      <c r="V24" s="29"/>
      <c r="W24" s="29"/>
      <c r="X24" s="29"/>
      <c r="Y24" s="60"/>
      <c r="Z24" s="29"/>
      <c r="AA24" s="60"/>
      <c r="AB24" s="12"/>
      <c r="AC24" s="12"/>
      <c r="AD24" s="12"/>
      <c r="AE24" s="22"/>
    </row>
    <row r="25" spans="2:31" ht="16" customHeight="1" x14ac:dyDescent="0.35">
      <c r="B25" s="14" t="s">
        <v>42</v>
      </c>
      <c r="C25" s="14" t="s">
        <v>43</v>
      </c>
      <c r="D25" s="61"/>
      <c r="E25" s="62">
        <f t="shared" ref="E25:E38" si="9">O25+Y25+AA25+AE25</f>
        <v>-117833.28932000001</v>
      </c>
      <c r="F25" s="61"/>
      <c r="G25" s="30">
        <v>-36703.921110000003</v>
      </c>
      <c r="H25" s="30">
        <v>-12245.778029999999</v>
      </c>
      <c r="I25" s="30">
        <v>-68883.590179999999</v>
      </c>
      <c r="J25" s="30"/>
      <c r="K25" s="30">
        <f t="shared" ref="K25:K38" si="10">SUM(G25:J25)</f>
        <v>-117833.28932000001</v>
      </c>
      <c r="L25" s="30"/>
      <c r="M25" s="30"/>
      <c r="N25" s="30"/>
      <c r="O25" s="62">
        <f t="shared" ref="O25:O38" si="11">SUM(K25:N25)</f>
        <v>-117833.28932000001</v>
      </c>
      <c r="P25" s="61"/>
      <c r="Q25" s="30"/>
      <c r="R25" s="30"/>
      <c r="S25" s="30"/>
      <c r="T25" s="30"/>
      <c r="U25" s="30"/>
      <c r="V25" s="30"/>
      <c r="W25" s="30"/>
      <c r="X25" s="30"/>
      <c r="Y25" s="62">
        <f t="shared" ref="Y25:Y38" si="12">SUM(Q25:X25)</f>
        <v>0</v>
      </c>
      <c r="Z25" s="61"/>
      <c r="AA25" s="62"/>
      <c r="AB25" s="63"/>
      <c r="AC25" s="15"/>
      <c r="AD25" s="15"/>
      <c r="AE25" s="23">
        <f t="shared" ref="AE25:AE38" si="13">AC25+AD25</f>
        <v>0</v>
      </c>
    </row>
    <row r="26" spans="2:31" ht="16" customHeight="1" x14ac:dyDescent="0.35">
      <c r="B26" s="14" t="s">
        <v>44</v>
      </c>
      <c r="C26" s="14" t="s">
        <v>45</v>
      </c>
      <c r="D26" s="61"/>
      <c r="E26" s="62">
        <f t="shared" si="9"/>
        <v>-75713.894549999997</v>
      </c>
      <c r="F26" s="61"/>
      <c r="G26" s="30">
        <v>-60289.115760000001</v>
      </c>
      <c r="H26" s="30">
        <v>-15424.77879</v>
      </c>
      <c r="I26" s="30"/>
      <c r="J26" s="30"/>
      <c r="K26" s="30">
        <f t="shared" si="10"/>
        <v>-75713.894549999997</v>
      </c>
      <c r="L26" s="30"/>
      <c r="M26" s="30"/>
      <c r="N26" s="30"/>
      <c r="O26" s="62">
        <f t="shared" si="11"/>
        <v>-75713.894549999997</v>
      </c>
      <c r="P26" s="61"/>
      <c r="Q26" s="30"/>
      <c r="R26" s="30"/>
      <c r="S26" s="30"/>
      <c r="T26" s="30"/>
      <c r="U26" s="30"/>
      <c r="V26" s="30"/>
      <c r="W26" s="30"/>
      <c r="X26" s="30"/>
      <c r="Y26" s="62">
        <f t="shared" si="12"/>
        <v>0</v>
      </c>
      <c r="Z26" s="61"/>
      <c r="AA26" s="62"/>
      <c r="AB26" s="63"/>
      <c r="AC26" s="15"/>
      <c r="AD26" s="15"/>
      <c r="AE26" s="23">
        <f t="shared" si="13"/>
        <v>0</v>
      </c>
    </row>
    <row r="27" spans="2:31" ht="16" customHeight="1" x14ac:dyDescent="0.35">
      <c r="B27" s="14" t="s">
        <v>46</v>
      </c>
      <c r="C27" s="14" t="s">
        <v>47</v>
      </c>
      <c r="D27" s="61"/>
      <c r="E27" s="62">
        <f t="shared" si="9"/>
        <v>-20591.710650000001</v>
      </c>
      <c r="F27" s="61"/>
      <c r="G27" s="30">
        <v>-20596.691180000002</v>
      </c>
      <c r="H27" s="30">
        <v>4.9805299999999999</v>
      </c>
      <c r="I27" s="30"/>
      <c r="J27" s="30"/>
      <c r="K27" s="30">
        <f t="shared" si="10"/>
        <v>-20591.710650000001</v>
      </c>
      <c r="L27" s="30"/>
      <c r="M27" s="30"/>
      <c r="N27" s="30"/>
      <c r="O27" s="62">
        <f t="shared" si="11"/>
        <v>-20591.710650000001</v>
      </c>
      <c r="P27" s="61"/>
      <c r="Q27" s="30"/>
      <c r="R27" s="30"/>
      <c r="S27" s="30"/>
      <c r="T27" s="30"/>
      <c r="U27" s="30"/>
      <c r="V27" s="30"/>
      <c r="W27" s="30"/>
      <c r="X27" s="30"/>
      <c r="Y27" s="62">
        <f t="shared" si="12"/>
        <v>0</v>
      </c>
      <c r="Z27" s="61"/>
      <c r="AA27" s="62"/>
      <c r="AB27" s="63"/>
      <c r="AC27" s="15"/>
      <c r="AD27" s="15"/>
      <c r="AE27" s="23">
        <f t="shared" si="13"/>
        <v>0</v>
      </c>
    </row>
    <row r="28" spans="2:31" ht="16" customHeight="1" x14ac:dyDescent="0.35">
      <c r="B28" s="14" t="s">
        <v>48</v>
      </c>
      <c r="C28" s="14" t="s">
        <v>49</v>
      </c>
      <c r="D28" s="61"/>
      <c r="E28" s="62">
        <f t="shared" si="9"/>
        <v>-53203.67366</v>
      </c>
      <c r="F28" s="61"/>
      <c r="G28" s="30">
        <v>-53203.67366</v>
      </c>
      <c r="H28" s="30"/>
      <c r="I28" s="30"/>
      <c r="J28" s="30"/>
      <c r="K28" s="30">
        <f t="shared" si="10"/>
        <v>-53203.67366</v>
      </c>
      <c r="L28" s="30"/>
      <c r="M28" s="30"/>
      <c r="N28" s="30"/>
      <c r="O28" s="62">
        <f t="shared" si="11"/>
        <v>-53203.67366</v>
      </c>
      <c r="P28" s="61"/>
      <c r="Q28" s="30"/>
      <c r="R28" s="30"/>
      <c r="S28" s="30"/>
      <c r="T28" s="30"/>
      <c r="U28" s="30"/>
      <c r="V28" s="30"/>
      <c r="W28" s="30"/>
      <c r="X28" s="30"/>
      <c r="Y28" s="62">
        <f t="shared" si="12"/>
        <v>0</v>
      </c>
      <c r="Z28" s="61"/>
      <c r="AA28" s="62"/>
      <c r="AB28" s="63"/>
      <c r="AC28" s="15"/>
      <c r="AD28" s="15"/>
      <c r="AE28" s="23">
        <f t="shared" si="13"/>
        <v>0</v>
      </c>
    </row>
    <row r="29" spans="2:31" ht="16" customHeight="1" x14ac:dyDescent="0.35">
      <c r="B29" s="14" t="s">
        <v>50</v>
      </c>
      <c r="C29" s="14" t="s">
        <v>51</v>
      </c>
      <c r="D29" s="61"/>
      <c r="E29" s="62">
        <f t="shared" si="9"/>
        <v>-56826.477440000002</v>
      </c>
      <c r="F29" s="61"/>
      <c r="G29" s="30">
        <v>-53612.847580000001</v>
      </c>
      <c r="H29" s="30">
        <v>-3213.62986</v>
      </c>
      <c r="I29" s="30"/>
      <c r="J29" s="30"/>
      <c r="K29" s="30">
        <f t="shared" si="10"/>
        <v>-56826.477440000002</v>
      </c>
      <c r="L29" s="30"/>
      <c r="M29" s="30"/>
      <c r="N29" s="30"/>
      <c r="O29" s="62">
        <f t="shared" si="11"/>
        <v>-56826.477440000002</v>
      </c>
      <c r="P29" s="61"/>
      <c r="Q29" s="30"/>
      <c r="R29" s="30"/>
      <c r="S29" s="30"/>
      <c r="T29" s="30"/>
      <c r="U29" s="30"/>
      <c r="V29" s="30"/>
      <c r="W29" s="30"/>
      <c r="X29" s="30"/>
      <c r="Y29" s="62">
        <f t="shared" si="12"/>
        <v>0</v>
      </c>
      <c r="Z29" s="61"/>
      <c r="AA29" s="62"/>
      <c r="AB29" s="63"/>
      <c r="AC29" s="15"/>
      <c r="AD29" s="15"/>
      <c r="AE29" s="23">
        <f t="shared" si="13"/>
        <v>0</v>
      </c>
    </row>
    <row r="30" spans="2:31" ht="16" customHeight="1" x14ac:dyDescent="0.35">
      <c r="B30" s="14" t="s">
        <v>52</v>
      </c>
      <c r="C30" s="14" t="s">
        <v>53</v>
      </c>
      <c r="D30" s="61"/>
      <c r="E30" s="62">
        <f t="shared" si="9"/>
        <v>-134986.15779999999</v>
      </c>
      <c r="F30" s="61"/>
      <c r="G30" s="30">
        <v>-130244.55678</v>
      </c>
      <c r="H30" s="30">
        <v>-4303.7865099999999</v>
      </c>
      <c r="I30" s="30"/>
      <c r="J30" s="30"/>
      <c r="K30" s="30">
        <f t="shared" si="10"/>
        <v>-134548.34328999999</v>
      </c>
      <c r="L30" s="30"/>
      <c r="M30" s="30"/>
      <c r="N30" s="30"/>
      <c r="O30" s="62">
        <f t="shared" si="11"/>
        <v>-134548.34328999999</v>
      </c>
      <c r="P30" s="61"/>
      <c r="Q30" s="30"/>
      <c r="R30" s="30"/>
      <c r="S30" s="30"/>
      <c r="T30" s="30"/>
      <c r="U30" s="30"/>
      <c r="V30" s="30"/>
      <c r="W30" s="30"/>
      <c r="X30" s="30"/>
      <c r="Y30" s="62">
        <f t="shared" si="12"/>
        <v>0</v>
      </c>
      <c r="Z30" s="61"/>
      <c r="AA30" s="62"/>
      <c r="AB30" s="63"/>
      <c r="AC30" s="15">
        <v>-437.81450999999998</v>
      </c>
      <c r="AD30" s="15"/>
      <c r="AE30" s="23">
        <f t="shared" si="13"/>
        <v>-437.81450999999998</v>
      </c>
    </row>
    <row r="31" spans="2:31" ht="16" customHeight="1" x14ac:dyDescent="0.35">
      <c r="B31" s="14" t="s">
        <v>54</v>
      </c>
      <c r="C31" s="14" t="s">
        <v>55</v>
      </c>
      <c r="D31" s="61"/>
      <c r="E31" s="62">
        <f t="shared" si="9"/>
        <v>-161003.67264999999</v>
      </c>
      <c r="F31" s="61"/>
      <c r="G31" s="30">
        <v>-156980.28709999999</v>
      </c>
      <c r="H31" s="30">
        <v>-4023.38555</v>
      </c>
      <c r="I31" s="30"/>
      <c r="J31" s="30"/>
      <c r="K31" s="30">
        <f t="shared" si="10"/>
        <v>-161003.67264999999</v>
      </c>
      <c r="L31" s="30"/>
      <c r="M31" s="30"/>
      <c r="N31" s="30"/>
      <c r="O31" s="62">
        <f t="shared" si="11"/>
        <v>-161003.67264999999</v>
      </c>
      <c r="P31" s="61"/>
      <c r="Q31" s="30"/>
      <c r="R31" s="30"/>
      <c r="S31" s="30"/>
      <c r="T31" s="30"/>
      <c r="U31" s="30"/>
      <c r="V31" s="30"/>
      <c r="W31" s="30"/>
      <c r="X31" s="30"/>
      <c r="Y31" s="62">
        <f t="shared" si="12"/>
        <v>0</v>
      </c>
      <c r="Z31" s="61"/>
      <c r="AA31" s="62"/>
      <c r="AB31" s="63"/>
      <c r="AC31" s="15"/>
      <c r="AD31" s="15"/>
      <c r="AE31" s="23">
        <f t="shared" si="13"/>
        <v>0</v>
      </c>
    </row>
    <row r="32" spans="2:31" ht="16" customHeight="1" x14ac:dyDescent="0.35">
      <c r="B32" s="14" t="s">
        <v>56</v>
      </c>
      <c r="C32" s="14" t="s">
        <v>57</v>
      </c>
      <c r="D32" s="61"/>
      <c r="E32" s="62">
        <f t="shared" si="9"/>
        <v>-32306.614540000002</v>
      </c>
      <c r="F32" s="61"/>
      <c r="G32" s="30">
        <v>-28204.206190000001</v>
      </c>
      <c r="H32" s="30">
        <v>-4512.9938700000002</v>
      </c>
      <c r="I32" s="30">
        <v>-27.40925</v>
      </c>
      <c r="J32" s="30"/>
      <c r="K32" s="30">
        <f t="shared" si="10"/>
        <v>-32744.609310000003</v>
      </c>
      <c r="L32" s="30"/>
      <c r="M32" s="30"/>
      <c r="N32" s="30"/>
      <c r="O32" s="62">
        <f t="shared" si="11"/>
        <v>-32744.609310000003</v>
      </c>
      <c r="P32" s="61"/>
      <c r="Q32" s="30"/>
      <c r="R32" s="30"/>
      <c r="S32" s="30"/>
      <c r="T32" s="30"/>
      <c r="U32" s="30"/>
      <c r="V32" s="30"/>
      <c r="W32" s="30"/>
      <c r="X32" s="30"/>
      <c r="Y32" s="62">
        <f t="shared" si="12"/>
        <v>0</v>
      </c>
      <c r="Z32" s="61"/>
      <c r="AA32" s="62"/>
      <c r="AB32" s="63"/>
      <c r="AC32" s="15">
        <v>437.99477000000002</v>
      </c>
      <c r="AD32" s="15"/>
      <c r="AE32" s="23">
        <f t="shared" si="13"/>
        <v>437.99477000000002</v>
      </c>
    </row>
    <row r="33" spans="2:31" ht="16" customHeight="1" x14ac:dyDescent="0.35">
      <c r="B33" s="14" t="s">
        <v>58</v>
      </c>
      <c r="C33" s="14" t="s">
        <v>59</v>
      </c>
      <c r="D33" s="61"/>
      <c r="E33" s="62">
        <f t="shared" si="9"/>
        <v>1368.3778300000019</v>
      </c>
      <c r="F33" s="61"/>
      <c r="G33" s="30">
        <v>26761.913380000002</v>
      </c>
      <c r="H33" s="30">
        <v>-25398.49554</v>
      </c>
      <c r="I33" s="30"/>
      <c r="J33" s="30"/>
      <c r="K33" s="30">
        <f t="shared" si="10"/>
        <v>1363.4178400000019</v>
      </c>
      <c r="L33" s="30"/>
      <c r="M33" s="30"/>
      <c r="N33" s="30"/>
      <c r="O33" s="62">
        <f t="shared" si="11"/>
        <v>1363.4178400000019</v>
      </c>
      <c r="P33" s="61"/>
      <c r="Q33" s="30"/>
      <c r="R33" s="30"/>
      <c r="S33" s="30"/>
      <c r="T33" s="30"/>
      <c r="U33" s="30"/>
      <c r="V33" s="30"/>
      <c r="W33" s="30">
        <v>4.96</v>
      </c>
      <c r="X33" s="30"/>
      <c r="Y33" s="62">
        <f t="shared" si="12"/>
        <v>4.96</v>
      </c>
      <c r="Z33" s="61"/>
      <c r="AA33" s="62"/>
      <c r="AB33" s="63"/>
      <c r="AC33" s="15">
        <v>-1.0000000000000001E-5</v>
      </c>
      <c r="AD33" s="15"/>
      <c r="AE33" s="23">
        <f t="shared" si="13"/>
        <v>-1.0000000000000001E-5</v>
      </c>
    </row>
    <row r="34" spans="2:31" ht="16" customHeight="1" x14ac:dyDescent="0.35">
      <c r="B34" s="14" t="s">
        <v>60</v>
      </c>
      <c r="C34" s="14" t="s">
        <v>61</v>
      </c>
      <c r="D34" s="61"/>
      <c r="E34" s="62">
        <f t="shared" si="9"/>
        <v>0</v>
      </c>
      <c r="F34" s="61"/>
      <c r="G34" s="30"/>
      <c r="H34" s="30"/>
      <c r="I34" s="30"/>
      <c r="J34" s="30"/>
      <c r="K34" s="30">
        <f t="shared" si="10"/>
        <v>0</v>
      </c>
      <c r="L34" s="30"/>
      <c r="M34" s="30"/>
      <c r="N34" s="30"/>
      <c r="O34" s="62">
        <f t="shared" si="11"/>
        <v>0</v>
      </c>
      <c r="P34" s="61"/>
      <c r="Q34" s="30"/>
      <c r="R34" s="30"/>
      <c r="S34" s="30"/>
      <c r="T34" s="30"/>
      <c r="U34" s="30"/>
      <c r="V34" s="30"/>
      <c r="W34" s="30"/>
      <c r="X34" s="30"/>
      <c r="Y34" s="62">
        <f t="shared" si="12"/>
        <v>0</v>
      </c>
      <c r="Z34" s="61"/>
      <c r="AA34" s="62"/>
      <c r="AB34" s="63"/>
      <c r="AC34" s="15"/>
      <c r="AD34" s="15"/>
      <c r="AE34" s="23">
        <f t="shared" si="13"/>
        <v>0</v>
      </c>
    </row>
    <row r="35" spans="2:31" ht="16" customHeight="1" x14ac:dyDescent="0.35">
      <c r="B35" s="14" t="s">
        <v>62</v>
      </c>
      <c r="C35" s="14" t="s">
        <v>36</v>
      </c>
      <c r="D35" s="61"/>
      <c r="E35" s="62">
        <f t="shared" si="9"/>
        <v>2158.8922699999998</v>
      </c>
      <c r="F35" s="61"/>
      <c r="G35" s="30">
        <v>2158.8922699999998</v>
      </c>
      <c r="H35" s="30"/>
      <c r="I35" s="30"/>
      <c r="J35" s="30"/>
      <c r="K35" s="30">
        <f t="shared" si="10"/>
        <v>2158.8922699999998</v>
      </c>
      <c r="L35" s="30"/>
      <c r="M35" s="30"/>
      <c r="N35" s="30"/>
      <c r="O35" s="62">
        <f t="shared" si="11"/>
        <v>2158.8922699999998</v>
      </c>
      <c r="P35" s="61"/>
      <c r="Q35" s="30"/>
      <c r="R35" s="30"/>
      <c r="S35" s="30"/>
      <c r="T35" s="30"/>
      <c r="U35" s="30"/>
      <c r="V35" s="30"/>
      <c r="W35" s="30"/>
      <c r="X35" s="30"/>
      <c r="Y35" s="62">
        <f t="shared" si="12"/>
        <v>0</v>
      </c>
      <c r="Z35" s="61"/>
      <c r="AA35" s="62"/>
      <c r="AB35" s="63"/>
      <c r="AC35" s="15"/>
      <c r="AD35" s="15"/>
      <c r="AE35" s="23">
        <f t="shared" si="13"/>
        <v>0</v>
      </c>
    </row>
    <row r="36" spans="2:31" ht="16" customHeight="1" x14ac:dyDescent="0.35">
      <c r="B36" s="14" t="s">
        <v>63</v>
      </c>
      <c r="C36" s="14" t="s">
        <v>64</v>
      </c>
      <c r="D36" s="61"/>
      <c r="E36" s="62">
        <f t="shared" si="9"/>
        <v>84.691779999999994</v>
      </c>
      <c r="F36" s="61"/>
      <c r="G36" s="30">
        <v>84.691779999999994</v>
      </c>
      <c r="H36" s="30"/>
      <c r="I36" s="30"/>
      <c r="J36" s="30"/>
      <c r="K36" s="30">
        <f t="shared" si="10"/>
        <v>84.691779999999994</v>
      </c>
      <c r="L36" s="30"/>
      <c r="M36" s="30"/>
      <c r="N36" s="30"/>
      <c r="O36" s="62">
        <f t="shared" si="11"/>
        <v>84.691779999999994</v>
      </c>
      <c r="P36" s="61"/>
      <c r="Q36" s="30"/>
      <c r="R36" s="30"/>
      <c r="S36" s="30"/>
      <c r="T36" s="30"/>
      <c r="U36" s="30"/>
      <c r="V36" s="30"/>
      <c r="W36" s="30"/>
      <c r="X36" s="30"/>
      <c r="Y36" s="62">
        <f t="shared" si="12"/>
        <v>0</v>
      </c>
      <c r="Z36" s="61"/>
      <c r="AA36" s="62"/>
      <c r="AB36" s="63"/>
      <c r="AC36" s="15"/>
      <c r="AD36" s="15"/>
      <c r="AE36" s="23">
        <f t="shared" si="13"/>
        <v>0</v>
      </c>
    </row>
    <row r="37" spans="2:31" ht="16" customHeight="1" x14ac:dyDescent="0.35">
      <c r="B37" s="14" t="s">
        <v>65</v>
      </c>
      <c r="C37" s="14" t="s">
        <v>66</v>
      </c>
      <c r="D37" s="61"/>
      <c r="E37" s="62">
        <f t="shared" si="9"/>
        <v>0</v>
      </c>
      <c r="F37" s="61"/>
      <c r="G37" s="30"/>
      <c r="H37" s="30"/>
      <c r="I37" s="30"/>
      <c r="J37" s="30"/>
      <c r="K37" s="30">
        <f t="shared" si="10"/>
        <v>0</v>
      </c>
      <c r="L37" s="30"/>
      <c r="M37" s="30"/>
      <c r="N37" s="30"/>
      <c r="O37" s="62">
        <f t="shared" si="11"/>
        <v>0</v>
      </c>
      <c r="P37" s="61"/>
      <c r="Q37" s="30"/>
      <c r="R37" s="30"/>
      <c r="S37" s="30"/>
      <c r="T37" s="30"/>
      <c r="U37" s="30"/>
      <c r="V37" s="30"/>
      <c r="W37" s="30"/>
      <c r="X37" s="30"/>
      <c r="Y37" s="62">
        <f t="shared" si="12"/>
        <v>0</v>
      </c>
      <c r="Z37" s="61"/>
      <c r="AA37" s="62"/>
      <c r="AB37" s="63"/>
      <c r="AC37" s="15"/>
      <c r="AD37" s="15"/>
      <c r="AE37" s="23">
        <f t="shared" si="13"/>
        <v>0</v>
      </c>
    </row>
    <row r="38" spans="2:31" ht="16" customHeight="1" x14ac:dyDescent="0.35">
      <c r="B38" s="14" t="s">
        <v>67</v>
      </c>
      <c r="C38" s="14" t="s">
        <v>68</v>
      </c>
      <c r="D38" s="61"/>
      <c r="E38" s="62">
        <f t="shared" si="9"/>
        <v>18050.170999999998</v>
      </c>
      <c r="F38" s="61"/>
      <c r="G38" s="30">
        <v>0</v>
      </c>
      <c r="H38" s="30">
        <v>0</v>
      </c>
      <c r="I38" s="30"/>
      <c r="J38" s="30">
        <v>18050.170999999998</v>
      </c>
      <c r="K38" s="30">
        <f t="shared" si="10"/>
        <v>18050.170999999998</v>
      </c>
      <c r="L38" s="30"/>
      <c r="M38" s="30"/>
      <c r="N38" s="30"/>
      <c r="O38" s="62">
        <f t="shared" si="11"/>
        <v>18050.170999999998</v>
      </c>
      <c r="P38" s="61"/>
      <c r="Q38" s="30"/>
      <c r="R38" s="30"/>
      <c r="S38" s="30"/>
      <c r="T38" s="30"/>
      <c r="U38" s="30"/>
      <c r="V38" s="30"/>
      <c r="W38" s="30"/>
      <c r="X38" s="30"/>
      <c r="Y38" s="62">
        <f t="shared" si="12"/>
        <v>0</v>
      </c>
      <c r="Z38" s="61"/>
      <c r="AA38" s="62"/>
      <c r="AB38" s="63"/>
      <c r="AC38" s="15"/>
      <c r="AD38" s="15"/>
      <c r="AE38" s="23">
        <f t="shared" si="13"/>
        <v>0</v>
      </c>
    </row>
    <row r="39" spans="2:31" ht="16" customHeight="1" x14ac:dyDescent="0.35">
      <c r="B39" s="16" t="s">
        <v>69</v>
      </c>
      <c r="C39" s="16" t="s">
        <v>70</v>
      </c>
      <c r="D39" s="64"/>
      <c r="E39" s="53">
        <f>-(-(E25+E26)-E27-E28-E29-E30-E31-E32-E33-E34-E35-E36-E37-E38)</f>
        <v>-630803.35773000005</v>
      </c>
      <c r="F39" s="64"/>
      <c r="G39" s="31">
        <f t="shared" ref="G39:O39" si="14">-(-(G25+G26)-G27-G28-G29-G30-G31-G32-G33-G34-G35-G36-G37-G38)</f>
        <v>-510829.80193000007</v>
      </c>
      <c r="H39" s="31">
        <f t="shared" si="14"/>
        <v>-69117.86761999999</v>
      </c>
      <c r="I39" s="31">
        <f t="shared" si="14"/>
        <v>-68910.999429999996</v>
      </c>
      <c r="J39" s="31">
        <f t="shared" si="14"/>
        <v>18050.170999999998</v>
      </c>
      <c r="K39" s="31">
        <f t="shared" si="14"/>
        <v>-630808.49797999999</v>
      </c>
      <c r="L39" s="31">
        <f t="shared" si="14"/>
        <v>0</v>
      </c>
      <c r="M39" s="31">
        <f t="shared" si="14"/>
        <v>0</v>
      </c>
      <c r="N39" s="31">
        <f t="shared" si="14"/>
        <v>0</v>
      </c>
      <c r="O39" s="53">
        <f t="shared" si="14"/>
        <v>-630808.49797999999</v>
      </c>
      <c r="P39" s="64"/>
      <c r="Q39" s="31">
        <f t="shared" ref="Q39:Y39" si="15">-(-(Q25+Q26)-Q27-Q28-Q29-Q30-Q31-Q32-Q33-Q34-Q35-Q36-Q37-Q38)</f>
        <v>0</v>
      </c>
      <c r="R39" s="31">
        <f t="shared" si="15"/>
        <v>0</v>
      </c>
      <c r="S39" s="31">
        <f t="shared" si="15"/>
        <v>0</v>
      </c>
      <c r="T39" s="31">
        <f t="shared" si="15"/>
        <v>0</v>
      </c>
      <c r="U39" s="31">
        <f t="shared" si="15"/>
        <v>0</v>
      </c>
      <c r="V39" s="31">
        <f t="shared" si="15"/>
        <v>0</v>
      </c>
      <c r="W39" s="31">
        <f t="shared" si="15"/>
        <v>4.96</v>
      </c>
      <c r="X39" s="31">
        <f t="shared" si="15"/>
        <v>0</v>
      </c>
      <c r="Y39" s="53">
        <f t="shared" si="15"/>
        <v>4.96</v>
      </c>
      <c r="Z39" s="64"/>
      <c r="AA39" s="53">
        <f>-(-(AA25+AA26)-AA27-AA28-AA29-AA30-AA31-AA32-AA33-AA34-AA35-AA36-AA37-AA38)</f>
        <v>0</v>
      </c>
      <c r="AB39" s="65"/>
      <c r="AC39" s="17">
        <f>-(-(AC25+AC26)-AC27-AC28-AC29-AC30-AC31-AC32-AC33-AC34-AC35-AC36-AC37-AC38)</f>
        <v>0.1802500000000325</v>
      </c>
      <c r="AD39" s="17">
        <f>-(-(AD25+AD26)-AD27-AD28-AD29-AD30-AD31-AD32-AD33-AD34-AD35-AD36-AD37-AD38)</f>
        <v>0</v>
      </c>
      <c r="AE39" s="24">
        <f>-(-(AE25+AE26)-AE27-AE28-AE29-AE30-AE31-AE32-AE33-AE34-AE35-AE36-AE37-AE38)</f>
        <v>0.1802500000000325</v>
      </c>
    </row>
    <row r="40" spans="2:31" ht="16" customHeight="1" x14ac:dyDescent="0.35">
      <c r="B40" s="11" t="s">
        <v>71</v>
      </c>
      <c r="C40" s="11" t="s">
        <v>22</v>
      </c>
      <c r="D40" s="29"/>
      <c r="E40" s="60"/>
      <c r="F40" s="29"/>
      <c r="G40" s="29"/>
      <c r="H40" s="29"/>
      <c r="I40" s="29"/>
      <c r="J40" s="29"/>
      <c r="K40" s="29"/>
      <c r="L40" s="29"/>
      <c r="M40" s="29"/>
      <c r="N40" s="29"/>
      <c r="O40" s="60"/>
      <c r="P40" s="29"/>
      <c r="Q40" s="29"/>
      <c r="R40" s="29"/>
      <c r="S40" s="29"/>
      <c r="T40" s="29"/>
      <c r="U40" s="29"/>
      <c r="V40" s="29"/>
      <c r="W40" s="29"/>
      <c r="X40" s="29"/>
      <c r="Y40" s="60"/>
      <c r="Z40" s="29"/>
      <c r="AA40" s="60"/>
      <c r="AB40" s="12"/>
      <c r="AC40" s="12"/>
      <c r="AD40" s="12"/>
      <c r="AE40" s="22"/>
    </row>
    <row r="41" spans="2:31" ht="16" customHeight="1" x14ac:dyDescent="0.35">
      <c r="B41" s="16" t="s">
        <v>72</v>
      </c>
      <c r="C41" s="16" t="s">
        <v>73</v>
      </c>
      <c r="D41" s="64"/>
      <c r="E41" s="53">
        <f>E23+E39</f>
        <v>-895927.01107000001</v>
      </c>
      <c r="F41" s="64"/>
      <c r="G41" s="31">
        <f t="shared" ref="G41:O41" si="16">G23+G39</f>
        <v>-753979.28723000013</v>
      </c>
      <c r="H41" s="31">
        <f t="shared" si="16"/>
        <v>-91092.035659999994</v>
      </c>
      <c r="I41" s="31">
        <f t="shared" si="16"/>
        <v>-68910.999429999996</v>
      </c>
      <c r="J41" s="31">
        <f t="shared" si="16"/>
        <v>18050.170999999998</v>
      </c>
      <c r="K41" s="31">
        <f t="shared" si="16"/>
        <v>-895932.15131999995</v>
      </c>
      <c r="L41" s="31">
        <f t="shared" si="16"/>
        <v>0</v>
      </c>
      <c r="M41" s="31">
        <f t="shared" si="16"/>
        <v>0</v>
      </c>
      <c r="N41" s="31">
        <f t="shared" si="16"/>
        <v>0</v>
      </c>
      <c r="O41" s="53">
        <f t="shared" si="16"/>
        <v>-895932.15131999995</v>
      </c>
      <c r="P41" s="64"/>
      <c r="Q41" s="31">
        <f t="shared" ref="Q41:Y41" si="17">Q23+Q39</f>
        <v>0</v>
      </c>
      <c r="R41" s="31">
        <f t="shared" si="17"/>
        <v>0</v>
      </c>
      <c r="S41" s="31">
        <f t="shared" si="17"/>
        <v>0</v>
      </c>
      <c r="T41" s="31">
        <f t="shared" si="17"/>
        <v>0</v>
      </c>
      <c r="U41" s="31">
        <f t="shared" si="17"/>
        <v>0</v>
      </c>
      <c r="V41" s="31">
        <f t="shared" si="17"/>
        <v>0</v>
      </c>
      <c r="W41" s="31">
        <f t="shared" si="17"/>
        <v>4.96</v>
      </c>
      <c r="X41" s="31">
        <f t="shared" si="17"/>
        <v>0</v>
      </c>
      <c r="Y41" s="53">
        <f t="shared" si="17"/>
        <v>4.96</v>
      </c>
      <c r="Z41" s="64"/>
      <c r="AA41" s="53">
        <f>AA23+AA39</f>
        <v>0</v>
      </c>
      <c r="AB41" s="65"/>
      <c r="AC41" s="17">
        <f>AC23+AC39</f>
        <v>0.1802500000000325</v>
      </c>
      <c r="AD41" s="17">
        <f>AD23+AD39</f>
        <v>0</v>
      </c>
      <c r="AE41" s="24">
        <f>AE23+AE39</f>
        <v>0.1802500000000325</v>
      </c>
    </row>
    <row r="42" spans="2:31" ht="16" customHeight="1" thickBot="1" x14ac:dyDescent="0.4">
      <c r="B42" s="11" t="s">
        <v>74</v>
      </c>
      <c r="C42" s="11" t="s">
        <v>22</v>
      </c>
      <c r="D42" s="29"/>
      <c r="E42" s="60"/>
      <c r="F42" s="29"/>
      <c r="G42" s="29"/>
      <c r="H42" s="29"/>
      <c r="I42" s="29"/>
      <c r="J42" s="29"/>
      <c r="K42" s="29"/>
      <c r="L42" s="29"/>
      <c r="M42" s="29"/>
      <c r="N42" s="29"/>
      <c r="O42" s="60"/>
      <c r="P42" s="29"/>
      <c r="Q42" s="29"/>
      <c r="R42" s="29"/>
      <c r="S42" s="29"/>
      <c r="T42" s="29"/>
      <c r="U42" s="29"/>
      <c r="V42" s="29"/>
      <c r="W42" s="29"/>
      <c r="X42" s="29"/>
      <c r="Y42" s="60"/>
      <c r="Z42" s="29"/>
      <c r="AA42" s="60"/>
      <c r="AB42" s="12"/>
      <c r="AC42" s="12"/>
      <c r="AD42" s="12"/>
      <c r="AE42" s="22"/>
    </row>
    <row r="43" spans="2:31" ht="16" customHeight="1" thickBot="1" x14ac:dyDescent="0.4">
      <c r="B43" s="18" t="s">
        <v>75</v>
      </c>
      <c r="C43" s="18" t="s">
        <v>76</v>
      </c>
      <c r="D43" s="66"/>
      <c r="E43" s="67">
        <f>E13+E41</f>
        <v>414468.90685999999</v>
      </c>
      <c r="F43" s="66"/>
      <c r="G43" s="32">
        <f t="shared" ref="G43:O43" si="18">G13+G41</f>
        <v>395115.47606000002</v>
      </c>
      <c r="H43" s="32">
        <f t="shared" si="18"/>
        <v>16869.308220000006</v>
      </c>
      <c r="I43" s="32">
        <f t="shared" si="18"/>
        <v>2478.9823299999989</v>
      </c>
      <c r="J43" s="32">
        <f t="shared" si="18"/>
        <v>0</v>
      </c>
      <c r="K43" s="32">
        <f t="shared" si="18"/>
        <v>414463.76661000005</v>
      </c>
      <c r="L43" s="32">
        <f t="shared" si="18"/>
        <v>0</v>
      </c>
      <c r="M43" s="32">
        <f t="shared" si="18"/>
        <v>0</v>
      </c>
      <c r="N43" s="32">
        <f t="shared" si="18"/>
        <v>0</v>
      </c>
      <c r="O43" s="67">
        <f t="shared" si="18"/>
        <v>414463.76661000005</v>
      </c>
      <c r="P43" s="66"/>
      <c r="Q43" s="32">
        <f t="shared" ref="Q43:Y43" si="19">Q13+Q41</f>
        <v>0</v>
      </c>
      <c r="R43" s="32">
        <f t="shared" si="19"/>
        <v>0</v>
      </c>
      <c r="S43" s="32">
        <f t="shared" si="19"/>
        <v>0</v>
      </c>
      <c r="T43" s="32">
        <f t="shared" si="19"/>
        <v>0</v>
      </c>
      <c r="U43" s="32">
        <f t="shared" si="19"/>
        <v>0</v>
      </c>
      <c r="V43" s="32">
        <f t="shared" si="19"/>
        <v>0</v>
      </c>
      <c r="W43" s="32">
        <f t="shared" si="19"/>
        <v>4.96</v>
      </c>
      <c r="X43" s="32">
        <f t="shared" si="19"/>
        <v>0</v>
      </c>
      <c r="Y43" s="67">
        <f t="shared" si="19"/>
        <v>4.96</v>
      </c>
      <c r="Z43" s="66"/>
      <c r="AA43" s="67">
        <f>AA13+AA41</f>
        <v>0</v>
      </c>
      <c r="AB43" s="68"/>
      <c r="AC43" s="19">
        <f>AC13+AC41</f>
        <v>0.1802500000000325</v>
      </c>
      <c r="AD43" s="19">
        <f>AD13+AD41</f>
        <v>0</v>
      </c>
      <c r="AE43" s="25">
        <f>AE13+AE41</f>
        <v>0.1802500000000325</v>
      </c>
    </row>
    <row r="44" spans="2:31" ht="16" customHeight="1" x14ac:dyDescent="0.35">
      <c r="B44" s="11" t="s">
        <v>77</v>
      </c>
      <c r="C44" s="11" t="s">
        <v>22</v>
      </c>
      <c r="D44" s="29"/>
      <c r="E44" s="60"/>
      <c r="F44" s="29"/>
      <c r="G44" s="29"/>
      <c r="H44" s="29"/>
      <c r="I44" s="29"/>
      <c r="J44" s="29"/>
      <c r="K44" s="29"/>
      <c r="L44" s="29"/>
      <c r="M44" s="29"/>
      <c r="N44" s="29"/>
      <c r="O44" s="60"/>
      <c r="P44" s="29"/>
      <c r="Q44" s="29"/>
      <c r="R44" s="29"/>
      <c r="S44" s="29"/>
      <c r="T44" s="29"/>
      <c r="U44" s="29"/>
      <c r="V44" s="29"/>
      <c r="W44" s="29"/>
      <c r="X44" s="29"/>
      <c r="Y44" s="60"/>
      <c r="Z44" s="29"/>
      <c r="AA44" s="60"/>
      <c r="AB44" s="12"/>
      <c r="AC44" s="12"/>
      <c r="AD44" s="12"/>
      <c r="AE44" s="22"/>
    </row>
    <row r="45" spans="2:31" ht="16" customHeight="1" x14ac:dyDescent="0.35">
      <c r="B45" s="14" t="s">
        <v>78</v>
      </c>
      <c r="C45" s="14" t="s">
        <v>28</v>
      </c>
      <c r="D45" s="61"/>
      <c r="E45" s="62">
        <f t="shared" ref="E45:E51" si="20">O45+Y45+AA45+AE45</f>
        <v>-12174.124070000002</v>
      </c>
      <c r="F45" s="61"/>
      <c r="G45" s="30">
        <v>-11308.55284</v>
      </c>
      <c r="H45" s="30">
        <v>-863.82299</v>
      </c>
      <c r="I45" s="30"/>
      <c r="J45" s="30"/>
      <c r="K45" s="30">
        <f t="shared" ref="K45:K51" si="21">SUM(G45:J45)</f>
        <v>-12172.375830000001</v>
      </c>
      <c r="L45" s="30"/>
      <c r="M45" s="30"/>
      <c r="N45" s="30"/>
      <c r="O45" s="62">
        <f t="shared" ref="O45:O51" si="22">SUM(K45:N45)</f>
        <v>-12172.375830000001</v>
      </c>
      <c r="P45" s="61"/>
      <c r="Q45" s="30"/>
      <c r="R45" s="30"/>
      <c r="S45" s="30"/>
      <c r="T45" s="30"/>
      <c r="U45" s="30"/>
      <c r="V45" s="30"/>
      <c r="W45" s="30">
        <v>-1.74824</v>
      </c>
      <c r="X45" s="30"/>
      <c r="Y45" s="62">
        <f t="shared" ref="Y45:Y51" si="23">SUM(Q45:X45)</f>
        <v>-1.74824</v>
      </c>
      <c r="Z45" s="61"/>
      <c r="AA45" s="62"/>
      <c r="AB45" s="63"/>
      <c r="AC45" s="15"/>
      <c r="AD45" s="15"/>
      <c r="AE45" s="23">
        <f t="shared" ref="AE45:AE51" si="24">AC45+AD45</f>
        <v>0</v>
      </c>
    </row>
    <row r="46" spans="2:31" ht="16" customHeight="1" x14ac:dyDescent="0.35">
      <c r="B46" s="14" t="s">
        <v>79</v>
      </c>
      <c r="C46" s="14" t="s">
        <v>80</v>
      </c>
      <c r="D46" s="61"/>
      <c r="E46" s="62">
        <f t="shared" si="20"/>
        <v>-2007.4128400000002</v>
      </c>
      <c r="F46" s="61"/>
      <c r="G46" s="30">
        <v>-1697.4756600000001</v>
      </c>
      <c r="H46" s="30">
        <v>-141.85064</v>
      </c>
      <c r="I46" s="30"/>
      <c r="J46" s="30"/>
      <c r="K46" s="30">
        <f t="shared" si="21"/>
        <v>-1839.3263000000002</v>
      </c>
      <c r="L46" s="30"/>
      <c r="M46" s="30"/>
      <c r="N46" s="30"/>
      <c r="O46" s="62">
        <f t="shared" si="22"/>
        <v>-1839.3263000000002</v>
      </c>
      <c r="P46" s="61"/>
      <c r="Q46" s="30"/>
      <c r="R46" s="30"/>
      <c r="S46" s="30"/>
      <c r="T46" s="30"/>
      <c r="U46" s="30"/>
      <c r="V46" s="30"/>
      <c r="W46" s="30">
        <v>-168.08654000000001</v>
      </c>
      <c r="X46" s="30"/>
      <c r="Y46" s="62">
        <f t="shared" si="23"/>
        <v>-168.08654000000001</v>
      </c>
      <c r="Z46" s="61"/>
      <c r="AA46" s="62"/>
      <c r="AB46" s="63"/>
      <c r="AC46" s="15">
        <v>0</v>
      </c>
      <c r="AD46" s="15"/>
      <c r="AE46" s="23">
        <f t="shared" si="24"/>
        <v>0</v>
      </c>
    </row>
    <row r="47" spans="2:31" ht="16" customHeight="1" x14ac:dyDescent="0.35">
      <c r="B47" s="14" t="s">
        <v>81</v>
      </c>
      <c r="C47" s="14" t="s">
        <v>82</v>
      </c>
      <c r="D47" s="61"/>
      <c r="E47" s="62">
        <f t="shared" si="20"/>
        <v>-346.44763</v>
      </c>
      <c r="F47" s="61"/>
      <c r="G47" s="30">
        <v>-326.32718</v>
      </c>
      <c r="H47" s="30">
        <v>-20.120450000000002</v>
      </c>
      <c r="I47" s="30"/>
      <c r="J47" s="30"/>
      <c r="K47" s="30">
        <f t="shared" si="21"/>
        <v>-346.44763</v>
      </c>
      <c r="L47" s="30"/>
      <c r="M47" s="30"/>
      <c r="N47" s="30"/>
      <c r="O47" s="62">
        <f t="shared" si="22"/>
        <v>-346.44763</v>
      </c>
      <c r="P47" s="61"/>
      <c r="Q47" s="30"/>
      <c r="R47" s="30"/>
      <c r="S47" s="30"/>
      <c r="T47" s="30"/>
      <c r="U47" s="30"/>
      <c r="V47" s="30"/>
      <c r="W47" s="30"/>
      <c r="X47" s="30"/>
      <c r="Y47" s="62">
        <f t="shared" si="23"/>
        <v>0</v>
      </c>
      <c r="Z47" s="61"/>
      <c r="AA47" s="62"/>
      <c r="AB47" s="63"/>
      <c r="AC47" s="15"/>
      <c r="AD47" s="15"/>
      <c r="AE47" s="23">
        <f t="shared" si="24"/>
        <v>0</v>
      </c>
    </row>
    <row r="48" spans="2:31" ht="16" customHeight="1" x14ac:dyDescent="0.35">
      <c r="B48" s="14" t="s">
        <v>83</v>
      </c>
      <c r="C48" s="14" t="s">
        <v>84</v>
      </c>
      <c r="D48" s="61"/>
      <c r="E48" s="62">
        <f t="shared" si="20"/>
        <v>-656.76592000000005</v>
      </c>
      <c r="F48" s="61"/>
      <c r="G48" s="30">
        <v>-762.28745000000004</v>
      </c>
      <c r="H48" s="30">
        <v>-62.601930000000003</v>
      </c>
      <c r="I48" s="30"/>
      <c r="J48" s="30"/>
      <c r="K48" s="30">
        <f t="shared" si="21"/>
        <v>-824.88938000000007</v>
      </c>
      <c r="L48" s="30"/>
      <c r="M48" s="30"/>
      <c r="N48" s="30"/>
      <c r="O48" s="62">
        <f t="shared" si="22"/>
        <v>-824.88938000000007</v>
      </c>
      <c r="P48" s="61"/>
      <c r="Q48" s="30"/>
      <c r="R48" s="30"/>
      <c r="S48" s="30"/>
      <c r="T48" s="30"/>
      <c r="U48" s="30"/>
      <c r="V48" s="30"/>
      <c r="W48" s="30">
        <v>168.12345999999999</v>
      </c>
      <c r="X48" s="30"/>
      <c r="Y48" s="62">
        <f t="shared" si="23"/>
        <v>168.12345999999999</v>
      </c>
      <c r="Z48" s="61"/>
      <c r="AA48" s="62"/>
      <c r="AB48" s="63"/>
      <c r="AC48" s="15"/>
      <c r="AD48" s="15"/>
      <c r="AE48" s="23">
        <f t="shared" si="24"/>
        <v>0</v>
      </c>
    </row>
    <row r="49" spans="2:31" ht="16" customHeight="1" x14ac:dyDescent="0.35">
      <c r="B49" s="14" t="s">
        <v>85</v>
      </c>
      <c r="C49" s="14" t="s">
        <v>86</v>
      </c>
      <c r="D49" s="61"/>
      <c r="E49" s="62">
        <f t="shared" si="20"/>
        <v>0</v>
      </c>
      <c r="F49" s="61"/>
      <c r="G49" s="30"/>
      <c r="H49" s="30"/>
      <c r="I49" s="30"/>
      <c r="J49" s="30"/>
      <c r="K49" s="30">
        <f t="shared" si="21"/>
        <v>0</v>
      </c>
      <c r="L49" s="30"/>
      <c r="M49" s="30"/>
      <c r="N49" s="30"/>
      <c r="O49" s="62">
        <f t="shared" si="22"/>
        <v>0</v>
      </c>
      <c r="P49" s="61"/>
      <c r="Q49" s="30"/>
      <c r="R49" s="30"/>
      <c r="S49" s="30"/>
      <c r="T49" s="30"/>
      <c r="U49" s="30"/>
      <c r="V49" s="30"/>
      <c r="W49" s="30"/>
      <c r="X49" s="30"/>
      <c r="Y49" s="62">
        <f t="shared" si="23"/>
        <v>0</v>
      </c>
      <c r="Z49" s="61"/>
      <c r="AA49" s="62"/>
      <c r="AB49" s="63"/>
      <c r="AC49" s="15"/>
      <c r="AD49" s="15"/>
      <c r="AE49" s="23">
        <f t="shared" si="24"/>
        <v>0</v>
      </c>
    </row>
    <row r="50" spans="2:31" ht="16" customHeight="1" x14ac:dyDescent="0.35">
      <c r="B50" s="14" t="s">
        <v>87</v>
      </c>
      <c r="C50" s="14" t="s">
        <v>88</v>
      </c>
      <c r="D50" s="61"/>
      <c r="E50" s="62">
        <f t="shared" si="20"/>
        <v>0</v>
      </c>
      <c r="F50" s="61"/>
      <c r="G50" s="30"/>
      <c r="H50" s="30"/>
      <c r="I50" s="30"/>
      <c r="J50" s="30"/>
      <c r="K50" s="30">
        <f t="shared" si="21"/>
        <v>0</v>
      </c>
      <c r="L50" s="30"/>
      <c r="M50" s="30"/>
      <c r="N50" s="30"/>
      <c r="O50" s="62">
        <f t="shared" si="22"/>
        <v>0</v>
      </c>
      <c r="P50" s="61"/>
      <c r="Q50" s="30"/>
      <c r="R50" s="30"/>
      <c r="S50" s="30"/>
      <c r="T50" s="30"/>
      <c r="U50" s="30"/>
      <c r="V50" s="30"/>
      <c r="W50" s="30"/>
      <c r="X50" s="30"/>
      <c r="Y50" s="62">
        <f t="shared" si="23"/>
        <v>0</v>
      </c>
      <c r="Z50" s="61"/>
      <c r="AA50" s="62"/>
      <c r="AB50" s="63"/>
      <c r="AC50" s="15"/>
      <c r="AD50" s="15"/>
      <c r="AE50" s="23">
        <f t="shared" si="24"/>
        <v>0</v>
      </c>
    </row>
    <row r="51" spans="2:31" ht="16" customHeight="1" x14ac:dyDescent="0.35">
      <c r="B51" s="14" t="s">
        <v>89</v>
      </c>
      <c r="C51" s="14" t="s">
        <v>90</v>
      </c>
      <c r="D51" s="61"/>
      <c r="E51" s="62">
        <f t="shared" si="20"/>
        <v>0</v>
      </c>
      <c r="F51" s="61"/>
      <c r="G51" s="30"/>
      <c r="H51" s="30"/>
      <c r="I51" s="30"/>
      <c r="J51" s="30"/>
      <c r="K51" s="30">
        <f t="shared" si="21"/>
        <v>0</v>
      </c>
      <c r="L51" s="30"/>
      <c r="M51" s="30"/>
      <c r="N51" s="30"/>
      <c r="O51" s="62">
        <f t="shared" si="22"/>
        <v>0</v>
      </c>
      <c r="P51" s="61"/>
      <c r="Q51" s="30"/>
      <c r="R51" s="30"/>
      <c r="S51" s="30"/>
      <c r="T51" s="30"/>
      <c r="U51" s="30"/>
      <c r="V51" s="30"/>
      <c r="W51" s="30"/>
      <c r="X51" s="30"/>
      <c r="Y51" s="62">
        <f t="shared" si="23"/>
        <v>0</v>
      </c>
      <c r="Z51" s="61"/>
      <c r="AA51" s="62"/>
      <c r="AB51" s="63"/>
      <c r="AC51" s="15"/>
      <c r="AD51" s="15"/>
      <c r="AE51" s="23">
        <f t="shared" si="24"/>
        <v>0</v>
      </c>
    </row>
    <row r="52" spans="2:31" ht="16" customHeight="1" x14ac:dyDescent="0.35">
      <c r="B52" s="16" t="s">
        <v>91</v>
      </c>
      <c r="C52" s="16" t="s">
        <v>92</v>
      </c>
      <c r="D52" s="64"/>
      <c r="E52" s="53">
        <f>-(-(E45+E46)-E47-E48-E50-E49)</f>
        <v>-15184.750460000003</v>
      </c>
      <c r="F52" s="64"/>
      <c r="G52" s="31">
        <f t="shared" ref="G52:O52" si="25">-(-(G45+G46)-G47-G48-G50-G49)</f>
        <v>-14094.64313</v>
      </c>
      <c r="H52" s="31">
        <f t="shared" si="25"/>
        <v>-1088.3960099999999</v>
      </c>
      <c r="I52" s="31">
        <f t="shared" si="25"/>
        <v>0</v>
      </c>
      <c r="J52" s="31">
        <f t="shared" si="25"/>
        <v>0</v>
      </c>
      <c r="K52" s="31">
        <f t="shared" si="25"/>
        <v>-15183.039140000003</v>
      </c>
      <c r="L52" s="31">
        <f t="shared" si="25"/>
        <v>0</v>
      </c>
      <c r="M52" s="31">
        <f t="shared" si="25"/>
        <v>0</v>
      </c>
      <c r="N52" s="31">
        <f t="shared" si="25"/>
        <v>0</v>
      </c>
      <c r="O52" s="53">
        <f t="shared" si="25"/>
        <v>-15183.039140000003</v>
      </c>
      <c r="P52" s="64"/>
      <c r="Q52" s="31">
        <f t="shared" ref="Q52:Y52" si="26">-(-(Q45+Q46)-Q47-Q48-Q50-Q49)</f>
        <v>0</v>
      </c>
      <c r="R52" s="31">
        <f t="shared" si="26"/>
        <v>0</v>
      </c>
      <c r="S52" s="31">
        <f t="shared" si="26"/>
        <v>0</v>
      </c>
      <c r="T52" s="31">
        <f t="shared" si="26"/>
        <v>0</v>
      </c>
      <c r="U52" s="31">
        <f t="shared" si="26"/>
        <v>0</v>
      </c>
      <c r="V52" s="31">
        <f t="shared" si="26"/>
        <v>0</v>
      </c>
      <c r="W52" s="31">
        <f t="shared" si="26"/>
        <v>-1.711320000000029</v>
      </c>
      <c r="X52" s="31">
        <f t="shared" si="26"/>
        <v>0</v>
      </c>
      <c r="Y52" s="53">
        <f t="shared" si="26"/>
        <v>-1.711320000000029</v>
      </c>
      <c r="Z52" s="64"/>
      <c r="AA52" s="53">
        <f>-(-(AA45+AA46)-AA47-AA48-AA50-AA49)</f>
        <v>0</v>
      </c>
      <c r="AB52" s="65"/>
      <c r="AC52" s="17">
        <f>-(-(AC45+AC46)-AC47-AC48-AC50-AC49)</f>
        <v>0</v>
      </c>
      <c r="AD52" s="17">
        <f>-(-(AD45+AD46)-AD47-AD48-AD50-AD49)</f>
        <v>0</v>
      </c>
      <c r="AE52" s="24">
        <f>-(-(AE45+AE46)-AE47-AE48-AE50-AE49)</f>
        <v>0</v>
      </c>
    </row>
    <row r="53" spans="2:31" ht="16" customHeight="1" x14ac:dyDescent="0.35">
      <c r="B53" s="11" t="s">
        <v>93</v>
      </c>
      <c r="C53" s="11" t="s">
        <v>22</v>
      </c>
      <c r="D53" s="29"/>
      <c r="E53" s="60"/>
      <c r="F53" s="29"/>
      <c r="G53" s="29"/>
      <c r="H53" s="29"/>
      <c r="I53" s="29"/>
      <c r="J53" s="29"/>
      <c r="K53" s="29"/>
      <c r="L53" s="29"/>
      <c r="M53" s="29"/>
      <c r="N53" s="29"/>
      <c r="O53" s="60"/>
      <c r="P53" s="29"/>
      <c r="Q53" s="29"/>
      <c r="R53" s="29"/>
      <c r="S53" s="29"/>
      <c r="T53" s="29"/>
      <c r="U53" s="29"/>
      <c r="V53" s="29"/>
      <c r="W53" s="29"/>
      <c r="X53" s="29"/>
      <c r="Y53" s="60"/>
      <c r="Z53" s="29"/>
      <c r="AA53" s="60"/>
      <c r="AB53" s="12"/>
      <c r="AC53" s="12"/>
      <c r="AD53" s="12"/>
      <c r="AE53" s="22"/>
    </row>
    <row r="54" spans="2:31" ht="16" customHeight="1" x14ac:dyDescent="0.35">
      <c r="B54" s="14" t="s">
        <v>94</v>
      </c>
      <c r="C54" s="14" t="s">
        <v>28</v>
      </c>
      <c r="D54" s="61"/>
      <c r="E54" s="62">
        <f t="shared" ref="E54:E59" si="27">O54+Y54+AA54+AE54</f>
        <v>-17419.420620000001</v>
      </c>
      <c r="F54" s="61"/>
      <c r="G54" s="30">
        <v>-13471.94205</v>
      </c>
      <c r="H54" s="30">
        <v>-1171.4732200000001</v>
      </c>
      <c r="I54" s="30">
        <v>-1149.2706000000001</v>
      </c>
      <c r="J54" s="30"/>
      <c r="K54" s="30">
        <f t="shared" ref="K54:K59" si="28">SUM(G54:J54)</f>
        <v>-15792.685869999999</v>
      </c>
      <c r="L54" s="30"/>
      <c r="M54" s="30"/>
      <c r="N54" s="30"/>
      <c r="O54" s="62">
        <f t="shared" ref="O54:O59" si="29">SUM(K54:N54)</f>
        <v>-15792.685869999999</v>
      </c>
      <c r="P54" s="61"/>
      <c r="Q54" s="30"/>
      <c r="R54" s="30"/>
      <c r="S54" s="30"/>
      <c r="T54" s="30"/>
      <c r="U54" s="30"/>
      <c r="V54" s="30"/>
      <c r="W54" s="30">
        <v>-1626.7347500000001</v>
      </c>
      <c r="X54" s="30"/>
      <c r="Y54" s="62">
        <f t="shared" ref="Y54:Y59" si="30">SUM(Q54:X54)</f>
        <v>-1626.7347500000001</v>
      </c>
      <c r="Z54" s="61"/>
      <c r="AA54" s="62"/>
      <c r="AB54" s="63"/>
      <c r="AC54" s="15"/>
      <c r="AD54" s="15"/>
      <c r="AE54" s="23">
        <f t="shared" ref="AE54:AE59" si="31">AC54+AD54</f>
        <v>0</v>
      </c>
    </row>
    <row r="55" spans="2:31" ht="16" customHeight="1" x14ac:dyDescent="0.35">
      <c r="B55" s="14" t="s">
        <v>95</v>
      </c>
      <c r="C55" s="14" t="s">
        <v>80</v>
      </c>
      <c r="D55" s="61"/>
      <c r="E55" s="62">
        <f t="shared" si="27"/>
        <v>-14406.346600000001</v>
      </c>
      <c r="F55" s="61"/>
      <c r="G55" s="30">
        <v>-6335.9530400000003</v>
      </c>
      <c r="H55" s="30">
        <v>-550.95245999999997</v>
      </c>
      <c r="I55" s="30">
        <v>-267.80790999999999</v>
      </c>
      <c r="J55" s="30"/>
      <c r="K55" s="30">
        <f t="shared" si="28"/>
        <v>-7154.7134100000003</v>
      </c>
      <c r="L55" s="30"/>
      <c r="M55" s="30"/>
      <c r="N55" s="30"/>
      <c r="O55" s="62">
        <f t="shared" si="29"/>
        <v>-7154.7134100000003</v>
      </c>
      <c r="P55" s="61"/>
      <c r="Q55" s="30"/>
      <c r="R55" s="30"/>
      <c r="S55" s="30"/>
      <c r="T55" s="30"/>
      <c r="U55" s="30"/>
      <c r="V55" s="30"/>
      <c r="W55" s="30">
        <v>-7251.6331899999996</v>
      </c>
      <c r="X55" s="30"/>
      <c r="Y55" s="62">
        <f t="shared" si="30"/>
        <v>-7251.6331899999996</v>
      </c>
      <c r="Z55" s="61"/>
      <c r="AA55" s="62"/>
      <c r="AB55" s="63"/>
      <c r="AC55" s="15">
        <v>0</v>
      </c>
      <c r="AD55" s="15"/>
      <c r="AE55" s="23">
        <f t="shared" si="31"/>
        <v>0</v>
      </c>
    </row>
    <row r="56" spans="2:31" ht="16" customHeight="1" x14ac:dyDescent="0.35">
      <c r="B56" s="14" t="s">
        <v>96</v>
      </c>
      <c r="C56" s="14" t="s">
        <v>97</v>
      </c>
      <c r="D56" s="61"/>
      <c r="E56" s="62">
        <f t="shared" si="27"/>
        <v>-172.04366000000027</v>
      </c>
      <c r="F56" s="61"/>
      <c r="G56" s="30">
        <v>-7080.4734200000003</v>
      </c>
      <c r="H56" s="30">
        <v>-615.69334000000003</v>
      </c>
      <c r="I56" s="30">
        <v>-35.206780000000002</v>
      </c>
      <c r="J56" s="30"/>
      <c r="K56" s="30">
        <f t="shared" si="28"/>
        <v>-7731.3735400000005</v>
      </c>
      <c r="L56" s="30"/>
      <c r="M56" s="30"/>
      <c r="N56" s="30"/>
      <c r="O56" s="62">
        <f t="shared" si="29"/>
        <v>-7731.3735400000005</v>
      </c>
      <c r="P56" s="61"/>
      <c r="Q56" s="30"/>
      <c r="R56" s="30"/>
      <c r="S56" s="30"/>
      <c r="T56" s="30"/>
      <c r="U56" s="30"/>
      <c r="V56" s="30"/>
      <c r="W56" s="30">
        <v>7559.3298800000002</v>
      </c>
      <c r="X56" s="30"/>
      <c r="Y56" s="62">
        <f t="shared" si="30"/>
        <v>7559.3298800000002</v>
      </c>
      <c r="Z56" s="61"/>
      <c r="AA56" s="62"/>
      <c r="AB56" s="63"/>
      <c r="AC56" s="15"/>
      <c r="AD56" s="15"/>
      <c r="AE56" s="23">
        <f t="shared" si="31"/>
        <v>0</v>
      </c>
    </row>
    <row r="57" spans="2:31" ht="16" customHeight="1" x14ac:dyDescent="0.35">
      <c r="B57" s="14" t="s">
        <v>98</v>
      </c>
      <c r="C57" s="14" t="s">
        <v>99</v>
      </c>
      <c r="D57" s="61"/>
      <c r="E57" s="62">
        <f t="shared" si="27"/>
        <v>0</v>
      </c>
      <c r="F57" s="61"/>
      <c r="G57" s="30"/>
      <c r="H57" s="30"/>
      <c r="I57" s="30"/>
      <c r="J57" s="30"/>
      <c r="K57" s="30">
        <f t="shared" si="28"/>
        <v>0</v>
      </c>
      <c r="L57" s="30"/>
      <c r="M57" s="30"/>
      <c r="N57" s="30"/>
      <c r="O57" s="62">
        <f t="shared" si="29"/>
        <v>0</v>
      </c>
      <c r="P57" s="61"/>
      <c r="Q57" s="30"/>
      <c r="R57" s="30"/>
      <c r="S57" s="30"/>
      <c r="T57" s="30"/>
      <c r="U57" s="30"/>
      <c r="V57" s="30"/>
      <c r="W57" s="30"/>
      <c r="X57" s="30"/>
      <c r="Y57" s="62">
        <f t="shared" si="30"/>
        <v>0</v>
      </c>
      <c r="Z57" s="61"/>
      <c r="AA57" s="62"/>
      <c r="AB57" s="63"/>
      <c r="AC57" s="15"/>
      <c r="AD57" s="15"/>
      <c r="AE57" s="23">
        <f t="shared" si="31"/>
        <v>0</v>
      </c>
    </row>
    <row r="58" spans="2:31" ht="16" customHeight="1" x14ac:dyDescent="0.35">
      <c r="B58" s="14" t="s">
        <v>100</v>
      </c>
      <c r="C58" s="14" t="s">
        <v>88</v>
      </c>
      <c r="D58" s="61"/>
      <c r="E58" s="62">
        <f t="shared" si="27"/>
        <v>0</v>
      </c>
      <c r="F58" s="61"/>
      <c r="G58" s="30"/>
      <c r="H58" s="30"/>
      <c r="I58" s="30"/>
      <c r="J58" s="30"/>
      <c r="K58" s="30">
        <f t="shared" si="28"/>
        <v>0</v>
      </c>
      <c r="L58" s="30"/>
      <c r="M58" s="30"/>
      <c r="N58" s="30"/>
      <c r="O58" s="62">
        <f t="shared" si="29"/>
        <v>0</v>
      </c>
      <c r="P58" s="61"/>
      <c r="Q58" s="30"/>
      <c r="R58" s="30"/>
      <c r="S58" s="30"/>
      <c r="T58" s="30"/>
      <c r="U58" s="30"/>
      <c r="V58" s="30"/>
      <c r="W58" s="30"/>
      <c r="X58" s="30"/>
      <c r="Y58" s="62">
        <f t="shared" si="30"/>
        <v>0</v>
      </c>
      <c r="Z58" s="61"/>
      <c r="AA58" s="62"/>
      <c r="AB58" s="63"/>
      <c r="AC58" s="15"/>
      <c r="AD58" s="15"/>
      <c r="AE58" s="23">
        <f t="shared" si="31"/>
        <v>0</v>
      </c>
    </row>
    <row r="59" spans="2:31" ht="16" customHeight="1" x14ac:dyDescent="0.35">
      <c r="B59" s="14" t="s">
        <v>101</v>
      </c>
      <c r="C59" s="14" t="s">
        <v>102</v>
      </c>
      <c r="D59" s="61"/>
      <c r="E59" s="62">
        <f t="shared" si="27"/>
        <v>0</v>
      </c>
      <c r="F59" s="61"/>
      <c r="G59" s="30"/>
      <c r="H59" s="30"/>
      <c r="I59" s="30"/>
      <c r="J59" s="30"/>
      <c r="K59" s="30">
        <f t="shared" si="28"/>
        <v>0</v>
      </c>
      <c r="L59" s="30"/>
      <c r="M59" s="30"/>
      <c r="N59" s="30"/>
      <c r="O59" s="62">
        <f t="shared" si="29"/>
        <v>0</v>
      </c>
      <c r="P59" s="61"/>
      <c r="Q59" s="30"/>
      <c r="R59" s="30"/>
      <c r="S59" s="30"/>
      <c r="T59" s="30"/>
      <c r="U59" s="30"/>
      <c r="V59" s="30"/>
      <c r="W59" s="30"/>
      <c r="X59" s="30"/>
      <c r="Y59" s="62">
        <f t="shared" si="30"/>
        <v>0</v>
      </c>
      <c r="Z59" s="61"/>
      <c r="AA59" s="62"/>
      <c r="AB59" s="63"/>
      <c r="AC59" s="15"/>
      <c r="AD59" s="15"/>
      <c r="AE59" s="23">
        <f t="shared" si="31"/>
        <v>0</v>
      </c>
    </row>
    <row r="60" spans="2:31" ht="16" customHeight="1" x14ac:dyDescent="0.35">
      <c r="B60" s="16" t="s">
        <v>103</v>
      </c>
      <c r="C60" s="16" t="s">
        <v>104</v>
      </c>
      <c r="D60" s="64"/>
      <c r="E60" s="53">
        <f>-(-(E54+E55)-E56-E58-E57)</f>
        <v>-31997.810880000001</v>
      </c>
      <c r="F60" s="64"/>
      <c r="G60" s="31">
        <f t="shared" ref="G60:O60" si="32">-(-(G54+G55)-G56-G58-G57)</f>
        <v>-26888.36851</v>
      </c>
      <c r="H60" s="31">
        <f t="shared" si="32"/>
        <v>-2338.1190200000001</v>
      </c>
      <c r="I60" s="31">
        <f t="shared" si="32"/>
        <v>-1452.28529</v>
      </c>
      <c r="J60" s="31">
        <f t="shared" si="32"/>
        <v>0</v>
      </c>
      <c r="K60" s="31">
        <f t="shared" si="32"/>
        <v>-30678.772819999998</v>
      </c>
      <c r="L60" s="31">
        <f t="shared" si="32"/>
        <v>0</v>
      </c>
      <c r="M60" s="31">
        <f t="shared" si="32"/>
        <v>0</v>
      </c>
      <c r="N60" s="31">
        <f t="shared" si="32"/>
        <v>0</v>
      </c>
      <c r="O60" s="53">
        <f t="shared" si="32"/>
        <v>-30678.772819999998</v>
      </c>
      <c r="P60" s="64"/>
      <c r="Q60" s="31">
        <f t="shared" ref="Q60:Y60" si="33">-(-(Q54+Q55)-Q56-Q58-Q57)</f>
        <v>0</v>
      </c>
      <c r="R60" s="31">
        <f t="shared" si="33"/>
        <v>0</v>
      </c>
      <c r="S60" s="31">
        <f t="shared" si="33"/>
        <v>0</v>
      </c>
      <c r="T60" s="31">
        <f t="shared" si="33"/>
        <v>0</v>
      </c>
      <c r="U60" s="31">
        <f t="shared" si="33"/>
        <v>0</v>
      </c>
      <c r="V60" s="31">
        <f t="shared" si="33"/>
        <v>0</v>
      </c>
      <c r="W60" s="31">
        <f t="shared" si="33"/>
        <v>-1319.0380599999999</v>
      </c>
      <c r="X60" s="31">
        <f t="shared" si="33"/>
        <v>0</v>
      </c>
      <c r="Y60" s="53">
        <f t="shared" si="33"/>
        <v>-1319.0380599999999</v>
      </c>
      <c r="Z60" s="64"/>
      <c r="AA60" s="53">
        <f>-(-(AA54+AA55)-AA56-AA58-AA57)</f>
        <v>0</v>
      </c>
      <c r="AB60" s="65"/>
      <c r="AC60" s="17">
        <f>-(-(AC54+AC55)-AC56-AC58-AC57)</f>
        <v>0</v>
      </c>
      <c r="AD60" s="17">
        <f>-(-(AD54+AD55)-AD56-AD58-AD57)</f>
        <v>0</v>
      </c>
      <c r="AE60" s="24">
        <f>-(-(AE54+AE55)-AE56-AE58-AE57)</f>
        <v>0</v>
      </c>
    </row>
    <row r="61" spans="2:31" ht="16" customHeight="1" thickBot="1" x14ac:dyDescent="0.4">
      <c r="B61" s="11" t="s">
        <v>105</v>
      </c>
      <c r="C61" s="11" t="s">
        <v>22</v>
      </c>
      <c r="D61" s="29"/>
      <c r="E61" s="60"/>
      <c r="F61" s="29"/>
      <c r="G61" s="29"/>
      <c r="H61" s="29"/>
      <c r="I61" s="29"/>
      <c r="J61" s="29"/>
      <c r="K61" s="29"/>
      <c r="L61" s="29"/>
      <c r="M61" s="29"/>
      <c r="N61" s="29"/>
      <c r="O61" s="60"/>
      <c r="P61" s="29"/>
      <c r="Q61" s="29"/>
      <c r="R61" s="29"/>
      <c r="S61" s="29"/>
      <c r="T61" s="29"/>
      <c r="U61" s="29"/>
      <c r="V61" s="29"/>
      <c r="W61" s="29"/>
      <c r="X61" s="29"/>
      <c r="Y61" s="60"/>
      <c r="Z61" s="29"/>
      <c r="AA61" s="60"/>
      <c r="AB61" s="12"/>
      <c r="AC61" s="12"/>
      <c r="AD61" s="12"/>
      <c r="AE61" s="22"/>
    </row>
    <row r="62" spans="2:31" ht="16" customHeight="1" thickBot="1" x14ac:dyDescent="0.4">
      <c r="B62" s="18" t="s">
        <v>106</v>
      </c>
      <c r="C62" s="18" t="s">
        <v>107</v>
      </c>
      <c r="D62" s="66"/>
      <c r="E62" s="67">
        <f>E52+E60</f>
        <v>-47182.56134</v>
      </c>
      <c r="F62" s="66"/>
      <c r="G62" s="32">
        <f t="shared" ref="G62:O62" si="34">G52+G60</f>
        <v>-40983.011639999997</v>
      </c>
      <c r="H62" s="32">
        <f t="shared" si="34"/>
        <v>-3426.51503</v>
      </c>
      <c r="I62" s="32">
        <f t="shared" si="34"/>
        <v>-1452.28529</v>
      </c>
      <c r="J62" s="32">
        <f t="shared" si="34"/>
        <v>0</v>
      </c>
      <c r="K62" s="32">
        <f t="shared" si="34"/>
        <v>-45861.811959999999</v>
      </c>
      <c r="L62" s="32">
        <f t="shared" si="34"/>
        <v>0</v>
      </c>
      <c r="M62" s="32">
        <f t="shared" si="34"/>
        <v>0</v>
      </c>
      <c r="N62" s="32">
        <f t="shared" si="34"/>
        <v>0</v>
      </c>
      <c r="O62" s="67">
        <f t="shared" si="34"/>
        <v>-45861.811959999999</v>
      </c>
      <c r="P62" s="66"/>
      <c r="Q62" s="32">
        <f t="shared" ref="Q62:Y62" si="35">Q52+Q60</f>
        <v>0</v>
      </c>
      <c r="R62" s="32">
        <f t="shared" si="35"/>
        <v>0</v>
      </c>
      <c r="S62" s="32">
        <f t="shared" si="35"/>
        <v>0</v>
      </c>
      <c r="T62" s="32">
        <f t="shared" si="35"/>
        <v>0</v>
      </c>
      <c r="U62" s="32">
        <f t="shared" si="35"/>
        <v>0</v>
      </c>
      <c r="V62" s="32">
        <f t="shared" si="35"/>
        <v>0</v>
      </c>
      <c r="W62" s="32">
        <f t="shared" si="35"/>
        <v>-1320.74938</v>
      </c>
      <c r="X62" s="32">
        <f t="shared" si="35"/>
        <v>0</v>
      </c>
      <c r="Y62" s="67">
        <f t="shared" si="35"/>
        <v>-1320.74938</v>
      </c>
      <c r="Z62" s="66"/>
      <c r="AA62" s="67">
        <f>AA52+AA60</f>
        <v>0</v>
      </c>
      <c r="AB62" s="68"/>
      <c r="AC62" s="19">
        <f>AC52+AC60</f>
        <v>0</v>
      </c>
      <c r="AD62" s="19">
        <f>AD52+AD60</f>
        <v>0</v>
      </c>
      <c r="AE62" s="25">
        <f>AE52+AE60</f>
        <v>0</v>
      </c>
    </row>
    <row r="63" spans="2:31" ht="16" customHeight="1" x14ac:dyDescent="0.35">
      <c r="B63" s="11" t="s">
        <v>108</v>
      </c>
      <c r="C63" s="11" t="s">
        <v>22</v>
      </c>
      <c r="D63" s="29"/>
      <c r="E63" s="60"/>
      <c r="F63" s="29"/>
      <c r="G63" s="29"/>
      <c r="H63" s="29"/>
      <c r="I63" s="29"/>
      <c r="J63" s="29"/>
      <c r="K63" s="29"/>
      <c r="L63" s="29"/>
      <c r="M63" s="29"/>
      <c r="N63" s="29"/>
      <c r="O63" s="60"/>
      <c r="P63" s="29"/>
      <c r="Q63" s="29"/>
      <c r="R63" s="29"/>
      <c r="S63" s="29"/>
      <c r="T63" s="29"/>
      <c r="U63" s="29"/>
      <c r="V63" s="29"/>
      <c r="W63" s="29"/>
      <c r="X63" s="29"/>
      <c r="Y63" s="60"/>
      <c r="Z63" s="29"/>
      <c r="AA63" s="60"/>
      <c r="AB63" s="12"/>
      <c r="AC63" s="12"/>
      <c r="AD63" s="12"/>
      <c r="AE63" s="22"/>
    </row>
    <row r="64" spans="2:31" ht="16" customHeight="1" x14ac:dyDescent="0.35">
      <c r="B64" s="14" t="s">
        <v>109</v>
      </c>
      <c r="C64" s="14" t="s">
        <v>110</v>
      </c>
      <c r="D64" s="61"/>
      <c r="E64" s="62">
        <f>O64+Y64+AA64+AE64</f>
        <v>0</v>
      </c>
      <c r="F64" s="61"/>
      <c r="G64" s="30"/>
      <c r="H64" s="30"/>
      <c r="I64" s="30"/>
      <c r="J64" s="30"/>
      <c r="K64" s="30">
        <f>SUM(G64:J64)</f>
        <v>0</v>
      </c>
      <c r="L64" s="30"/>
      <c r="M64" s="30"/>
      <c r="N64" s="30"/>
      <c r="O64" s="62">
        <f>SUM(K64:N64)</f>
        <v>0</v>
      </c>
      <c r="P64" s="61"/>
      <c r="Q64" s="30"/>
      <c r="R64" s="30"/>
      <c r="S64" s="30"/>
      <c r="T64" s="30"/>
      <c r="U64" s="30"/>
      <c r="V64" s="30"/>
      <c r="W64" s="30"/>
      <c r="X64" s="30"/>
      <c r="Y64" s="62">
        <f>SUM(Q64:X64)</f>
        <v>0</v>
      </c>
      <c r="Z64" s="61"/>
      <c r="AA64" s="62"/>
      <c r="AB64" s="63"/>
      <c r="AC64" s="15"/>
      <c r="AD64" s="15"/>
      <c r="AE64" s="23">
        <f>AC64+AD64</f>
        <v>0</v>
      </c>
    </row>
    <row r="65" spans="2:31" ht="16" customHeight="1" x14ac:dyDescent="0.35">
      <c r="B65" s="14" t="s">
        <v>111</v>
      </c>
      <c r="C65" s="14" t="s">
        <v>112</v>
      </c>
      <c r="D65" s="61"/>
      <c r="E65" s="62">
        <f>O65+Y65+AA65+AE65</f>
        <v>0</v>
      </c>
      <c r="F65" s="61"/>
      <c r="G65" s="30"/>
      <c r="H65" s="30"/>
      <c r="I65" s="30"/>
      <c r="J65" s="30"/>
      <c r="K65" s="30">
        <f>SUM(G65:J65)</f>
        <v>0</v>
      </c>
      <c r="L65" s="30"/>
      <c r="M65" s="30"/>
      <c r="N65" s="30"/>
      <c r="O65" s="62">
        <f>SUM(K65:N65)</f>
        <v>0</v>
      </c>
      <c r="P65" s="61"/>
      <c r="Q65" s="30"/>
      <c r="R65" s="30"/>
      <c r="S65" s="30"/>
      <c r="T65" s="30"/>
      <c r="U65" s="30"/>
      <c r="V65" s="30"/>
      <c r="W65" s="30"/>
      <c r="X65" s="30"/>
      <c r="Y65" s="62">
        <f>SUM(Q65:X65)</f>
        <v>0</v>
      </c>
      <c r="Z65" s="61"/>
      <c r="AA65" s="62"/>
      <c r="AB65" s="63"/>
      <c r="AC65" s="15"/>
      <c r="AD65" s="15"/>
      <c r="AE65" s="23">
        <f>AC65+AD65</f>
        <v>0</v>
      </c>
    </row>
    <row r="66" spans="2:31" ht="16" customHeight="1" x14ac:dyDescent="0.35">
      <c r="B66" s="16" t="s">
        <v>113</v>
      </c>
      <c r="C66" s="16" t="s">
        <v>114</v>
      </c>
      <c r="D66" s="64"/>
      <c r="E66" s="53">
        <f>E64+E65</f>
        <v>0</v>
      </c>
      <c r="F66" s="64"/>
      <c r="G66" s="31">
        <f t="shared" ref="G66:O66" si="36">G64+G65</f>
        <v>0</v>
      </c>
      <c r="H66" s="31">
        <f t="shared" si="36"/>
        <v>0</v>
      </c>
      <c r="I66" s="31">
        <f t="shared" si="36"/>
        <v>0</v>
      </c>
      <c r="J66" s="31">
        <f t="shared" si="36"/>
        <v>0</v>
      </c>
      <c r="K66" s="31">
        <f t="shared" si="36"/>
        <v>0</v>
      </c>
      <c r="L66" s="31">
        <f t="shared" si="36"/>
        <v>0</v>
      </c>
      <c r="M66" s="31">
        <f t="shared" si="36"/>
        <v>0</v>
      </c>
      <c r="N66" s="31">
        <f t="shared" si="36"/>
        <v>0</v>
      </c>
      <c r="O66" s="53">
        <f t="shared" si="36"/>
        <v>0</v>
      </c>
      <c r="P66" s="64"/>
      <c r="Q66" s="31">
        <f t="shared" ref="Q66:Y66" si="37">Q64+Q65</f>
        <v>0</v>
      </c>
      <c r="R66" s="31">
        <f t="shared" si="37"/>
        <v>0</v>
      </c>
      <c r="S66" s="31">
        <f t="shared" si="37"/>
        <v>0</v>
      </c>
      <c r="T66" s="31">
        <f t="shared" si="37"/>
        <v>0</v>
      </c>
      <c r="U66" s="31">
        <f t="shared" si="37"/>
        <v>0</v>
      </c>
      <c r="V66" s="31">
        <f t="shared" si="37"/>
        <v>0</v>
      </c>
      <c r="W66" s="31">
        <f t="shared" si="37"/>
        <v>0</v>
      </c>
      <c r="X66" s="31">
        <f t="shared" si="37"/>
        <v>0</v>
      </c>
      <c r="Y66" s="53">
        <f t="shared" si="37"/>
        <v>0</v>
      </c>
      <c r="Z66" s="64"/>
      <c r="AA66" s="53">
        <f>AA64+AA65</f>
        <v>0</v>
      </c>
      <c r="AB66" s="65"/>
      <c r="AC66" s="17">
        <f>AC64+AC65</f>
        <v>0</v>
      </c>
      <c r="AD66" s="17">
        <f>AD64+AD65</f>
        <v>0</v>
      </c>
      <c r="AE66" s="24">
        <f>AE64+AE65</f>
        <v>0</v>
      </c>
    </row>
    <row r="67" spans="2:31" ht="16" customHeight="1" thickBot="1" x14ac:dyDescent="0.4">
      <c r="B67" s="11" t="s">
        <v>115</v>
      </c>
      <c r="C67" s="11" t="s">
        <v>22</v>
      </c>
      <c r="D67" s="29"/>
      <c r="E67" s="60"/>
      <c r="F67" s="29"/>
      <c r="G67" s="29"/>
      <c r="H67" s="29"/>
      <c r="I67" s="29"/>
      <c r="J67" s="29"/>
      <c r="K67" s="29"/>
      <c r="L67" s="29"/>
      <c r="M67" s="29"/>
      <c r="N67" s="29"/>
      <c r="O67" s="60"/>
      <c r="P67" s="29"/>
      <c r="Q67" s="29"/>
      <c r="R67" s="29"/>
      <c r="S67" s="29"/>
      <c r="T67" s="29"/>
      <c r="U67" s="29"/>
      <c r="V67" s="29"/>
      <c r="W67" s="29"/>
      <c r="X67" s="29"/>
      <c r="Y67" s="60"/>
      <c r="Z67" s="29"/>
      <c r="AA67" s="60"/>
      <c r="AB67" s="12"/>
      <c r="AC67" s="12"/>
      <c r="AD67" s="12"/>
      <c r="AE67" s="22"/>
    </row>
    <row r="68" spans="2:31" ht="16" customHeight="1" thickBot="1" x14ac:dyDescent="0.4">
      <c r="B68" s="18" t="s">
        <v>116</v>
      </c>
      <c r="C68" s="18" t="s">
        <v>117</v>
      </c>
      <c r="D68" s="66"/>
      <c r="E68" s="67">
        <f>-(-(E43+E62)-E66)</f>
        <v>367286.34551999997</v>
      </c>
      <c r="F68" s="66"/>
      <c r="G68" s="32">
        <f t="shared" ref="G68:O68" si="38">-(-(G43+G62)-G66)</f>
        <v>354132.46442000003</v>
      </c>
      <c r="H68" s="32">
        <f t="shared" si="38"/>
        <v>13442.793190000006</v>
      </c>
      <c r="I68" s="32">
        <f t="shared" si="38"/>
        <v>1026.6970399999989</v>
      </c>
      <c r="J68" s="32">
        <f t="shared" si="38"/>
        <v>0</v>
      </c>
      <c r="K68" s="32">
        <f t="shared" si="38"/>
        <v>368601.95465000003</v>
      </c>
      <c r="L68" s="32">
        <f t="shared" si="38"/>
        <v>0</v>
      </c>
      <c r="M68" s="32">
        <f t="shared" si="38"/>
        <v>0</v>
      </c>
      <c r="N68" s="32">
        <f t="shared" si="38"/>
        <v>0</v>
      </c>
      <c r="O68" s="67">
        <f t="shared" si="38"/>
        <v>368601.95465000003</v>
      </c>
      <c r="P68" s="66"/>
      <c r="Q68" s="32">
        <f t="shared" ref="Q68:Y68" si="39">-(-(Q43+Q62)-Q66)</f>
        <v>0</v>
      </c>
      <c r="R68" s="32">
        <f t="shared" si="39"/>
        <v>0</v>
      </c>
      <c r="S68" s="32">
        <f t="shared" si="39"/>
        <v>0</v>
      </c>
      <c r="T68" s="32">
        <f t="shared" si="39"/>
        <v>0</v>
      </c>
      <c r="U68" s="32">
        <f t="shared" si="39"/>
        <v>0</v>
      </c>
      <c r="V68" s="32">
        <f t="shared" si="39"/>
        <v>0</v>
      </c>
      <c r="W68" s="32">
        <f t="shared" si="39"/>
        <v>-1315.7893799999999</v>
      </c>
      <c r="X68" s="32">
        <f t="shared" si="39"/>
        <v>0</v>
      </c>
      <c r="Y68" s="67">
        <f t="shared" si="39"/>
        <v>-1315.7893799999999</v>
      </c>
      <c r="Z68" s="66"/>
      <c r="AA68" s="67">
        <f>-(-(AA43+AA62)-AA66)</f>
        <v>0</v>
      </c>
      <c r="AB68" s="68"/>
      <c r="AC68" s="19">
        <f>-(-(AC43+AC62)-AC66)</f>
        <v>0.1802500000000325</v>
      </c>
      <c r="AD68" s="19">
        <f>-(-(AD43+AD62)-AD66)</f>
        <v>0</v>
      </c>
      <c r="AE68" s="25">
        <f>-(-(AE43+AE62)-AE66)</f>
        <v>0.1802500000000325</v>
      </c>
    </row>
    <row r="69" spans="2:31" ht="16" customHeight="1" x14ac:dyDescent="0.35">
      <c r="B69" s="11" t="s">
        <v>118</v>
      </c>
      <c r="C69" s="11" t="s">
        <v>22</v>
      </c>
      <c r="D69" s="29"/>
      <c r="E69" s="60"/>
      <c r="F69" s="29"/>
      <c r="G69" s="29"/>
      <c r="H69" s="29"/>
      <c r="I69" s="29"/>
      <c r="J69" s="29"/>
      <c r="K69" s="29"/>
      <c r="L69" s="29"/>
      <c r="M69" s="29"/>
      <c r="N69" s="29"/>
      <c r="O69" s="60"/>
      <c r="P69" s="29"/>
      <c r="Q69" s="29"/>
      <c r="R69" s="29"/>
      <c r="S69" s="29"/>
      <c r="T69" s="29"/>
      <c r="U69" s="29"/>
      <c r="V69" s="29"/>
      <c r="W69" s="29"/>
      <c r="X69" s="29"/>
      <c r="Y69" s="60"/>
      <c r="Z69" s="29"/>
      <c r="AA69" s="60"/>
      <c r="AB69" s="12"/>
      <c r="AC69" s="12"/>
      <c r="AD69" s="12"/>
      <c r="AE69" s="22"/>
    </row>
    <row r="70" spans="2:31" ht="16" customHeight="1" x14ac:dyDescent="0.35">
      <c r="B70" s="14" t="s">
        <v>119</v>
      </c>
      <c r="C70" s="14" t="s">
        <v>120</v>
      </c>
      <c r="D70" s="61"/>
      <c r="E70" s="62">
        <f>O70+Y70+AA70+AE70</f>
        <v>-7181.7586300000003</v>
      </c>
      <c r="F70" s="61"/>
      <c r="G70" s="30">
        <v>-7081.8173900000002</v>
      </c>
      <c r="H70" s="30">
        <v>-99.941239999999993</v>
      </c>
      <c r="I70" s="30"/>
      <c r="J70" s="30"/>
      <c r="K70" s="30">
        <f>SUM(G70:J70)</f>
        <v>-7181.7586300000003</v>
      </c>
      <c r="L70" s="30"/>
      <c r="M70" s="30"/>
      <c r="N70" s="30"/>
      <c r="O70" s="62">
        <f>SUM(K70:N70)</f>
        <v>-7181.7586300000003</v>
      </c>
      <c r="P70" s="61"/>
      <c r="Q70" s="30"/>
      <c r="R70" s="30"/>
      <c r="S70" s="30"/>
      <c r="T70" s="30"/>
      <c r="U70" s="30"/>
      <c r="V70" s="30"/>
      <c r="W70" s="30"/>
      <c r="X70" s="30"/>
      <c r="Y70" s="62">
        <f>SUM(Q70:X70)</f>
        <v>0</v>
      </c>
      <c r="Z70" s="61"/>
      <c r="AA70" s="62"/>
      <c r="AB70" s="63"/>
      <c r="AC70" s="15"/>
      <c r="AD70" s="15"/>
      <c r="AE70" s="23">
        <f>AC70+AD70</f>
        <v>0</v>
      </c>
    </row>
    <row r="71" spans="2:31" ht="16" customHeight="1" x14ac:dyDescent="0.35">
      <c r="B71" s="14" t="s">
        <v>121</v>
      </c>
      <c r="C71" s="14" t="s">
        <v>64</v>
      </c>
      <c r="D71" s="61"/>
      <c r="E71" s="62">
        <f>O71+Y71+AA71+AE71</f>
        <v>0</v>
      </c>
      <c r="F71" s="61"/>
      <c r="G71" s="30"/>
      <c r="H71" s="30"/>
      <c r="I71" s="30"/>
      <c r="J71" s="30"/>
      <c r="K71" s="30">
        <f>SUM(G71:J71)</f>
        <v>0</v>
      </c>
      <c r="L71" s="30"/>
      <c r="M71" s="30"/>
      <c r="N71" s="30"/>
      <c r="O71" s="62">
        <f>SUM(K71:N71)</f>
        <v>0</v>
      </c>
      <c r="P71" s="61"/>
      <c r="Q71" s="30"/>
      <c r="R71" s="30"/>
      <c r="S71" s="30"/>
      <c r="T71" s="30"/>
      <c r="U71" s="30"/>
      <c r="V71" s="30"/>
      <c r="W71" s="30"/>
      <c r="X71" s="30"/>
      <c r="Y71" s="62">
        <f>SUM(Q71:X71)</f>
        <v>0</v>
      </c>
      <c r="Z71" s="61"/>
      <c r="AA71" s="62"/>
      <c r="AB71" s="63"/>
      <c r="AC71" s="15"/>
      <c r="AD71" s="15"/>
      <c r="AE71" s="23">
        <f>AC71+AD71</f>
        <v>0</v>
      </c>
    </row>
    <row r="72" spans="2:31" ht="16" customHeight="1" x14ac:dyDescent="0.35">
      <c r="B72" s="14" t="s">
        <v>122</v>
      </c>
      <c r="C72" s="14" t="s">
        <v>123</v>
      </c>
      <c r="D72" s="61"/>
      <c r="E72" s="62">
        <f>O72+Y72+AA72+AE72</f>
        <v>0</v>
      </c>
      <c r="F72" s="61"/>
      <c r="G72" s="30"/>
      <c r="H72" s="30"/>
      <c r="I72" s="30"/>
      <c r="J72" s="30"/>
      <c r="K72" s="30">
        <f>SUM(G72:J72)</f>
        <v>0</v>
      </c>
      <c r="L72" s="30"/>
      <c r="M72" s="30"/>
      <c r="N72" s="30"/>
      <c r="O72" s="62">
        <f>SUM(K72:N72)</f>
        <v>0</v>
      </c>
      <c r="P72" s="61"/>
      <c r="Q72" s="30"/>
      <c r="R72" s="30"/>
      <c r="S72" s="30"/>
      <c r="T72" s="30"/>
      <c r="U72" s="30"/>
      <c r="V72" s="30"/>
      <c r="W72" s="30"/>
      <c r="X72" s="30"/>
      <c r="Y72" s="62">
        <f>SUM(Q72:X72)</f>
        <v>0</v>
      </c>
      <c r="Z72" s="61"/>
      <c r="AA72" s="62"/>
      <c r="AB72" s="63"/>
      <c r="AC72" s="15"/>
      <c r="AD72" s="15"/>
      <c r="AE72" s="23">
        <f>AC72+AD72</f>
        <v>0</v>
      </c>
    </row>
    <row r="73" spans="2:31" ht="16" customHeight="1" thickBot="1" x14ac:dyDescent="0.4">
      <c r="B73" s="11" t="s">
        <v>124</v>
      </c>
      <c r="C73" s="11" t="s">
        <v>22</v>
      </c>
      <c r="D73" s="29"/>
      <c r="E73" s="60"/>
      <c r="F73" s="29"/>
      <c r="G73" s="29"/>
      <c r="H73" s="29"/>
      <c r="I73" s="29"/>
      <c r="J73" s="29"/>
      <c r="K73" s="29"/>
      <c r="L73" s="29"/>
      <c r="M73" s="29"/>
      <c r="N73" s="29"/>
      <c r="O73" s="60"/>
      <c r="P73" s="29"/>
      <c r="Q73" s="29"/>
      <c r="R73" s="29"/>
      <c r="S73" s="29"/>
      <c r="T73" s="29"/>
      <c r="U73" s="29"/>
      <c r="V73" s="29"/>
      <c r="W73" s="29"/>
      <c r="X73" s="29"/>
      <c r="Y73" s="60"/>
      <c r="Z73" s="29"/>
      <c r="AA73" s="60"/>
      <c r="AB73" s="12"/>
      <c r="AC73" s="12"/>
      <c r="AD73" s="12"/>
      <c r="AE73" s="22"/>
    </row>
    <row r="74" spans="2:31" ht="16" customHeight="1" thickBot="1" x14ac:dyDescent="0.4">
      <c r="B74" s="18" t="s">
        <v>125</v>
      </c>
      <c r="C74" s="18" t="s">
        <v>126</v>
      </c>
      <c r="D74" s="66"/>
      <c r="E74" s="67">
        <f>-(-(E68+E71)-E70-E72)</f>
        <v>360104.58688999998</v>
      </c>
      <c r="F74" s="66"/>
      <c r="G74" s="32">
        <f t="shared" ref="G74:O74" si="40">-(-(G68+G71)-G70-G72)</f>
        <v>347050.64703000005</v>
      </c>
      <c r="H74" s="32">
        <f t="shared" si="40"/>
        <v>13342.851950000006</v>
      </c>
      <c r="I74" s="32">
        <f t="shared" si="40"/>
        <v>1026.6970399999989</v>
      </c>
      <c r="J74" s="32">
        <f t="shared" si="40"/>
        <v>0</v>
      </c>
      <c r="K74" s="32">
        <f t="shared" si="40"/>
        <v>361420.19602000003</v>
      </c>
      <c r="L74" s="32">
        <f t="shared" si="40"/>
        <v>0</v>
      </c>
      <c r="M74" s="32">
        <f t="shared" si="40"/>
        <v>0</v>
      </c>
      <c r="N74" s="32">
        <f t="shared" si="40"/>
        <v>0</v>
      </c>
      <c r="O74" s="67">
        <f t="shared" si="40"/>
        <v>361420.19602000003</v>
      </c>
      <c r="P74" s="66"/>
      <c r="Q74" s="32">
        <f t="shared" ref="Q74:Y74" si="41">-(-(Q68+Q71)-Q70-Q72)</f>
        <v>0</v>
      </c>
      <c r="R74" s="32">
        <f t="shared" si="41"/>
        <v>0</v>
      </c>
      <c r="S74" s="32">
        <f t="shared" si="41"/>
        <v>0</v>
      </c>
      <c r="T74" s="32">
        <f t="shared" si="41"/>
        <v>0</v>
      </c>
      <c r="U74" s="32">
        <f t="shared" si="41"/>
        <v>0</v>
      </c>
      <c r="V74" s="32">
        <f t="shared" si="41"/>
        <v>0</v>
      </c>
      <c r="W74" s="32">
        <f t="shared" si="41"/>
        <v>-1315.7893799999999</v>
      </c>
      <c r="X74" s="32">
        <f t="shared" si="41"/>
        <v>0</v>
      </c>
      <c r="Y74" s="67">
        <f t="shared" si="41"/>
        <v>-1315.7893799999999</v>
      </c>
      <c r="Z74" s="66"/>
      <c r="AA74" s="67">
        <f>-(-(AA68+AA71)-AA70-AA72)</f>
        <v>0</v>
      </c>
      <c r="AB74" s="68"/>
      <c r="AC74" s="19">
        <f>-(-(AC68+AC71)-AC70-AC72)</f>
        <v>0.1802500000000325</v>
      </c>
      <c r="AD74" s="19">
        <f>-(-(AD68+AD71)-AD70-AD72)</f>
        <v>0</v>
      </c>
      <c r="AE74" s="25">
        <f>-(-(AE68+AE71)-AE70-AE72)</f>
        <v>0.1802500000000325</v>
      </c>
    </row>
    <row r="75" spans="2:31" ht="16" customHeight="1" x14ac:dyDescent="0.35">
      <c r="B75" s="11" t="s">
        <v>127</v>
      </c>
      <c r="C75" s="11" t="s">
        <v>22</v>
      </c>
      <c r="D75" s="29"/>
      <c r="E75" s="60"/>
      <c r="F75" s="29"/>
      <c r="G75" s="29"/>
      <c r="H75" s="29"/>
      <c r="I75" s="29"/>
      <c r="J75" s="29"/>
      <c r="K75" s="29"/>
      <c r="L75" s="29"/>
      <c r="M75" s="29"/>
      <c r="N75" s="29"/>
      <c r="O75" s="60"/>
      <c r="P75" s="29"/>
      <c r="Q75" s="29"/>
      <c r="R75" s="29"/>
      <c r="S75" s="29"/>
      <c r="T75" s="29"/>
      <c r="U75" s="29"/>
      <c r="V75" s="29"/>
      <c r="W75" s="29"/>
      <c r="X75" s="29"/>
      <c r="Y75" s="60"/>
      <c r="Z75" s="29"/>
      <c r="AA75" s="60"/>
      <c r="AB75" s="12"/>
      <c r="AC75" s="12"/>
      <c r="AD75" s="12"/>
      <c r="AE75" s="22"/>
    </row>
    <row r="76" spans="2:31" ht="16" customHeight="1" x14ac:dyDescent="0.35">
      <c r="B76" s="14" t="s">
        <v>128</v>
      </c>
      <c r="C76" s="14" t="s">
        <v>129</v>
      </c>
      <c r="D76" s="61"/>
      <c r="E76" s="62">
        <f>O76+Y76+AA76+AE76</f>
        <v>-144052.22508999999</v>
      </c>
      <c r="F76" s="61"/>
      <c r="G76" s="30">
        <v>-139790.70058999999</v>
      </c>
      <c r="H76" s="30">
        <v>-4261.5245000000004</v>
      </c>
      <c r="I76" s="30"/>
      <c r="J76" s="30"/>
      <c r="K76" s="30">
        <f>SUM(G76:J76)</f>
        <v>-144052.22508999999</v>
      </c>
      <c r="L76" s="30"/>
      <c r="M76" s="30"/>
      <c r="N76" s="30"/>
      <c r="O76" s="62">
        <f>SUM(K76:N76)</f>
        <v>-144052.22508999999</v>
      </c>
      <c r="P76" s="61"/>
      <c r="Q76" s="30"/>
      <c r="R76" s="30"/>
      <c r="S76" s="30"/>
      <c r="T76" s="30"/>
      <c r="U76" s="30"/>
      <c r="V76" s="30"/>
      <c r="W76" s="30"/>
      <c r="X76" s="30"/>
      <c r="Y76" s="62">
        <f>SUM(Q76:X76)</f>
        <v>0</v>
      </c>
      <c r="Z76" s="61"/>
      <c r="AA76" s="62"/>
      <c r="AB76" s="63"/>
      <c r="AC76" s="15"/>
      <c r="AD76" s="15"/>
      <c r="AE76" s="23">
        <f>AC76+AD76</f>
        <v>0</v>
      </c>
    </row>
    <row r="77" spans="2:31" ht="16" customHeight="1" x14ac:dyDescent="0.35">
      <c r="B77" s="14" t="s">
        <v>130</v>
      </c>
      <c r="C77" s="14" t="s">
        <v>131</v>
      </c>
      <c r="D77" s="61"/>
      <c r="E77" s="62">
        <f>O77+Y77+AA77+AE77</f>
        <v>-252.79518000000002</v>
      </c>
      <c r="F77" s="61"/>
      <c r="G77" s="30">
        <v>-232.57157000000001</v>
      </c>
      <c r="H77" s="30">
        <v>-20.223610000000001</v>
      </c>
      <c r="I77" s="30"/>
      <c r="J77" s="30"/>
      <c r="K77" s="30">
        <f>SUM(G77:J77)</f>
        <v>-252.79518000000002</v>
      </c>
      <c r="L77" s="30"/>
      <c r="M77" s="30"/>
      <c r="N77" s="30"/>
      <c r="O77" s="62">
        <f>SUM(K77:N77)</f>
        <v>-252.79518000000002</v>
      </c>
      <c r="P77" s="61"/>
      <c r="Q77" s="30"/>
      <c r="R77" s="30"/>
      <c r="S77" s="30"/>
      <c r="T77" s="30"/>
      <c r="U77" s="30"/>
      <c r="V77" s="30"/>
      <c r="W77" s="30"/>
      <c r="X77" s="30"/>
      <c r="Y77" s="62">
        <f>SUM(Q77:X77)</f>
        <v>0</v>
      </c>
      <c r="Z77" s="61"/>
      <c r="AA77" s="62"/>
      <c r="AB77" s="63"/>
      <c r="AC77" s="15"/>
      <c r="AD77" s="15"/>
      <c r="AE77" s="23">
        <f>AC77+AD77</f>
        <v>0</v>
      </c>
    </row>
    <row r="78" spans="2:31" ht="16" customHeight="1" x14ac:dyDescent="0.35">
      <c r="B78" s="14" t="s">
        <v>132</v>
      </c>
      <c r="C78" s="14" t="s">
        <v>133</v>
      </c>
      <c r="D78" s="61"/>
      <c r="E78" s="62">
        <f>O78+Y78+AA78+AE78</f>
        <v>-565.29398000000003</v>
      </c>
      <c r="F78" s="61"/>
      <c r="G78" s="30">
        <v>-565.29398000000003</v>
      </c>
      <c r="H78" s="30"/>
      <c r="I78" s="30"/>
      <c r="J78" s="30"/>
      <c r="K78" s="30">
        <f>SUM(G78:J78)</f>
        <v>-565.29398000000003</v>
      </c>
      <c r="L78" s="30"/>
      <c r="M78" s="30"/>
      <c r="N78" s="30"/>
      <c r="O78" s="62">
        <f>SUM(K78:N78)</f>
        <v>-565.29398000000003</v>
      </c>
      <c r="P78" s="61"/>
      <c r="Q78" s="30"/>
      <c r="R78" s="30"/>
      <c r="S78" s="30"/>
      <c r="T78" s="30"/>
      <c r="U78" s="30"/>
      <c r="V78" s="30"/>
      <c r="W78" s="30"/>
      <c r="X78" s="30"/>
      <c r="Y78" s="62">
        <f>SUM(Q78:X78)</f>
        <v>0</v>
      </c>
      <c r="Z78" s="61"/>
      <c r="AA78" s="62"/>
      <c r="AB78" s="63"/>
      <c r="AC78" s="15"/>
      <c r="AD78" s="15"/>
      <c r="AE78" s="23">
        <f>AC78+AD78</f>
        <v>0</v>
      </c>
    </row>
    <row r="79" spans="2:31" ht="16" customHeight="1" x14ac:dyDescent="0.35">
      <c r="B79" s="14" t="s">
        <v>134</v>
      </c>
      <c r="C79" s="14" t="s">
        <v>135</v>
      </c>
      <c r="D79" s="61"/>
      <c r="E79" s="62">
        <f>O79+Y79+AA79+AE79</f>
        <v>0</v>
      </c>
      <c r="F79" s="61"/>
      <c r="G79" s="30"/>
      <c r="H79" s="30"/>
      <c r="I79" s="30"/>
      <c r="J79" s="30"/>
      <c r="K79" s="30">
        <f>SUM(G79:J79)</f>
        <v>0</v>
      </c>
      <c r="L79" s="30"/>
      <c r="M79" s="30"/>
      <c r="N79" s="30"/>
      <c r="O79" s="62">
        <f>SUM(K79:N79)</f>
        <v>0</v>
      </c>
      <c r="P79" s="61"/>
      <c r="Q79" s="30"/>
      <c r="R79" s="30"/>
      <c r="S79" s="30"/>
      <c r="T79" s="30"/>
      <c r="U79" s="30"/>
      <c r="V79" s="30"/>
      <c r="W79" s="30"/>
      <c r="X79" s="30"/>
      <c r="Y79" s="62">
        <f>SUM(Q79:X79)</f>
        <v>0</v>
      </c>
      <c r="Z79" s="61"/>
      <c r="AA79" s="62"/>
      <c r="AB79" s="63"/>
      <c r="AC79" s="15"/>
      <c r="AD79" s="15"/>
      <c r="AE79" s="23">
        <f>AC79+AD79</f>
        <v>0</v>
      </c>
    </row>
    <row r="80" spans="2:31" ht="16" customHeight="1" thickBot="1" x14ac:dyDescent="0.4">
      <c r="B80" s="11" t="s">
        <v>136</v>
      </c>
      <c r="C80" s="11" t="s">
        <v>22</v>
      </c>
      <c r="D80" s="29"/>
      <c r="E80" s="60"/>
      <c r="F80" s="29"/>
      <c r="G80" s="29"/>
      <c r="H80" s="29"/>
      <c r="I80" s="29"/>
      <c r="J80" s="29"/>
      <c r="K80" s="29"/>
      <c r="L80" s="29"/>
      <c r="M80" s="29"/>
      <c r="N80" s="29"/>
      <c r="O80" s="60"/>
      <c r="P80" s="29"/>
      <c r="Q80" s="29"/>
      <c r="R80" s="29"/>
      <c r="S80" s="29"/>
      <c r="T80" s="29"/>
      <c r="U80" s="29"/>
      <c r="V80" s="29"/>
      <c r="W80" s="29"/>
      <c r="X80" s="29"/>
      <c r="Y80" s="60"/>
      <c r="Z80" s="29"/>
      <c r="AA80" s="60"/>
      <c r="AB80" s="12"/>
      <c r="AC80" s="12"/>
      <c r="AD80" s="12"/>
      <c r="AE80" s="22"/>
    </row>
    <row r="81" spans="2:31" ht="16" customHeight="1" thickBot="1" x14ac:dyDescent="0.4">
      <c r="B81" s="18" t="s">
        <v>137</v>
      </c>
      <c r="C81" s="18" t="s">
        <v>138</v>
      </c>
      <c r="D81" s="66"/>
      <c r="E81" s="67">
        <f>-(-(E74+E76)-E77-E78-E79)</f>
        <v>215234.27264000001</v>
      </c>
      <c r="F81" s="66"/>
      <c r="G81" s="32">
        <f t="shared" ref="G81:O81" si="42">-(-(G74+G76)-G77-G78-G79)</f>
        <v>206462.08089000007</v>
      </c>
      <c r="H81" s="32">
        <f t="shared" si="42"/>
        <v>9061.1038400000052</v>
      </c>
      <c r="I81" s="32">
        <f t="shared" si="42"/>
        <v>1026.6970399999989</v>
      </c>
      <c r="J81" s="32">
        <f t="shared" si="42"/>
        <v>0</v>
      </c>
      <c r="K81" s="32">
        <f t="shared" si="42"/>
        <v>216549.88177000007</v>
      </c>
      <c r="L81" s="32">
        <f t="shared" si="42"/>
        <v>0</v>
      </c>
      <c r="M81" s="32">
        <f t="shared" si="42"/>
        <v>0</v>
      </c>
      <c r="N81" s="32">
        <f t="shared" si="42"/>
        <v>0</v>
      </c>
      <c r="O81" s="67">
        <f t="shared" si="42"/>
        <v>216549.88177000007</v>
      </c>
      <c r="P81" s="66"/>
      <c r="Q81" s="32">
        <f t="shared" ref="Q81:Y81" si="43">-(-(Q74+Q76)-Q77-Q78-Q79)</f>
        <v>0</v>
      </c>
      <c r="R81" s="32">
        <f t="shared" si="43"/>
        <v>0</v>
      </c>
      <c r="S81" s="32">
        <f t="shared" si="43"/>
        <v>0</v>
      </c>
      <c r="T81" s="32">
        <f t="shared" si="43"/>
        <v>0</v>
      </c>
      <c r="U81" s="32">
        <f t="shared" si="43"/>
        <v>0</v>
      </c>
      <c r="V81" s="32">
        <f t="shared" si="43"/>
        <v>0</v>
      </c>
      <c r="W81" s="32">
        <f t="shared" si="43"/>
        <v>-1315.7893799999999</v>
      </c>
      <c r="X81" s="32">
        <f t="shared" si="43"/>
        <v>0</v>
      </c>
      <c r="Y81" s="67">
        <f t="shared" si="43"/>
        <v>-1315.7893799999999</v>
      </c>
      <c r="Z81" s="66"/>
      <c r="AA81" s="67">
        <f>-(-(AA74+AA76)-AA77-AA78-AA79)</f>
        <v>0</v>
      </c>
      <c r="AB81" s="68"/>
      <c r="AC81" s="19">
        <f>-(-(AC74+AC76)-AC77-AC78-AC79)</f>
        <v>0.1802500000000325</v>
      </c>
      <c r="AD81" s="19">
        <f>-(-(AD74+AD76)-AD77-AD78-AD79)</f>
        <v>0</v>
      </c>
      <c r="AE81" s="25">
        <f>-(-(AE74+AE76)-AE77-AE78-AE79)</f>
        <v>0.1802500000000325</v>
      </c>
    </row>
    <row r="82" spans="2:31" ht="16" customHeight="1" x14ac:dyDescent="0.35">
      <c r="B82" s="11" t="s">
        <v>139</v>
      </c>
      <c r="C82" s="11" t="s">
        <v>22</v>
      </c>
      <c r="D82" s="29"/>
      <c r="E82" s="60"/>
      <c r="F82" s="29"/>
      <c r="G82" s="29"/>
      <c r="H82" s="29"/>
      <c r="I82" s="29"/>
      <c r="J82" s="29"/>
      <c r="K82" s="29"/>
      <c r="L82" s="29"/>
      <c r="M82" s="29"/>
      <c r="N82" s="29"/>
      <c r="O82" s="60"/>
      <c r="P82" s="29"/>
      <c r="Q82" s="29"/>
      <c r="R82" s="29"/>
      <c r="S82" s="29"/>
      <c r="T82" s="29"/>
      <c r="U82" s="29"/>
      <c r="V82" s="29"/>
      <c r="W82" s="29"/>
      <c r="X82" s="29"/>
      <c r="Y82" s="60"/>
      <c r="Z82" s="29"/>
      <c r="AA82" s="60"/>
      <c r="AB82" s="12"/>
      <c r="AC82" s="12"/>
      <c r="AD82" s="12"/>
      <c r="AE82" s="22"/>
    </row>
    <row r="83" spans="2:31" ht="16" customHeight="1" x14ac:dyDescent="0.35">
      <c r="B83" s="14" t="s">
        <v>140</v>
      </c>
      <c r="C83" s="14" t="s">
        <v>141</v>
      </c>
      <c r="D83" s="61"/>
      <c r="E83" s="62">
        <f>O83+Y83+AA83+AE83</f>
        <v>0</v>
      </c>
      <c r="F83" s="61"/>
      <c r="G83" s="30"/>
      <c r="H83" s="30"/>
      <c r="I83" s="30"/>
      <c r="J83" s="30"/>
      <c r="K83" s="30">
        <f>SUM(G83:J83)</f>
        <v>0</v>
      </c>
      <c r="L83" s="30"/>
      <c r="M83" s="30"/>
      <c r="N83" s="30"/>
      <c r="O83" s="62">
        <f>SUM(K83:N83)</f>
        <v>0</v>
      </c>
      <c r="P83" s="61"/>
      <c r="Q83" s="30"/>
      <c r="R83" s="30"/>
      <c r="S83" s="30"/>
      <c r="T83" s="30"/>
      <c r="U83" s="30"/>
      <c r="V83" s="30"/>
      <c r="W83" s="30"/>
      <c r="X83" s="30"/>
      <c r="Y83" s="62">
        <f>SUM(Q83:X83)</f>
        <v>0</v>
      </c>
      <c r="Z83" s="61"/>
      <c r="AA83" s="62"/>
      <c r="AB83" s="63"/>
      <c r="AC83" s="15"/>
      <c r="AD83" s="15"/>
      <c r="AE83" s="23">
        <f>AC83+AD83</f>
        <v>0</v>
      </c>
    </row>
    <row r="84" spans="2:31" ht="16" customHeight="1" x14ac:dyDescent="0.35">
      <c r="B84" s="14" t="s">
        <v>142</v>
      </c>
      <c r="C84" s="14" t="s">
        <v>143</v>
      </c>
      <c r="D84" s="61"/>
      <c r="E84" s="62">
        <f>O84+Y84+AA84+AE84</f>
        <v>0</v>
      </c>
      <c r="F84" s="61"/>
      <c r="G84" s="30"/>
      <c r="H84" s="30"/>
      <c r="I84" s="30"/>
      <c r="J84" s="30"/>
      <c r="K84" s="30">
        <f>SUM(G84:J84)</f>
        <v>0</v>
      </c>
      <c r="L84" s="30"/>
      <c r="M84" s="30"/>
      <c r="N84" s="30"/>
      <c r="O84" s="62">
        <f>SUM(K84:N84)</f>
        <v>0</v>
      </c>
      <c r="P84" s="61"/>
      <c r="Q84" s="30"/>
      <c r="R84" s="30"/>
      <c r="S84" s="30"/>
      <c r="T84" s="30"/>
      <c r="U84" s="30"/>
      <c r="V84" s="30"/>
      <c r="W84" s="30"/>
      <c r="X84" s="30"/>
      <c r="Y84" s="62">
        <f>SUM(Q84:X84)</f>
        <v>0</v>
      </c>
      <c r="Z84" s="61"/>
      <c r="AA84" s="62"/>
      <c r="AB84" s="63"/>
      <c r="AC84" s="15"/>
      <c r="AD84" s="15"/>
      <c r="AE84" s="23">
        <f>AC84+AD84</f>
        <v>0</v>
      </c>
    </row>
    <row r="85" spans="2:31" ht="16" customHeight="1" x14ac:dyDescent="0.35">
      <c r="B85" s="14" t="s">
        <v>144</v>
      </c>
      <c r="C85" s="14" t="s">
        <v>145</v>
      </c>
      <c r="D85" s="61"/>
      <c r="E85" s="62">
        <f>O85+Y85+AA85+AE85</f>
        <v>0</v>
      </c>
      <c r="F85" s="61"/>
      <c r="G85" s="30"/>
      <c r="H85" s="30"/>
      <c r="I85" s="30"/>
      <c r="J85" s="30"/>
      <c r="K85" s="30">
        <f>SUM(G85:J85)</f>
        <v>0</v>
      </c>
      <c r="L85" s="30"/>
      <c r="M85" s="30"/>
      <c r="N85" s="30"/>
      <c r="O85" s="62">
        <f>SUM(K85:N85)</f>
        <v>0</v>
      </c>
      <c r="P85" s="61"/>
      <c r="Q85" s="30"/>
      <c r="R85" s="30"/>
      <c r="S85" s="30"/>
      <c r="T85" s="30"/>
      <c r="U85" s="30"/>
      <c r="V85" s="30"/>
      <c r="W85" s="30"/>
      <c r="X85" s="30"/>
      <c r="Y85" s="62">
        <f>SUM(Q85:X85)</f>
        <v>0</v>
      </c>
      <c r="Z85" s="61"/>
      <c r="AA85" s="62"/>
      <c r="AB85" s="63"/>
      <c r="AC85" s="15"/>
      <c r="AD85" s="15"/>
      <c r="AE85" s="23">
        <f>AC85+AD85</f>
        <v>0</v>
      </c>
    </row>
    <row r="86" spans="2:31" ht="16" customHeight="1" x14ac:dyDescent="0.35">
      <c r="B86" s="14" t="s">
        <v>146</v>
      </c>
      <c r="C86" s="14" t="s">
        <v>147</v>
      </c>
      <c r="D86" s="61"/>
      <c r="E86" s="62">
        <f>O86+Y86+AA86+AE86</f>
        <v>0</v>
      </c>
      <c r="F86" s="61"/>
      <c r="G86" s="30"/>
      <c r="H86" s="30"/>
      <c r="I86" s="30"/>
      <c r="J86" s="30"/>
      <c r="K86" s="30">
        <f>SUM(G86:J86)</f>
        <v>0</v>
      </c>
      <c r="L86" s="30"/>
      <c r="M86" s="30"/>
      <c r="N86" s="30"/>
      <c r="O86" s="62">
        <f>SUM(K86:N86)</f>
        <v>0</v>
      </c>
      <c r="P86" s="61"/>
      <c r="Q86" s="30"/>
      <c r="R86" s="30"/>
      <c r="S86" s="30"/>
      <c r="T86" s="30"/>
      <c r="U86" s="30"/>
      <c r="V86" s="30"/>
      <c r="W86" s="30"/>
      <c r="X86" s="30"/>
      <c r="Y86" s="62">
        <f>SUM(Q86:X86)</f>
        <v>0</v>
      </c>
      <c r="Z86" s="61"/>
      <c r="AA86" s="62"/>
      <c r="AB86" s="63"/>
      <c r="AC86" s="15"/>
      <c r="AD86" s="15"/>
      <c r="AE86" s="23">
        <f>AC86+AD86</f>
        <v>0</v>
      </c>
    </row>
    <row r="87" spans="2:31" ht="16" customHeight="1" x14ac:dyDescent="0.35">
      <c r="B87" s="14" t="s">
        <v>148</v>
      </c>
      <c r="C87" s="14" t="s">
        <v>149</v>
      </c>
      <c r="D87" s="61"/>
      <c r="E87" s="62">
        <f>O87+Y87+AA87+AE87</f>
        <v>0</v>
      </c>
      <c r="F87" s="61"/>
      <c r="G87" s="30"/>
      <c r="H87" s="30"/>
      <c r="I87" s="30"/>
      <c r="J87" s="30"/>
      <c r="K87" s="30">
        <f>SUM(G87:J87)</f>
        <v>0</v>
      </c>
      <c r="L87" s="30"/>
      <c r="M87" s="30"/>
      <c r="N87" s="30"/>
      <c r="O87" s="62">
        <f>SUM(K87:N87)</f>
        <v>0</v>
      </c>
      <c r="P87" s="61"/>
      <c r="Q87" s="30"/>
      <c r="R87" s="30"/>
      <c r="S87" s="30"/>
      <c r="T87" s="30"/>
      <c r="U87" s="30"/>
      <c r="V87" s="30"/>
      <c r="W87" s="30"/>
      <c r="X87" s="30"/>
      <c r="Y87" s="62">
        <f>SUM(Q87:X87)</f>
        <v>0</v>
      </c>
      <c r="Z87" s="61"/>
      <c r="AA87" s="62"/>
      <c r="AB87" s="63"/>
      <c r="AC87" s="15"/>
      <c r="AD87" s="15"/>
      <c r="AE87" s="23">
        <f>AC87+AD87</f>
        <v>0</v>
      </c>
    </row>
    <row r="88" spans="2:31" ht="16" customHeight="1" x14ac:dyDescent="0.35">
      <c r="B88" s="16" t="s">
        <v>150</v>
      </c>
      <c r="C88" s="16" t="s">
        <v>151</v>
      </c>
      <c r="D88" s="64"/>
      <c r="E88" s="53">
        <f>-(-(E83+E84)-E85-E86-E87)</f>
        <v>0</v>
      </c>
      <c r="F88" s="64"/>
      <c r="G88" s="31">
        <f t="shared" ref="G88:O88" si="44">-(-(G83+G84)-G85-G86-G87)</f>
        <v>0</v>
      </c>
      <c r="H88" s="31">
        <f t="shared" si="44"/>
        <v>0</v>
      </c>
      <c r="I88" s="31">
        <f t="shared" si="44"/>
        <v>0</v>
      </c>
      <c r="J88" s="31">
        <f t="shared" si="44"/>
        <v>0</v>
      </c>
      <c r="K88" s="31">
        <f t="shared" si="44"/>
        <v>0</v>
      </c>
      <c r="L88" s="31">
        <f t="shared" si="44"/>
        <v>0</v>
      </c>
      <c r="M88" s="31">
        <f t="shared" si="44"/>
        <v>0</v>
      </c>
      <c r="N88" s="31">
        <f t="shared" si="44"/>
        <v>0</v>
      </c>
      <c r="O88" s="53">
        <f t="shared" si="44"/>
        <v>0</v>
      </c>
      <c r="P88" s="64"/>
      <c r="Q88" s="31">
        <f t="shared" ref="Q88:Y88" si="45">-(-(Q83+Q84)-Q85-Q86-Q87)</f>
        <v>0</v>
      </c>
      <c r="R88" s="31">
        <f t="shared" si="45"/>
        <v>0</v>
      </c>
      <c r="S88" s="31">
        <f t="shared" si="45"/>
        <v>0</v>
      </c>
      <c r="T88" s="31">
        <f t="shared" si="45"/>
        <v>0</v>
      </c>
      <c r="U88" s="31">
        <f t="shared" si="45"/>
        <v>0</v>
      </c>
      <c r="V88" s="31">
        <f t="shared" si="45"/>
        <v>0</v>
      </c>
      <c r="W88" s="31">
        <f t="shared" si="45"/>
        <v>0</v>
      </c>
      <c r="X88" s="31">
        <f t="shared" si="45"/>
        <v>0</v>
      </c>
      <c r="Y88" s="53">
        <f t="shared" si="45"/>
        <v>0</v>
      </c>
      <c r="Z88" s="64"/>
      <c r="AA88" s="53">
        <f>-(-(AA83+AA84)-AA85-AA86-AA87)</f>
        <v>0</v>
      </c>
      <c r="AB88" s="65"/>
      <c r="AC88" s="17">
        <f>-(-(AC83+AC84)-AC85-AC86-AC87)</f>
        <v>0</v>
      </c>
      <c r="AD88" s="17">
        <f>-(-(AD83+AD84)-AD85-AD86-AD87)</f>
        <v>0</v>
      </c>
      <c r="AE88" s="24">
        <f>-(-(AE83+AE84)-AE85-AE86-AE87)</f>
        <v>0</v>
      </c>
    </row>
    <row r="89" spans="2:31" ht="16" customHeight="1" x14ac:dyDescent="0.35">
      <c r="B89" s="11" t="s">
        <v>152</v>
      </c>
      <c r="C89" s="11" t="s">
        <v>22</v>
      </c>
      <c r="D89" s="29"/>
      <c r="E89" s="60"/>
      <c r="F89" s="29"/>
      <c r="G89" s="29"/>
      <c r="H89" s="29"/>
      <c r="I89" s="29"/>
      <c r="J89" s="29"/>
      <c r="K89" s="29"/>
      <c r="L89" s="29"/>
      <c r="M89" s="29"/>
      <c r="N89" s="29"/>
      <c r="O89" s="60"/>
      <c r="P89" s="29"/>
      <c r="Q89" s="29"/>
      <c r="R89" s="29"/>
      <c r="S89" s="29"/>
      <c r="T89" s="29"/>
      <c r="U89" s="29"/>
      <c r="V89" s="29"/>
      <c r="W89" s="29"/>
      <c r="X89" s="29"/>
      <c r="Y89" s="60"/>
      <c r="Z89" s="29"/>
      <c r="AA89" s="60"/>
      <c r="AB89" s="12"/>
      <c r="AC89" s="12"/>
      <c r="AD89" s="12"/>
      <c r="AE89" s="22"/>
    </row>
    <row r="90" spans="2:31" ht="16" customHeight="1" x14ac:dyDescent="0.35">
      <c r="B90" s="14" t="s">
        <v>153</v>
      </c>
      <c r="C90" s="14" t="s">
        <v>154</v>
      </c>
      <c r="D90" s="61"/>
      <c r="E90" s="62">
        <f>O90+Y90+AA90+AE90</f>
        <v>0</v>
      </c>
      <c r="F90" s="61"/>
      <c r="G90" s="30"/>
      <c r="H90" s="30"/>
      <c r="I90" s="30"/>
      <c r="J90" s="30"/>
      <c r="K90" s="30">
        <f>SUM(G90:J90)</f>
        <v>0</v>
      </c>
      <c r="L90" s="30"/>
      <c r="M90" s="30"/>
      <c r="N90" s="30"/>
      <c r="O90" s="62">
        <f>SUM(K90:N90)</f>
        <v>0</v>
      </c>
      <c r="P90" s="61"/>
      <c r="Q90" s="30"/>
      <c r="R90" s="30"/>
      <c r="S90" s="30"/>
      <c r="T90" s="30"/>
      <c r="U90" s="30"/>
      <c r="V90" s="30"/>
      <c r="W90" s="30"/>
      <c r="X90" s="30"/>
      <c r="Y90" s="62">
        <f>SUM(Q90:X90)</f>
        <v>0</v>
      </c>
      <c r="Z90" s="61"/>
      <c r="AA90" s="62"/>
      <c r="AB90" s="63"/>
      <c r="AC90" s="15"/>
      <c r="AD90" s="15"/>
      <c r="AE90" s="23">
        <f>AC90+AD90</f>
        <v>0</v>
      </c>
    </row>
    <row r="91" spans="2:31" ht="16" customHeight="1" x14ac:dyDescent="0.35">
      <c r="B91" s="14" t="s">
        <v>155</v>
      </c>
      <c r="C91" s="14" t="s">
        <v>156</v>
      </c>
      <c r="D91" s="61"/>
      <c r="E91" s="62">
        <f>O91+Y91+AA91+AE91</f>
        <v>0</v>
      </c>
      <c r="F91" s="61"/>
      <c r="G91" s="30"/>
      <c r="H91" s="30"/>
      <c r="I91" s="30"/>
      <c r="J91" s="30"/>
      <c r="K91" s="30">
        <f>SUM(G91:J91)</f>
        <v>0</v>
      </c>
      <c r="L91" s="30"/>
      <c r="M91" s="30"/>
      <c r="N91" s="30"/>
      <c r="O91" s="62">
        <f>SUM(K91:N91)</f>
        <v>0</v>
      </c>
      <c r="P91" s="61"/>
      <c r="Q91" s="30"/>
      <c r="R91" s="30"/>
      <c r="S91" s="30"/>
      <c r="T91" s="30"/>
      <c r="U91" s="30"/>
      <c r="V91" s="30"/>
      <c r="W91" s="30"/>
      <c r="X91" s="30"/>
      <c r="Y91" s="62">
        <f>SUM(Q91:X91)</f>
        <v>0</v>
      </c>
      <c r="Z91" s="61"/>
      <c r="AA91" s="62"/>
      <c r="AB91" s="63"/>
      <c r="AC91" s="15"/>
      <c r="AD91" s="15"/>
      <c r="AE91" s="23">
        <f>AC91+AD91</f>
        <v>0</v>
      </c>
    </row>
    <row r="92" spans="2:31" ht="16" customHeight="1" x14ac:dyDescent="0.35">
      <c r="B92" s="14" t="s">
        <v>157</v>
      </c>
      <c r="C92" s="14" t="s">
        <v>158</v>
      </c>
      <c r="D92" s="61"/>
      <c r="E92" s="62">
        <f>O92+Y92+AA92+AE92</f>
        <v>0</v>
      </c>
      <c r="F92" s="61"/>
      <c r="G92" s="30"/>
      <c r="H92" s="30"/>
      <c r="I92" s="30"/>
      <c r="J92" s="30"/>
      <c r="K92" s="30">
        <f>SUM(G92:J92)</f>
        <v>0</v>
      </c>
      <c r="L92" s="30"/>
      <c r="M92" s="30"/>
      <c r="N92" s="30"/>
      <c r="O92" s="62">
        <f>SUM(K92:N92)</f>
        <v>0</v>
      </c>
      <c r="P92" s="61"/>
      <c r="Q92" s="30"/>
      <c r="R92" s="30"/>
      <c r="S92" s="30"/>
      <c r="T92" s="30"/>
      <c r="U92" s="30"/>
      <c r="V92" s="30"/>
      <c r="W92" s="30"/>
      <c r="X92" s="30"/>
      <c r="Y92" s="62">
        <f>SUM(Q92:X92)</f>
        <v>0</v>
      </c>
      <c r="Z92" s="61"/>
      <c r="AA92" s="62"/>
      <c r="AB92" s="63"/>
      <c r="AC92" s="15"/>
      <c r="AD92" s="15"/>
      <c r="AE92" s="23">
        <f>AC92+AD92</f>
        <v>0</v>
      </c>
    </row>
    <row r="93" spans="2:31" ht="16" customHeight="1" x14ac:dyDescent="0.35">
      <c r="B93" s="14" t="s">
        <v>159</v>
      </c>
      <c r="C93" s="14" t="s">
        <v>160</v>
      </c>
      <c r="D93" s="61"/>
      <c r="E93" s="62">
        <f>O93+Y93+AA93+AE93</f>
        <v>0</v>
      </c>
      <c r="F93" s="61"/>
      <c r="G93" s="30"/>
      <c r="H93" s="30"/>
      <c r="I93" s="30"/>
      <c r="J93" s="30"/>
      <c r="K93" s="30">
        <f>SUM(G93:J93)</f>
        <v>0</v>
      </c>
      <c r="L93" s="30"/>
      <c r="M93" s="30"/>
      <c r="N93" s="30"/>
      <c r="O93" s="62">
        <f>SUM(K93:N93)</f>
        <v>0</v>
      </c>
      <c r="P93" s="61"/>
      <c r="Q93" s="30"/>
      <c r="R93" s="30"/>
      <c r="S93" s="30"/>
      <c r="T93" s="30"/>
      <c r="U93" s="30"/>
      <c r="V93" s="30"/>
      <c r="W93" s="30"/>
      <c r="X93" s="30"/>
      <c r="Y93" s="62">
        <f>SUM(Q93:X93)</f>
        <v>0</v>
      </c>
      <c r="Z93" s="61"/>
      <c r="AA93" s="62"/>
      <c r="AB93" s="63"/>
      <c r="AC93" s="15"/>
      <c r="AD93" s="15"/>
      <c r="AE93" s="23">
        <f>AC93+AD93</f>
        <v>0</v>
      </c>
    </row>
    <row r="94" spans="2:31" ht="16" customHeight="1" x14ac:dyDescent="0.35">
      <c r="B94" s="14" t="s">
        <v>161</v>
      </c>
      <c r="C94" s="14" t="s">
        <v>162</v>
      </c>
      <c r="D94" s="61"/>
      <c r="E94" s="62">
        <f>O94+Y94+AA94+AE94</f>
        <v>0</v>
      </c>
      <c r="F94" s="61"/>
      <c r="G94" s="30"/>
      <c r="H94" s="30"/>
      <c r="I94" s="30"/>
      <c r="J94" s="30"/>
      <c r="K94" s="30">
        <f>SUM(G94:J94)</f>
        <v>0</v>
      </c>
      <c r="L94" s="30"/>
      <c r="M94" s="30"/>
      <c r="N94" s="30"/>
      <c r="O94" s="62">
        <f>SUM(K94:N94)</f>
        <v>0</v>
      </c>
      <c r="P94" s="61"/>
      <c r="Q94" s="30"/>
      <c r="R94" s="30"/>
      <c r="S94" s="30"/>
      <c r="T94" s="30"/>
      <c r="U94" s="30"/>
      <c r="V94" s="30"/>
      <c r="W94" s="30"/>
      <c r="X94" s="30"/>
      <c r="Y94" s="62">
        <f>SUM(Q94:X94)</f>
        <v>0</v>
      </c>
      <c r="Z94" s="61"/>
      <c r="AA94" s="62"/>
      <c r="AB94" s="63"/>
      <c r="AC94" s="15"/>
      <c r="AD94" s="15"/>
      <c r="AE94" s="23">
        <f>AC94+AD94</f>
        <v>0</v>
      </c>
    </row>
    <row r="95" spans="2:31" ht="16" customHeight="1" x14ac:dyDescent="0.35">
      <c r="B95" s="16" t="s">
        <v>163</v>
      </c>
      <c r="C95" s="16" t="s">
        <v>164</v>
      </c>
      <c r="D95" s="64"/>
      <c r="E95" s="53">
        <f>-(-(E90+E91)-E92-E93-E94)</f>
        <v>0</v>
      </c>
      <c r="F95" s="64"/>
      <c r="G95" s="31">
        <f t="shared" ref="G95:O95" si="46">-(-(G90+G91)-G92-G93-G94)</f>
        <v>0</v>
      </c>
      <c r="H95" s="31">
        <f t="shared" si="46"/>
        <v>0</v>
      </c>
      <c r="I95" s="31">
        <f t="shared" si="46"/>
        <v>0</v>
      </c>
      <c r="J95" s="31">
        <f t="shared" si="46"/>
        <v>0</v>
      </c>
      <c r="K95" s="31">
        <f t="shared" si="46"/>
        <v>0</v>
      </c>
      <c r="L95" s="31">
        <f t="shared" si="46"/>
        <v>0</v>
      </c>
      <c r="M95" s="31">
        <f t="shared" si="46"/>
        <v>0</v>
      </c>
      <c r="N95" s="31">
        <f t="shared" si="46"/>
        <v>0</v>
      </c>
      <c r="O95" s="53">
        <f t="shared" si="46"/>
        <v>0</v>
      </c>
      <c r="P95" s="64"/>
      <c r="Q95" s="31">
        <f t="shared" ref="Q95:Y95" si="47">-(-(Q90+Q91)-Q92-Q93-Q94)</f>
        <v>0</v>
      </c>
      <c r="R95" s="31">
        <f t="shared" si="47"/>
        <v>0</v>
      </c>
      <c r="S95" s="31">
        <f t="shared" si="47"/>
        <v>0</v>
      </c>
      <c r="T95" s="31">
        <f t="shared" si="47"/>
        <v>0</v>
      </c>
      <c r="U95" s="31">
        <f t="shared" si="47"/>
        <v>0</v>
      </c>
      <c r="V95" s="31">
        <f t="shared" si="47"/>
        <v>0</v>
      </c>
      <c r="W95" s="31">
        <f t="shared" si="47"/>
        <v>0</v>
      </c>
      <c r="X95" s="31">
        <f t="shared" si="47"/>
        <v>0</v>
      </c>
      <c r="Y95" s="53">
        <f t="shared" si="47"/>
        <v>0</v>
      </c>
      <c r="Z95" s="64"/>
      <c r="AA95" s="53">
        <f>-(-(AA90+AA91)-AA92-AA93-AA94)</f>
        <v>0</v>
      </c>
      <c r="AB95" s="65"/>
      <c r="AC95" s="17">
        <f>-(-(AC90+AC91)-AC92-AC93-AC94)</f>
        <v>0</v>
      </c>
      <c r="AD95" s="17">
        <f>-(-(AD90+AD91)-AD92-AD93-AD94)</f>
        <v>0</v>
      </c>
      <c r="AE95" s="24">
        <f>-(-(AE90+AE91)-AE92-AE93-AE94)</f>
        <v>0</v>
      </c>
    </row>
    <row r="96" spans="2:31" ht="16" customHeight="1" x14ac:dyDescent="0.35">
      <c r="B96" s="11" t="s">
        <v>165</v>
      </c>
      <c r="C96" s="11" t="s">
        <v>22</v>
      </c>
      <c r="D96" s="29"/>
      <c r="E96" s="60"/>
      <c r="F96" s="29"/>
      <c r="G96" s="29"/>
      <c r="H96" s="29"/>
      <c r="I96" s="29"/>
      <c r="J96" s="29"/>
      <c r="K96" s="29"/>
      <c r="L96" s="29"/>
      <c r="M96" s="29"/>
      <c r="N96" s="29"/>
      <c r="O96" s="60"/>
      <c r="P96" s="29"/>
      <c r="Q96" s="29"/>
      <c r="R96" s="29"/>
      <c r="S96" s="29"/>
      <c r="T96" s="29"/>
      <c r="U96" s="29"/>
      <c r="V96" s="29"/>
      <c r="W96" s="29"/>
      <c r="X96" s="29"/>
      <c r="Y96" s="60"/>
      <c r="Z96" s="29"/>
      <c r="AA96" s="60"/>
      <c r="AB96" s="12"/>
      <c r="AC96" s="12"/>
      <c r="AD96" s="12"/>
      <c r="AE96" s="22"/>
    </row>
    <row r="97" spans="2:31" ht="16" customHeight="1" x14ac:dyDescent="0.35">
      <c r="B97" s="14" t="s">
        <v>166</v>
      </c>
      <c r="C97" s="14" t="s">
        <v>167</v>
      </c>
      <c r="D97" s="61"/>
      <c r="E97" s="62">
        <f>O97+Y97+AA97+AE97</f>
        <v>0</v>
      </c>
      <c r="F97" s="61"/>
      <c r="G97" s="30"/>
      <c r="H97" s="30"/>
      <c r="I97" s="30"/>
      <c r="J97" s="30"/>
      <c r="K97" s="30">
        <f>SUM(G97:J97)</f>
        <v>0</v>
      </c>
      <c r="L97" s="30"/>
      <c r="M97" s="30"/>
      <c r="N97" s="30"/>
      <c r="O97" s="62">
        <f>SUM(K97:N97)</f>
        <v>0</v>
      </c>
      <c r="P97" s="61"/>
      <c r="Q97" s="30"/>
      <c r="R97" s="30"/>
      <c r="S97" s="30"/>
      <c r="T97" s="30"/>
      <c r="U97" s="30"/>
      <c r="V97" s="30"/>
      <c r="W97" s="30"/>
      <c r="X97" s="30"/>
      <c r="Y97" s="62">
        <f>SUM(Q97:X97)</f>
        <v>0</v>
      </c>
      <c r="Z97" s="61"/>
      <c r="AA97" s="62"/>
      <c r="AB97" s="63"/>
      <c r="AC97" s="15"/>
      <c r="AD97" s="15"/>
      <c r="AE97" s="23">
        <f>AC97+AD97</f>
        <v>0</v>
      </c>
    </row>
    <row r="98" spans="2:31" ht="16" customHeight="1" thickBot="1" x14ac:dyDescent="0.4">
      <c r="B98" s="11" t="s">
        <v>168</v>
      </c>
      <c r="C98" s="11" t="s">
        <v>22</v>
      </c>
      <c r="D98" s="29"/>
      <c r="E98" s="60"/>
      <c r="F98" s="29"/>
      <c r="G98" s="29"/>
      <c r="H98" s="29"/>
      <c r="I98" s="29"/>
      <c r="J98" s="29"/>
      <c r="K98" s="29"/>
      <c r="L98" s="29"/>
      <c r="M98" s="29"/>
      <c r="N98" s="29"/>
      <c r="O98" s="60"/>
      <c r="P98" s="29"/>
      <c r="Q98" s="29"/>
      <c r="R98" s="29"/>
      <c r="S98" s="29"/>
      <c r="T98" s="29"/>
      <c r="U98" s="29"/>
      <c r="V98" s="29"/>
      <c r="W98" s="29"/>
      <c r="X98" s="29"/>
      <c r="Y98" s="60"/>
      <c r="Z98" s="29"/>
      <c r="AA98" s="60"/>
      <c r="AB98" s="12"/>
      <c r="AC98" s="12"/>
      <c r="AD98" s="12"/>
      <c r="AE98" s="22"/>
    </row>
    <row r="99" spans="2:31" ht="16" customHeight="1" thickBot="1" x14ac:dyDescent="0.4">
      <c r="B99" s="18" t="s">
        <v>169</v>
      </c>
      <c r="C99" s="18" t="s">
        <v>170</v>
      </c>
      <c r="D99" s="66"/>
      <c r="E99" s="67">
        <f>-(-(E81+E88)-E95-E97)</f>
        <v>215234.27264000001</v>
      </c>
      <c r="F99" s="66"/>
      <c r="G99" s="32">
        <f t="shared" ref="G99:O99" si="48">-(-(G81+G88)-G95-G97)</f>
        <v>206462.08089000007</v>
      </c>
      <c r="H99" s="32">
        <f t="shared" si="48"/>
        <v>9061.1038400000052</v>
      </c>
      <c r="I99" s="32">
        <f t="shared" si="48"/>
        <v>1026.6970399999989</v>
      </c>
      <c r="J99" s="32">
        <f t="shared" si="48"/>
        <v>0</v>
      </c>
      <c r="K99" s="32">
        <f t="shared" si="48"/>
        <v>216549.88177000007</v>
      </c>
      <c r="L99" s="32">
        <f t="shared" si="48"/>
        <v>0</v>
      </c>
      <c r="M99" s="32">
        <f t="shared" si="48"/>
        <v>0</v>
      </c>
      <c r="N99" s="32">
        <f t="shared" si="48"/>
        <v>0</v>
      </c>
      <c r="O99" s="67">
        <f t="shared" si="48"/>
        <v>216549.88177000007</v>
      </c>
      <c r="P99" s="66"/>
      <c r="Q99" s="32">
        <f t="shared" ref="Q99:Y99" si="49">-(-(Q81+Q88)-Q95-Q97)</f>
        <v>0</v>
      </c>
      <c r="R99" s="32">
        <f t="shared" si="49"/>
        <v>0</v>
      </c>
      <c r="S99" s="32">
        <f t="shared" si="49"/>
        <v>0</v>
      </c>
      <c r="T99" s="32">
        <f t="shared" si="49"/>
        <v>0</v>
      </c>
      <c r="U99" s="32">
        <f t="shared" si="49"/>
        <v>0</v>
      </c>
      <c r="V99" s="32">
        <f t="shared" si="49"/>
        <v>0</v>
      </c>
      <c r="W99" s="32">
        <f t="shared" si="49"/>
        <v>-1315.7893799999999</v>
      </c>
      <c r="X99" s="32">
        <f t="shared" si="49"/>
        <v>0</v>
      </c>
      <c r="Y99" s="67">
        <f t="shared" si="49"/>
        <v>-1315.7893799999999</v>
      </c>
      <c r="Z99" s="66"/>
      <c r="AA99" s="67">
        <f>-(-(AA81+AA88)-AA95-AA97)</f>
        <v>0</v>
      </c>
      <c r="AB99" s="68"/>
      <c r="AC99" s="19">
        <f>-(-(AC81+AC88)-AC95-AC97)</f>
        <v>0.1802500000000325</v>
      </c>
      <c r="AD99" s="19">
        <f>-(-(AD81+AD88)-AD95-AD97)</f>
        <v>0</v>
      </c>
      <c r="AE99" s="25">
        <f>-(-(AE81+AE88)-AE95-AE97)</f>
        <v>0.1802500000000325</v>
      </c>
    </row>
    <row r="100" spans="2:31" ht="16" customHeight="1" x14ac:dyDescent="0.35">
      <c r="B100" s="11" t="s">
        <v>171</v>
      </c>
      <c r="C100" s="11" t="s">
        <v>22</v>
      </c>
      <c r="D100" s="29"/>
      <c r="E100" s="60"/>
      <c r="F100" s="29"/>
      <c r="G100" s="29"/>
      <c r="H100" s="29"/>
      <c r="I100" s="29"/>
      <c r="J100" s="29"/>
      <c r="K100" s="29"/>
      <c r="L100" s="29"/>
      <c r="M100" s="29"/>
      <c r="N100" s="29"/>
      <c r="O100" s="60"/>
      <c r="P100" s="29"/>
      <c r="Q100" s="29"/>
      <c r="R100" s="29"/>
      <c r="S100" s="29"/>
      <c r="T100" s="29"/>
      <c r="U100" s="29"/>
      <c r="V100" s="29"/>
      <c r="W100" s="29"/>
      <c r="X100" s="29"/>
      <c r="Y100" s="60"/>
      <c r="Z100" s="29"/>
      <c r="AA100" s="60"/>
      <c r="AB100" s="12"/>
      <c r="AC100" s="12"/>
      <c r="AD100" s="12"/>
      <c r="AE100" s="22"/>
    </row>
    <row r="101" spans="2:31" ht="16" customHeight="1" x14ac:dyDescent="0.35">
      <c r="B101" s="14" t="s">
        <v>172</v>
      </c>
      <c r="C101" s="14" t="s">
        <v>173</v>
      </c>
      <c r="D101" s="61"/>
      <c r="E101" s="62">
        <f>O101+Y101+AA101+AE101</f>
        <v>0</v>
      </c>
      <c r="F101" s="61"/>
      <c r="G101" s="30"/>
      <c r="H101" s="30"/>
      <c r="I101" s="30"/>
      <c r="J101" s="30"/>
      <c r="K101" s="30">
        <f>SUM(G101:J101)</f>
        <v>0</v>
      </c>
      <c r="L101" s="30"/>
      <c r="M101" s="30"/>
      <c r="N101" s="30"/>
      <c r="O101" s="62">
        <f>SUM(K101:N101)</f>
        <v>0</v>
      </c>
      <c r="P101" s="61"/>
      <c r="Q101" s="30"/>
      <c r="R101" s="30"/>
      <c r="S101" s="30"/>
      <c r="T101" s="30"/>
      <c r="U101" s="30"/>
      <c r="V101" s="30"/>
      <c r="W101" s="30"/>
      <c r="X101" s="30"/>
      <c r="Y101" s="62">
        <f>SUM(Q101:X101)</f>
        <v>0</v>
      </c>
      <c r="Z101" s="61"/>
      <c r="AA101" s="62"/>
      <c r="AB101" s="63"/>
      <c r="AC101" s="15"/>
      <c r="AD101" s="15"/>
      <c r="AE101" s="23">
        <f>AC101+AD101</f>
        <v>0</v>
      </c>
    </row>
    <row r="102" spans="2:31" ht="16" customHeight="1" x14ac:dyDescent="0.35">
      <c r="B102" s="14" t="s">
        <v>174</v>
      </c>
      <c r="C102" s="14" t="s">
        <v>175</v>
      </c>
      <c r="D102" s="61"/>
      <c r="E102" s="62">
        <f>O102+Y102+AA102+AE102</f>
        <v>0</v>
      </c>
      <c r="F102" s="61"/>
      <c r="G102" s="30"/>
      <c r="H102" s="30"/>
      <c r="I102" s="30"/>
      <c r="J102" s="30"/>
      <c r="K102" s="30">
        <f>SUM(G102:J102)</f>
        <v>0</v>
      </c>
      <c r="L102" s="30"/>
      <c r="M102" s="30"/>
      <c r="N102" s="30"/>
      <c r="O102" s="62">
        <f>SUM(K102:N102)</f>
        <v>0</v>
      </c>
      <c r="P102" s="61"/>
      <c r="Q102" s="30"/>
      <c r="R102" s="30"/>
      <c r="S102" s="30"/>
      <c r="T102" s="30"/>
      <c r="U102" s="30"/>
      <c r="V102" s="30"/>
      <c r="W102" s="30"/>
      <c r="X102" s="30"/>
      <c r="Y102" s="62">
        <f>SUM(Q102:X102)</f>
        <v>0</v>
      </c>
      <c r="Z102" s="61"/>
      <c r="AA102" s="62"/>
      <c r="AB102" s="63"/>
      <c r="AC102" s="15"/>
      <c r="AD102" s="15"/>
      <c r="AE102" s="23">
        <f>AC102+AD102</f>
        <v>0</v>
      </c>
    </row>
    <row r="103" spans="2:31" ht="16" customHeight="1" x14ac:dyDescent="0.35">
      <c r="B103" s="14" t="s">
        <v>176</v>
      </c>
      <c r="C103" s="14" t="s">
        <v>177</v>
      </c>
      <c r="D103" s="61"/>
      <c r="E103" s="62">
        <f>O103+Y103+AA103+AE103</f>
        <v>0</v>
      </c>
      <c r="F103" s="61"/>
      <c r="G103" s="30"/>
      <c r="H103" s="30"/>
      <c r="I103" s="30"/>
      <c r="J103" s="30"/>
      <c r="K103" s="30">
        <f>SUM(G103:J103)</f>
        <v>0</v>
      </c>
      <c r="L103" s="30"/>
      <c r="M103" s="30"/>
      <c r="N103" s="30"/>
      <c r="O103" s="62">
        <f>SUM(K103:N103)</f>
        <v>0</v>
      </c>
      <c r="P103" s="61"/>
      <c r="Q103" s="30"/>
      <c r="R103" s="30"/>
      <c r="S103" s="30"/>
      <c r="T103" s="30"/>
      <c r="U103" s="30"/>
      <c r="V103" s="30"/>
      <c r="W103" s="30"/>
      <c r="X103" s="30"/>
      <c r="Y103" s="62">
        <f>SUM(Q103:X103)</f>
        <v>0</v>
      </c>
      <c r="Z103" s="61"/>
      <c r="AA103" s="62"/>
      <c r="AB103" s="63"/>
      <c r="AC103" s="15"/>
      <c r="AD103" s="15"/>
      <c r="AE103" s="23">
        <f>AC103+AD103</f>
        <v>0</v>
      </c>
    </row>
    <row r="104" spans="2:31" ht="16" customHeight="1" x14ac:dyDescent="0.35">
      <c r="B104" s="14" t="s">
        <v>178</v>
      </c>
      <c r="C104" s="14" t="s">
        <v>179</v>
      </c>
      <c r="D104" s="61"/>
      <c r="E104" s="62">
        <f>O104+Y104+AA104+AE104</f>
        <v>0</v>
      </c>
      <c r="F104" s="61"/>
      <c r="G104" s="30"/>
      <c r="H104" s="30"/>
      <c r="I104" s="30"/>
      <c r="J104" s="30"/>
      <c r="K104" s="30">
        <f>SUM(G104:J104)</f>
        <v>0</v>
      </c>
      <c r="L104" s="30"/>
      <c r="M104" s="30"/>
      <c r="N104" s="30"/>
      <c r="O104" s="62">
        <f>SUM(K104:N104)</f>
        <v>0</v>
      </c>
      <c r="P104" s="61"/>
      <c r="Q104" s="30"/>
      <c r="R104" s="30"/>
      <c r="S104" s="30"/>
      <c r="T104" s="30"/>
      <c r="U104" s="30"/>
      <c r="V104" s="30"/>
      <c r="W104" s="30"/>
      <c r="X104" s="30"/>
      <c r="Y104" s="62">
        <f>SUM(Q104:X104)</f>
        <v>0</v>
      </c>
      <c r="Z104" s="61"/>
      <c r="AA104" s="62"/>
      <c r="AB104" s="63"/>
      <c r="AC104" s="15"/>
      <c r="AD104" s="15"/>
      <c r="AE104" s="23">
        <f>AC104+AD104</f>
        <v>0</v>
      </c>
    </row>
    <row r="105" spans="2:31" ht="16" customHeight="1" x14ac:dyDescent="0.35">
      <c r="B105" s="16" t="s">
        <v>180</v>
      </c>
      <c r="C105" s="16" t="s">
        <v>181</v>
      </c>
      <c r="D105" s="64"/>
      <c r="E105" s="53">
        <f>-(-(E101+E102)-E103-E104)</f>
        <v>0</v>
      </c>
      <c r="F105" s="64"/>
      <c r="G105" s="31">
        <f t="shared" ref="G105:O105" si="50">-(-(G101+G102)-G103-G104)</f>
        <v>0</v>
      </c>
      <c r="H105" s="31">
        <f t="shared" si="50"/>
        <v>0</v>
      </c>
      <c r="I105" s="31">
        <f t="shared" si="50"/>
        <v>0</v>
      </c>
      <c r="J105" s="31">
        <f t="shared" si="50"/>
        <v>0</v>
      </c>
      <c r="K105" s="31">
        <f t="shared" si="50"/>
        <v>0</v>
      </c>
      <c r="L105" s="31">
        <f t="shared" si="50"/>
        <v>0</v>
      </c>
      <c r="M105" s="31">
        <f t="shared" si="50"/>
        <v>0</v>
      </c>
      <c r="N105" s="31">
        <f t="shared" si="50"/>
        <v>0</v>
      </c>
      <c r="O105" s="53">
        <f t="shared" si="50"/>
        <v>0</v>
      </c>
      <c r="P105" s="64"/>
      <c r="Q105" s="31">
        <f t="shared" ref="Q105:Y105" si="51">-(-(Q101+Q102)-Q103-Q104)</f>
        <v>0</v>
      </c>
      <c r="R105" s="31">
        <f t="shared" si="51"/>
        <v>0</v>
      </c>
      <c r="S105" s="31">
        <f t="shared" si="51"/>
        <v>0</v>
      </c>
      <c r="T105" s="31">
        <f t="shared" si="51"/>
        <v>0</v>
      </c>
      <c r="U105" s="31">
        <f t="shared" si="51"/>
        <v>0</v>
      </c>
      <c r="V105" s="31">
        <f t="shared" si="51"/>
        <v>0</v>
      </c>
      <c r="W105" s="31">
        <f t="shared" si="51"/>
        <v>0</v>
      </c>
      <c r="X105" s="31">
        <f t="shared" si="51"/>
        <v>0</v>
      </c>
      <c r="Y105" s="53">
        <f t="shared" si="51"/>
        <v>0</v>
      </c>
      <c r="Z105" s="64"/>
      <c r="AA105" s="53">
        <f>-(-(AA101+AA102)-AA103-AA104)</f>
        <v>0</v>
      </c>
      <c r="AB105" s="65"/>
      <c r="AC105" s="17">
        <f>-(-(AC101+AC102)-AC103-AC104)</f>
        <v>0</v>
      </c>
      <c r="AD105" s="17">
        <f>-(-(AD101+AD102)-AD103-AD104)</f>
        <v>0</v>
      </c>
      <c r="AE105" s="24">
        <f>-(-(AE101+AE102)-AE103-AE104)</f>
        <v>0</v>
      </c>
    </row>
    <row r="106" spans="2:31" ht="16" customHeight="1" x14ac:dyDescent="0.35">
      <c r="B106" s="11" t="s">
        <v>182</v>
      </c>
      <c r="C106" s="11" t="s">
        <v>22</v>
      </c>
      <c r="D106" s="29"/>
      <c r="E106" s="60"/>
      <c r="F106" s="29"/>
      <c r="G106" s="29"/>
      <c r="H106" s="29"/>
      <c r="I106" s="29"/>
      <c r="J106" s="29"/>
      <c r="K106" s="29"/>
      <c r="L106" s="29"/>
      <c r="M106" s="29"/>
      <c r="N106" s="29"/>
      <c r="O106" s="60"/>
      <c r="P106" s="29"/>
      <c r="Q106" s="29"/>
      <c r="R106" s="29"/>
      <c r="S106" s="29"/>
      <c r="T106" s="29"/>
      <c r="U106" s="29"/>
      <c r="V106" s="29"/>
      <c r="W106" s="29"/>
      <c r="X106" s="29"/>
      <c r="Y106" s="60"/>
      <c r="Z106" s="29"/>
      <c r="AA106" s="60"/>
      <c r="AB106" s="12"/>
      <c r="AC106" s="12"/>
      <c r="AD106" s="12"/>
      <c r="AE106" s="22"/>
    </row>
    <row r="107" spans="2:31" ht="16" customHeight="1" x14ac:dyDescent="0.35">
      <c r="B107" s="14" t="s">
        <v>183</v>
      </c>
      <c r="C107" s="14" t="s">
        <v>184</v>
      </c>
      <c r="D107" s="61"/>
      <c r="E107" s="62">
        <f>O107+Y107+AA107+AE107</f>
        <v>0</v>
      </c>
      <c r="F107" s="61"/>
      <c r="G107" s="30"/>
      <c r="H107" s="30"/>
      <c r="I107" s="30"/>
      <c r="J107" s="30"/>
      <c r="K107" s="30">
        <f>SUM(G107:J107)</f>
        <v>0</v>
      </c>
      <c r="L107" s="30"/>
      <c r="M107" s="30"/>
      <c r="N107" s="30"/>
      <c r="O107" s="62">
        <f>SUM(K107:N107)</f>
        <v>0</v>
      </c>
      <c r="P107" s="61"/>
      <c r="Q107" s="30"/>
      <c r="R107" s="30"/>
      <c r="S107" s="30"/>
      <c r="T107" s="30"/>
      <c r="U107" s="30"/>
      <c r="V107" s="30"/>
      <c r="W107" s="30"/>
      <c r="X107" s="30"/>
      <c r="Y107" s="62">
        <f>SUM(Q107:X107)</f>
        <v>0</v>
      </c>
      <c r="Z107" s="61"/>
      <c r="AA107" s="62"/>
      <c r="AB107" s="63"/>
      <c r="AC107" s="15"/>
      <c r="AD107" s="15"/>
      <c r="AE107" s="23">
        <f>AC107+AD107</f>
        <v>0</v>
      </c>
    </row>
    <row r="108" spans="2:31" ht="16" customHeight="1" x14ac:dyDescent="0.35">
      <c r="B108" s="14" t="s">
        <v>185</v>
      </c>
      <c r="C108" s="14" t="s">
        <v>186</v>
      </c>
      <c r="D108" s="61"/>
      <c r="E108" s="62">
        <f>O108+Y108+AA108+AE108</f>
        <v>0</v>
      </c>
      <c r="F108" s="61"/>
      <c r="G108" s="30"/>
      <c r="H108" s="30"/>
      <c r="I108" s="30"/>
      <c r="J108" s="30"/>
      <c r="K108" s="30">
        <f>SUM(G108:J108)</f>
        <v>0</v>
      </c>
      <c r="L108" s="30"/>
      <c r="M108" s="30"/>
      <c r="N108" s="30"/>
      <c r="O108" s="62">
        <f>SUM(K108:N108)</f>
        <v>0</v>
      </c>
      <c r="P108" s="61"/>
      <c r="Q108" s="30"/>
      <c r="R108" s="30"/>
      <c r="S108" s="30"/>
      <c r="T108" s="30"/>
      <c r="U108" s="30"/>
      <c r="V108" s="30"/>
      <c r="W108" s="30"/>
      <c r="X108" s="30"/>
      <c r="Y108" s="62">
        <f>SUM(Q108:X108)</f>
        <v>0</v>
      </c>
      <c r="Z108" s="61"/>
      <c r="AA108" s="62"/>
      <c r="AB108" s="63"/>
      <c r="AC108" s="15"/>
      <c r="AD108" s="15"/>
      <c r="AE108" s="23">
        <f>AC108+AD108</f>
        <v>0</v>
      </c>
    </row>
    <row r="109" spans="2:31" ht="16" customHeight="1" x14ac:dyDescent="0.35">
      <c r="B109" s="14" t="s">
        <v>187</v>
      </c>
      <c r="C109" s="14" t="s">
        <v>188</v>
      </c>
      <c r="D109" s="61"/>
      <c r="E109" s="62">
        <f>O109+Y109+AA109+AE109</f>
        <v>0</v>
      </c>
      <c r="F109" s="61"/>
      <c r="G109" s="30"/>
      <c r="H109" s="30"/>
      <c r="I109" s="30"/>
      <c r="J109" s="30"/>
      <c r="K109" s="30">
        <f>SUM(G109:J109)</f>
        <v>0</v>
      </c>
      <c r="L109" s="30"/>
      <c r="M109" s="30"/>
      <c r="N109" s="30"/>
      <c r="O109" s="62">
        <f>SUM(K109:N109)</f>
        <v>0</v>
      </c>
      <c r="P109" s="61"/>
      <c r="Q109" s="30"/>
      <c r="R109" s="30"/>
      <c r="S109" s="30"/>
      <c r="T109" s="30"/>
      <c r="U109" s="30"/>
      <c r="V109" s="30"/>
      <c r="W109" s="30"/>
      <c r="X109" s="30"/>
      <c r="Y109" s="62">
        <f>SUM(Q109:X109)</f>
        <v>0</v>
      </c>
      <c r="Z109" s="61"/>
      <c r="AA109" s="62"/>
      <c r="AB109" s="63"/>
      <c r="AC109" s="15"/>
      <c r="AD109" s="15"/>
      <c r="AE109" s="23">
        <f>AC109+AD109</f>
        <v>0</v>
      </c>
    </row>
    <row r="110" spans="2:31" ht="16" customHeight="1" x14ac:dyDescent="0.35">
      <c r="B110" s="14" t="s">
        <v>189</v>
      </c>
      <c r="C110" s="14" t="s">
        <v>190</v>
      </c>
      <c r="D110" s="61"/>
      <c r="E110" s="62">
        <f>O110+Y110+AA110+AE110</f>
        <v>0</v>
      </c>
      <c r="F110" s="61"/>
      <c r="G110" s="30"/>
      <c r="H110" s="30"/>
      <c r="I110" s="30"/>
      <c r="J110" s="30"/>
      <c r="K110" s="30">
        <f>SUM(G110:J110)</f>
        <v>0</v>
      </c>
      <c r="L110" s="30"/>
      <c r="M110" s="30"/>
      <c r="N110" s="30"/>
      <c r="O110" s="62">
        <f>SUM(K110:N110)</f>
        <v>0</v>
      </c>
      <c r="P110" s="61"/>
      <c r="Q110" s="30"/>
      <c r="R110" s="30"/>
      <c r="S110" s="30"/>
      <c r="T110" s="30"/>
      <c r="U110" s="30"/>
      <c r="V110" s="30"/>
      <c r="W110" s="30"/>
      <c r="X110" s="30"/>
      <c r="Y110" s="62">
        <f>SUM(Q110:X110)</f>
        <v>0</v>
      </c>
      <c r="Z110" s="61"/>
      <c r="AA110" s="62"/>
      <c r="AB110" s="63"/>
      <c r="AC110" s="15"/>
      <c r="AD110" s="15"/>
      <c r="AE110" s="23">
        <f>AC110+AD110</f>
        <v>0</v>
      </c>
    </row>
    <row r="111" spans="2:31" ht="16" customHeight="1" x14ac:dyDescent="0.35">
      <c r="B111" s="16" t="s">
        <v>191</v>
      </c>
      <c r="C111" s="16" t="s">
        <v>192</v>
      </c>
      <c r="D111" s="64"/>
      <c r="E111" s="53">
        <f>-(-(E107+E108)-E109-E110)</f>
        <v>0</v>
      </c>
      <c r="F111" s="64"/>
      <c r="G111" s="31">
        <f t="shared" ref="G111:O111" si="52">-(-(G107+G108)-G109-G110)</f>
        <v>0</v>
      </c>
      <c r="H111" s="31">
        <f t="shared" si="52"/>
        <v>0</v>
      </c>
      <c r="I111" s="31">
        <f t="shared" si="52"/>
        <v>0</v>
      </c>
      <c r="J111" s="31">
        <f t="shared" si="52"/>
        <v>0</v>
      </c>
      <c r="K111" s="31">
        <f t="shared" si="52"/>
        <v>0</v>
      </c>
      <c r="L111" s="31">
        <f t="shared" si="52"/>
        <v>0</v>
      </c>
      <c r="M111" s="31">
        <f t="shared" si="52"/>
        <v>0</v>
      </c>
      <c r="N111" s="31">
        <f t="shared" si="52"/>
        <v>0</v>
      </c>
      <c r="O111" s="53">
        <f t="shared" si="52"/>
        <v>0</v>
      </c>
      <c r="P111" s="64"/>
      <c r="Q111" s="31">
        <f t="shared" ref="Q111:Y111" si="53">-(-(Q107+Q108)-Q109-Q110)</f>
        <v>0</v>
      </c>
      <c r="R111" s="31">
        <f t="shared" si="53"/>
        <v>0</v>
      </c>
      <c r="S111" s="31">
        <f t="shared" si="53"/>
        <v>0</v>
      </c>
      <c r="T111" s="31">
        <f t="shared" si="53"/>
        <v>0</v>
      </c>
      <c r="U111" s="31">
        <f t="shared" si="53"/>
        <v>0</v>
      </c>
      <c r="V111" s="31">
        <f t="shared" si="53"/>
        <v>0</v>
      </c>
      <c r="W111" s="31">
        <f t="shared" si="53"/>
        <v>0</v>
      </c>
      <c r="X111" s="31">
        <f t="shared" si="53"/>
        <v>0</v>
      </c>
      <c r="Y111" s="53">
        <f t="shared" si="53"/>
        <v>0</v>
      </c>
      <c r="Z111" s="64"/>
      <c r="AA111" s="53">
        <f>-(-(AA107+AA108)-AA109-AA110)</f>
        <v>0</v>
      </c>
      <c r="AB111" s="65"/>
      <c r="AC111" s="17">
        <f>-(-(AC107+AC108)-AC109-AC110)</f>
        <v>0</v>
      </c>
      <c r="AD111" s="17">
        <f>-(-(AD107+AD108)-AD109-AD110)</f>
        <v>0</v>
      </c>
      <c r="AE111" s="24">
        <f>-(-(AE107+AE108)-AE109-AE110)</f>
        <v>0</v>
      </c>
    </row>
    <row r="112" spans="2:31" ht="16" customHeight="1" x14ac:dyDescent="0.35">
      <c r="B112" s="11" t="s">
        <v>193</v>
      </c>
      <c r="C112" s="11" t="s">
        <v>22</v>
      </c>
      <c r="D112" s="29"/>
      <c r="E112" s="60"/>
      <c r="F112" s="29"/>
      <c r="G112" s="29"/>
      <c r="H112" s="29"/>
      <c r="I112" s="29"/>
      <c r="J112" s="29"/>
      <c r="K112" s="29"/>
      <c r="L112" s="29"/>
      <c r="M112" s="29"/>
      <c r="N112" s="29"/>
      <c r="O112" s="60"/>
      <c r="P112" s="29"/>
      <c r="Q112" s="29"/>
      <c r="R112" s="29"/>
      <c r="S112" s="29"/>
      <c r="T112" s="29"/>
      <c r="U112" s="29"/>
      <c r="V112" s="29"/>
      <c r="W112" s="29"/>
      <c r="X112" s="29"/>
      <c r="Y112" s="60"/>
      <c r="Z112" s="29"/>
      <c r="AA112" s="60"/>
      <c r="AB112" s="12"/>
      <c r="AC112" s="12"/>
      <c r="AD112" s="12"/>
      <c r="AE112" s="22"/>
    </row>
    <row r="113" spans="2:31" ht="16" customHeight="1" x14ac:dyDescent="0.35">
      <c r="B113" s="14" t="s">
        <v>194</v>
      </c>
      <c r="C113" s="14" t="s">
        <v>195</v>
      </c>
      <c r="D113" s="61"/>
      <c r="E113" s="62">
        <f>O113+Y113+AA113+AE113</f>
        <v>0</v>
      </c>
      <c r="F113" s="61"/>
      <c r="G113" s="30"/>
      <c r="H113" s="30"/>
      <c r="I113" s="30"/>
      <c r="J113" s="30"/>
      <c r="K113" s="30">
        <f>SUM(G113:J113)</f>
        <v>0</v>
      </c>
      <c r="L113" s="30"/>
      <c r="M113" s="30"/>
      <c r="N113" s="30"/>
      <c r="O113" s="62">
        <f>SUM(K113:N113)</f>
        <v>0</v>
      </c>
      <c r="P113" s="61"/>
      <c r="Q113" s="30"/>
      <c r="R113" s="30"/>
      <c r="S113" s="30"/>
      <c r="T113" s="30"/>
      <c r="U113" s="30"/>
      <c r="V113" s="30"/>
      <c r="W113" s="30"/>
      <c r="X113" s="30"/>
      <c r="Y113" s="62">
        <f>SUM(Q113:X113)</f>
        <v>0</v>
      </c>
      <c r="Z113" s="61"/>
      <c r="AA113" s="62"/>
      <c r="AB113" s="63"/>
      <c r="AC113" s="15"/>
      <c r="AD113" s="15"/>
      <c r="AE113" s="23">
        <f>AC113+AD113</f>
        <v>0</v>
      </c>
    </row>
    <row r="114" spans="2:31" ht="16" customHeight="1" x14ac:dyDescent="0.35">
      <c r="B114" s="14" t="s">
        <v>196</v>
      </c>
      <c r="C114" s="14" t="s">
        <v>197</v>
      </c>
      <c r="D114" s="61"/>
      <c r="E114" s="62">
        <f>O114+Y114+AA114+AE114</f>
        <v>0</v>
      </c>
      <c r="F114" s="61"/>
      <c r="G114" s="30"/>
      <c r="H114" s="30"/>
      <c r="I114" s="30"/>
      <c r="J114" s="30"/>
      <c r="K114" s="30">
        <f>SUM(G114:J114)</f>
        <v>0</v>
      </c>
      <c r="L114" s="30"/>
      <c r="M114" s="30"/>
      <c r="N114" s="30"/>
      <c r="O114" s="62">
        <f>SUM(K114:N114)</f>
        <v>0</v>
      </c>
      <c r="P114" s="61"/>
      <c r="Q114" s="30"/>
      <c r="R114" s="30"/>
      <c r="S114" s="30"/>
      <c r="T114" s="30"/>
      <c r="U114" s="30"/>
      <c r="V114" s="30"/>
      <c r="W114" s="30"/>
      <c r="X114" s="30"/>
      <c r="Y114" s="62">
        <f>SUM(Q114:X114)</f>
        <v>0</v>
      </c>
      <c r="Z114" s="61"/>
      <c r="AA114" s="62"/>
      <c r="AB114" s="63"/>
      <c r="AC114" s="15"/>
      <c r="AD114" s="15"/>
      <c r="AE114" s="23">
        <f>AC114+AD114</f>
        <v>0</v>
      </c>
    </row>
    <row r="115" spans="2:31" ht="16" customHeight="1" x14ac:dyDescent="0.35">
      <c r="B115" s="14" t="s">
        <v>198</v>
      </c>
      <c r="C115" s="14" t="s">
        <v>199</v>
      </c>
      <c r="D115" s="61"/>
      <c r="E115" s="62">
        <f>O115+Y115+AA115+AE115</f>
        <v>5686.5890799999997</v>
      </c>
      <c r="F115" s="61"/>
      <c r="G115" s="30"/>
      <c r="H115" s="30"/>
      <c r="I115" s="30"/>
      <c r="J115" s="30"/>
      <c r="K115" s="30">
        <f>SUM(G115:J115)</f>
        <v>0</v>
      </c>
      <c r="L115" s="30"/>
      <c r="M115" s="30"/>
      <c r="N115" s="30"/>
      <c r="O115" s="62">
        <f>SUM(K115:N115)</f>
        <v>0</v>
      </c>
      <c r="P115" s="61"/>
      <c r="Q115" s="30"/>
      <c r="R115" s="30"/>
      <c r="S115" s="30"/>
      <c r="T115" s="30"/>
      <c r="U115" s="30"/>
      <c r="V115" s="30"/>
      <c r="W115" s="30"/>
      <c r="X115" s="30"/>
      <c r="Y115" s="62">
        <f>SUM(Q115:X115)</f>
        <v>0</v>
      </c>
      <c r="Z115" s="61"/>
      <c r="AA115" s="62"/>
      <c r="AB115" s="63"/>
      <c r="AC115" s="15">
        <v>5686.5890799999997</v>
      </c>
      <c r="AD115" s="15"/>
      <c r="AE115" s="23">
        <f>AC115+AD115</f>
        <v>5686.5890799999997</v>
      </c>
    </row>
    <row r="116" spans="2:31" ht="16" customHeight="1" x14ac:dyDescent="0.35">
      <c r="B116" s="14" t="s">
        <v>200</v>
      </c>
      <c r="C116" s="14" t="s">
        <v>201</v>
      </c>
      <c r="D116" s="61"/>
      <c r="E116" s="62">
        <f>O116+Y116+AA116+AE116</f>
        <v>-2277.085</v>
      </c>
      <c r="F116" s="61"/>
      <c r="G116" s="30"/>
      <c r="H116" s="30"/>
      <c r="I116" s="30"/>
      <c r="J116" s="30"/>
      <c r="K116" s="30">
        <f>SUM(G116:J116)</f>
        <v>0</v>
      </c>
      <c r="L116" s="30"/>
      <c r="M116" s="30"/>
      <c r="N116" s="30"/>
      <c r="O116" s="62">
        <f>SUM(K116:N116)</f>
        <v>0</v>
      </c>
      <c r="P116" s="61"/>
      <c r="Q116" s="30"/>
      <c r="R116" s="30"/>
      <c r="S116" s="30"/>
      <c r="T116" s="30"/>
      <c r="U116" s="30"/>
      <c r="V116" s="30"/>
      <c r="W116" s="30"/>
      <c r="X116" s="30"/>
      <c r="Y116" s="62">
        <f>SUM(Q116:X116)</f>
        <v>0</v>
      </c>
      <c r="Z116" s="61"/>
      <c r="AA116" s="62"/>
      <c r="AB116" s="63"/>
      <c r="AC116" s="15">
        <v>-2277.085</v>
      </c>
      <c r="AD116" s="15"/>
      <c r="AE116" s="23">
        <f>AC116+AD116</f>
        <v>-2277.085</v>
      </c>
    </row>
    <row r="117" spans="2:31" ht="16" customHeight="1" x14ac:dyDescent="0.35">
      <c r="B117" s="14" t="s">
        <v>202</v>
      </c>
      <c r="C117" s="14" t="s">
        <v>203</v>
      </c>
      <c r="D117" s="61"/>
      <c r="E117" s="62">
        <f>O117+Y117+AA117+AE117</f>
        <v>73.328819999999993</v>
      </c>
      <c r="F117" s="61"/>
      <c r="G117" s="30"/>
      <c r="H117" s="30"/>
      <c r="I117" s="30"/>
      <c r="J117" s="30"/>
      <c r="K117" s="30">
        <f>SUM(G117:J117)</f>
        <v>0</v>
      </c>
      <c r="L117" s="30"/>
      <c r="M117" s="30"/>
      <c r="N117" s="30"/>
      <c r="O117" s="62">
        <f>SUM(K117:N117)</f>
        <v>0</v>
      </c>
      <c r="P117" s="61"/>
      <c r="Q117" s="30"/>
      <c r="R117" s="30"/>
      <c r="S117" s="30"/>
      <c r="T117" s="30"/>
      <c r="U117" s="30"/>
      <c r="V117" s="30"/>
      <c r="W117" s="30"/>
      <c r="X117" s="30"/>
      <c r="Y117" s="62">
        <f>SUM(Q117:X117)</f>
        <v>0</v>
      </c>
      <c r="Z117" s="61"/>
      <c r="AA117" s="62"/>
      <c r="AB117" s="63"/>
      <c r="AC117" s="15">
        <v>73.328819999999993</v>
      </c>
      <c r="AD117" s="15"/>
      <c r="AE117" s="23">
        <f>AC117+AD117</f>
        <v>73.328819999999993</v>
      </c>
    </row>
    <row r="118" spans="2:31" ht="16" customHeight="1" x14ac:dyDescent="0.35">
      <c r="B118" s="16" t="s">
        <v>204</v>
      </c>
      <c r="C118" s="16" t="s">
        <v>205</v>
      </c>
      <c r="D118" s="64"/>
      <c r="E118" s="53">
        <f>-(-(E113+E114)-E115-E116-E117)</f>
        <v>3482.8328999999999</v>
      </c>
      <c r="F118" s="64"/>
      <c r="G118" s="31">
        <f t="shared" ref="G118:O118" si="54">-(-(G113+G114)-G115-G116-G117)</f>
        <v>0</v>
      </c>
      <c r="H118" s="31">
        <f t="shared" si="54"/>
        <v>0</v>
      </c>
      <c r="I118" s="31">
        <f t="shared" si="54"/>
        <v>0</v>
      </c>
      <c r="J118" s="31">
        <f t="shared" si="54"/>
        <v>0</v>
      </c>
      <c r="K118" s="31">
        <f t="shared" si="54"/>
        <v>0</v>
      </c>
      <c r="L118" s="31">
        <f t="shared" si="54"/>
        <v>0</v>
      </c>
      <c r="M118" s="31">
        <f t="shared" si="54"/>
        <v>0</v>
      </c>
      <c r="N118" s="31">
        <f t="shared" si="54"/>
        <v>0</v>
      </c>
      <c r="O118" s="53">
        <f t="shared" si="54"/>
        <v>0</v>
      </c>
      <c r="P118" s="64"/>
      <c r="Q118" s="31">
        <f t="shared" ref="Q118:Y118" si="55">-(-(Q113+Q114)-Q115-Q116-Q117)</f>
        <v>0</v>
      </c>
      <c r="R118" s="31">
        <f t="shared" si="55"/>
        <v>0</v>
      </c>
      <c r="S118" s="31">
        <f t="shared" si="55"/>
        <v>0</v>
      </c>
      <c r="T118" s="31">
        <f t="shared" si="55"/>
        <v>0</v>
      </c>
      <c r="U118" s="31">
        <f t="shared" si="55"/>
        <v>0</v>
      </c>
      <c r="V118" s="31">
        <f t="shared" si="55"/>
        <v>0</v>
      </c>
      <c r="W118" s="31">
        <f t="shared" si="55"/>
        <v>0</v>
      </c>
      <c r="X118" s="31">
        <f t="shared" si="55"/>
        <v>0</v>
      </c>
      <c r="Y118" s="53">
        <f t="shared" si="55"/>
        <v>0</v>
      </c>
      <c r="Z118" s="64"/>
      <c r="AA118" s="53">
        <f>-(-(AA113+AA114)-AA115-AA116-AA117)</f>
        <v>0</v>
      </c>
      <c r="AB118" s="65"/>
      <c r="AC118" s="17">
        <f>-(-(AC113+AC114)-AC115-AC116-AC117)</f>
        <v>3482.8328999999999</v>
      </c>
      <c r="AD118" s="17">
        <f>-(-(AD113+AD114)-AD115-AD116-AD117)</f>
        <v>0</v>
      </c>
      <c r="AE118" s="24">
        <f>-(-(AE113+AE114)-AE115-AE116-AE117)</f>
        <v>3482.8328999999999</v>
      </c>
    </row>
    <row r="119" spans="2:31" ht="16" customHeight="1" thickBot="1" x14ac:dyDescent="0.4">
      <c r="B119" s="11" t="s">
        <v>206</v>
      </c>
      <c r="C119" s="11" t="s">
        <v>22</v>
      </c>
      <c r="D119" s="29"/>
      <c r="E119" s="60"/>
      <c r="F119" s="29"/>
      <c r="G119" s="29"/>
      <c r="H119" s="29"/>
      <c r="I119" s="29"/>
      <c r="J119" s="29"/>
      <c r="K119" s="29"/>
      <c r="L119" s="29"/>
      <c r="M119" s="29"/>
      <c r="N119" s="29"/>
      <c r="O119" s="60"/>
      <c r="P119" s="29"/>
      <c r="Q119" s="29"/>
      <c r="R119" s="29"/>
      <c r="S119" s="29"/>
      <c r="T119" s="29"/>
      <c r="U119" s="29"/>
      <c r="V119" s="29"/>
      <c r="W119" s="29"/>
      <c r="X119" s="29"/>
      <c r="Y119" s="60"/>
      <c r="Z119" s="29"/>
      <c r="AA119" s="60"/>
      <c r="AB119" s="12"/>
      <c r="AC119" s="12"/>
      <c r="AD119" s="12"/>
      <c r="AE119" s="22"/>
    </row>
    <row r="120" spans="2:31" ht="16" customHeight="1" thickBot="1" x14ac:dyDescent="0.4">
      <c r="B120" s="18" t="s">
        <v>207</v>
      </c>
      <c r="C120" s="18" t="s">
        <v>208</v>
      </c>
      <c r="D120" s="66"/>
      <c r="E120" s="67">
        <f>E111+E118</f>
        <v>3482.8328999999999</v>
      </c>
      <c r="F120" s="66"/>
      <c r="G120" s="32">
        <f t="shared" ref="G120:O120" si="56">G111+G118</f>
        <v>0</v>
      </c>
      <c r="H120" s="32">
        <f t="shared" si="56"/>
        <v>0</v>
      </c>
      <c r="I120" s="32">
        <f t="shared" si="56"/>
        <v>0</v>
      </c>
      <c r="J120" s="32">
        <f t="shared" si="56"/>
        <v>0</v>
      </c>
      <c r="K120" s="32">
        <f t="shared" si="56"/>
        <v>0</v>
      </c>
      <c r="L120" s="32">
        <f t="shared" si="56"/>
        <v>0</v>
      </c>
      <c r="M120" s="32">
        <f t="shared" si="56"/>
        <v>0</v>
      </c>
      <c r="N120" s="32">
        <f t="shared" si="56"/>
        <v>0</v>
      </c>
      <c r="O120" s="67">
        <f t="shared" si="56"/>
        <v>0</v>
      </c>
      <c r="P120" s="66"/>
      <c r="Q120" s="32">
        <f t="shared" ref="Q120:Y120" si="57">Q111+Q118</f>
        <v>0</v>
      </c>
      <c r="R120" s="32">
        <f t="shared" si="57"/>
        <v>0</v>
      </c>
      <c r="S120" s="32">
        <f t="shared" si="57"/>
        <v>0</v>
      </c>
      <c r="T120" s="32">
        <f t="shared" si="57"/>
        <v>0</v>
      </c>
      <c r="U120" s="32">
        <f t="shared" si="57"/>
        <v>0</v>
      </c>
      <c r="V120" s="32">
        <f t="shared" si="57"/>
        <v>0</v>
      </c>
      <c r="W120" s="32">
        <f t="shared" si="57"/>
        <v>0</v>
      </c>
      <c r="X120" s="32">
        <f t="shared" si="57"/>
        <v>0</v>
      </c>
      <c r="Y120" s="67">
        <f t="shared" si="57"/>
        <v>0</v>
      </c>
      <c r="Z120" s="66"/>
      <c r="AA120" s="67">
        <f>AA111+AA118</f>
        <v>0</v>
      </c>
      <c r="AB120" s="68"/>
      <c r="AC120" s="19">
        <f>AC111+AC118</f>
        <v>3482.8328999999999</v>
      </c>
      <c r="AD120" s="19">
        <f>AD111+AD118</f>
        <v>0</v>
      </c>
      <c r="AE120" s="25">
        <f>AE111+AE118</f>
        <v>3482.8328999999999</v>
      </c>
    </row>
    <row r="121" spans="2:31" ht="16" customHeight="1" x14ac:dyDescent="0.35">
      <c r="B121" s="11" t="s">
        <v>209</v>
      </c>
      <c r="C121" s="11" t="s">
        <v>22</v>
      </c>
      <c r="D121" s="29"/>
      <c r="E121" s="60"/>
      <c r="F121" s="29"/>
      <c r="G121" s="29"/>
      <c r="H121" s="29"/>
      <c r="I121" s="29"/>
      <c r="J121" s="29"/>
      <c r="K121" s="29"/>
      <c r="L121" s="29"/>
      <c r="M121" s="29"/>
      <c r="N121" s="29"/>
      <c r="O121" s="60"/>
      <c r="P121" s="29"/>
      <c r="Q121" s="29"/>
      <c r="R121" s="29"/>
      <c r="S121" s="29"/>
      <c r="T121" s="29"/>
      <c r="U121" s="29"/>
      <c r="V121" s="29"/>
      <c r="W121" s="29"/>
      <c r="X121" s="29"/>
      <c r="Y121" s="60"/>
      <c r="Z121" s="29"/>
      <c r="AA121" s="60"/>
      <c r="AB121" s="12"/>
      <c r="AC121" s="12"/>
      <c r="AD121" s="12"/>
      <c r="AE121" s="22"/>
    </row>
    <row r="122" spans="2:31" ht="16" customHeight="1" x14ac:dyDescent="0.35">
      <c r="B122" s="14" t="s">
        <v>210</v>
      </c>
      <c r="C122" s="14" t="s">
        <v>211</v>
      </c>
      <c r="D122" s="61"/>
      <c r="E122" s="62">
        <f t="shared" ref="E122:E129" si="58">O122+Y122+AA122+AE122</f>
        <v>-45327.306960000002</v>
      </c>
      <c r="F122" s="61"/>
      <c r="G122" s="30"/>
      <c r="H122" s="30"/>
      <c r="I122" s="30"/>
      <c r="J122" s="30"/>
      <c r="K122" s="30">
        <f t="shared" ref="K122:K129" si="59">SUM(G122:J122)</f>
        <v>0</v>
      </c>
      <c r="L122" s="30"/>
      <c r="M122" s="30"/>
      <c r="N122" s="30"/>
      <c r="O122" s="62">
        <f t="shared" ref="O122:O129" si="60">SUM(K122:N122)</f>
        <v>0</v>
      </c>
      <c r="P122" s="61"/>
      <c r="Q122" s="30"/>
      <c r="R122" s="30"/>
      <c r="S122" s="30"/>
      <c r="T122" s="30"/>
      <c r="U122" s="30"/>
      <c r="V122" s="30"/>
      <c r="W122" s="30"/>
      <c r="X122" s="30"/>
      <c r="Y122" s="62">
        <f t="shared" ref="Y122:Y129" si="61">SUM(Q122:X122)</f>
        <v>0</v>
      </c>
      <c r="Z122" s="61"/>
      <c r="AA122" s="62"/>
      <c r="AB122" s="63"/>
      <c r="AC122" s="15">
        <v>-45327.306960000002</v>
      </c>
      <c r="AD122" s="15"/>
      <c r="AE122" s="23">
        <f t="shared" ref="AE122:AE129" si="62">AC122+AD122</f>
        <v>-45327.306960000002</v>
      </c>
    </row>
    <row r="123" spans="2:31" ht="16" customHeight="1" x14ac:dyDescent="0.35">
      <c r="B123" s="14" t="s">
        <v>212</v>
      </c>
      <c r="C123" s="14" t="s">
        <v>213</v>
      </c>
      <c r="D123" s="61"/>
      <c r="E123" s="62">
        <f t="shared" si="58"/>
        <v>0</v>
      </c>
      <c r="F123" s="61"/>
      <c r="G123" s="30"/>
      <c r="H123" s="30"/>
      <c r="I123" s="30"/>
      <c r="J123" s="30"/>
      <c r="K123" s="30">
        <f t="shared" si="59"/>
        <v>0</v>
      </c>
      <c r="L123" s="30"/>
      <c r="M123" s="30"/>
      <c r="N123" s="30"/>
      <c r="O123" s="62">
        <f t="shared" si="60"/>
        <v>0</v>
      </c>
      <c r="P123" s="61"/>
      <c r="Q123" s="30"/>
      <c r="R123" s="30"/>
      <c r="S123" s="30"/>
      <c r="T123" s="30"/>
      <c r="U123" s="30"/>
      <c r="V123" s="30"/>
      <c r="W123" s="30"/>
      <c r="X123" s="30"/>
      <c r="Y123" s="62">
        <f t="shared" si="61"/>
        <v>0</v>
      </c>
      <c r="Z123" s="61"/>
      <c r="AA123" s="62"/>
      <c r="AB123" s="63"/>
      <c r="AC123" s="15"/>
      <c r="AD123" s="15"/>
      <c r="AE123" s="23">
        <f t="shared" si="62"/>
        <v>0</v>
      </c>
    </row>
    <row r="124" spans="2:31" ht="16" customHeight="1" x14ac:dyDescent="0.35">
      <c r="B124" s="14" t="s">
        <v>214</v>
      </c>
      <c r="C124" s="14" t="s">
        <v>215</v>
      </c>
      <c r="D124" s="61"/>
      <c r="E124" s="62">
        <f t="shared" si="58"/>
        <v>0</v>
      </c>
      <c r="F124" s="61"/>
      <c r="G124" s="30"/>
      <c r="H124" s="30"/>
      <c r="I124" s="30"/>
      <c r="J124" s="30"/>
      <c r="K124" s="30">
        <f t="shared" si="59"/>
        <v>0</v>
      </c>
      <c r="L124" s="30"/>
      <c r="M124" s="30"/>
      <c r="N124" s="30"/>
      <c r="O124" s="62">
        <f t="shared" si="60"/>
        <v>0</v>
      </c>
      <c r="P124" s="61"/>
      <c r="Q124" s="30"/>
      <c r="R124" s="30"/>
      <c r="S124" s="30"/>
      <c r="T124" s="30"/>
      <c r="U124" s="30"/>
      <c r="V124" s="30"/>
      <c r="W124" s="30"/>
      <c r="X124" s="30"/>
      <c r="Y124" s="62">
        <f t="shared" si="61"/>
        <v>0</v>
      </c>
      <c r="Z124" s="61"/>
      <c r="AA124" s="62"/>
      <c r="AB124" s="63"/>
      <c r="AC124" s="15"/>
      <c r="AD124" s="15"/>
      <c r="AE124" s="23">
        <f t="shared" si="62"/>
        <v>0</v>
      </c>
    </row>
    <row r="125" spans="2:31" ht="16" customHeight="1" x14ac:dyDescent="0.35">
      <c r="B125" s="14" t="s">
        <v>216</v>
      </c>
      <c r="C125" s="14" t="s">
        <v>217</v>
      </c>
      <c r="D125" s="61"/>
      <c r="E125" s="62">
        <f t="shared" si="58"/>
        <v>0</v>
      </c>
      <c r="F125" s="61"/>
      <c r="G125" s="30"/>
      <c r="H125" s="30"/>
      <c r="I125" s="30"/>
      <c r="J125" s="30"/>
      <c r="K125" s="30">
        <f t="shared" si="59"/>
        <v>0</v>
      </c>
      <c r="L125" s="30"/>
      <c r="M125" s="30"/>
      <c r="N125" s="30"/>
      <c r="O125" s="62">
        <f t="shared" si="60"/>
        <v>0</v>
      </c>
      <c r="P125" s="61"/>
      <c r="Q125" s="30"/>
      <c r="R125" s="30"/>
      <c r="S125" s="30"/>
      <c r="T125" s="30"/>
      <c r="U125" s="30"/>
      <c r="V125" s="30"/>
      <c r="W125" s="30"/>
      <c r="X125" s="30"/>
      <c r="Y125" s="62">
        <f t="shared" si="61"/>
        <v>0</v>
      </c>
      <c r="Z125" s="61"/>
      <c r="AA125" s="62"/>
      <c r="AB125" s="63"/>
      <c r="AC125" s="15"/>
      <c r="AD125" s="15"/>
      <c r="AE125" s="23">
        <f t="shared" si="62"/>
        <v>0</v>
      </c>
    </row>
    <row r="126" spans="2:31" ht="16" customHeight="1" x14ac:dyDescent="0.35">
      <c r="B126" s="14" t="s">
        <v>218</v>
      </c>
      <c r="C126" s="14" t="s">
        <v>219</v>
      </c>
      <c r="D126" s="61"/>
      <c r="E126" s="62">
        <f t="shared" si="58"/>
        <v>0</v>
      </c>
      <c r="F126" s="61"/>
      <c r="G126" s="30"/>
      <c r="H126" s="30"/>
      <c r="I126" s="30"/>
      <c r="J126" s="30"/>
      <c r="K126" s="30">
        <f t="shared" si="59"/>
        <v>0</v>
      </c>
      <c r="L126" s="30"/>
      <c r="M126" s="30"/>
      <c r="N126" s="30"/>
      <c r="O126" s="62">
        <f t="shared" si="60"/>
        <v>0</v>
      </c>
      <c r="P126" s="61"/>
      <c r="Q126" s="30"/>
      <c r="R126" s="30"/>
      <c r="S126" s="30"/>
      <c r="T126" s="30"/>
      <c r="U126" s="30"/>
      <c r="V126" s="30"/>
      <c r="W126" s="30"/>
      <c r="X126" s="30"/>
      <c r="Y126" s="62">
        <f t="shared" si="61"/>
        <v>0</v>
      </c>
      <c r="Z126" s="61"/>
      <c r="AA126" s="62"/>
      <c r="AB126" s="63"/>
      <c r="AC126" s="15"/>
      <c r="AD126" s="15"/>
      <c r="AE126" s="23">
        <f t="shared" si="62"/>
        <v>0</v>
      </c>
    </row>
    <row r="127" spans="2:31" ht="16" customHeight="1" x14ac:dyDescent="0.35">
      <c r="B127" s="14" t="s">
        <v>220</v>
      </c>
      <c r="C127" s="14" t="s">
        <v>221</v>
      </c>
      <c r="D127" s="61"/>
      <c r="E127" s="62">
        <f t="shared" si="58"/>
        <v>0</v>
      </c>
      <c r="F127" s="61"/>
      <c r="G127" s="30"/>
      <c r="H127" s="30"/>
      <c r="I127" s="30"/>
      <c r="J127" s="30"/>
      <c r="K127" s="30">
        <f t="shared" si="59"/>
        <v>0</v>
      </c>
      <c r="L127" s="30"/>
      <c r="M127" s="30"/>
      <c r="N127" s="30"/>
      <c r="O127" s="62">
        <f t="shared" si="60"/>
        <v>0</v>
      </c>
      <c r="P127" s="61"/>
      <c r="Q127" s="30"/>
      <c r="R127" s="30"/>
      <c r="S127" s="30"/>
      <c r="T127" s="30"/>
      <c r="U127" s="30"/>
      <c r="V127" s="30"/>
      <c r="W127" s="30"/>
      <c r="X127" s="30"/>
      <c r="Y127" s="62">
        <f t="shared" si="61"/>
        <v>0</v>
      </c>
      <c r="Z127" s="61"/>
      <c r="AA127" s="62"/>
      <c r="AB127" s="63"/>
      <c r="AC127" s="15"/>
      <c r="AD127" s="15"/>
      <c r="AE127" s="23">
        <f t="shared" si="62"/>
        <v>0</v>
      </c>
    </row>
    <row r="128" spans="2:31" ht="16" customHeight="1" x14ac:dyDescent="0.35">
      <c r="B128" s="14" t="s">
        <v>222</v>
      </c>
      <c r="C128" s="14" t="s">
        <v>223</v>
      </c>
      <c r="D128" s="61"/>
      <c r="E128" s="62">
        <f t="shared" si="58"/>
        <v>0</v>
      </c>
      <c r="F128" s="61"/>
      <c r="G128" s="30"/>
      <c r="H128" s="30"/>
      <c r="I128" s="30"/>
      <c r="J128" s="30"/>
      <c r="K128" s="30">
        <f t="shared" si="59"/>
        <v>0</v>
      </c>
      <c r="L128" s="30"/>
      <c r="M128" s="30"/>
      <c r="N128" s="30"/>
      <c r="O128" s="62">
        <f t="shared" si="60"/>
        <v>0</v>
      </c>
      <c r="P128" s="61"/>
      <c r="Q128" s="30"/>
      <c r="R128" s="30"/>
      <c r="S128" s="30"/>
      <c r="T128" s="30"/>
      <c r="U128" s="30"/>
      <c r="V128" s="30"/>
      <c r="W128" s="30"/>
      <c r="X128" s="30"/>
      <c r="Y128" s="62">
        <f t="shared" si="61"/>
        <v>0</v>
      </c>
      <c r="Z128" s="61"/>
      <c r="AA128" s="62"/>
      <c r="AB128" s="63"/>
      <c r="AC128" s="15"/>
      <c r="AD128" s="15"/>
      <c r="AE128" s="23">
        <f t="shared" si="62"/>
        <v>0</v>
      </c>
    </row>
    <row r="129" spans="2:31" ht="16" customHeight="1" x14ac:dyDescent="0.35">
      <c r="B129" s="14" t="s">
        <v>224</v>
      </c>
      <c r="C129" s="14" t="s">
        <v>225</v>
      </c>
      <c r="D129" s="61"/>
      <c r="E129" s="62">
        <f t="shared" si="58"/>
        <v>0</v>
      </c>
      <c r="F129" s="61"/>
      <c r="G129" s="30"/>
      <c r="H129" s="30"/>
      <c r="I129" s="30"/>
      <c r="J129" s="30"/>
      <c r="K129" s="30">
        <f t="shared" si="59"/>
        <v>0</v>
      </c>
      <c r="L129" s="30"/>
      <c r="M129" s="30"/>
      <c r="N129" s="30"/>
      <c r="O129" s="62">
        <f t="shared" si="60"/>
        <v>0</v>
      </c>
      <c r="P129" s="61"/>
      <c r="Q129" s="30"/>
      <c r="R129" s="30"/>
      <c r="S129" s="30"/>
      <c r="T129" s="30"/>
      <c r="U129" s="30"/>
      <c r="V129" s="30"/>
      <c r="W129" s="30"/>
      <c r="X129" s="30"/>
      <c r="Y129" s="62">
        <f t="shared" si="61"/>
        <v>0</v>
      </c>
      <c r="Z129" s="61"/>
      <c r="AA129" s="62"/>
      <c r="AB129" s="63"/>
      <c r="AC129" s="15"/>
      <c r="AD129" s="15"/>
      <c r="AE129" s="23">
        <f t="shared" si="62"/>
        <v>0</v>
      </c>
    </row>
    <row r="130" spans="2:31" ht="16" customHeight="1" x14ac:dyDescent="0.35">
      <c r="B130" s="16" t="s">
        <v>226</v>
      </c>
      <c r="C130" s="16" t="s">
        <v>227</v>
      </c>
      <c r="D130" s="64"/>
      <c r="E130" s="53">
        <f>-(-(E122+E123)-E124-E125-E126-E127-E128-E129)</f>
        <v>-45327.306960000002</v>
      </c>
      <c r="F130" s="64"/>
      <c r="G130" s="31">
        <f t="shared" ref="G130:O130" si="63">-(-(G122+G123)-G124-G125-G126-G127-G128-G129)</f>
        <v>0</v>
      </c>
      <c r="H130" s="31">
        <f t="shared" si="63"/>
        <v>0</v>
      </c>
      <c r="I130" s="31">
        <f t="shared" si="63"/>
        <v>0</v>
      </c>
      <c r="J130" s="31">
        <f t="shared" si="63"/>
        <v>0</v>
      </c>
      <c r="K130" s="31">
        <f t="shared" si="63"/>
        <v>0</v>
      </c>
      <c r="L130" s="31">
        <f t="shared" si="63"/>
        <v>0</v>
      </c>
      <c r="M130" s="31">
        <f t="shared" si="63"/>
        <v>0</v>
      </c>
      <c r="N130" s="31">
        <f t="shared" si="63"/>
        <v>0</v>
      </c>
      <c r="O130" s="53">
        <f t="shared" si="63"/>
        <v>0</v>
      </c>
      <c r="P130" s="64"/>
      <c r="Q130" s="31">
        <f t="shared" ref="Q130:Y130" si="64">-(-(Q122+Q123)-Q124-Q125-Q126-Q127-Q128-Q129)</f>
        <v>0</v>
      </c>
      <c r="R130" s="31">
        <f t="shared" si="64"/>
        <v>0</v>
      </c>
      <c r="S130" s="31">
        <f t="shared" si="64"/>
        <v>0</v>
      </c>
      <c r="T130" s="31">
        <f t="shared" si="64"/>
        <v>0</v>
      </c>
      <c r="U130" s="31">
        <f t="shared" si="64"/>
        <v>0</v>
      </c>
      <c r="V130" s="31">
        <f t="shared" si="64"/>
        <v>0</v>
      </c>
      <c r="W130" s="31">
        <f t="shared" si="64"/>
        <v>0</v>
      </c>
      <c r="X130" s="31">
        <f t="shared" si="64"/>
        <v>0</v>
      </c>
      <c r="Y130" s="53">
        <f t="shared" si="64"/>
        <v>0</v>
      </c>
      <c r="Z130" s="64"/>
      <c r="AA130" s="53">
        <f>-(-(AA122+AA123)-AA124-AA125-AA126-AA127-AA128-AA129)</f>
        <v>0</v>
      </c>
      <c r="AB130" s="65"/>
      <c r="AC130" s="17">
        <f>-(-(AC122+AC123)-AC124-AC125-AC126-AC127-AC128-AC129)</f>
        <v>-45327.306960000002</v>
      </c>
      <c r="AD130" s="17">
        <f>-(-(AD122+AD123)-AD124-AD125-AD126-AD127-AD128-AD129)</f>
        <v>0</v>
      </c>
      <c r="AE130" s="24">
        <f>-(-(AE122+AE123)-AE124-AE125-AE126-AE127-AE128-AE129)</f>
        <v>-45327.306960000002</v>
      </c>
    </row>
    <row r="131" spans="2:31" ht="16" customHeight="1" thickBot="1" x14ac:dyDescent="0.4">
      <c r="B131" s="11" t="s">
        <v>228</v>
      </c>
      <c r="C131" s="11" t="s">
        <v>22</v>
      </c>
      <c r="D131" s="29"/>
      <c r="E131" s="60"/>
      <c r="F131" s="29"/>
      <c r="G131" s="29"/>
      <c r="H131" s="29"/>
      <c r="I131" s="29"/>
      <c r="J131" s="29"/>
      <c r="K131" s="29"/>
      <c r="L131" s="29"/>
      <c r="M131" s="29"/>
      <c r="N131" s="29"/>
      <c r="O131" s="60"/>
      <c r="P131" s="29"/>
      <c r="Q131" s="29"/>
      <c r="R131" s="29"/>
      <c r="S131" s="29"/>
      <c r="T131" s="29"/>
      <c r="U131" s="29"/>
      <c r="V131" s="29"/>
      <c r="W131" s="29"/>
      <c r="X131" s="29"/>
      <c r="Y131" s="60"/>
      <c r="Z131" s="29"/>
      <c r="AA131" s="60"/>
      <c r="AB131" s="12"/>
      <c r="AC131" s="12"/>
      <c r="AD131" s="12"/>
      <c r="AE131" s="22"/>
    </row>
    <row r="132" spans="2:31" ht="16" customHeight="1" thickBot="1" x14ac:dyDescent="0.4">
      <c r="B132" s="18" t="s">
        <v>229</v>
      </c>
      <c r="C132" s="18" t="s">
        <v>230</v>
      </c>
      <c r="D132" s="66"/>
      <c r="E132" s="67">
        <f>-(-(E105+E120)-E130)</f>
        <v>-41844.47406</v>
      </c>
      <c r="F132" s="66"/>
      <c r="G132" s="32">
        <f t="shared" ref="G132:O132" si="65">-(-(G105+G120)-G130)</f>
        <v>0</v>
      </c>
      <c r="H132" s="32">
        <f t="shared" si="65"/>
        <v>0</v>
      </c>
      <c r="I132" s="32">
        <f t="shared" si="65"/>
        <v>0</v>
      </c>
      <c r="J132" s="32">
        <f t="shared" si="65"/>
        <v>0</v>
      </c>
      <c r="K132" s="32">
        <f t="shared" si="65"/>
        <v>0</v>
      </c>
      <c r="L132" s="32">
        <f t="shared" si="65"/>
        <v>0</v>
      </c>
      <c r="M132" s="32">
        <f t="shared" si="65"/>
        <v>0</v>
      </c>
      <c r="N132" s="32">
        <f t="shared" si="65"/>
        <v>0</v>
      </c>
      <c r="O132" s="67">
        <f t="shared" si="65"/>
        <v>0</v>
      </c>
      <c r="P132" s="66"/>
      <c r="Q132" s="32">
        <f t="shared" ref="Q132:Y132" si="66">-(-(Q105+Q120)-Q130)</f>
        <v>0</v>
      </c>
      <c r="R132" s="32">
        <f t="shared" si="66"/>
        <v>0</v>
      </c>
      <c r="S132" s="32">
        <f t="shared" si="66"/>
        <v>0</v>
      </c>
      <c r="T132" s="32">
        <f t="shared" si="66"/>
        <v>0</v>
      </c>
      <c r="U132" s="32">
        <f t="shared" si="66"/>
        <v>0</v>
      </c>
      <c r="V132" s="32">
        <f t="shared" si="66"/>
        <v>0</v>
      </c>
      <c r="W132" s="32">
        <f t="shared" si="66"/>
        <v>0</v>
      </c>
      <c r="X132" s="32">
        <f t="shared" si="66"/>
        <v>0</v>
      </c>
      <c r="Y132" s="67">
        <f t="shared" si="66"/>
        <v>0</v>
      </c>
      <c r="Z132" s="66"/>
      <c r="AA132" s="67">
        <f>-(-(AA105+AA120)-AA130)</f>
        <v>0</v>
      </c>
      <c r="AB132" s="68"/>
      <c r="AC132" s="19">
        <f>-(-(AC105+AC120)-AC130)</f>
        <v>-41844.47406</v>
      </c>
      <c r="AD132" s="19">
        <f>-(-(AD105+AD120)-AD130)</f>
        <v>0</v>
      </c>
      <c r="AE132" s="25">
        <f>-(-(AE105+AE120)-AE130)</f>
        <v>-41844.47406</v>
      </c>
    </row>
    <row r="133" spans="2:31" ht="16" customHeight="1" thickBot="1" x14ac:dyDescent="0.4">
      <c r="B133" s="11" t="s">
        <v>231</v>
      </c>
      <c r="C133" s="11" t="s">
        <v>22</v>
      </c>
      <c r="D133" s="29"/>
      <c r="E133" s="60"/>
      <c r="F133" s="29"/>
      <c r="G133" s="29"/>
      <c r="H133" s="29"/>
      <c r="I133" s="29"/>
      <c r="J133" s="29"/>
      <c r="K133" s="29"/>
      <c r="L133" s="29"/>
      <c r="M133" s="29"/>
      <c r="N133" s="29"/>
      <c r="O133" s="60"/>
      <c r="P133" s="29"/>
      <c r="Q133" s="29"/>
      <c r="R133" s="29"/>
      <c r="S133" s="29"/>
      <c r="T133" s="29"/>
      <c r="U133" s="29"/>
      <c r="V133" s="29"/>
      <c r="W133" s="29"/>
      <c r="X133" s="29"/>
      <c r="Y133" s="60"/>
      <c r="Z133" s="29"/>
      <c r="AA133" s="60"/>
      <c r="AB133" s="12"/>
      <c r="AC133" s="12"/>
      <c r="AD133" s="12"/>
      <c r="AE133" s="22"/>
    </row>
    <row r="134" spans="2:31" ht="16" customHeight="1" thickBot="1" x14ac:dyDescent="0.4">
      <c r="B134" s="18" t="s">
        <v>232</v>
      </c>
      <c r="C134" s="18" t="s">
        <v>233</v>
      </c>
      <c r="D134" s="66"/>
      <c r="E134" s="67">
        <f>E99+E132</f>
        <v>173389.79858</v>
      </c>
      <c r="F134" s="66"/>
      <c r="G134" s="32">
        <f t="shared" ref="G134:O134" si="67">G99+G132</f>
        <v>206462.08089000007</v>
      </c>
      <c r="H134" s="32">
        <f t="shared" si="67"/>
        <v>9061.1038400000052</v>
      </c>
      <c r="I134" s="32">
        <f t="shared" si="67"/>
        <v>1026.6970399999989</v>
      </c>
      <c r="J134" s="32">
        <f t="shared" si="67"/>
        <v>0</v>
      </c>
      <c r="K134" s="32">
        <f t="shared" si="67"/>
        <v>216549.88177000007</v>
      </c>
      <c r="L134" s="32">
        <f t="shared" si="67"/>
        <v>0</v>
      </c>
      <c r="M134" s="32">
        <f t="shared" si="67"/>
        <v>0</v>
      </c>
      <c r="N134" s="32">
        <f t="shared" si="67"/>
        <v>0</v>
      </c>
      <c r="O134" s="67">
        <f t="shared" si="67"/>
        <v>216549.88177000007</v>
      </c>
      <c r="P134" s="66"/>
      <c r="Q134" s="32">
        <f t="shared" ref="Q134:Y134" si="68">Q99+Q132</f>
        <v>0</v>
      </c>
      <c r="R134" s="32">
        <f t="shared" si="68"/>
        <v>0</v>
      </c>
      <c r="S134" s="32">
        <f t="shared" si="68"/>
        <v>0</v>
      </c>
      <c r="T134" s="32">
        <f t="shared" si="68"/>
        <v>0</v>
      </c>
      <c r="U134" s="32">
        <f t="shared" si="68"/>
        <v>0</v>
      </c>
      <c r="V134" s="32">
        <f t="shared" si="68"/>
        <v>0</v>
      </c>
      <c r="W134" s="32">
        <f t="shared" si="68"/>
        <v>-1315.7893799999999</v>
      </c>
      <c r="X134" s="32">
        <f t="shared" si="68"/>
        <v>0</v>
      </c>
      <c r="Y134" s="67">
        <f t="shared" si="68"/>
        <v>-1315.7893799999999</v>
      </c>
      <c r="Z134" s="66"/>
      <c r="AA134" s="67">
        <f>AA99+AA132</f>
        <v>0</v>
      </c>
      <c r="AB134" s="68"/>
      <c r="AC134" s="19">
        <f>AC99+AC132</f>
        <v>-41844.293810000003</v>
      </c>
      <c r="AD134" s="19">
        <f>AD99+AD132</f>
        <v>0</v>
      </c>
      <c r="AE134" s="25">
        <f>AE99+AE132</f>
        <v>-41844.293810000003</v>
      </c>
    </row>
    <row r="135" spans="2:31" ht="16" customHeight="1" x14ac:dyDescent="0.35">
      <c r="B135" s="11" t="s">
        <v>234</v>
      </c>
      <c r="C135" s="11" t="s">
        <v>22</v>
      </c>
      <c r="D135" s="29"/>
      <c r="E135" s="60"/>
      <c r="F135" s="29"/>
      <c r="G135" s="29"/>
      <c r="H135" s="29"/>
      <c r="I135" s="29"/>
      <c r="J135" s="29"/>
      <c r="K135" s="29"/>
      <c r="L135" s="29"/>
      <c r="M135" s="29"/>
      <c r="N135" s="29"/>
      <c r="O135" s="60"/>
      <c r="P135" s="29"/>
      <c r="Q135" s="29"/>
      <c r="R135" s="29"/>
      <c r="S135" s="29"/>
      <c r="T135" s="29"/>
      <c r="U135" s="29"/>
      <c r="V135" s="29"/>
      <c r="W135" s="29"/>
      <c r="X135" s="29"/>
      <c r="Y135" s="60"/>
      <c r="Z135" s="29"/>
      <c r="AA135" s="60"/>
      <c r="AB135" s="12"/>
      <c r="AC135" s="12"/>
      <c r="AD135" s="12"/>
      <c r="AE135" s="22"/>
    </row>
    <row r="136" spans="2:31" ht="16" customHeight="1" x14ac:dyDescent="0.35">
      <c r="B136" s="14" t="s">
        <v>235</v>
      </c>
      <c r="C136" s="14" t="s">
        <v>236</v>
      </c>
      <c r="D136" s="61"/>
      <c r="E136" s="62">
        <f>O136+Y136+AA136+AE136</f>
        <v>0</v>
      </c>
      <c r="F136" s="61"/>
      <c r="G136" s="30"/>
      <c r="H136" s="30"/>
      <c r="I136" s="30"/>
      <c r="J136" s="30"/>
      <c r="K136" s="30">
        <f>SUM(G136:J136)</f>
        <v>0</v>
      </c>
      <c r="L136" s="30"/>
      <c r="M136" s="30"/>
      <c r="N136" s="30"/>
      <c r="O136" s="62">
        <f>SUM(K136:N136)</f>
        <v>0</v>
      </c>
      <c r="P136" s="61"/>
      <c r="Q136" s="30"/>
      <c r="R136" s="30"/>
      <c r="S136" s="30"/>
      <c r="T136" s="30"/>
      <c r="U136" s="30"/>
      <c r="V136" s="30"/>
      <c r="W136" s="30"/>
      <c r="X136" s="30"/>
      <c r="Y136" s="62">
        <f>SUM(Q136:X136)</f>
        <v>0</v>
      </c>
      <c r="Z136" s="61"/>
      <c r="AA136" s="62"/>
      <c r="AB136" s="63"/>
      <c r="AC136" s="15"/>
      <c r="AD136" s="15"/>
      <c r="AE136" s="23">
        <f>AC136+AD136</f>
        <v>0</v>
      </c>
    </row>
    <row r="137" spans="2:31" ht="16" customHeight="1" x14ac:dyDescent="0.35">
      <c r="B137" s="14" t="s">
        <v>237</v>
      </c>
      <c r="C137" s="14" t="s">
        <v>238</v>
      </c>
      <c r="D137" s="61"/>
      <c r="E137" s="62">
        <f>O137+Y137+AA137+AE137</f>
        <v>0</v>
      </c>
      <c r="F137" s="61"/>
      <c r="G137" s="30"/>
      <c r="H137" s="30"/>
      <c r="I137" s="30"/>
      <c r="J137" s="30"/>
      <c r="K137" s="30">
        <f>SUM(G137:J137)</f>
        <v>0</v>
      </c>
      <c r="L137" s="30"/>
      <c r="M137" s="30"/>
      <c r="N137" s="30"/>
      <c r="O137" s="62">
        <f>SUM(K137:N137)</f>
        <v>0</v>
      </c>
      <c r="P137" s="61"/>
      <c r="Q137" s="30"/>
      <c r="R137" s="30"/>
      <c r="S137" s="30"/>
      <c r="T137" s="30"/>
      <c r="U137" s="30"/>
      <c r="V137" s="30"/>
      <c r="W137" s="30"/>
      <c r="X137" s="30"/>
      <c r="Y137" s="62">
        <f>SUM(Q137:X137)</f>
        <v>0</v>
      </c>
      <c r="Z137" s="61"/>
      <c r="AA137" s="62"/>
      <c r="AB137" s="63"/>
      <c r="AC137" s="15"/>
      <c r="AD137" s="15"/>
      <c r="AE137" s="23">
        <f>AC137+AD137</f>
        <v>0</v>
      </c>
    </row>
    <row r="138" spans="2:31" ht="16" customHeight="1" x14ac:dyDescent="0.35">
      <c r="B138" s="14" t="s">
        <v>239</v>
      </c>
      <c r="C138" s="14" t="s">
        <v>240</v>
      </c>
      <c r="D138" s="61"/>
      <c r="E138" s="62">
        <f>O138+Y138+AA138+AE138</f>
        <v>0</v>
      </c>
      <c r="F138" s="61"/>
      <c r="G138" s="30"/>
      <c r="H138" s="30"/>
      <c r="I138" s="30"/>
      <c r="J138" s="30"/>
      <c r="K138" s="30">
        <f>SUM(G138:J138)</f>
        <v>0</v>
      </c>
      <c r="L138" s="30"/>
      <c r="M138" s="30"/>
      <c r="N138" s="30"/>
      <c r="O138" s="62">
        <f>SUM(K138:N138)</f>
        <v>0</v>
      </c>
      <c r="P138" s="61"/>
      <c r="Q138" s="30"/>
      <c r="R138" s="30"/>
      <c r="S138" s="30"/>
      <c r="T138" s="30"/>
      <c r="U138" s="30"/>
      <c r="V138" s="30"/>
      <c r="W138" s="30"/>
      <c r="X138" s="30"/>
      <c r="Y138" s="62">
        <f>SUM(Q138:X138)</f>
        <v>0</v>
      </c>
      <c r="Z138" s="61"/>
      <c r="AA138" s="62"/>
      <c r="AB138" s="63"/>
      <c r="AC138" s="15"/>
      <c r="AD138" s="15"/>
      <c r="AE138" s="23">
        <f>AC138+AD138</f>
        <v>0</v>
      </c>
    </row>
    <row r="139" spans="2:31" ht="16" customHeight="1" x14ac:dyDescent="0.35">
      <c r="B139" s="14" t="s">
        <v>241</v>
      </c>
      <c r="C139" s="14" t="s">
        <v>242</v>
      </c>
      <c r="D139" s="61"/>
      <c r="E139" s="62">
        <f>O139+Y139+AA139+AE139</f>
        <v>-1480.83</v>
      </c>
      <c r="F139" s="61"/>
      <c r="G139" s="30"/>
      <c r="H139" s="30"/>
      <c r="I139" s="30"/>
      <c r="J139" s="30"/>
      <c r="K139" s="30">
        <f>SUM(G139:J139)</f>
        <v>0</v>
      </c>
      <c r="L139" s="30"/>
      <c r="M139" s="30"/>
      <c r="N139" s="30"/>
      <c r="O139" s="62">
        <f>SUM(K139:N139)</f>
        <v>0</v>
      </c>
      <c r="P139" s="61"/>
      <c r="Q139" s="30"/>
      <c r="R139" s="30"/>
      <c r="S139" s="30"/>
      <c r="T139" s="30"/>
      <c r="U139" s="30"/>
      <c r="V139" s="30"/>
      <c r="W139" s="30"/>
      <c r="X139" s="30"/>
      <c r="Y139" s="62">
        <f>SUM(Q139:X139)</f>
        <v>0</v>
      </c>
      <c r="Z139" s="61"/>
      <c r="AA139" s="62"/>
      <c r="AB139" s="63"/>
      <c r="AC139" s="15">
        <v>-1480.83</v>
      </c>
      <c r="AD139" s="15"/>
      <c r="AE139" s="23">
        <f>AC139+AD139</f>
        <v>-1480.83</v>
      </c>
    </row>
    <row r="140" spans="2:31" ht="16" customHeight="1" x14ac:dyDescent="0.35">
      <c r="B140" s="16" t="s">
        <v>243</v>
      </c>
      <c r="C140" s="16" t="s">
        <v>244</v>
      </c>
      <c r="D140" s="64"/>
      <c r="E140" s="53">
        <f>-(-(E136+E137)-E138-E139)</f>
        <v>-1480.83</v>
      </c>
      <c r="F140" s="64"/>
      <c r="G140" s="31">
        <f t="shared" ref="G140:O140" si="69">-(-(G136+G137)-G138-G139)</f>
        <v>0</v>
      </c>
      <c r="H140" s="31">
        <f t="shared" si="69"/>
        <v>0</v>
      </c>
      <c r="I140" s="31">
        <f t="shared" si="69"/>
        <v>0</v>
      </c>
      <c r="J140" s="31">
        <f t="shared" si="69"/>
        <v>0</v>
      </c>
      <c r="K140" s="31">
        <f t="shared" si="69"/>
        <v>0</v>
      </c>
      <c r="L140" s="31">
        <f t="shared" si="69"/>
        <v>0</v>
      </c>
      <c r="M140" s="31">
        <f t="shared" si="69"/>
        <v>0</v>
      </c>
      <c r="N140" s="31">
        <f t="shared" si="69"/>
        <v>0</v>
      </c>
      <c r="O140" s="53">
        <f t="shared" si="69"/>
        <v>0</v>
      </c>
      <c r="P140" s="64"/>
      <c r="Q140" s="31">
        <f t="shared" ref="Q140:Y140" si="70">-(-(Q136+Q137)-Q138-Q139)</f>
        <v>0</v>
      </c>
      <c r="R140" s="31">
        <f t="shared" si="70"/>
        <v>0</v>
      </c>
      <c r="S140" s="31">
        <f t="shared" si="70"/>
        <v>0</v>
      </c>
      <c r="T140" s="31">
        <f t="shared" si="70"/>
        <v>0</v>
      </c>
      <c r="U140" s="31">
        <f t="shared" si="70"/>
        <v>0</v>
      </c>
      <c r="V140" s="31">
        <f t="shared" si="70"/>
        <v>0</v>
      </c>
      <c r="W140" s="31">
        <f t="shared" si="70"/>
        <v>0</v>
      </c>
      <c r="X140" s="31">
        <f t="shared" si="70"/>
        <v>0</v>
      </c>
      <c r="Y140" s="53">
        <f t="shared" si="70"/>
        <v>0</v>
      </c>
      <c r="Z140" s="64"/>
      <c r="AA140" s="53">
        <f>-(-(AA136+AA137)-AA138-AA139)</f>
        <v>0</v>
      </c>
      <c r="AB140" s="65"/>
      <c r="AC140" s="17">
        <f>-(-(AC136+AC137)-AC138-AC139)</f>
        <v>-1480.83</v>
      </c>
      <c r="AD140" s="17">
        <f>-(-(AD136+AD137)-AD138-AD139)</f>
        <v>0</v>
      </c>
      <c r="AE140" s="24">
        <f>-(-(AE136+AE137)-AE138-AE139)</f>
        <v>-1480.83</v>
      </c>
    </row>
    <row r="141" spans="2:31" ht="16" customHeight="1" thickBot="1" x14ac:dyDescent="0.4">
      <c r="B141" s="11" t="s">
        <v>245</v>
      </c>
      <c r="C141" s="11" t="s">
        <v>22</v>
      </c>
      <c r="D141" s="29"/>
      <c r="E141" s="60"/>
      <c r="F141" s="29"/>
      <c r="G141" s="29"/>
      <c r="H141" s="29"/>
      <c r="I141" s="29"/>
      <c r="J141" s="29"/>
      <c r="K141" s="29"/>
      <c r="L141" s="29"/>
      <c r="M141" s="29"/>
      <c r="N141" s="29"/>
      <c r="O141" s="60"/>
      <c r="P141" s="29"/>
      <c r="Q141" s="29"/>
      <c r="R141" s="29"/>
      <c r="S141" s="29"/>
      <c r="T141" s="29"/>
      <c r="U141" s="29"/>
      <c r="V141" s="29"/>
      <c r="W141" s="29"/>
      <c r="X141" s="29"/>
      <c r="Y141" s="60"/>
      <c r="Z141" s="29"/>
      <c r="AA141" s="60"/>
      <c r="AB141" s="12"/>
      <c r="AC141" s="12"/>
      <c r="AD141" s="12"/>
      <c r="AE141" s="22"/>
    </row>
    <row r="142" spans="2:31" ht="16" customHeight="1" thickBot="1" x14ac:dyDescent="0.4">
      <c r="B142" s="18" t="s">
        <v>246</v>
      </c>
      <c r="C142" s="18" t="s">
        <v>247</v>
      </c>
      <c r="D142" s="66"/>
      <c r="E142" s="67">
        <f>E134+E140</f>
        <v>171908.96858000002</v>
      </c>
      <c r="F142" s="66"/>
      <c r="G142" s="32">
        <f t="shared" ref="G142:O142" si="71">G134+G140</f>
        <v>206462.08089000007</v>
      </c>
      <c r="H142" s="32">
        <f t="shared" si="71"/>
        <v>9061.1038400000052</v>
      </c>
      <c r="I142" s="32">
        <f t="shared" si="71"/>
        <v>1026.6970399999989</v>
      </c>
      <c r="J142" s="32">
        <f t="shared" si="71"/>
        <v>0</v>
      </c>
      <c r="K142" s="32">
        <f t="shared" si="71"/>
        <v>216549.88177000007</v>
      </c>
      <c r="L142" s="32">
        <f t="shared" si="71"/>
        <v>0</v>
      </c>
      <c r="M142" s="32">
        <f t="shared" si="71"/>
        <v>0</v>
      </c>
      <c r="N142" s="32">
        <f t="shared" si="71"/>
        <v>0</v>
      </c>
      <c r="O142" s="67">
        <f t="shared" si="71"/>
        <v>216549.88177000007</v>
      </c>
      <c r="P142" s="66"/>
      <c r="Q142" s="32">
        <f t="shared" ref="Q142:Y142" si="72">Q134+Q140</f>
        <v>0</v>
      </c>
      <c r="R142" s="32">
        <f t="shared" si="72"/>
        <v>0</v>
      </c>
      <c r="S142" s="32">
        <f t="shared" si="72"/>
        <v>0</v>
      </c>
      <c r="T142" s="32">
        <f t="shared" si="72"/>
        <v>0</v>
      </c>
      <c r="U142" s="32">
        <f t="shared" si="72"/>
        <v>0</v>
      </c>
      <c r="V142" s="32">
        <f t="shared" si="72"/>
        <v>0</v>
      </c>
      <c r="W142" s="32">
        <f t="shared" si="72"/>
        <v>-1315.7893799999999</v>
      </c>
      <c r="X142" s="32">
        <f t="shared" si="72"/>
        <v>0</v>
      </c>
      <c r="Y142" s="67">
        <f t="shared" si="72"/>
        <v>-1315.7893799999999</v>
      </c>
      <c r="Z142" s="66"/>
      <c r="AA142" s="67">
        <f>AA134+AA140</f>
        <v>0</v>
      </c>
      <c r="AB142" s="68"/>
      <c r="AC142" s="19">
        <f>AC134+AC140</f>
        <v>-43325.123810000005</v>
      </c>
      <c r="AD142" s="19">
        <f>AD134+AD140</f>
        <v>0</v>
      </c>
      <c r="AE142" s="25">
        <f>AE134+AE140</f>
        <v>-43325.123810000005</v>
      </c>
    </row>
    <row r="143" spans="2:31" ht="16" customHeight="1" x14ac:dyDescent="0.35">
      <c r="B143" s="11" t="s">
        <v>248</v>
      </c>
      <c r="C143" s="11" t="s">
        <v>22</v>
      </c>
      <c r="D143" s="29"/>
      <c r="E143" s="60"/>
      <c r="F143" s="29"/>
      <c r="G143" s="29"/>
      <c r="H143" s="29"/>
      <c r="I143" s="29"/>
      <c r="J143" s="29"/>
      <c r="K143" s="29"/>
      <c r="L143" s="29"/>
      <c r="M143" s="29"/>
      <c r="N143" s="29"/>
      <c r="O143" s="60"/>
      <c r="P143" s="29"/>
      <c r="Q143" s="29"/>
      <c r="R143" s="29"/>
      <c r="S143" s="29"/>
      <c r="T143" s="29"/>
      <c r="U143" s="29"/>
      <c r="V143" s="29"/>
      <c r="W143" s="29"/>
      <c r="X143" s="29"/>
      <c r="Y143" s="60"/>
      <c r="Z143" s="29"/>
      <c r="AA143" s="60"/>
      <c r="AB143" s="12"/>
      <c r="AC143" s="12"/>
      <c r="AD143" s="12"/>
      <c r="AE143" s="22"/>
    </row>
    <row r="144" spans="2:31" ht="16" customHeight="1" x14ac:dyDescent="0.35">
      <c r="B144" s="14" t="s">
        <v>249</v>
      </c>
      <c r="C144" s="14" t="s">
        <v>250</v>
      </c>
      <c r="D144" s="61"/>
      <c r="E144" s="62">
        <f>O144+Y144+AA144+AE144</f>
        <v>4594.6062599999996</v>
      </c>
      <c r="F144" s="61"/>
      <c r="G144" s="30"/>
      <c r="H144" s="30"/>
      <c r="I144" s="30"/>
      <c r="J144" s="30"/>
      <c r="K144" s="30">
        <f>SUM(G144:J144)</f>
        <v>0</v>
      </c>
      <c r="L144" s="30"/>
      <c r="M144" s="30"/>
      <c r="N144" s="30"/>
      <c r="O144" s="62">
        <f>SUM(K144:N144)</f>
        <v>0</v>
      </c>
      <c r="P144" s="61"/>
      <c r="Q144" s="30"/>
      <c r="R144" s="30"/>
      <c r="S144" s="30"/>
      <c r="T144" s="30"/>
      <c r="U144" s="30"/>
      <c r="V144" s="30"/>
      <c r="W144" s="30"/>
      <c r="X144" s="30"/>
      <c r="Y144" s="62">
        <f>SUM(Q144:X144)</f>
        <v>0</v>
      </c>
      <c r="Z144" s="61"/>
      <c r="AA144" s="62"/>
      <c r="AB144" s="63"/>
      <c r="AC144" s="15">
        <v>4594.6062599999996</v>
      </c>
      <c r="AD144" s="15"/>
      <c r="AE144" s="23">
        <f>AC144+AD144</f>
        <v>4594.6062599999996</v>
      </c>
    </row>
    <row r="145" spans="2:31" ht="16" customHeight="1" x14ac:dyDescent="0.35">
      <c r="B145" s="14" t="s">
        <v>251</v>
      </c>
      <c r="C145" s="14" t="s">
        <v>252</v>
      </c>
      <c r="D145" s="61"/>
      <c r="E145" s="62">
        <f>O145+Y145+AA145+AE145</f>
        <v>19457.502</v>
      </c>
      <c r="F145" s="61"/>
      <c r="G145" s="30"/>
      <c r="H145" s="30"/>
      <c r="I145" s="30"/>
      <c r="J145" s="30"/>
      <c r="K145" s="30">
        <f>SUM(G145:J145)</f>
        <v>0</v>
      </c>
      <c r="L145" s="30"/>
      <c r="M145" s="30"/>
      <c r="N145" s="30"/>
      <c r="O145" s="62">
        <f>SUM(K145:N145)</f>
        <v>0</v>
      </c>
      <c r="P145" s="61"/>
      <c r="Q145" s="30"/>
      <c r="R145" s="30"/>
      <c r="S145" s="30"/>
      <c r="T145" s="30"/>
      <c r="U145" s="30"/>
      <c r="V145" s="30"/>
      <c r="W145" s="30"/>
      <c r="X145" s="30"/>
      <c r="Y145" s="62">
        <f>SUM(Q145:X145)</f>
        <v>0</v>
      </c>
      <c r="Z145" s="61"/>
      <c r="AA145" s="62"/>
      <c r="AB145" s="63"/>
      <c r="AC145" s="15">
        <v>19457.502</v>
      </c>
      <c r="AD145" s="15"/>
      <c r="AE145" s="23">
        <f>AC145+AD145</f>
        <v>19457.502</v>
      </c>
    </row>
    <row r="146" spans="2:31" ht="16" customHeight="1" x14ac:dyDescent="0.35">
      <c r="B146" s="16" t="s">
        <v>253</v>
      </c>
      <c r="C146" s="16" t="s">
        <v>254</v>
      </c>
      <c r="D146" s="64"/>
      <c r="E146" s="53">
        <f>E144+E145</f>
        <v>24052.108260000001</v>
      </c>
      <c r="F146" s="64"/>
      <c r="G146" s="31">
        <f t="shared" ref="G146:O146" si="73">G144+G145</f>
        <v>0</v>
      </c>
      <c r="H146" s="31">
        <f t="shared" si="73"/>
        <v>0</v>
      </c>
      <c r="I146" s="31">
        <f t="shared" si="73"/>
        <v>0</v>
      </c>
      <c r="J146" s="31">
        <f t="shared" si="73"/>
        <v>0</v>
      </c>
      <c r="K146" s="31">
        <f t="shared" si="73"/>
        <v>0</v>
      </c>
      <c r="L146" s="31">
        <f t="shared" si="73"/>
        <v>0</v>
      </c>
      <c r="M146" s="31">
        <f t="shared" si="73"/>
        <v>0</v>
      </c>
      <c r="N146" s="31">
        <f t="shared" si="73"/>
        <v>0</v>
      </c>
      <c r="O146" s="53">
        <f t="shared" si="73"/>
        <v>0</v>
      </c>
      <c r="P146" s="64"/>
      <c r="Q146" s="31">
        <f t="shared" ref="Q146:Y146" si="74">Q144+Q145</f>
        <v>0</v>
      </c>
      <c r="R146" s="31">
        <f t="shared" si="74"/>
        <v>0</v>
      </c>
      <c r="S146" s="31">
        <f t="shared" si="74"/>
        <v>0</v>
      </c>
      <c r="T146" s="31">
        <f t="shared" si="74"/>
        <v>0</v>
      </c>
      <c r="U146" s="31">
        <f t="shared" si="74"/>
        <v>0</v>
      </c>
      <c r="V146" s="31">
        <f t="shared" si="74"/>
        <v>0</v>
      </c>
      <c r="W146" s="31">
        <f t="shared" si="74"/>
        <v>0</v>
      </c>
      <c r="X146" s="31">
        <f t="shared" si="74"/>
        <v>0</v>
      </c>
      <c r="Y146" s="53">
        <f t="shared" si="74"/>
        <v>0</v>
      </c>
      <c r="Z146" s="64"/>
      <c r="AA146" s="53">
        <f>AA144+AA145</f>
        <v>0</v>
      </c>
      <c r="AB146" s="65"/>
      <c r="AC146" s="17">
        <f>AC144+AC145</f>
        <v>24052.108260000001</v>
      </c>
      <c r="AD146" s="17">
        <f>AD144+AD145</f>
        <v>0</v>
      </c>
      <c r="AE146" s="24">
        <f>AE144+AE145</f>
        <v>24052.108260000001</v>
      </c>
    </row>
    <row r="147" spans="2:31" ht="16" customHeight="1" x14ac:dyDescent="0.35">
      <c r="B147" s="11" t="s">
        <v>255</v>
      </c>
      <c r="C147" s="11" t="s">
        <v>22</v>
      </c>
      <c r="D147" s="29"/>
      <c r="E147" s="60"/>
      <c r="F147" s="29"/>
      <c r="G147" s="29"/>
      <c r="H147" s="29"/>
      <c r="I147" s="29"/>
      <c r="J147" s="29"/>
      <c r="K147" s="29"/>
      <c r="L147" s="29"/>
      <c r="M147" s="29"/>
      <c r="N147" s="29"/>
      <c r="O147" s="60"/>
      <c r="P147" s="29"/>
      <c r="Q147" s="29"/>
      <c r="R147" s="29"/>
      <c r="S147" s="29"/>
      <c r="T147" s="29"/>
      <c r="U147" s="29"/>
      <c r="V147" s="29"/>
      <c r="W147" s="29"/>
      <c r="X147" s="29"/>
      <c r="Y147" s="60"/>
      <c r="Z147" s="29"/>
      <c r="AA147" s="60"/>
      <c r="AB147" s="12"/>
      <c r="AC147" s="12"/>
      <c r="AD147" s="12"/>
      <c r="AE147" s="22"/>
    </row>
    <row r="148" spans="2:31" ht="16" customHeight="1" x14ac:dyDescent="0.35">
      <c r="B148" s="14" t="s">
        <v>256</v>
      </c>
      <c r="C148" s="14" t="s">
        <v>257</v>
      </c>
      <c r="D148" s="61"/>
      <c r="E148" s="62">
        <f>O148+Y148+AA148+AE148</f>
        <v>0</v>
      </c>
      <c r="F148" s="61"/>
      <c r="G148" s="30"/>
      <c r="H148" s="30"/>
      <c r="I148" s="30"/>
      <c r="J148" s="30"/>
      <c r="K148" s="30">
        <f>SUM(G148:J148)</f>
        <v>0</v>
      </c>
      <c r="L148" s="30"/>
      <c r="M148" s="30"/>
      <c r="N148" s="30"/>
      <c r="O148" s="62">
        <f>SUM(K148:N148)</f>
        <v>0</v>
      </c>
      <c r="P148" s="61"/>
      <c r="Q148" s="30"/>
      <c r="R148" s="30"/>
      <c r="S148" s="30"/>
      <c r="T148" s="30"/>
      <c r="U148" s="30"/>
      <c r="V148" s="30"/>
      <c r="W148" s="30"/>
      <c r="X148" s="30"/>
      <c r="Y148" s="62">
        <f>SUM(Q148:X148)</f>
        <v>0</v>
      </c>
      <c r="Z148" s="61"/>
      <c r="AA148" s="62"/>
      <c r="AB148" s="63"/>
      <c r="AC148" s="15"/>
      <c r="AD148" s="15"/>
      <c r="AE148" s="23">
        <f>AC148+AD148</f>
        <v>0</v>
      </c>
    </row>
    <row r="149" spans="2:31" ht="16" customHeight="1" thickBot="1" x14ac:dyDescent="0.4">
      <c r="B149" s="11" t="s">
        <v>258</v>
      </c>
      <c r="C149" s="11" t="s">
        <v>22</v>
      </c>
      <c r="D149" s="29"/>
      <c r="E149" s="60"/>
      <c r="F149" s="29"/>
      <c r="G149" s="29"/>
      <c r="H149" s="29"/>
      <c r="I149" s="29"/>
      <c r="J149" s="29"/>
      <c r="K149" s="29"/>
      <c r="L149" s="29"/>
      <c r="M149" s="29"/>
      <c r="N149" s="29"/>
      <c r="O149" s="60"/>
      <c r="P149" s="29"/>
      <c r="Q149" s="29"/>
      <c r="R149" s="29"/>
      <c r="S149" s="29"/>
      <c r="T149" s="29"/>
      <c r="U149" s="29"/>
      <c r="V149" s="29"/>
      <c r="W149" s="29"/>
      <c r="X149" s="29"/>
      <c r="Y149" s="60"/>
      <c r="Z149" s="29"/>
      <c r="AA149" s="60"/>
      <c r="AB149" s="12"/>
      <c r="AC149" s="12"/>
      <c r="AD149" s="12"/>
      <c r="AE149" s="22"/>
    </row>
    <row r="150" spans="2:31" ht="16" customHeight="1" thickBot="1" x14ac:dyDescent="0.4">
      <c r="B150" s="18" t="s">
        <v>259</v>
      </c>
      <c r="C150" s="18" t="s">
        <v>260</v>
      </c>
      <c r="D150" s="66"/>
      <c r="E150" s="67">
        <f>-(-(E142+E146)-E148)</f>
        <v>195961.07684000002</v>
      </c>
      <c r="F150" s="66"/>
      <c r="G150" s="32">
        <f t="shared" ref="G150:O150" si="75">-(-(G142+G146)-G148)</f>
        <v>206462.08089000007</v>
      </c>
      <c r="H150" s="32">
        <f t="shared" si="75"/>
        <v>9061.1038400000052</v>
      </c>
      <c r="I150" s="32">
        <f t="shared" si="75"/>
        <v>1026.6970399999989</v>
      </c>
      <c r="J150" s="32">
        <f t="shared" si="75"/>
        <v>0</v>
      </c>
      <c r="K150" s="32">
        <f t="shared" si="75"/>
        <v>216549.88177000007</v>
      </c>
      <c r="L150" s="32">
        <f t="shared" si="75"/>
        <v>0</v>
      </c>
      <c r="M150" s="32">
        <f t="shared" si="75"/>
        <v>0</v>
      </c>
      <c r="N150" s="32">
        <f t="shared" si="75"/>
        <v>0</v>
      </c>
      <c r="O150" s="67">
        <f t="shared" si="75"/>
        <v>216549.88177000007</v>
      </c>
      <c r="P150" s="66"/>
      <c r="Q150" s="32">
        <f t="shared" ref="Q150:Y150" si="76">-(-(Q142+Q146)-Q148)</f>
        <v>0</v>
      </c>
      <c r="R150" s="32">
        <f t="shared" si="76"/>
        <v>0</v>
      </c>
      <c r="S150" s="32">
        <f t="shared" si="76"/>
        <v>0</v>
      </c>
      <c r="T150" s="32">
        <f t="shared" si="76"/>
        <v>0</v>
      </c>
      <c r="U150" s="32">
        <f t="shared" si="76"/>
        <v>0</v>
      </c>
      <c r="V150" s="32">
        <f t="shared" si="76"/>
        <v>0</v>
      </c>
      <c r="W150" s="32">
        <f t="shared" si="76"/>
        <v>-1315.7893799999999</v>
      </c>
      <c r="X150" s="32">
        <f t="shared" si="76"/>
        <v>0</v>
      </c>
      <c r="Y150" s="67">
        <f t="shared" si="76"/>
        <v>-1315.7893799999999</v>
      </c>
      <c r="Z150" s="66"/>
      <c r="AA150" s="67">
        <f>-(-(AA142+AA146)-AA148)</f>
        <v>0</v>
      </c>
      <c r="AB150" s="68"/>
      <c r="AC150" s="19">
        <f>-(-(AC142+AC146)-AC148)</f>
        <v>-19273.015550000004</v>
      </c>
      <c r="AD150" s="19">
        <f>-(-(AD142+AD146)-AD148)</f>
        <v>0</v>
      </c>
      <c r="AE150" s="25">
        <f>-(-(AE142+AE146)-AE148)</f>
        <v>-19273.015550000004</v>
      </c>
    </row>
    <row r="151" spans="2:31" ht="16" customHeight="1" x14ac:dyDescent="0.35">
      <c r="B151" s="11" t="s">
        <v>261</v>
      </c>
      <c r="C151" s="11" t="s">
        <v>22</v>
      </c>
      <c r="D151" s="29"/>
      <c r="E151" s="60"/>
      <c r="F151" s="29"/>
      <c r="G151" s="29"/>
      <c r="H151" s="29"/>
      <c r="I151" s="29"/>
      <c r="J151" s="29"/>
      <c r="K151" s="29"/>
      <c r="L151" s="29"/>
      <c r="M151" s="29"/>
      <c r="N151" s="29"/>
      <c r="O151" s="60"/>
      <c r="P151" s="29"/>
      <c r="Q151" s="29"/>
      <c r="R151" s="29"/>
      <c r="S151" s="29"/>
      <c r="T151" s="29"/>
      <c r="U151" s="29"/>
      <c r="V151" s="29"/>
      <c r="W151" s="29"/>
      <c r="X151" s="29"/>
      <c r="Y151" s="60"/>
      <c r="Z151" s="29"/>
      <c r="AA151" s="60"/>
      <c r="AB151" s="12"/>
      <c r="AC151" s="12"/>
      <c r="AD151" s="12"/>
      <c r="AE151" s="22"/>
    </row>
    <row r="152" spans="2:31" ht="16" customHeight="1" x14ac:dyDescent="0.35">
      <c r="B152" s="14" t="s">
        <v>262</v>
      </c>
      <c r="C152" s="14" t="s">
        <v>263</v>
      </c>
      <c r="D152" s="61"/>
      <c r="E152" s="62">
        <f>O152+Y152+AA152+AE152</f>
        <v>0</v>
      </c>
      <c r="F152" s="61"/>
      <c r="G152" s="30"/>
      <c r="H152" s="30"/>
      <c r="I152" s="30"/>
      <c r="J152" s="30"/>
      <c r="K152" s="30">
        <f>SUM(G152:J152)</f>
        <v>0</v>
      </c>
      <c r="L152" s="30"/>
      <c r="M152" s="30"/>
      <c r="N152" s="30"/>
      <c r="O152" s="62">
        <f>SUM(K152:N152)</f>
        <v>0</v>
      </c>
      <c r="P152" s="61"/>
      <c r="Q152" s="30"/>
      <c r="R152" s="30"/>
      <c r="S152" s="30"/>
      <c r="T152" s="30"/>
      <c r="U152" s="30"/>
      <c r="V152" s="30"/>
      <c r="W152" s="30"/>
      <c r="X152" s="30"/>
      <c r="Y152" s="62">
        <f>SUM(Q152:X152)</f>
        <v>0</v>
      </c>
      <c r="Z152" s="61"/>
      <c r="AA152" s="62"/>
      <c r="AB152" s="63"/>
      <c r="AC152" s="15"/>
      <c r="AD152" s="15"/>
      <c r="AE152" s="23">
        <f>AC152+AD152</f>
        <v>0</v>
      </c>
    </row>
    <row r="153" spans="2:31" ht="16" customHeight="1" thickBot="1" x14ac:dyDescent="0.4">
      <c r="B153" s="11" t="s">
        <v>264</v>
      </c>
      <c r="C153" s="11" t="s">
        <v>22</v>
      </c>
      <c r="D153" s="29"/>
      <c r="E153" s="60"/>
      <c r="F153" s="29"/>
      <c r="G153" s="29"/>
      <c r="H153" s="29"/>
      <c r="I153" s="29"/>
      <c r="J153" s="29"/>
      <c r="K153" s="29"/>
      <c r="L153" s="29"/>
      <c r="M153" s="29"/>
      <c r="N153" s="29"/>
      <c r="O153" s="60"/>
      <c r="P153" s="29"/>
      <c r="Q153" s="29"/>
      <c r="R153" s="29"/>
      <c r="S153" s="29"/>
      <c r="T153" s="29"/>
      <c r="U153" s="29"/>
      <c r="V153" s="29"/>
      <c r="W153" s="29"/>
      <c r="X153" s="29"/>
      <c r="Y153" s="60"/>
      <c r="Z153" s="29"/>
      <c r="AA153" s="60"/>
      <c r="AB153" s="12"/>
      <c r="AC153" s="12"/>
      <c r="AD153" s="12"/>
      <c r="AE153" s="22"/>
    </row>
    <row r="154" spans="2:31" ht="16" customHeight="1" thickBot="1" x14ac:dyDescent="0.4">
      <c r="B154" s="18" t="s">
        <v>265</v>
      </c>
      <c r="C154" s="18" t="s">
        <v>266</v>
      </c>
      <c r="D154" s="66"/>
      <c r="E154" s="67">
        <f>E150+E152</f>
        <v>195961.07684000002</v>
      </c>
      <c r="F154" s="66"/>
      <c r="G154" s="32">
        <f t="shared" ref="G154:O154" si="77">G150+G152</f>
        <v>206462.08089000007</v>
      </c>
      <c r="H154" s="32">
        <f t="shared" si="77"/>
        <v>9061.1038400000052</v>
      </c>
      <c r="I154" s="19">
        <f t="shared" si="77"/>
        <v>1026.6970399999989</v>
      </c>
      <c r="J154" s="19">
        <f t="shared" si="77"/>
        <v>0</v>
      </c>
      <c r="K154" s="19">
        <f t="shared" si="77"/>
        <v>216549.88177000007</v>
      </c>
      <c r="L154" s="19">
        <f t="shared" si="77"/>
        <v>0</v>
      </c>
      <c r="M154" s="19">
        <f t="shared" si="77"/>
        <v>0</v>
      </c>
      <c r="N154" s="19">
        <f t="shared" si="77"/>
        <v>0</v>
      </c>
      <c r="O154" s="25">
        <f t="shared" si="77"/>
        <v>216549.88177000007</v>
      </c>
      <c r="P154" s="68"/>
      <c r="Q154" s="19">
        <f t="shared" ref="Q154:Y154" si="78">Q150+Q152</f>
        <v>0</v>
      </c>
      <c r="R154" s="19">
        <f t="shared" si="78"/>
        <v>0</v>
      </c>
      <c r="S154" s="19">
        <f t="shared" si="78"/>
        <v>0</v>
      </c>
      <c r="T154" s="19">
        <f t="shared" si="78"/>
        <v>0</v>
      </c>
      <c r="U154" s="19">
        <f t="shared" si="78"/>
        <v>0</v>
      </c>
      <c r="V154" s="19">
        <f t="shared" si="78"/>
        <v>0</v>
      </c>
      <c r="W154" s="19">
        <f t="shared" si="78"/>
        <v>-1315.7893799999999</v>
      </c>
      <c r="X154" s="19">
        <f t="shared" si="78"/>
        <v>0</v>
      </c>
      <c r="Y154" s="25">
        <f t="shared" si="78"/>
        <v>-1315.7893799999999</v>
      </c>
      <c r="Z154" s="68"/>
      <c r="AA154" s="25">
        <f>AA150+AA152</f>
        <v>0</v>
      </c>
      <c r="AB154" s="68"/>
      <c r="AC154" s="19">
        <f>AC150+AC152</f>
        <v>-19273.015550000004</v>
      </c>
      <c r="AD154" s="19">
        <f>AD150+AD152</f>
        <v>0</v>
      </c>
      <c r="AE154" s="25">
        <f>AE150+AE152</f>
        <v>-19273.015550000004</v>
      </c>
    </row>
    <row r="155" spans="2:31" ht="16" customHeight="1" x14ac:dyDescent="0.45">
      <c r="B155" s="9"/>
      <c r="C155" s="9"/>
      <c r="D155" s="9"/>
      <c r="E155" s="9"/>
      <c r="F155" s="9"/>
      <c r="G155" s="9"/>
      <c r="H155" s="9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</row>
    <row r="156" spans="2:31" ht="16" customHeight="1" x14ac:dyDescent="0.45">
      <c r="B156" s="9"/>
      <c r="C156" s="9"/>
      <c r="D156" s="9"/>
      <c r="E156" s="9"/>
      <c r="F156" s="9"/>
      <c r="G156" s="9"/>
      <c r="H156" s="9"/>
      <c r="I156" s="13"/>
      <c r="J156" s="13"/>
      <c r="K156" s="13"/>
      <c r="L156" s="13"/>
    </row>
  </sheetData>
  <mergeCells count="2">
    <mergeCell ref="B4:E4"/>
    <mergeCell ref="B6:C6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BB07-D817-4FF8-8FE4-239B2EDC13CB}">
  <dimension ref="A3:U378"/>
  <sheetViews>
    <sheetView showGridLines="0" zoomScale="90" zoomScaleNormal="90" workbookViewId="0">
      <pane xSplit="6" ySplit="8" topLeftCell="G9" activePane="bottomRight" state="frozen"/>
      <selection pane="topRight" activeCell="G1" sqref="G1"/>
      <selection pane="bottomLeft" activeCell="A7" sqref="A7"/>
      <selection pane="bottomRight" activeCell="B4" sqref="B4:E4"/>
    </sheetView>
  </sheetViews>
  <sheetFormatPr defaultColWidth="9.1796875" defaultRowHeight="16" customHeight="1" x14ac:dyDescent="0.35"/>
  <cols>
    <col min="1" max="1" width="2.453125" style="1" customWidth="1"/>
    <col min="2" max="2" width="10.7265625" style="1" customWidth="1"/>
    <col min="3" max="3" width="60.7265625" style="1" customWidth="1"/>
    <col min="4" max="4" width="2.7265625" style="1" customWidth="1"/>
    <col min="5" max="5" width="14.7265625" style="1" customWidth="1"/>
    <col min="6" max="6" width="2.7265625" style="1" customWidth="1"/>
    <col min="7" max="80" width="14.7265625" style="1" customWidth="1"/>
    <col min="81" max="130" width="15.7265625" style="1" customWidth="1"/>
    <col min="131" max="16384" width="9.1796875" style="1"/>
  </cols>
  <sheetData>
    <row r="3" spans="1:21" ht="16" customHeight="1" x14ac:dyDescent="0.35">
      <c r="B3" s="2" t="s">
        <v>1041</v>
      </c>
    </row>
    <row r="4" spans="1:21" ht="16" customHeight="1" x14ac:dyDescent="0.35">
      <c r="B4" s="33" t="s">
        <v>270</v>
      </c>
      <c r="C4" s="33"/>
      <c r="D4" s="33"/>
      <c r="E4" s="33"/>
    </row>
    <row r="5" spans="1:21" ht="16" customHeight="1" x14ac:dyDescent="0.35">
      <c r="B5" s="4" t="s">
        <v>1016</v>
      </c>
    </row>
    <row r="6" spans="1:21" ht="16" customHeight="1" x14ac:dyDescent="0.35">
      <c r="A6" s="20"/>
      <c r="B6" s="56">
        <v>46189.339858865744</v>
      </c>
      <c r="C6" s="56"/>
    </row>
    <row r="8" spans="1:21" ht="16.5" thickBot="1" x14ac:dyDescent="0.5">
      <c r="B8" s="7"/>
      <c r="C8" s="28"/>
      <c r="D8" s="59"/>
      <c r="E8" s="21" t="s">
        <v>1017</v>
      </c>
      <c r="F8" s="59"/>
      <c r="G8" s="8" t="s">
        <v>1018</v>
      </c>
      <c r="H8" s="8" t="s">
        <v>1019</v>
      </c>
      <c r="I8" s="8" t="s">
        <v>1020</v>
      </c>
      <c r="J8" s="8" t="s">
        <v>1033</v>
      </c>
      <c r="K8" s="8" t="s">
        <v>1042</v>
      </c>
      <c r="L8" s="9"/>
      <c r="M8" s="9"/>
      <c r="N8" s="9"/>
      <c r="O8" s="9"/>
      <c r="P8" s="9"/>
      <c r="Q8" s="9"/>
      <c r="R8" s="13"/>
      <c r="S8" s="9"/>
      <c r="T8" s="13"/>
      <c r="U8" s="13"/>
    </row>
    <row r="9" spans="1:21" ht="15" customHeight="1" x14ac:dyDescent="0.45">
      <c r="B9" s="11"/>
      <c r="C9" s="11"/>
      <c r="D9" s="29"/>
      <c r="E9" s="60"/>
      <c r="F9" s="29"/>
      <c r="G9" s="12"/>
      <c r="H9" s="12"/>
      <c r="I9" s="12"/>
      <c r="J9" s="12"/>
      <c r="K9" s="12"/>
      <c r="L9" s="13"/>
      <c r="M9" s="13"/>
      <c r="N9" s="13"/>
      <c r="O9" s="13"/>
      <c r="P9" s="13"/>
      <c r="Q9" s="13"/>
      <c r="R9" s="13"/>
      <c r="S9" s="13"/>
      <c r="T9" s="13"/>
      <c r="U9" s="13"/>
    </row>
    <row r="10" spans="1:21" ht="16" customHeight="1" x14ac:dyDescent="0.45">
      <c r="B10" s="34"/>
      <c r="C10" s="34" t="s">
        <v>754</v>
      </c>
      <c r="D10" s="69"/>
      <c r="E10" s="70"/>
      <c r="F10" s="69"/>
      <c r="G10" s="35"/>
      <c r="H10" s="35"/>
      <c r="I10" s="35"/>
      <c r="J10" s="35"/>
      <c r="K10" s="35"/>
      <c r="L10" s="13"/>
      <c r="M10" s="13"/>
      <c r="N10" s="13"/>
      <c r="O10" s="13"/>
      <c r="P10" s="13"/>
      <c r="Q10" s="13"/>
      <c r="R10" s="13"/>
      <c r="S10" s="13"/>
      <c r="T10" s="13"/>
      <c r="U10" s="13"/>
    </row>
    <row r="11" spans="1:21" ht="16" customHeight="1" x14ac:dyDescent="0.45">
      <c r="B11" s="11"/>
      <c r="C11" s="11" t="s">
        <v>22</v>
      </c>
      <c r="D11" s="29"/>
      <c r="E11" s="60"/>
      <c r="F11" s="29"/>
      <c r="G11" s="12"/>
      <c r="H11" s="12"/>
      <c r="I11" s="12"/>
      <c r="J11" s="12"/>
      <c r="K11" s="12"/>
      <c r="L11" s="13"/>
      <c r="M11" s="13"/>
      <c r="N11" s="13"/>
      <c r="O11" s="13"/>
      <c r="P11" s="13"/>
      <c r="Q11" s="13"/>
      <c r="R11" s="13"/>
      <c r="S11" s="13"/>
    </row>
    <row r="12" spans="1:21" ht="16" customHeight="1" x14ac:dyDescent="0.45">
      <c r="B12" s="14" t="s">
        <v>755</v>
      </c>
      <c r="C12" s="14" t="s">
        <v>138</v>
      </c>
      <c r="D12" s="61"/>
      <c r="E12" s="62">
        <v>215234.27264000001</v>
      </c>
      <c r="F12" s="61"/>
      <c r="G12" s="15">
        <v>206462.08089000001</v>
      </c>
      <c r="H12" s="15">
        <v>9061.1038399999998</v>
      </c>
      <c r="I12" s="15">
        <v>1026.69704</v>
      </c>
      <c r="J12" s="15">
        <v>-1315.7893799999999</v>
      </c>
      <c r="K12" s="15">
        <v>0.18024999999999999</v>
      </c>
      <c r="L12" s="13"/>
      <c r="M12" s="13"/>
      <c r="N12" s="13"/>
      <c r="O12" s="13"/>
      <c r="P12" s="13"/>
      <c r="Q12" s="13"/>
      <c r="R12" s="13"/>
      <c r="S12" s="13"/>
    </row>
    <row r="13" spans="1:21" ht="16" customHeight="1" x14ac:dyDescent="0.45">
      <c r="B13" s="11"/>
      <c r="C13" s="11" t="s">
        <v>22</v>
      </c>
      <c r="D13" s="29"/>
      <c r="E13" s="60"/>
      <c r="F13" s="29"/>
      <c r="G13" s="12"/>
      <c r="H13" s="12"/>
      <c r="I13" s="12"/>
      <c r="J13" s="12"/>
      <c r="K13" s="12"/>
      <c r="L13" s="13"/>
      <c r="M13" s="13"/>
      <c r="N13" s="13"/>
      <c r="O13" s="13"/>
      <c r="P13" s="13"/>
      <c r="Q13" s="13"/>
      <c r="R13" s="13"/>
      <c r="S13" s="13"/>
    </row>
    <row r="14" spans="1:21" ht="16" customHeight="1" x14ac:dyDescent="0.45">
      <c r="B14" s="14" t="s">
        <v>756</v>
      </c>
      <c r="C14" s="14" t="s">
        <v>757</v>
      </c>
      <c r="D14" s="61"/>
      <c r="E14" s="62">
        <v>144870.31425</v>
      </c>
      <c r="F14" s="61"/>
      <c r="G14" s="15">
        <v>140588.56614000001</v>
      </c>
      <c r="H14" s="15">
        <v>4281.7481100000005</v>
      </c>
      <c r="I14" s="15"/>
      <c r="J14" s="15"/>
      <c r="K14" s="15"/>
      <c r="L14" s="13"/>
      <c r="M14" s="13"/>
      <c r="N14" s="13"/>
      <c r="O14" s="13"/>
      <c r="P14" s="13"/>
      <c r="Q14" s="13"/>
      <c r="R14" s="13"/>
      <c r="S14" s="13"/>
    </row>
    <row r="15" spans="1:21" ht="16" customHeight="1" x14ac:dyDescent="0.45">
      <c r="B15" s="11"/>
      <c r="C15" s="11" t="s">
        <v>22</v>
      </c>
      <c r="D15" s="29"/>
      <c r="E15" s="60"/>
      <c r="F15" s="29"/>
      <c r="G15" s="12"/>
      <c r="H15" s="12"/>
      <c r="I15" s="12"/>
      <c r="J15" s="12"/>
      <c r="K15" s="12"/>
      <c r="L15" s="13"/>
      <c r="M15" s="13"/>
      <c r="N15" s="13"/>
      <c r="O15" s="13"/>
      <c r="P15" s="13"/>
      <c r="Q15" s="13"/>
      <c r="R15" s="13"/>
      <c r="S15" s="13"/>
    </row>
    <row r="16" spans="1:21" ht="16" customHeight="1" x14ac:dyDescent="0.45">
      <c r="B16" s="34" t="s">
        <v>758</v>
      </c>
      <c r="C16" s="34" t="s">
        <v>126</v>
      </c>
      <c r="D16" s="69"/>
      <c r="E16" s="70">
        <f>E12+E14</f>
        <v>360104.58689000004</v>
      </c>
      <c r="F16" s="69"/>
      <c r="G16" s="35">
        <f>G12+G14</f>
        <v>347050.64702999999</v>
      </c>
      <c r="H16" s="35">
        <f>H12+H14</f>
        <v>13342.85195</v>
      </c>
      <c r="I16" s="35">
        <f>I12+I14</f>
        <v>1026.69704</v>
      </c>
      <c r="J16" s="35">
        <f>J12+J14</f>
        <v>-1315.7893799999999</v>
      </c>
      <c r="K16" s="35">
        <f>K12+K14</f>
        <v>0.18024999999999999</v>
      </c>
      <c r="L16" s="13"/>
      <c r="M16" s="13"/>
      <c r="N16" s="13"/>
      <c r="O16" s="13"/>
      <c r="P16" s="13"/>
      <c r="Q16" s="13"/>
      <c r="R16" s="13"/>
      <c r="S16" s="13"/>
    </row>
    <row r="17" spans="2:19" ht="16" customHeight="1" x14ac:dyDescent="0.45">
      <c r="B17" s="11"/>
      <c r="C17" s="11" t="s">
        <v>22</v>
      </c>
      <c r="D17" s="29"/>
      <c r="E17" s="60"/>
      <c r="F17" s="29"/>
      <c r="G17" s="12"/>
      <c r="H17" s="12"/>
      <c r="I17" s="12"/>
      <c r="J17" s="12"/>
      <c r="K17" s="12"/>
      <c r="L17" s="13"/>
      <c r="M17" s="13"/>
      <c r="N17" s="13"/>
      <c r="O17" s="13"/>
      <c r="P17" s="13"/>
      <c r="Q17" s="13"/>
      <c r="R17" s="13"/>
      <c r="S17" s="13"/>
    </row>
    <row r="18" spans="2:19" ht="16" customHeight="1" x14ac:dyDescent="0.45">
      <c r="B18" s="14" t="s">
        <v>759</v>
      </c>
      <c r="C18" s="14" t="s">
        <v>760</v>
      </c>
      <c r="D18" s="61"/>
      <c r="E18" s="62">
        <v>7181.7586300000003</v>
      </c>
      <c r="F18" s="61"/>
      <c r="G18" s="15">
        <v>7081.8173900000002</v>
      </c>
      <c r="H18" s="15">
        <v>99.941239999999993</v>
      </c>
      <c r="I18" s="15"/>
      <c r="J18" s="15"/>
      <c r="K18" s="15"/>
      <c r="L18" s="13"/>
      <c r="M18" s="13"/>
      <c r="N18" s="13"/>
      <c r="O18" s="13"/>
      <c r="P18" s="13"/>
      <c r="Q18" s="13"/>
      <c r="R18" s="13"/>
      <c r="S18" s="13"/>
    </row>
    <row r="19" spans="2:19" ht="16" customHeight="1" x14ac:dyDescent="0.45">
      <c r="B19" s="14"/>
      <c r="C19" s="14" t="s">
        <v>762</v>
      </c>
      <c r="D19" s="61"/>
      <c r="E19" s="62">
        <v>18081.29622</v>
      </c>
      <c r="F19" s="61"/>
      <c r="G19" s="15">
        <v>16048.388790000001</v>
      </c>
      <c r="H19" s="15">
        <v>1131.85779</v>
      </c>
      <c r="I19" s="15">
        <v>45.082450000000001</v>
      </c>
      <c r="J19" s="15">
        <v>138.94577000000001</v>
      </c>
      <c r="K19" s="15">
        <v>717.02142000000003</v>
      </c>
      <c r="L19" s="13"/>
      <c r="M19" s="13"/>
      <c r="N19" s="13"/>
      <c r="O19" s="13"/>
      <c r="P19" s="13"/>
      <c r="Q19" s="13"/>
      <c r="R19" s="13"/>
      <c r="S19" s="13"/>
    </row>
    <row r="20" spans="2:19" ht="16" customHeight="1" x14ac:dyDescent="0.45">
      <c r="B20" s="11"/>
      <c r="C20" s="11" t="s">
        <v>22</v>
      </c>
      <c r="D20" s="29"/>
      <c r="E20" s="60"/>
      <c r="F20" s="29"/>
      <c r="G20" s="12"/>
      <c r="H20" s="12"/>
      <c r="I20" s="12"/>
      <c r="J20" s="12"/>
      <c r="K20" s="12"/>
      <c r="L20" s="13"/>
      <c r="M20" s="13"/>
      <c r="N20" s="13"/>
      <c r="O20" s="13"/>
      <c r="P20" s="13"/>
      <c r="Q20" s="13"/>
      <c r="R20" s="13"/>
      <c r="S20" s="13"/>
    </row>
    <row r="21" spans="2:19" ht="16" customHeight="1" x14ac:dyDescent="0.45">
      <c r="B21" s="34"/>
      <c r="C21" s="34" t="s">
        <v>763</v>
      </c>
      <c r="D21" s="69"/>
      <c r="E21" s="70">
        <f>E22+E23</f>
        <v>0</v>
      </c>
      <c r="F21" s="69"/>
      <c r="G21" s="35">
        <f>G22+G23</f>
        <v>0</v>
      </c>
      <c r="H21" s="35">
        <f>H22+H23</f>
        <v>0</v>
      </c>
      <c r="I21" s="35">
        <f>I22+I23</f>
        <v>0</v>
      </c>
      <c r="J21" s="35">
        <f>J22+J23</f>
        <v>0</v>
      </c>
      <c r="K21" s="35">
        <f>K22+K23</f>
        <v>0</v>
      </c>
      <c r="L21" s="13"/>
      <c r="M21" s="13"/>
      <c r="N21" s="13"/>
      <c r="O21" s="13"/>
      <c r="P21" s="13"/>
      <c r="Q21" s="13"/>
      <c r="R21" s="13"/>
      <c r="S21" s="13"/>
    </row>
    <row r="22" spans="2:19" ht="16" customHeight="1" x14ac:dyDescent="0.45">
      <c r="B22" s="14" t="s">
        <v>764</v>
      </c>
      <c r="C22" s="14" t="s">
        <v>112</v>
      </c>
      <c r="D22" s="61"/>
      <c r="E22" s="62"/>
      <c r="F22" s="61"/>
      <c r="G22" s="15"/>
      <c r="H22" s="15"/>
      <c r="I22" s="15"/>
      <c r="J22" s="15"/>
      <c r="K22" s="15"/>
      <c r="L22" s="13"/>
      <c r="M22" s="13"/>
      <c r="N22" s="13"/>
      <c r="O22" s="13"/>
      <c r="P22" s="13"/>
      <c r="Q22" s="13"/>
      <c r="R22" s="13"/>
      <c r="S22" s="13"/>
    </row>
    <row r="23" spans="2:19" ht="16" customHeight="1" x14ac:dyDescent="0.45">
      <c r="B23" s="14" t="s">
        <v>765</v>
      </c>
      <c r="C23" s="14" t="s">
        <v>110</v>
      </c>
      <c r="D23" s="61"/>
      <c r="E23" s="62"/>
      <c r="F23" s="61"/>
      <c r="G23" s="15"/>
      <c r="H23" s="15"/>
      <c r="I23" s="15"/>
      <c r="J23" s="15"/>
      <c r="K23" s="15"/>
      <c r="L23" s="13"/>
      <c r="M23" s="13"/>
      <c r="N23" s="13"/>
      <c r="O23" s="13"/>
      <c r="P23" s="13"/>
      <c r="Q23" s="13"/>
      <c r="R23" s="13"/>
      <c r="S23" s="13"/>
    </row>
    <row r="24" spans="2:19" ht="16" customHeight="1" x14ac:dyDescent="0.45">
      <c r="B24" s="11"/>
      <c r="C24" s="11" t="s">
        <v>22</v>
      </c>
      <c r="D24" s="29"/>
      <c r="E24" s="60"/>
      <c r="F24" s="29"/>
      <c r="G24" s="12"/>
      <c r="H24" s="12"/>
      <c r="I24" s="12"/>
      <c r="J24" s="12"/>
      <c r="K24" s="12"/>
      <c r="L24" s="13"/>
      <c r="M24" s="13"/>
      <c r="N24" s="13"/>
      <c r="O24" s="13"/>
      <c r="P24" s="13"/>
      <c r="Q24" s="13"/>
      <c r="R24" s="13"/>
      <c r="S24" s="13"/>
    </row>
    <row r="25" spans="2:19" ht="16" customHeight="1" x14ac:dyDescent="0.45">
      <c r="B25" s="34"/>
      <c r="C25" s="34" t="s">
        <v>766</v>
      </c>
      <c r="D25" s="69"/>
      <c r="E25" s="70">
        <f>E26+E27</f>
        <v>1322.1887899999999</v>
      </c>
      <c r="F25" s="69"/>
      <c r="G25" s="35">
        <f>G26+G27</f>
        <v>1106.21291</v>
      </c>
      <c r="H25" s="35">
        <f>H26+H27</f>
        <v>96.192430000000002</v>
      </c>
      <c r="I25" s="35">
        <f>I26+I27</f>
        <v>0</v>
      </c>
      <c r="J25" s="35">
        <f>J26+J27</f>
        <v>119.78345</v>
      </c>
      <c r="K25" s="35">
        <f>K26+K27</f>
        <v>0</v>
      </c>
      <c r="L25" s="13"/>
      <c r="M25" s="13"/>
      <c r="N25" s="13"/>
      <c r="O25" s="13"/>
      <c r="P25" s="13"/>
      <c r="Q25" s="13"/>
      <c r="R25" s="13"/>
      <c r="S25" s="13"/>
    </row>
    <row r="26" spans="2:19" ht="16" customHeight="1" x14ac:dyDescent="0.45">
      <c r="B26" s="14" t="s">
        <v>767</v>
      </c>
      <c r="C26" s="14" t="s">
        <v>768</v>
      </c>
      <c r="D26" s="61"/>
      <c r="E26" s="62"/>
      <c r="F26" s="61"/>
      <c r="G26" s="15"/>
      <c r="H26" s="15"/>
      <c r="I26" s="15"/>
      <c r="J26" s="15"/>
      <c r="K26" s="15"/>
      <c r="L26" s="13"/>
      <c r="M26" s="13"/>
      <c r="N26" s="13"/>
      <c r="O26" s="13"/>
      <c r="P26" s="13"/>
      <c r="Q26" s="13"/>
      <c r="R26" s="13"/>
      <c r="S26" s="13"/>
    </row>
    <row r="27" spans="2:19" ht="16" customHeight="1" x14ac:dyDescent="0.45">
      <c r="B27" s="14" t="s">
        <v>769</v>
      </c>
      <c r="C27" s="14" t="s">
        <v>770</v>
      </c>
      <c r="D27" s="61"/>
      <c r="E27" s="62">
        <v>1322.1887899999999</v>
      </c>
      <c r="F27" s="61"/>
      <c r="G27" s="15">
        <v>1106.21291</v>
      </c>
      <c r="H27" s="15">
        <v>96.192430000000002</v>
      </c>
      <c r="I27" s="15"/>
      <c r="J27" s="15">
        <v>119.78345</v>
      </c>
      <c r="K27" s="15"/>
      <c r="L27" s="13"/>
      <c r="M27" s="13"/>
      <c r="N27" s="13"/>
      <c r="O27" s="13"/>
      <c r="P27" s="13"/>
      <c r="Q27" s="13"/>
      <c r="R27" s="13"/>
      <c r="S27" s="13"/>
    </row>
    <row r="28" spans="2:19" ht="16" customHeight="1" x14ac:dyDescent="0.45">
      <c r="B28" s="11"/>
      <c r="C28" s="11" t="s">
        <v>22</v>
      </c>
      <c r="D28" s="29"/>
      <c r="E28" s="60"/>
      <c r="F28" s="29"/>
      <c r="G28" s="12"/>
      <c r="H28" s="12"/>
      <c r="I28" s="12"/>
      <c r="J28" s="12"/>
      <c r="K28" s="12"/>
      <c r="L28" s="13"/>
      <c r="M28" s="13"/>
      <c r="N28" s="13"/>
      <c r="O28" s="13"/>
      <c r="P28" s="13"/>
      <c r="Q28" s="13"/>
      <c r="R28" s="13"/>
      <c r="S28" s="13"/>
    </row>
    <row r="29" spans="2:19" ht="16" customHeight="1" x14ac:dyDescent="0.45">
      <c r="B29" s="34"/>
      <c r="C29" s="34" t="s">
        <v>771</v>
      </c>
      <c r="D29" s="69"/>
      <c r="E29" s="70">
        <f>E30+E31+E32+E33+E34+E35+E36</f>
        <v>4813.9004599999998</v>
      </c>
      <c r="F29" s="69"/>
      <c r="G29" s="35">
        <f>G30+G31+G32+G33+G34+G35+G36</f>
        <v>-5495.7578200000007</v>
      </c>
      <c r="H29" s="35">
        <f>H30+H31+H32+H33+H34+H35+H36</f>
        <v>10309.65828</v>
      </c>
      <c r="I29" s="35">
        <f>I30+I31+I32+I33+I34+I35+I36</f>
        <v>0</v>
      </c>
      <c r="J29" s="35">
        <f>J30+J31+J32+J33+J34+J35+J36</f>
        <v>0</v>
      </c>
      <c r="K29" s="35">
        <f>K30+K31+K32+K33+K34+K35+K36</f>
        <v>0</v>
      </c>
      <c r="L29" s="13"/>
      <c r="M29" s="13"/>
      <c r="N29" s="13"/>
      <c r="O29" s="13"/>
      <c r="P29" s="13"/>
      <c r="Q29" s="13"/>
      <c r="R29" s="13"/>
      <c r="S29" s="13"/>
    </row>
    <row r="30" spans="2:19" ht="16" customHeight="1" x14ac:dyDescent="0.45">
      <c r="B30" s="14" t="s">
        <v>772</v>
      </c>
      <c r="C30" s="14" t="s">
        <v>88</v>
      </c>
      <c r="D30" s="61"/>
      <c r="E30" s="62">
        <v>-2158.8922699999998</v>
      </c>
      <c r="F30" s="61"/>
      <c r="G30" s="15">
        <v>-2158.8922699999998</v>
      </c>
      <c r="H30" s="15"/>
      <c r="I30" s="15"/>
      <c r="J30" s="15"/>
      <c r="K30" s="15"/>
      <c r="L30" s="13"/>
      <c r="M30" s="13"/>
      <c r="N30" s="13"/>
      <c r="O30" s="13"/>
      <c r="P30" s="13"/>
      <c r="Q30" s="13"/>
      <c r="R30" s="13"/>
      <c r="S30" s="13"/>
    </row>
    <row r="31" spans="2:19" ht="16" customHeight="1" x14ac:dyDescent="0.45">
      <c r="B31" s="14" t="s">
        <v>773</v>
      </c>
      <c r="C31" s="14" t="s">
        <v>774</v>
      </c>
      <c r="D31" s="61"/>
      <c r="E31" s="62">
        <v>-84.691779999999994</v>
      </c>
      <c r="F31" s="61"/>
      <c r="G31" s="15">
        <v>-84.691779999999994</v>
      </c>
      <c r="H31" s="15"/>
      <c r="I31" s="15"/>
      <c r="J31" s="15"/>
      <c r="K31" s="15"/>
      <c r="L31" s="13"/>
      <c r="M31" s="13"/>
      <c r="N31" s="13"/>
      <c r="O31" s="13"/>
      <c r="P31" s="13"/>
      <c r="Q31" s="13"/>
      <c r="R31" s="13"/>
      <c r="S31" s="13"/>
    </row>
    <row r="32" spans="2:19" ht="16" customHeight="1" x14ac:dyDescent="0.45">
      <c r="B32" s="14" t="s">
        <v>775</v>
      </c>
      <c r="C32" s="14" t="s">
        <v>776</v>
      </c>
      <c r="D32" s="61"/>
      <c r="E32" s="62">
        <v>-95.825000000000003</v>
      </c>
      <c r="F32" s="61"/>
      <c r="G32" s="15">
        <v>-95.358999999999995</v>
      </c>
      <c r="H32" s="15">
        <v>-0.46600000000000003</v>
      </c>
      <c r="I32" s="15"/>
      <c r="J32" s="15"/>
      <c r="K32" s="15"/>
      <c r="L32" s="13"/>
      <c r="M32" s="13"/>
      <c r="N32" s="13"/>
      <c r="O32" s="13"/>
      <c r="P32" s="13"/>
      <c r="Q32" s="13"/>
      <c r="R32" s="13"/>
      <c r="S32" s="13"/>
    </row>
    <row r="33" spans="2:19" ht="16" customHeight="1" x14ac:dyDescent="0.45">
      <c r="B33" s="14" t="s">
        <v>777</v>
      </c>
      <c r="C33" s="14" t="s">
        <v>778</v>
      </c>
      <c r="D33" s="61"/>
      <c r="E33" s="62">
        <v>-4915.0925800000005</v>
      </c>
      <c r="F33" s="61"/>
      <c r="G33" s="15">
        <v>-4521.88519</v>
      </c>
      <c r="H33" s="15">
        <v>-393.20738999999998</v>
      </c>
      <c r="I33" s="15"/>
      <c r="J33" s="15"/>
      <c r="K33" s="15"/>
      <c r="L33" s="13"/>
      <c r="M33" s="13"/>
      <c r="N33" s="13"/>
      <c r="O33" s="13"/>
      <c r="P33" s="13"/>
      <c r="Q33" s="13"/>
      <c r="R33" s="13"/>
      <c r="S33" s="13"/>
    </row>
    <row r="34" spans="2:19" ht="16" customHeight="1" x14ac:dyDescent="0.45">
      <c r="B34" s="14" t="s">
        <v>779</v>
      </c>
      <c r="C34" s="14" t="s">
        <v>780</v>
      </c>
      <c r="D34" s="61"/>
      <c r="E34" s="62">
        <v>-62.949339999999999</v>
      </c>
      <c r="F34" s="61"/>
      <c r="G34" s="15">
        <v>-57.913400000000003</v>
      </c>
      <c r="H34" s="15">
        <v>-5.0359400000000001</v>
      </c>
      <c r="I34" s="15"/>
      <c r="J34" s="15"/>
      <c r="K34" s="15"/>
      <c r="L34" s="13"/>
      <c r="M34" s="13"/>
      <c r="N34" s="13"/>
      <c r="O34" s="13"/>
      <c r="P34" s="13"/>
      <c r="Q34" s="13"/>
      <c r="R34" s="13"/>
      <c r="S34" s="13"/>
    </row>
    <row r="35" spans="2:19" ht="16" customHeight="1" x14ac:dyDescent="0.45">
      <c r="B35" s="14" t="s">
        <v>781</v>
      </c>
      <c r="C35" s="14" t="s">
        <v>782</v>
      </c>
      <c r="D35" s="61"/>
      <c r="E35" s="62">
        <v>12131.351430000001</v>
      </c>
      <c r="F35" s="61"/>
      <c r="G35" s="15">
        <v>1422.9838199999999</v>
      </c>
      <c r="H35" s="15">
        <v>10708.367609999999</v>
      </c>
      <c r="I35" s="15"/>
      <c r="J35" s="15"/>
      <c r="K35" s="15"/>
      <c r="L35" s="13"/>
      <c r="M35" s="13"/>
      <c r="N35" s="13"/>
      <c r="O35" s="13"/>
      <c r="P35" s="13"/>
      <c r="Q35" s="13"/>
      <c r="R35" s="13"/>
      <c r="S35" s="13"/>
    </row>
    <row r="36" spans="2:19" ht="16" customHeight="1" x14ac:dyDescent="0.45">
      <c r="B36" s="14"/>
      <c r="C36" s="14" t="s">
        <v>784</v>
      </c>
      <c r="D36" s="61"/>
      <c r="E36" s="62"/>
      <c r="F36" s="61"/>
      <c r="G36" s="15"/>
      <c r="H36" s="15"/>
      <c r="I36" s="15"/>
      <c r="J36" s="15"/>
      <c r="K36" s="15"/>
      <c r="L36" s="13"/>
      <c r="M36" s="13"/>
      <c r="N36" s="13"/>
      <c r="O36" s="13"/>
      <c r="P36" s="13"/>
      <c r="Q36" s="13"/>
      <c r="R36" s="13"/>
      <c r="S36" s="13"/>
    </row>
    <row r="37" spans="2:19" ht="16" customHeight="1" x14ac:dyDescent="0.45">
      <c r="B37" s="11"/>
      <c r="C37" s="11" t="s">
        <v>22</v>
      </c>
      <c r="D37" s="29"/>
      <c r="E37" s="60"/>
      <c r="F37" s="29"/>
      <c r="G37" s="12"/>
      <c r="H37" s="12"/>
      <c r="I37" s="12"/>
      <c r="J37" s="12"/>
      <c r="K37" s="12"/>
      <c r="L37" s="13"/>
      <c r="M37" s="13"/>
      <c r="N37" s="13"/>
      <c r="O37" s="13"/>
      <c r="P37" s="13"/>
      <c r="Q37" s="13"/>
      <c r="R37" s="13"/>
      <c r="S37" s="13"/>
    </row>
    <row r="38" spans="2:19" ht="16" customHeight="1" x14ac:dyDescent="0.45">
      <c r="B38" s="34"/>
      <c r="C38" s="34" t="s">
        <v>785</v>
      </c>
      <c r="D38" s="69"/>
      <c r="E38" s="70">
        <f>-(-(E39+E40)-E41)</f>
        <v>0</v>
      </c>
      <c r="F38" s="69"/>
      <c r="G38" s="35">
        <f>-(-(G39+G40)-G41)</f>
        <v>0</v>
      </c>
      <c r="H38" s="35">
        <f>-(-(H39+H40)-H41)</f>
        <v>0</v>
      </c>
      <c r="I38" s="35">
        <f>-(-(I39+I40)-I41)</f>
        <v>0</v>
      </c>
      <c r="J38" s="35">
        <f>-(-(J39+J40)-J41)</f>
        <v>0</v>
      </c>
      <c r="K38" s="35">
        <f>-(-(K39+K40)-K41)</f>
        <v>0</v>
      </c>
      <c r="L38" s="13"/>
      <c r="M38" s="13"/>
      <c r="N38" s="13"/>
      <c r="O38" s="13"/>
      <c r="P38" s="13"/>
      <c r="Q38" s="13"/>
      <c r="R38" s="13"/>
      <c r="S38" s="13"/>
    </row>
    <row r="39" spans="2:19" ht="16" customHeight="1" x14ac:dyDescent="0.45">
      <c r="B39" s="14" t="s">
        <v>786</v>
      </c>
      <c r="C39" s="14" t="s">
        <v>787</v>
      </c>
      <c r="D39" s="61"/>
      <c r="E39" s="62"/>
      <c r="F39" s="61"/>
      <c r="G39" s="15"/>
      <c r="H39" s="15"/>
      <c r="I39" s="15"/>
      <c r="J39" s="15"/>
      <c r="K39" s="15"/>
      <c r="L39" s="13"/>
      <c r="M39" s="13"/>
      <c r="N39" s="13"/>
      <c r="O39" s="13"/>
      <c r="P39" s="13"/>
      <c r="Q39" s="13"/>
      <c r="R39" s="13"/>
      <c r="S39" s="13"/>
    </row>
    <row r="40" spans="2:19" ht="16" customHeight="1" x14ac:dyDescent="0.45">
      <c r="B40" s="14" t="s">
        <v>788</v>
      </c>
      <c r="C40" s="14" t="s">
        <v>789</v>
      </c>
      <c r="D40" s="61"/>
      <c r="E40" s="62"/>
      <c r="F40" s="61"/>
      <c r="G40" s="15"/>
      <c r="H40" s="15"/>
      <c r="I40" s="15"/>
      <c r="J40" s="15"/>
      <c r="K40" s="15"/>
      <c r="L40" s="13"/>
      <c r="M40" s="13"/>
      <c r="N40" s="13"/>
      <c r="O40" s="13"/>
      <c r="P40" s="13"/>
      <c r="Q40" s="13"/>
      <c r="R40" s="13"/>
      <c r="S40" s="13"/>
    </row>
    <row r="41" spans="2:19" ht="16" customHeight="1" x14ac:dyDescent="0.45">
      <c r="B41" s="14" t="s">
        <v>790</v>
      </c>
      <c r="C41" s="14" t="s">
        <v>791</v>
      </c>
      <c r="D41" s="61"/>
      <c r="E41" s="62"/>
      <c r="F41" s="61"/>
      <c r="G41" s="15"/>
      <c r="H41" s="15"/>
      <c r="I41" s="15"/>
      <c r="J41" s="15"/>
      <c r="K41" s="15"/>
      <c r="L41" s="13"/>
      <c r="M41" s="13"/>
      <c r="N41" s="13"/>
      <c r="O41" s="13"/>
      <c r="P41" s="13"/>
      <c r="Q41" s="13"/>
      <c r="R41" s="13"/>
      <c r="S41" s="13"/>
    </row>
    <row r="42" spans="2:19" ht="16" customHeight="1" x14ac:dyDescent="0.45">
      <c r="B42" s="11"/>
      <c r="C42" s="11" t="s">
        <v>22</v>
      </c>
      <c r="D42" s="29"/>
      <c r="E42" s="60"/>
      <c r="F42" s="29"/>
      <c r="G42" s="12"/>
      <c r="H42" s="12"/>
      <c r="I42" s="12"/>
      <c r="J42" s="12"/>
      <c r="K42" s="12"/>
      <c r="L42" s="13"/>
      <c r="M42" s="13"/>
      <c r="N42" s="13"/>
      <c r="O42" s="13"/>
      <c r="P42" s="13"/>
      <c r="Q42" s="13"/>
      <c r="R42" s="13"/>
      <c r="S42" s="13"/>
    </row>
    <row r="43" spans="2:19" ht="16" customHeight="1" x14ac:dyDescent="0.45">
      <c r="B43" s="34"/>
      <c r="C43" s="34" t="s">
        <v>792</v>
      </c>
      <c r="D43" s="69"/>
      <c r="E43" s="70">
        <f>E45+E49</f>
        <v>-2241.5044800000001</v>
      </c>
      <c r="F43" s="69"/>
      <c r="G43" s="35">
        <f>G45+G49</f>
        <v>-565.29480000000001</v>
      </c>
      <c r="H43" s="35">
        <f>H45+H49</f>
        <v>-2.0000000000000001E-4</v>
      </c>
      <c r="I43" s="35">
        <f>I45+I49</f>
        <v>0</v>
      </c>
      <c r="J43" s="35">
        <f>J45+J49</f>
        <v>0</v>
      </c>
      <c r="K43" s="35">
        <f>K45+K49</f>
        <v>-1676.20948</v>
      </c>
      <c r="L43" s="13"/>
      <c r="M43" s="13"/>
      <c r="N43" s="13"/>
      <c r="O43" s="13"/>
      <c r="P43" s="13"/>
      <c r="Q43" s="13"/>
      <c r="R43" s="13"/>
      <c r="S43" s="13"/>
    </row>
    <row r="44" spans="2:19" ht="16" customHeight="1" x14ac:dyDescent="0.45">
      <c r="B44" s="11"/>
      <c r="C44" s="11" t="s">
        <v>22</v>
      </c>
      <c r="D44" s="29"/>
      <c r="E44" s="60"/>
      <c r="F44" s="29"/>
      <c r="G44" s="12"/>
      <c r="H44" s="12"/>
      <c r="I44" s="12"/>
      <c r="J44" s="12"/>
      <c r="K44" s="12"/>
      <c r="L44" s="13"/>
      <c r="M44" s="13"/>
      <c r="N44" s="13"/>
      <c r="O44" s="13"/>
      <c r="P44" s="13"/>
      <c r="Q44" s="13"/>
      <c r="R44" s="13"/>
      <c r="S44" s="13"/>
    </row>
    <row r="45" spans="2:19" ht="16" customHeight="1" x14ac:dyDescent="0.45">
      <c r="B45" s="34"/>
      <c r="C45" s="34" t="s">
        <v>793</v>
      </c>
      <c r="D45" s="69"/>
      <c r="E45" s="70">
        <f>E46+E47</f>
        <v>0</v>
      </c>
      <c r="F45" s="69"/>
      <c r="G45" s="35">
        <f>G46+G47</f>
        <v>0</v>
      </c>
      <c r="H45" s="35">
        <f>H46+H47</f>
        <v>0</v>
      </c>
      <c r="I45" s="35">
        <f>I46+I47</f>
        <v>0</v>
      </c>
      <c r="J45" s="35">
        <f>J46+J47</f>
        <v>0</v>
      </c>
      <c r="K45" s="35">
        <f>K46+K47</f>
        <v>0</v>
      </c>
      <c r="L45" s="13"/>
      <c r="M45" s="13"/>
      <c r="N45" s="13"/>
      <c r="O45" s="13"/>
      <c r="P45" s="13"/>
      <c r="Q45" s="13"/>
      <c r="R45" s="13"/>
      <c r="S45" s="13"/>
    </row>
    <row r="46" spans="2:19" ht="16" customHeight="1" x14ac:dyDescent="0.45">
      <c r="B46" s="14" t="s">
        <v>794</v>
      </c>
      <c r="C46" s="14" t="s">
        <v>795</v>
      </c>
      <c r="D46" s="61"/>
      <c r="E46" s="62"/>
      <c r="F46" s="61"/>
      <c r="G46" s="15"/>
      <c r="H46" s="15"/>
      <c r="I46" s="15"/>
      <c r="J46" s="15"/>
      <c r="K46" s="15"/>
      <c r="L46" s="13"/>
      <c r="M46" s="13"/>
      <c r="N46" s="13"/>
      <c r="O46" s="13"/>
      <c r="P46" s="13"/>
      <c r="Q46" s="13"/>
      <c r="R46" s="13"/>
      <c r="S46" s="13"/>
    </row>
    <row r="47" spans="2:19" ht="16" customHeight="1" x14ac:dyDescent="0.45">
      <c r="B47" s="14" t="s">
        <v>796</v>
      </c>
      <c r="C47" s="14" t="s">
        <v>797</v>
      </c>
      <c r="D47" s="61"/>
      <c r="E47" s="62"/>
      <c r="F47" s="61"/>
      <c r="G47" s="15"/>
      <c r="H47" s="15"/>
      <c r="I47" s="15"/>
      <c r="J47" s="15"/>
      <c r="K47" s="15"/>
      <c r="L47" s="13"/>
      <c r="M47" s="13"/>
      <c r="N47" s="13"/>
      <c r="O47" s="13"/>
      <c r="P47" s="13"/>
      <c r="Q47" s="13"/>
      <c r="R47" s="13"/>
      <c r="S47" s="13"/>
    </row>
    <row r="48" spans="2:19" ht="16" customHeight="1" x14ac:dyDescent="0.45">
      <c r="B48" s="11"/>
      <c r="C48" s="11" t="s">
        <v>22</v>
      </c>
      <c r="D48" s="29"/>
      <c r="E48" s="60"/>
      <c r="F48" s="29"/>
      <c r="G48" s="12"/>
      <c r="H48" s="12"/>
      <c r="I48" s="12"/>
      <c r="J48" s="12"/>
      <c r="K48" s="12"/>
      <c r="L48" s="13"/>
      <c r="M48" s="13"/>
      <c r="N48" s="13"/>
      <c r="O48" s="13"/>
      <c r="P48" s="13"/>
      <c r="Q48" s="13"/>
      <c r="R48" s="13"/>
      <c r="S48" s="13"/>
    </row>
    <row r="49" spans="2:19" ht="16" customHeight="1" x14ac:dyDescent="0.45">
      <c r="B49" s="34"/>
      <c r="C49" s="34" t="s">
        <v>798</v>
      </c>
      <c r="D49" s="69"/>
      <c r="E49" s="70">
        <f>-(-(E50+E51)-E52)</f>
        <v>-2241.5044800000001</v>
      </c>
      <c r="F49" s="69"/>
      <c r="G49" s="35">
        <f>-(-(G50+G51)-G52)</f>
        <v>-565.29480000000001</v>
      </c>
      <c r="H49" s="35">
        <f>-(-(H50+H51)-H52)</f>
        <v>-2.0000000000000001E-4</v>
      </c>
      <c r="I49" s="35">
        <f>-(-(I50+I51)-I52)</f>
        <v>0</v>
      </c>
      <c r="J49" s="35">
        <f>-(-(J50+J51)-J52)</f>
        <v>0</v>
      </c>
      <c r="K49" s="35">
        <f>-(-(K50+K51)-K52)</f>
        <v>-1676.20948</v>
      </c>
      <c r="L49" s="13"/>
      <c r="M49" s="13"/>
      <c r="N49" s="13"/>
      <c r="O49" s="13"/>
      <c r="P49" s="13"/>
      <c r="Q49" s="13"/>
      <c r="R49" s="13"/>
      <c r="S49" s="13"/>
    </row>
    <row r="50" spans="2:19" ht="16" customHeight="1" x14ac:dyDescent="0.45">
      <c r="B50" s="14" t="s">
        <v>799</v>
      </c>
      <c r="C50" s="14" t="s">
        <v>800</v>
      </c>
      <c r="D50" s="61"/>
      <c r="E50" s="62"/>
      <c r="F50" s="61"/>
      <c r="G50" s="15"/>
      <c r="H50" s="15"/>
      <c r="I50" s="15"/>
      <c r="J50" s="15"/>
      <c r="K50" s="15"/>
      <c r="L50" s="13"/>
      <c r="M50" s="13"/>
      <c r="N50" s="13"/>
      <c r="O50" s="13"/>
      <c r="P50" s="13"/>
      <c r="Q50" s="13"/>
      <c r="R50" s="13"/>
      <c r="S50" s="13"/>
    </row>
    <row r="51" spans="2:19" ht="16" customHeight="1" x14ac:dyDescent="0.45">
      <c r="B51" s="14" t="s">
        <v>801</v>
      </c>
      <c r="C51" s="14" t="s">
        <v>802</v>
      </c>
      <c r="D51" s="61"/>
      <c r="E51" s="62">
        <v>-656.67547999999999</v>
      </c>
      <c r="F51" s="61"/>
      <c r="G51" s="15">
        <v>-565.29480000000001</v>
      </c>
      <c r="H51" s="15">
        <v>-2.0000000000000001E-4</v>
      </c>
      <c r="I51" s="15"/>
      <c r="J51" s="15"/>
      <c r="K51" s="15">
        <v>-91.380480000000006</v>
      </c>
      <c r="L51" s="13"/>
      <c r="M51" s="13"/>
      <c r="N51" s="13"/>
      <c r="O51" s="13"/>
      <c r="P51" s="13"/>
      <c r="Q51" s="13"/>
      <c r="R51" s="13"/>
      <c r="S51" s="13"/>
    </row>
    <row r="52" spans="2:19" ht="16" customHeight="1" x14ac:dyDescent="0.45">
      <c r="B52" s="14" t="s">
        <v>803</v>
      </c>
      <c r="C52" s="14" t="s">
        <v>804</v>
      </c>
      <c r="D52" s="61"/>
      <c r="E52" s="62">
        <v>-1584.829</v>
      </c>
      <c r="F52" s="61"/>
      <c r="G52" s="15"/>
      <c r="H52" s="15"/>
      <c r="I52" s="15"/>
      <c r="J52" s="15"/>
      <c r="K52" s="15">
        <v>-1584.829</v>
      </c>
      <c r="L52" s="13"/>
      <c r="M52" s="13"/>
      <c r="N52" s="13"/>
      <c r="O52" s="13"/>
      <c r="P52" s="13"/>
      <c r="Q52" s="13"/>
      <c r="R52" s="13"/>
      <c r="S52" s="13"/>
    </row>
    <row r="53" spans="2:19" ht="16" customHeight="1" x14ac:dyDescent="0.45">
      <c r="B53" s="11"/>
      <c r="C53" s="11" t="s">
        <v>22</v>
      </c>
      <c r="D53" s="29"/>
      <c r="E53" s="60"/>
      <c r="F53" s="29"/>
      <c r="G53" s="12"/>
      <c r="H53" s="12"/>
      <c r="I53" s="12"/>
      <c r="J53" s="12"/>
      <c r="K53" s="12"/>
      <c r="L53" s="13"/>
      <c r="M53" s="13"/>
      <c r="N53" s="13"/>
      <c r="O53" s="13"/>
      <c r="P53" s="13"/>
      <c r="Q53" s="13"/>
      <c r="R53" s="13"/>
      <c r="S53" s="13"/>
    </row>
    <row r="54" spans="2:19" ht="16" customHeight="1" x14ac:dyDescent="0.45">
      <c r="B54" s="34"/>
      <c r="C54" s="34" t="s">
        <v>805</v>
      </c>
      <c r="D54" s="69"/>
      <c r="E54" s="70">
        <f>E55+E56</f>
        <v>-20.940149999999999</v>
      </c>
      <c r="F54" s="69"/>
      <c r="G54" s="35">
        <f>G55+G56</f>
        <v>0</v>
      </c>
      <c r="H54" s="35">
        <f>H55+H56</f>
        <v>0</v>
      </c>
      <c r="I54" s="35">
        <f>I55+I56</f>
        <v>0</v>
      </c>
      <c r="J54" s="35">
        <f>J55+J56</f>
        <v>0</v>
      </c>
      <c r="K54" s="35">
        <f>K55+K56</f>
        <v>-20.940149999999999</v>
      </c>
      <c r="L54" s="13"/>
      <c r="M54" s="13"/>
      <c r="N54" s="13"/>
      <c r="O54" s="13"/>
      <c r="P54" s="13"/>
      <c r="Q54" s="13"/>
      <c r="R54" s="13"/>
      <c r="S54" s="13"/>
    </row>
    <row r="55" spans="2:19" ht="16" customHeight="1" x14ac:dyDescent="0.45">
      <c r="B55" s="14" t="s">
        <v>806</v>
      </c>
      <c r="C55" s="14" t="s">
        <v>805</v>
      </c>
      <c r="D55" s="61"/>
      <c r="E55" s="62">
        <v>-20.940149999999999</v>
      </c>
      <c r="F55" s="61"/>
      <c r="G55" s="15"/>
      <c r="H55" s="15"/>
      <c r="I55" s="15"/>
      <c r="J55" s="15"/>
      <c r="K55" s="15">
        <v>-20.940149999999999</v>
      </c>
      <c r="L55" s="13"/>
      <c r="M55" s="13"/>
      <c r="N55" s="13"/>
      <c r="O55" s="13"/>
      <c r="P55" s="13"/>
      <c r="Q55" s="13"/>
      <c r="R55" s="13"/>
      <c r="S55" s="13"/>
    </row>
    <row r="56" spans="2:19" ht="16" customHeight="1" x14ac:dyDescent="0.45">
      <c r="B56" s="14" t="s">
        <v>807</v>
      </c>
      <c r="C56" s="14" t="s">
        <v>808</v>
      </c>
      <c r="D56" s="61"/>
      <c r="E56" s="62"/>
      <c r="F56" s="61"/>
      <c r="G56" s="15"/>
      <c r="H56" s="15"/>
      <c r="I56" s="15"/>
      <c r="J56" s="15"/>
      <c r="K56" s="15"/>
      <c r="L56" s="13"/>
      <c r="M56" s="13"/>
      <c r="N56" s="13"/>
      <c r="O56" s="13"/>
      <c r="P56" s="13"/>
      <c r="Q56" s="13"/>
      <c r="R56" s="13"/>
      <c r="S56" s="13"/>
    </row>
    <row r="57" spans="2:19" ht="16" customHeight="1" x14ac:dyDescent="0.45">
      <c r="B57" s="11"/>
      <c r="C57" s="11" t="s">
        <v>22</v>
      </c>
      <c r="D57" s="29"/>
      <c r="E57" s="60"/>
      <c r="F57" s="29"/>
      <c r="G57" s="12"/>
      <c r="H57" s="12"/>
      <c r="I57" s="12"/>
      <c r="J57" s="12"/>
      <c r="K57" s="12"/>
      <c r="L57" s="13"/>
      <c r="M57" s="13"/>
      <c r="N57" s="13"/>
      <c r="O57" s="13"/>
      <c r="P57" s="13"/>
      <c r="Q57" s="13"/>
      <c r="R57" s="13"/>
      <c r="S57" s="13"/>
    </row>
    <row r="58" spans="2:19" ht="16" customHeight="1" x14ac:dyDescent="0.45">
      <c r="B58" s="14" t="s">
        <v>809</v>
      </c>
      <c r="C58" s="14" t="s">
        <v>810</v>
      </c>
      <c r="D58" s="61"/>
      <c r="E58" s="62">
        <v>-79534.870349999997</v>
      </c>
      <c r="F58" s="61"/>
      <c r="G58" s="15"/>
      <c r="H58" s="15"/>
      <c r="I58" s="15"/>
      <c r="J58" s="15"/>
      <c r="K58" s="15">
        <v>-79534.870349999997</v>
      </c>
      <c r="L58" s="13"/>
      <c r="M58" s="13"/>
      <c r="N58" s="13"/>
      <c r="O58" s="13"/>
      <c r="P58" s="13"/>
      <c r="Q58" s="13"/>
      <c r="R58" s="13"/>
      <c r="S58" s="13"/>
    </row>
    <row r="59" spans="2:19" ht="16" customHeight="1" x14ac:dyDescent="0.45">
      <c r="B59" s="11"/>
      <c r="C59" s="11" t="s">
        <v>22</v>
      </c>
      <c r="D59" s="29"/>
      <c r="E59" s="60"/>
      <c r="F59" s="29"/>
      <c r="G59" s="12"/>
      <c r="H59" s="12"/>
      <c r="I59" s="12"/>
      <c r="J59" s="12"/>
      <c r="K59" s="12"/>
      <c r="L59" s="13"/>
      <c r="M59" s="13"/>
      <c r="N59" s="13"/>
      <c r="O59" s="13"/>
      <c r="P59" s="13"/>
      <c r="Q59" s="13"/>
      <c r="R59" s="13"/>
      <c r="S59" s="13"/>
    </row>
    <row r="60" spans="2:19" ht="16" customHeight="1" x14ac:dyDescent="0.45">
      <c r="B60" s="34"/>
      <c r="C60" s="34" t="s">
        <v>811</v>
      </c>
      <c r="D60" s="69"/>
      <c r="E60" s="70">
        <f>-(-(E61+E62)-E63)</f>
        <v>-45327.306960000002</v>
      </c>
      <c r="F60" s="69"/>
      <c r="G60" s="35">
        <f>-(-(G61+G62)-G63)</f>
        <v>0</v>
      </c>
      <c r="H60" s="35">
        <f>-(-(H61+H62)-H63)</f>
        <v>0</v>
      </c>
      <c r="I60" s="35">
        <f>-(-(I61+I62)-I63)</f>
        <v>0</v>
      </c>
      <c r="J60" s="35">
        <f>-(-(J61+J62)-J63)</f>
        <v>0</v>
      </c>
      <c r="K60" s="35">
        <f>-(-(K61+K62)-K63)</f>
        <v>-45327.306960000002</v>
      </c>
      <c r="L60" s="13"/>
      <c r="M60" s="13"/>
      <c r="N60" s="13"/>
      <c r="O60" s="13"/>
      <c r="P60" s="13"/>
      <c r="Q60" s="13"/>
      <c r="R60" s="13"/>
      <c r="S60" s="13"/>
    </row>
    <row r="61" spans="2:19" ht="16" customHeight="1" x14ac:dyDescent="0.45">
      <c r="B61" s="14" t="s">
        <v>812</v>
      </c>
      <c r="C61" s="14" t="s">
        <v>813</v>
      </c>
      <c r="D61" s="61"/>
      <c r="E61" s="62">
        <v>-45327.306960000002</v>
      </c>
      <c r="F61" s="61"/>
      <c r="G61" s="15"/>
      <c r="H61" s="15"/>
      <c r="I61" s="15"/>
      <c r="J61" s="15"/>
      <c r="K61" s="15">
        <v>-45327.306960000002</v>
      </c>
      <c r="L61" s="13"/>
      <c r="M61" s="13"/>
      <c r="N61" s="13"/>
      <c r="O61" s="13"/>
      <c r="P61" s="13"/>
      <c r="Q61" s="13"/>
      <c r="R61" s="13"/>
      <c r="S61" s="13"/>
    </row>
    <row r="62" spans="2:19" ht="16" customHeight="1" x14ac:dyDescent="0.45">
      <c r="B62" s="14" t="s">
        <v>814</v>
      </c>
      <c r="C62" s="14" t="s">
        <v>815</v>
      </c>
      <c r="D62" s="61"/>
      <c r="E62" s="62"/>
      <c r="F62" s="61"/>
      <c r="G62" s="15"/>
      <c r="H62" s="15"/>
      <c r="I62" s="15"/>
      <c r="J62" s="15"/>
      <c r="K62" s="15"/>
      <c r="L62" s="13"/>
      <c r="M62" s="13"/>
      <c r="N62" s="13"/>
      <c r="O62" s="13"/>
      <c r="P62" s="13"/>
      <c r="Q62" s="13"/>
      <c r="R62" s="13"/>
      <c r="S62" s="13"/>
    </row>
    <row r="63" spans="2:19" ht="16" customHeight="1" x14ac:dyDescent="0.45">
      <c r="B63" s="14" t="s">
        <v>816</v>
      </c>
      <c r="C63" s="14" t="s">
        <v>817</v>
      </c>
      <c r="D63" s="61"/>
      <c r="E63" s="62"/>
      <c r="F63" s="61"/>
      <c r="G63" s="15"/>
      <c r="H63" s="15"/>
      <c r="I63" s="15"/>
      <c r="J63" s="15"/>
      <c r="K63" s="15"/>
      <c r="L63" s="13"/>
      <c r="M63" s="13"/>
      <c r="N63" s="13"/>
      <c r="O63" s="13"/>
      <c r="P63" s="13"/>
      <c r="Q63" s="13"/>
      <c r="R63" s="13"/>
      <c r="S63" s="13"/>
    </row>
    <row r="64" spans="2:19" ht="16" customHeight="1" x14ac:dyDescent="0.45">
      <c r="B64" s="11"/>
      <c r="C64" s="11" t="s">
        <v>22</v>
      </c>
      <c r="D64" s="29"/>
      <c r="E64" s="60"/>
      <c r="F64" s="29"/>
      <c r="G64" s="12"/>
      <c r="H64" s="12"/>
      <c r="I64" s="12"/>
      <c r="J64" s="12"/>
      <c r="K64" s="12"/>
      <c r="L64" s="13"/>
      <c r="M64" s="13"/>
      <c r="N64" s="13"/>
      <c r="O64" s="13"/>
      <c r="P64" s="13"/>
      <c r="Q64" s="13"/>
      <c r="R64" s="13"/>
      <c r="S64" s="13"/>
    </row>
    <row r="65" spans="2:19" ht="16" customHeight="1" x14ac:dyDescent="0.45">
      <c r="B65" s="34" t="s">
        <v>818</v>
      </c>
      <c r="C65" s="34" t="s">
        <v>819</v>
      </c>
      <c r="D65" s="69"/>
      <c r="E65" s="70">
        <f>E66+E67</f>
        <v>16078.75246</v>
      </c>
      <c r="F65" s="69"/>
      <c r="G65" s="35">
        <f>G66+G67</f>
        <v>17433.149829999998</v>
      </c>
      <c r="H65" s="35">
        <f>H66+H67</f>
        <v>-1446.6917299999996</v>
      </c>
      <c r="I65" s="35">
        <f>I66+I67</f>
        <v>92.293999999999997</v>
      </c>
      <c r="J65" s="35">
        <f>J66+J67</f>
        <v>3.6000000000000002E-4</v>
      </c>
      <c r="K65" s="35">
        <f>K66+K67</f>
        <v>0</v>
      </c>
      <c r="L65" s="13"/>
      <c r="M65" s="13"/>
      <c r="N65" s="13"/>
      <c r="O65" s="13"/>
      <c r="P65" s="13"/>
      <c r="Q65" s="13"/>
      <c r="R65" s="13"/>
      <c r="S65" s="13"/>
    </row>
    <row r="66" spans="2:19" ht="16" customHeight="1" x14ac:dyDescent="0.45">
      <c r="B66" s="14"/>
      <c r="C66" s="14" t="s">
        <v>821</v>
      </c>
      <c r="D66" s="61"/>
      <c r="E66" s="62">
        <v>15764.69167</v>
      </c>
      <c r="F66" s="61"/>
      <c r="G66" s="15">
        <v>9998.7359899999992</v>
      </c>
      <c r="H66" s="15">
        <v>5673.6613200000002</v>
      </c>
      <c r="I66" s="15">
        <v>92.293999999999997</v>
      </c>
      <c r="J66" s="15">
        <v>3.6000000000000002E-4</v>
      </c>
      <c r="K66" s="15"/>
      <c r="L66" s="13"/>
      <c r="M66" s="13"/>
      <c r="N66" s="13"/>
      <c r="O66" s="13"/>
      <c r="P66" s="13"/>
      <c r="Q66" s="13"/>
      <c r="R66" s="13"/>
      <c r="S66" s="13"/>
    </row>
    <row r="67" spans="2:19" ht="16" customHeight="1" x14ac:dyDescent="0.45">
      <c r="B67" s="14"/>
      <c r="C67" s="14" t="s">
        <v>823</v>
      </c>
      <c r="D67" s="61"/>
      <c r="E67" s="62">
        <v>314.06079</v>
      </c>
      <c r="F67" s="61"/>
      <c r="G67" s="15">
        <v>7434.4138400000002</v>
      </c>
      <c r="H67" s="15">
        <v>-7120.3530499999997</v>
      </c>
      <c r="I67" s="15"/>
      <c r="J67" s="15"/>
      <c r="K67" s="15"/>
      <c r="L67" s="13"/>
      <c r="M67" s="13"/>
      <c r="N67" s="13"/>
      <c r="O67" s="13"/>
      <c r="P67" s="13"/>
      <c r="Q67" s="13"/>
      <c r="R67" s="13"/>
      <c r="S67" s="13"/>
    </row>
    <row r="68" spans="2:19" ht="16" customHeight="1" x14ac:dyDescent="0.45">
      <c r="B68" s="11"/>
      <c r="C68" s="11" t="s">
        <v>22</v>
      </c>
      <c r="D68" s="29"/>
      <c r="E68" s="60"/>
      <c r="F68" s="29"/>
      <c r="G68" s="12"/>
      <c r="H68" s="12"/>
      <c r="I68" s="12"/>
      <c r="J68" s="12"/>
      <c r="K68" s="12"/>
      <c r="L68" s="13"/>
      <c r="M68" s="13"/>
      <c r="N68" s="13"/>
      <c r="O68" s="13"/>
      <c r="P68" s="13"/>
      <c r="Q68" s="13"/>
      <c r="R68" s="13"/>
      <c r="S68" s="13"/>
    </row>
    <row r="69" spans="2:19" ht="16" customHeight="1" x14ac:dyDescent="0.45">
      <c r="B69" s="34"/>
      <c r="C69" s="34" t="s">
        <v>824</v>
      </c>
      <c r="D69" s="69"/>
      <c r="E69" s="70">
        <f>-(-(E70+E71)-E72)</f>
        <v>-187248.63688999999</v>
      </c>
      <c r="F69" s="69"/>
      <c r="G69" s="35">
        <f>-(-(G70+G71)-G72)</f>
        <v>-91314.66105000001</v>
      </c>
      <c r="H69" s="35">
        <f>-(-(H70+H71)-H72)</f>
        <v>-11876.018249999999</v>
      </c>
      <c r="I69" s="35">
        <f>-(-(I70+I71)-I72)</f>
        <v>8159.0213199999998</v>
      </c>
      <c r="J69" s="35">
        <f>-(-(J70+J71)-J72)</f>
        <v>0</v>
      </c>
      <c r="K69" s="35">
        <f>-(-(K70+K71)-K72)</f>
        <v>-92216.978910000005</v>
      </c>
      <c r="L69" s="13"/>
      <c r="M69" s="13"/>
      <c r="N69" s="13"/>
      <c r="O69" s="13"/>
      <c r="P69" s="13"/>
      <c r="Q69" s="13"/>
      <c r="R69" s="13"/>
      <c r="S69" s="13"/>
    </row>
    <row r="70" spans="2:19" ht="16" customHeight="1" x14ac:dyDescent="0.45">
      <c r="B70" s="14" t="s">
        <v>825</v>
      </c>
      <c r="C70" s="14" t="s">
        <v>826</v>
      </c>
      <c r="D70" s="61"/>
      <c r="E70" s="62">
        <v>-8206.9828799999996</v>
      </c>
      <c r="F70" s="61"/>
      <c r="G70" s="15">
        <v>-7759.9889300000004</v>
      </c>
      <c r="H70" s="15">
        <v>-1833.29294</v>
      </c>
      <c r="I70" s="15">
        <v>1386.29899</v>
      </c>
      <c r="J70" s="15"/>
      <c r="K70" s="15">
        <v>0</v>
      </c>
      <c r="L70" s="13"/>
      <c r="M70" s="13"/>
      <c r="N70" s="13"/>
      <c r="O70" s="13"/>
      <c r="P70" s="13"/>
      <c r="Q70" s="13"/>
      <c r="R70" s="13"/>
      <c r="S70" s="13"/>
    </row>
    <row r="71" spans="2:19" ht="16" customHeight="1" x14ac:dyDescent="0.45">
      <c r="B71" s="14" t="s">
        <v>827</v>
      </c>
      <c r="C71" s="14" t="s">
        <v>828</v>
      </c>
      <c r="D71" s="61"/>
      <c r="E71" s="62">
        <v>-179388.10164000001</v>
      </c>
      <c r="F71" s="61"/>
      <c r="G71" s="15">
        <v>-83880.999299999996</v>
      </c>
      <c r="H71" s="15">
        <v>-10062.84576</v>
      </c>
      <c r="I71" s="15">
        <v>6772.7223299999996</v>
      </c>
      <c r="J71" s="15"/>
      <c r="K71" s="15">
        <v>-92216.978910000005</v>
      </c>
      <c r="L71" s="13"/>
      <c r="M71" s="13"/>
      <c r="N71" s="13"/>
      <c r="O71" s="13"/>
      <c r="P71" s="13"/>
      <c r="Q71" s="13"/>
      <c r="R71" s="13"/>
      <c r="S71" s="13"/>
    </row>
    <row r="72" spans="2:19" ht="16" customHeight="1" x14ac:dyDescent="0.45">
      <c r="B72" s="14" t="s">
        <v>829</v>
      </c>
      <c r="C72" s="14" t="s">
        <v>830</v>
      </c>
      <c r="D72" s="61"/>
      <c r="E72" s="62">
        <v>346.44763</v>
      </c>
      <c r="F72" s="61"/>
      <c r="G72" s="15">
        <v>326.32718</v>
      </c>
      <c r="H72" s="15">
        <v>20.120450000000002</v>
      </c>
      <c r="I72" s="15"/>
      <c r="J72" s="15"/>
      <c r="K72" s="15"/>
      <c r="L72" s="13"/>
      <c r="M72" s="13"/>
      <c r="N72" s="13"/>
      <c r="O72" s="13"/>
      <c r="P72" s="13"/>
      <c r="Q72" s="13"/>
      <c r="R72" s="13"/>
      <c r="S72" s="13"/>
    </row>
    <row r="73" spans="2:19" ht="16" customHeight="1" x14ac:dyDescent="0.45">
      <c r="B73" s="11"/>
      <c r="C73" s="11" t="s">
        <v>22</v>
      </c>
      <c r="D73" s="29"/>
      <c r="E73" s="60"/>
      <c r="F73" s="29"/>
      <c r="G73" s="12"/>
      <c r="H73" s="12"/>
      <c r="I73" s="12"/>
      <c r="J73" s="12"/>
      <c r="K73" s="12"/>
      <c r="L73" s="13"/>
      <c r="M73" s="13"/>
      <c r="N73" s="13"/>
      <c r="O73" s="13"/>
      <c r="P73" s="13"/>
      <c r="Q73" s="13"/>
      <c r="R73" s="13"/>
      <c r="S73" s="13"/>
    </row>
    <row r="74" spans="2:19" ht="16" customHeight="1" x14ac:dyDescent="0.45">
      <c r="B74" s="34"/>
      <c r="C74" s="34" t="s">
        <v>831</v>
      </c>
      <c r="D74" s="69"/>
      <c r="E74" s="70">
        <f>E75+E76</f>
        <v>-105177.23638</v>
      </c>
      <c r="F74" s="69"/>
      <c r="G74" s="35">
        <f>G75+G76</f>
        <v>-104998.62526999999</v>
      </c>
      <c r="H74" s="35">
        <f>H75+H76</f>
        <v>-5022.2368999999999</v>
      </c>
      <c r="I74" s="35">
        <f>I75+I76</f>
        <v>4274.0648600000004</v>
      </c>
      <c r="J74" s="35">
        <f>J75+J76</f>
        <v>-4371.5155199999999</v>
      </c>
      <c r="K74" s="35">
        <f>K75+K76</f>
        <v>4941.0764500000005</v>
      </c>
      <c r="L74" s="13"/>
      <c r="M74" s="13"/>
      <c r="N74" s="13"/>
      <c r="O74" s="13"/>
      <c r="P74" s="13"/>
      <c r="Q74" s="13"/>
      <c r="R74" s="13"/>
      <c r="S74" s="13"/>
    </row>
    <row r="75" spans="2:19" ht="16" customHeight="1" x14ac:dyDescent="0.45">
      <c r="B75" s="14" t="s">
        <v>832</v>
      </c>
      <c r="C75" s="14" t="s">
        <v>833</v>
      </c>
      <c r="D75" s="61"/>
      <c r="E75" s="62">
        <v>10658.26325</v>
      </c>
      <c r="F75" s="61"/>
      <c r="G75" s="15">
        <v>9677.8906599999991</v>
      </c>
      <c r="H75" s="15">
        <v>261.70947000000001</v>
      </c>
      <c r="I75" s="15"/>
      <c r="J75" s="15"/>
      <c r="K75" s="15">
        <v>718.66312000000005</v>
      </c>
      <c r="L75" s="13"/>
      <c r="M75" s="13"/>
      <c r="N75" s="13"/>
      <c r="O75" s="13"/>
      <c r="P75" s="13"/>
      <c r="Q75" s="13"/>
      <c r="R75" s="13"/>
      <c r="S75" s="13"/>
    </row>
    <row r="76" spans="2:19" ht="16" customHeight="1" x14ac:dyDescent="0.45">
      <c r="B76" s="14" t="s">
        <v>834</v>
      </c>
      <c r="C76" s="14" t="s">
        <v>835</v>
      </c>
      <c r="D76" s="61"/>
      <c r="E76" s="62">
        <v>-115835.49963000001</v>
      </c>
      <c r="F76" s="61"/>
      <c r="G76" s="15">
        <v>-114676.51592999999</v>
      </c>
      <c r="H76" s="15">
        <v>-5283.9463699999997</v>
      </c>
      <c r="I76" s="15">
        <v>4274.0648600000004</v>
      </c>
      <c r="J76" s="15">
        <v>-4371.5155199999999</v>
      </c>
      <c r="K76" s="15">
        <v>4222.4133300000003</v>
      </c>
      <c r="L76" s="13"/>
      <c r="M76" s="13"/>
      <c r="N76" s="13"/>
      <c r="O76" s="13"/>
      <c r="P76" s="13"/>
      <c r="Q76" s="13"/>
      <c r="R76" s="13"/>
      <c r="S76" s="13"/>
    </row>
    <row r="77" spans="2:19" ht="16" customHeight="1" x14ac:dyDescent="0.45">
      <c r="B77" s="11"/>
      <c r="C77" s="11" t="s">
        <v>22</v>
      </c>
      <c r="D77" s="29"/>
      <c r="E77" s="60"/>
      <c r="F77" s="29"/>
      <c r="G77" s="12"/>
      <c r="H77" s="12"/>
      <c r="I77" s="12"/>
      <c r="J77" s="12"/>
      <c r="K77" s="12"/>
      <c r="L77" s="13"/>
      <c r="M77" s="13"/>
      <c r="N77" s="13"/>
      <c r="O77" s="13"/>
      <c r="P77" s="13"/>
      <c r="Q77" s="13"/>
      <c r="R77" s="13"/>
      <c r="S77" s="13"/>
    </row>
    <row r="78" spans="2:19" ht="16" customHeight="1" x14ac:dyDescent="0.45">
      <c r="B78" s="34"/>
      <c r="C78" s="34" t="s">
        <v>836</v>
      </c>
      <c r="D78" s="69"/>
      <c r="E78" s="70">
        <f>-(-(E65+E69)-E74)</f>
        <v>-276347.12080999999</v>
      </c>
      <c r="F78" s="69"/>
      <c r="G78" s="35">
        <f>-(-(G65+G69)-G74)</f>
        <v>-178880.13649</v>
      </c>
      <c r="H78" s="35">
        <f>-(-(H65+H69)-H74)</f>
        <v>-18344.94688</v>
      </c>
      <c r="I78" s="35">
        <f>-(-(I65+I69)-I74)</f>
        <v>12525.38018</v>
      </c>
      <c r="J78" s="35">
        <f>-(-(J65+J69)-J74)</f>
        <v>-4371.5151599999999</v>
      </c>
      <c r="K78" s="35">
        <f>-(-(K65+K69)-K74)</f>
        <v>-87275.902460000012</v>
      </c>
      <c r="L78" s="13"/>
      <c r="M78" s="13"/>
      <c r="N78" s="13"/>
      <c r="O78" s="13"/>
      <c r="P78" s="13"/>
      <c r="Q78" s="13"/>
      <c r="R78" s="13"/>
      <c r="S78" s="13"/>
    </row>
    <row r="79" spans="2:19" ht="16" customHeight="1" x14ac:dyDescent="0.45">
      <c r="B79" s="11"/>
      <c r="C79" s="11" t="s">
        <v>22</v>
      </c>
      <c r="D79" s="29"/>
      <c r="E79" s="60"/>
      <c r="F79" s="29"/>
      <c r="G79" s="12"/>
      <c r="H79" s="12"/>
      <c r="I79" s="12"/>
      <c r="J79" s="12"/>
      <c r="K79" s="12"/>
      <c r="L79" s="13"/>
      <c r="M79" s="13"/>
      <c r="N79" s="13"/>
      <c r="O79" s="13"/>
      <c r="P79" s="13"/>
      <c r="Q79" s="13"/>
      <c r="R79" s="13"/>
      <c r="S79" s="13"/>
    </row>
    <row r="80" spans="2:19" ht="16" customHeight="1" x14ac:dyDescent="0.45">
      <c r="B80" s="34"/>
      <c r="C80" s="34" t="s">
        <v>837</v>
      </c>
      <c r="D80" s="69"/>
      <c r="E80" s="70">
        <f>-(-(E82+E84)-E89-E94-E96)</f>
        <v>-78015.414319999996</v>
      </c>
      <c r="F80" s="69"/>
      <c r="G80" s="35">
        <f>-(-(G82+G84)-G89-G94-G96)</f>
        <v>-71283.159970000008</v>
      </c>
      <c r="H80" s="35">
        <f>-(-(H82+H84)-H89-H94-H96)</f>
        <v>-2273.1751100000001</v>
      </c>
      <c r="I80" s="35">
        <f>-(-(I82+I84)-I89-I94-I96)</f>
        <v>1630.43778</v>
      </c>
      <c r="J80" s="35">
        <f>-(-(J82+J84)-J89-J94-J96)</f>
        <v>-5079.1046900000001</v>
      </c>
      <c r="K80" s="35">
        <f>-(-(K82+K84)-K89-K94-K96)</f>
        <v>-1010.41233</v>
      </c>
      <c r="L80" s="13"/>
      <c r="M80" s="13"/>
      <c r="N80" s="13"/>
      <c r="O80" s="13"/>
      <c r="P80" s="13"/>
      <c r="Q80" s="13"/>
      <c r="R80" s="13"/>
      <c r="S80" s="13"/>
    </row>
    <row r="81" spans="2:19" ht="16" customHeight="1" x14ac:dyDescent="0.45">
      <c r="B81" s="11"/>
      <c r="C81" s="11" t="s">
        <v>22</v>
      </c>
      <c r="D81" s="29"/>
      <c r="E81" s="60"/>
      <c r="F81" s="29"/>
      <c r="G81" s="12"/>
      <c r="H81" s="12"/>
      <c r="I81" s="12"/>
      <c r="J81" s="12"/>
      <c r="K81" s="12"/>
      <c r="L81" s="13"/>
      <c r="M81" s="13"/>
      <c r="N81" s="13"/>
      <c r="O81" s="13"/>
      <c r="P81" s="13"/>
      <c r="Q81" s="13"/>
      <c r="R81" s="13"/>
      <c r="S81" s="13"/>
    </row>
    <row r="82" spans="2:19" ht="16" customHeight="1" x14ac:dyDescent="0.45">
      <c r="B82" s="14" t="s">
        <v>838</v>
      </c>
      <c r="C82" s="14" t="s">
        <v>839</v>
      </c>
      <c r="D82" s="61"/>
      <c r="E82" s="62">
        <v>-1630.9726000000001</v>
      </c>
      <c r="F82" s="61"/>
      <c r="G82" s="15">
        <v>-517.21397000000002</v>
      </c>
      <c r="H82" s="15">
        <v>-44.975180000000002</v>
      </c>
      <c r="I82" s="15"/>
      <c r="J82" s="15">
        <v>-1068.7834499999999</v>
      </c>
      <c r="K82" s="15"/>
      <c r="L82" s="13"/>
      <c r="M82" s="13"/>
      <c r="N82" s="13"/>
      <c r="O82" s="13"/>
      <c r="P82" s="13"/>
      <c r="Q82" s="13"/>
      <c r="R82" s="13"/>
      <c r="S82" s="13"/>
    </row>
    <row r="83" spans="2:19" ht="16" customHeight="1" x14ac:dyDescent="0.45">
      <c r="B83" s="11"/>
      <c r="C83" s="11" t="s">
        <v>22</v>
      </c>
      <c r="D83" s="29"/>
      <c r="E83" s="60"/>
      <c r="F83" s="29"/>
      <c r="G83" s="12"/>
      <c r="H83" s="12"/>
      <c r="I83" s="12"/>
      <c r="J83" s="12"/>
      <c r="K83" s="12"/>
      <c r="L83" s="13"/>
      <c r="M83" s="13"/>
      <c r="N83" s="13"/>
      <c r="O83" s="13"/>
      <c r="P83" s="13"/>
      <c r="Q83" s="13"/>
      <c r="R83" s="13"/>
      <c r="S83" s="13"/>
    </row>
    <row r="84" spans="2:19" ht="16" customHeight="1" x14ac:dyDescent="0.45">
      <c r="B84" s="34"/>
      <c r="C84" s="34" t="s">
        <v>840</v>
      </c>
      <c r="D84" s="69"/>
      <c r="E84" s="70">
        <f>-(-(E85+E86)-E87)</f>
        <v>-14692.671189999999</v>
      </c>
      <c r="F84" s="69"/>
      <c r="G84" s="35">
        <f>-(-(G85+G86)-G87)</f>
        <v>-12886.75517</v>
      </c>
      <c r="H84" s="35">
        <f>-(-(H85+H86)-H87)</f>
        <v>390.60796000000016</v>
      </c>
      <c r="I84" s="35">
        <f>-(-(I85+I86)-I87)</f>
        <v>2047.74072</v>
      </c>
      <c r="J84" s="35">
        <f>-(-(J85+J86)-J87)</f>
        <v>-3115.2228400000004</v>
      </c>
      <c r="K84" s="35">
        <f>-(-(K85+K86)-K87)</f>
        <v>-1129.04186</v>
      </c>
      <c r="L84" s="13"/>
      <c r="M84" s="13"/>
      <c r="N84" s="13"/>
      <c r="O84" s="13"/>
      <c r="P84" s="13"/>
      <c r="Q84" s="13"/>
      <c r="R84" s="13"/>
      <c r="S84" s="13"/>
    </row>
    <row r="85" spans="2:19" ht="16" customHeight="1" x14ac:dyDescent="0.45">
      <c r="B85" s="14" t="s">
        <v>841</v>
      </c>
      <c r="C85" s="14" t="s">
        <v>842</v>
      </c>
      <c r="D85" s="61"/>
      <c r="E85" s="62">
        <v>4477.3370800000002</v>
      </c>
      <c r="F85" s="61"/>
      <c r="G85" s="15">
        <v>3313.9789599999999</v>
      </c>
      <c r="H85" s="15">
        <v>312.00454999999999</v>
      </c>
      <c r="I85" s="15">
        <v>2028.55987</v>
      </c>
      <c r="J85" s="15"/>
      <c r="K85" s="15">
        <v>-1177.2063000000001</v>
      </c>
      <c r="L85" s="13"/>
      <c r="M85" s="13"/>
      <c r="N85" s="13"/>
      <c r="O85" s="13"/>
      <c r="P85" s="13"/>
      <c r="Q85" s="13"/>
      <c r="R85" s="13"/>
      <c r="S85" s="13"/>
    </row>
    <row r="86" spans="2:19" ht="16" customHeight="1" x14ac:dyDescent="0.45">
      <c r="B86" s="14" t="s">
        <v>843</v>
      </c>
      <c r="C86" s="14" t="s">
        <v>844</v>
      </c>
      <c r="D86" s="61"/>
      <c r="E86" s="62">
        <v>-12026.92376</v>
      </c>
      <c r="F86" s="61"/>
      <c r="G86" s="15">
        <v>-9848.1488100000006</v>
      </c>
      <c r="H86" s="15">
        <v>-1299.6202699999999</v>
      </c>
      <c r="I86" s="15"/>
      <c r="J86" s="15">
        <v>-879.15687000000003</v>
      </c>
      <c r="K86" s="15">
        <v>2.1900000000000001E-3</v>
      </c>
      <c r="L86" s="13"/>
      <c r="M86" s="13"/>
      <c r="N86" s="13"/>
      <c r="O86" s="13"/>
      <c r="P86" s="13"/>
      <c r="Q86" s="13"/>
      <c r="R86" s="13"/>
      <c r="S86" s="13"/>
    </row>
    <row r="87" spans="2:19" ht="16" customHeight="1" x14ac:dyDescent="0.45">
      <c r="B87" s="14" t="s">
        <v>845</v>
      </c>
      <c r="C87" s="14" t="s">
        <v>846</v>
      </c>
      <c r="D87" s="61"/>
      <c r="E87" s="62">
        <v>-7143.0845099999997</v>
      </c>
      <c r="F87" s="61"/>
      <c r="G87" s="15">
        <v>-6352.5853200000001</v>
      </c>
      <c r="H87" s="15">
        <v>1378.2236800000001</v>
      </c>
      <c r="I87" s="15">
        <v>19.18085</v>
      </c>
      <c r="J87" s="15">
        <v>-2236.0659700000001</v>
      </c>
      <c r="K87" s="15">
        <v>48.16225</v>
      </c>
      <c r="L87" s="13"/>
      <c r="M87" s="13"/>
      <c r="N87" s="13"/>
      <c r="O87" s="13"/>
      <c r="P87" s="13"/>
      <c r="Q87" s="13"/>
      <c r="R87" s="13"/>
      <c r="S87" s="13"/>
    </row>
    <row r="88" spans="2:19" ht="16" customHeight="1" x14ac:dyDescent="0.45">
      <c r="B88" s="11"/>
      <c r="C88" s="11" t="s">
        <v>22</v>
      </c>
      <c r="D88" s="29"/>
      <c r="E88" s="60"/>
      <c r="F88" s="29"/>
      <c r="G88" s="12"/>
      <c r="H88" s="12"/>
      <c r="I88" s="12"/>
      <c r="J88" s="12"/>
      <c r="K88" s="12"/>
      <c r="L88" s="13"/>
      <c r="M88" s="13"/>
      <c r="N88" s="13"/>
      <c r="O88" s="13"/>
      <c r="P88" s="13"/>
      <c r="Q88" s="13"/>
      <c r="R88" s="13"/>
      <c r="S88" s="13"/>
    </row>
    <row r="89" spans="2:19" ht="16" customHeight="1" x14ac:dyDescent="0.45">
      <c r="B89" s="34"/>
      <c r="C89" s="34" t="s">
        <v>847</v>
      </c>
      <c r="D89" s="69"/>
      <c r="E89" s="70">
        <f>-(-(E90+E91)-E92)</f>
        <v>-28149.807769999999</v>
      </c>
      <c r="F89" s="69"/>
      <c r="G89" s="35">
        <f>-(-(G90+G91)-G92)</f>
        <v>-24577.061870000001</v>
      </c>
      <c r="H89" s="35">
        <f>-(-(H90+H91)-H92)</f>
        <v>-2379.8050900000003</v>
      </c>
      <c r="I89" s="35">
        <f>-(-(I90+I91)-I92)</f>
        <v>-416.47194000000002</v>
      </c>
      <c r="J89" s="35">
        <f>-(-(J90+J91)-J92)</f>
        <v>-895.09840000000008</v>
      </c>
      <c r="K89" s="35">
        <f>-(-(K90+K91)-K92)</f>
        <v>118.62953</v>
      </c>
      <c r="L89" s="13"/>
      <c r="M89" s="13"/>
      <c r="N89" s="13"/>
      <c r="O89" s="13"/>
      <c r="P89" s="13"/>
      <c r="Q89" s="13"/>
      <c r="R89" s="13"/>
      <c r="S89" s="13"/>
    </row>
    <row r="90" spans="2:19" ht="16" customHeight="1" x14ac:dyDescent="0.45">
      <c r="B90" s="14" t="s">
        <v>848</v>
      </c>
      <c r="C90" s="14" t="s">
        <v>849</v>
      </c>
      <c r="D90" s="61"/>
      <c r="E90" s="62">
        <v>-10092.09189</v>
      </c>
      <c r="F90" s="61"/>
      <c r="G90" s="15">
        <v>-9141.9176700000007</v>
      </c>
      <c r="H90" s="15">
        <v>-762.63548000000003</v>
      </c>
      <c r="I90" s="15">
        <v>2.5000000000000001E-4</v>
      </c>
      <c r="J90" s="15">
        <v>-450.47694000000001</v>
      </c>
      <c r="K90" s="15">
        <v>262.93795</v>
      </c>
      <c r="L90" s="13"/>
      <c r="M90" s="13"/>
      <c r="N90" s="13"/>
      <c r="O90" s="13"/>
      <c r="P90" s="13"/>
      <c r="Q90" s="13"/>
      <c r="R90" s="13"/>
      <c r="S90" s="13"/>
    </row>
    <row r="91" spans="2:19" ht="16" customHeight="1" x14ac:dyDescent="0.45">
      <c r="B91" s="14" t="s">
        <v>850</v>
      </c>
      <c r="C91" s="14" t="s">
        <v>636</v>
      </c>
      <c r="D91" s="61"/>
      <c r="E91" s="62">
        <v>-29.64</v>
      </c>
      <c r="F91" s="61"/>
      <c r="G91" s="15">
        <v>2.6840000000000002</v>
      </c>
      <c r="H91" s="15">
        <v>0.34799999999999998</v>
      </c>
      <c r="I91" s="15">
        <v>14.481</v>
      </c>
      <c r="J91" s="15"/>
      <c r="K91" s="15">
        <v>-47.152999999999999</v>
      </c>
      <c r="L91" s="13"/>
      <c r="M91" s="13"/>
      <c r="N91" s="13"/>
      <c r="O91" s="13"/>
      <c r="P91" s="13"/>
      <c r="Q91" s="13"/>
      <c r="R91" s="13"/>
      <c r="S91" s="13"/>
    </row>
    <row r="92" spans="2:19" ht="16" customHeight="1" x14ac:dyDescent="0.45">
      <c r="B92" s="14" t="s">
        <v>851</v>
      </c>
      <c r="C92" s="14" t="s">
        <v>852</v>
      </c>
      <c r="D92" s="61"/>
      <c r="E92" s="62">
        <v>-18028.07588</v>
      </c>
      <c r="F92" s="61"/>
      <c r="G92" s="15">
        <v>-15437.8282</v>
      </c>
      <c r="H92" s="15">
        <v>-1617.5176100000001</v>
      </c>
      <c r="I92" s="15">
        <v>-430.95319000000001</v>
      </c>
      <c r="J92" s="15">
        <v>-444.62146000000001</v>
      </c>
      <c r="K92" s="15">
        <v>-97.155420000000007</v>
      </c>
      <c r="L92" s="13"/>
      <c r="M92" s="13"/>
      <c r="N92" s="13"/>
      <c r="O92" s="13"/>
      <c r="P92" s="13"/>
      <c r="Q92" s="13"/>
      <c r="R92" s="13"/>
      <c r="S92" s="13"/>
    </row>
    <row r="93" spans="2:19" ht="16" customHeight="1" x14ac:dyDescent="0.45">
      <c r="B93" s="11"/>
      <c r="C93" s="11" t="s">
        <v>22</v>
      </c>
      <c r="D93" s="29"/>
      <c r="E93" s="60"/>
      <c r="F93" s="29"/>
      <c r="G93" s="12"/>
      <c r="H93" s="12"/>
      <c r="I93" s="12"/>
      <c r="J93" s="12"/>
      <c r="K93" s="12"/>
      <c r="L93" s="13"/>
      <c r="M93" s="13"/>
      <c r="N93" s="13"/>
      <c r="O93" s="13"/>
      <c r="P93" s="13"/>
      <c r="Q93" s="13"/>
      <c r="R93" s="13"/>
      <c r="S93" s="13"/>
    </row>
    <row r="94" spans="2:19" ht="16" customHeight="1" x14ac:dyDescent="0.45">
      <c r="B94" s="14" t="s">
        <v>853</v>
      </c>
      <c r="C94" s="14" t="s">
        <v>854</v>
      </c>
      <c r="D94" s="61"/>
      <c r="E94" s="62">
        <v>-2449.28296</v>
      </c>
      <c r="F94" s="61"/>
      <c r="G94" s="15">
        <v>-2304.2953299999999</v>
      </c>
      <c r="H94" s="15">
        <v>-144.98763</v>
      </c>
      <c r="I94" s="15"/>
      <c r="J94" s="15"/>
      <c r="K94" s="15"/>
      <c r="L94" s="13"/>
      <c r="M94" s="13"/>
      <c r="N94" s="13"/>
      <c r="O94" s="13"/>
      <c r="P94" s="13"/>
      <c r="Q94" s="13"/>
      <c r="R94" s="13"/>
      <c r="S94" s="13"/>
    </row>
    <row r="95" spans="2:19" ht="16" customHeight="1" x14ac:dyDescent="0.45">
      <c r="B95" s="11"/>
      <c r="C95" s="11" t="s">
        <v>22</v>
      </c>
      <c r="D95" s="29"/>
      <c r="E95" s="60"/>
      <c r="F95" s="29"/>
      <c r="G95" s="12"/>
      <c r="H95" s="12"/>
      <c r="I95" s="12"/>
      <c r="J95" s="12"/>
      <c r="K95" s="12"/>
      <c r="L95" s="13"/>
      <c r="M95" s="13"/>
      <c r="N95" s="13"/>
      <c r="O95" s="13"/>
      <c r="P95" s="13"/>
      <c r="Q95" s="13"/>
      <c r="R95" s="13"/>
      <c r="S95" s="13"/>
    </row>
    <row r="96" spans="2:19" ht="16" customHeight="1" x14ac:dyDescent="0.45">
      <c r="B96" s="14" t="s">
        <v>855</v>
      </c>
      <c r="C96" s="14" t="s">
        <v>856</v>
      </c>
      <c r="D96" s="61"/>
      <c r="E96" s="62">
        <v>-31092.679800000002</v>
      </c>
      <c r="F96" s="61"/>
      <c r="G96" s="15">
        <v>-30997.833630000001</v>
      </c>
      <c r="H96" s="15">
        <v>-94.015169999999998</v>
      </c>
      <c r="I96" s="15">
        <v>-0.83099999999999996</v>
      </c>
      <c r="J96" s="15"/>
      <c r="K96" s="15"/>
      <c r="L96" s="13"/>
      <c r="M96" s="13"/>
      <c r="N96" s="13"/>
      <c r="O96" s="13"/>
      <c r="P96" s="13"/>
      <c r="Q96" s="13"/>
      <c r="R96" s="13"/>
      <c r="S96" s="13"/>
    </row>
    <row r="97" spans="2:19" ht="16" customHeight="1" x14ac:dyDescent="0.45">
      <c r="B97" s="11"/>
      <c r="C97" s="11" t="s">
        <v>22</v>
      </c>
      <c r="D97" s="29"/>
      <c r="E97" s="60"/>
      <c r="F97" s="29"/>
      <c r="G97" s="12"/>
      <c r="H97" s="12"/>
      <c r="I97" s="12"/>
      <c r="J97" s="12"/>
      <c r="K97" s="12"/>
      <c r="L97" s="13"/>
      <c r="M97" s="13"/>
      <c r="N97" s="13"/>
      <c r="O97" s="13"/>
      <c r="P97" s="13"/>
      <c r="Q97" s="13"/>
      <c r="R97" s="13"/>
      <c r="S97" s="13"/>
    </row>
    <row r="98" spans="2:19" ht="16" customHeight="1" x14ac:dyDescent="0.45">
      <c r="B98" s="34"/>
      <c r="C98" s="34" t="s">
        <v>857</v>
      </c>
      <c r="D98" s="69"/>
      <c r="E98" s="70">
        <f>E78+E80</f>
        <v>-354362.53512999997</v>
      </c>
      <c r="F98" s="69"/>
      <c r="G98" s="35">
        <f>G78+G80</f>
        <v>-250163.29646000001</v>
      </c>
      <c r="H98" s="35">
        <f>H78+H80</f>
        <v>-20618.12199</v>
      </c>
      <c r="I98" s="35">
        <f>I78+I80</f>
        <v>14155.81796</v>
      </c>
      <c r="J98" s="35">
        <f>J78+J80</f>
        <v>-9450.6198499999991</v>
      </c>
      <c r="K98" s="35">
        <f>K78+K80</f>
        <v>-88286.314790000019</v>
      </c>
      <c r="L98" s="13"/>
      <c r="M98" s="13"/>
      <c r="N98" s="13"/>
      <c r="O98" s="13"/>
      <c r="P98" s="13"/>
      <c r="Q98" s="13"/>
      <c r="R98" s="13"/>
      <c r="S98" s="13"/>
    </row>
    <row r="99" spans="2:19" ht="16" customHeight="1" x14ac:dyDescent="0.45">
      <c r="B99" s="11"/>
      <c r="C99" s="11" t="s">
        <v>22</v>
      </c>
      <c r="D99" s="29"/>
      <c r="E99" s="60"/>
      <c r="F99" s="29"/>
      <c r="G99" s="12"/>
      <c r="H99" s="12"/>
      <c r="I99" s="12"/>
      <c r="J99" s="12"/>
      <c r="K99" s="12"/>
      <c r="L99" s="13"/>
      <c r="M99" s="13"/>
      <c r="N99" s="13"/>
      <c r="O99" s="13"/>
      <c r="P99" s="13"/>
      <c r="Q99" s="13"/>
      <c r="R99" s="13"/>
      <c r="S99" s="13"/>
    </row>
    <row r="100" spans="2:19" ht="16" customHeight="1" x14ac:dyDescent="0.45">
      <c r="B100" s="14" t="s">
        <v>858</v>
      </c>
      <c r="C100" s="14" t="s">
        <v>859</v>
      </c>
      <c r="D100" s="61"/>
      <c r="E100" s="62">
        <v>-19485.7088</v>
      </c>
      <c r="F100" s="61"/>
      <c r="G100" s="15"/>
      <c r="H100" s="15"/>
      <c r="I100" s="15"/>
      <c r="J100" s="15"/>
      <c r="K100" s="15">
        <v>-19485.7088</v>
      </c>
      <c r="L100" s="13"/>
      <c r="M100" s="13"/>
      <c r="N100" s="13"/>
      <c r="O100" s="13"/>
      <c r="P100" s="13"/>
      <c r="Q100" s="13"/>
      <c r="R100" s="13"/>
      <c r="S100" s="13"/>
    </row>
    <row r="101" spans="2:19" ht="16" customHeight="1" x14ac:dyDescent="0.45">
      <c r="B101" s="11"/>
      <c r="C101" s="11" t="s">
        <v>22</v>
      </c>
      <c r="D101" s="29"/>
      <c r="E101" s="60"/>
      <c r="F101" s="29"/>
      <c r="G101" s="12"/>
      <c r="H101" s="12"/>
      <c r="I101" s="12"/>
      <c r="J101" s="12"/>
      <c r="K101" s="12"/>
      <c r="L101" s="13"/>
      <c r="M101" s="13"/>
      <c r="N101" s="13"/>
      <c r="O101" s="13"/>
      <c r="P101" s="13"/>
      <c r="Q101" s="13"/>
      <c r="R101" s="13"/>
      <c r="S101" s="13"/>
    </row>
    <row r="102" spans="2:19" ht="16" customHeight="1" x14ac:dyDescent="0.45">
      <c r="B102" s="40"/>
      <c r="C102" s="40" t="s">
        <v>860</v>
      </c>
      <c r="D102" s="53"/>
      <c r="E102" s="53">
        <f>E16+E18+E19+E21+E25+E29+E38+E43+E54+E58+E60+E98+E100</f>
        <v>-109469.13487999994</v>
      </c>
      <c r="F102" s="53"/>
      <c r="G102" s="24">
        <f>G16+G18+G19+G21+G25+G29+G38+G43+G54+G58+G60+G98+G100</f>
        <v>115062.71703999999</v>
      </c>
      <c r="H102" s="24">
        <f>H16+H18+H19+H21+H25+H29+H38+H43+H54+H58+H60+H98+H100</f>
        <v>4362.3794999999991</v>
      </c>
      <c r="I102" s="24">
        <f>I16+I18+I19+I21+I25+I29+I38+I43+I54+I58+I60+I98+I100</f>
        <v>15227.597450000001</v>
      </c>
      <c r="J102" s="24">
        <f>J16+J18+J19+J21+J25+J29+J38+J43+J54+J58+J60+J98+J100</f>
        <v>-10507.68001</v>
      </c>
      <c r="K102" s="24">
        <f>K16+K18+K19+K21+K25+K29+K38+K43+K54+K58+K60+K98+K100</f>
        <v>-233614.14886000002</v>
      </c>
      <c r="L102" s="13"/>
      <c r="M102" s="13"/>
      <c r="N102" s="13"/>
      <c r="O102" s="13"/>
      <c r="P102" s="13"/>
      <c r="Q102" s="13"/>
      <c r="R102" s="13"/>
      <c r="S102" s="13"/>
    </row>
    <row r="103" spans="2:19" ht="16" customHeight="1" x14ac:dyDescent="0.45">
      <c r="B103" s="11"/>
      <c r="C103" s="11" t="s">
        <v>22</v>
      </c>
      <c r="D103" s="29"/>
      <c r="E103" s="60"/>
      <c r="F103" s="29"/>
      <c r="G103" s="12"/>
      <c r="H103" s="12"/>
      <c r="I103" s="12"/>
      <c r="J103" s="12"/>
      <c r="K103" s="12"/>
      <c r="L103" s="13"/>
      <c r="M103" s="13"/>
      <c r="N103" s="13"/>
      <c r="O103" s="13"/>
      <c r="P103" s="13"/>
      <c r="Q103" s="13"/>
      <c r="R103" s="13"/>
      <c r="S103" s="13"/>
    </row>
    <row r="104" spans="2:19" ht="16" customHeight="1" x14ac:dyDescent="0.45">
      <c r="B104" s="34"/>
      <c r="C104" s="34" t="s">
        <v>861</v>
      </c>
      <c r="D104" s="69"/>
      <c r="E104" s="70"/>
      <c r="F104" s="69"/>
      <c r="G104" s="35"/>
      <c r="H104" s="35"/>
      <c r="I104" s="35"/>
      <c r="J104" s="35"/>
      <c r="K104" s="35"/>
      <c r="L104" s="13"/>
      <c r="M104" s="13"/>
      <c r="N104" s="13"/>
      <c r="O104" s="13"/>
      <c r="P104" s="13"/>
      <c r="Q104" s="13"/>
      <c r="R104" s="13"/>
      <c r="S104" s="13"/>
    </row>
    <row r="105" spans="2:19" ht="16" customHeight="1" x14ac:dyDescent="0.45">
      <c r="B105" s="11"/>
      <c r="C105" s="11" t="s">
        <v>22</v>
      </c>
      <c r="D105" s="29"/>
      <c r="E105" s="60"/>
      <c r="F105" s="29"/>
      <c r="G105" s="12"/>
      <c r="H105" s="12"/>
      <c r="I105" s="12"/>
      <c r="J105" s="12"/>
      <c r="K105" s="12"/>
      <c r="L105" s="13"/>
      <c r="M105" s="13"/>
      <c r="N105" s="13"/>
      <c r="O105" s="13"/>
      <c r="P105" s="13"/>
      <c r="Q105" s="13"/>
      <c r="R105" s="13"/>
      <c r="S105" s="13"/>
    </row>
    <row r="106" spans="2:19" ht="16" customHeight="1" x14ac:dyDescent="0.45">
      <c r="B106" s="34"/>
      <c r="C106" s="34" t="s">
        <v>862</v>
      </c>
      <c r="D106" s="69"/>
      <c r="E106" s="70">
        <f>-(-(E107+E108)-E109-E110-E111-E112)</f>
        <v>-174077.75907</v>
      </c>
      <c r="F106" s="69"/>
      <c r="G106" s="35">
        <f>-(-(G107+G108)-G109-G110-G111-G112)</f>
        <v>-142987.4817</v>
      </c>
      <c r="H106" s="35">
        <f>-(-(H107+H108)-H109-H110-H111-H112)</f>
        <v>-29334.945799999998</v>
      </c>
      <c r="I106" s="35">
        <f>-(-(I107+I108)-I109-I110-I111-I112)</f>
        <v>0</v>
      </c>
      <c r="J106" s="35">
        <f>-(-(J107+J108)-J109-J110-J111-J112)</f>
        <v>0</v>
      </c>
      <c r="K106" s="35">
        <f>-(-(K107+K108)-K109-K110-K111-K112)</f>
        <v>-1755.3315700000001</v>
      </c>
      <c r="L106" s="13"/>
      <c r="M106" s="13"/>
      <c r="N106" s="13"/>
      <c r="O106" s="13"/>
      <c r="P106" s="13"/>
      <c r="Q106" s="13"/>
      <c r="R106" s="13"/>
      <c r="S106" s="13"/>
    </row>
    <row r="107" spans="2:19" ht="16" customHeight="1" x14ac:dyDescent="0.45">
      <c r="B107" s="14" t="s">
        <v>863</v>
      </c>
      <c r="C107" s="14" t="s">
        <v>864</v>
      </c>
      <c r="D107" s="61"/>
      <c r="E107" s="62">
        <v>-128454.11156</v>
      </c>
      <c r="F107" s="61"/>
      <c r="G107" s="15">
        <v>-101354.53753</v>
      </c>
      <c r="H107" s="15">
        <v>-25395.485669999998</v>
      </c>
      <c r="I107" s="15"/>
      <c r="J107" s="15"/>
      <c r="K107" s="15">
        <v>-1704.08836</v>
      </c>
      <c r="L107" s="13"/>
      <c r="M107" s="13"/>
      <c r="N107" s="13"/>
      <c r="O107" s="13"/>
      <c r="P107" s="13"/>
      <c r="Q107" s="13"/>
      <c r="R107" s="13"/>
      <c r="S107" s="13"/>
    </row>
    <row r="108" spans="2:19" ht="16" customHeight="1" x14ac:dyDescent="0.45">
      <c r="B108" s="14" t="s">
        <v>865</v>
      </c>
      <c r="C108" s="14" t="s">
        <v>866</v>
      </c>
      <c r="D108" s="61"/>
      <c r="E108" s="62">
        <v>-521.40497000000005</v>
      </c>
      <c r="F108" s="61"/>
      <c r="G108" s="15">
        <v>-499.67896999999999</v>
      </c>
      <c r="H108" s="15">
        <v>-21.725999999999999</v>
      </c>
      <c r="I108" s="15"/>
      <c r="J108" s="15"/>
      <c r="K108" s="15"/>
      <c r="L108" s="13"/>
      <c r="M108" s="13"/>
      <c r="N108" s="13"/>
      <c r="O108" s="13"/>
      <c r="P108" s="13"/>
      <c r="Q108" s="13"/>
      <c r="R108" s="13"/>
      <c r="S108" s="13"/>
    </row>
    <row r="109" spans="2:19" ht="16" customHeight="1" x14ac:dyDescent="0.45">
      <c r="B109" s="14" t="s">
        <v>867</v>
      </c>
      <c r="C109" s="14" t="s">
        <v>868</v>
      </c>
      <c r="D109" s="61"/>
      <c r="E109" s="62">
        <v>-5760.6065699999999</v>
      </c>
      <c r="F109" s="61"/>
      <c r="G109" s="15">
        <v>-5760.6065699999999</v>
      </c>
      <c r="H109" s="15"/>
      <c r="I109" s="15"/>
      <c r="J109" s="15"/>
      <c r="K109" s="15"/>
      <c r="L109" s="13"/>
      <c r="M109" s="13"/>
      <c r="N109" s="13"/>
      <c r="O109" s="13"/>
      <c r="P109" s="13"/>
      <c r="Q109" s="13"/>
      <c r="R109" s="13"/>
      <c r="S109" s="13"/>
    </row>
    <row r="110" spans="2:19" ht="16" customHeight="1" x14ac:dyDescent="0.45">
      <c r="B110" s="14" t="s">
        <v>869</v>
      </c>
      <c r="C110" s="14" t="s">
        <v>870</v>
      </c>
      <c r="D110" s="61"/>
      <c r="E110" s="62">
        <v>-4132.0432099999998</v>
      </c>
      <c r="F110" s="61"/>
      <c r="G110" s="15">
        <v>-4132.0432099999998</v>
      </c>
      <c r="H110" s="15"/>
      <c r="I110" s="15"/>
      <c r="J110" s="15"/>
      <c r="K110" s="15"/>
      <c r="L110" s="13"/>
      <c r="M110" s="13"/>
      <c r="N110" s="13"/>
      <c r="O110" s="13"/>
      <c r="P110" s="13"/>
      <c r="Q110" s="13"/>
      <c r="R110" s="13"/>
      <c r="S110" s="13"/>
    </row>
    <row r="111" spans="2:19" ht="16" customHeight="1" x14ac:dyDescent="0.45">
      <c r="B111" s="14" t="s">
        <v>871</v>
      </c>
      <c r="C111" s="14" t="s">
        <v>872</v>
      </c>
      <c r="D111" s="61"/>
      <c r="E111" s="62">
        <v>-34948.348080000003</v>
      </c>
      <c r="F111" s="61"/>
      <c r="G111" s="15">
        <v>-30979.370739999998</v>
      </c>
      <c r="H111" s="15">
        <v>-3917.7341299999998</v>
      </c>
      <c r="I111" s="15"/>
      <c r="J111" s="15"/>
      <c r="K111" s="15">
        <v>-51.243209999999998</v>
      </c>
      <c r="L111" s="13"/>
      <c r="M111" s="13"/>
      <c r="N111" s="13"/>
      <c r="O111" s="13"/>
      <c r="P111" s="13"/>
      <c r="Q111" s="13"/>
      <c r="R111" s="13"/>
      <c r="S111" s="13"/>
    </row>
    <row r="112" spans="2:19" ht="16" customHeight="1" x14ac:dyDescent="0.45">
      <c r="B112" s="14" t="s">
        <v>873</v>
      </c>
      <c r="C112" s="14" t="s">
        <v>874</v>
      </c>
      <c r="D112" s="61"/>
      <c r="E112" s="62">
        <v>-261.24468000000002</v>
      </c>
      <c r="F112" s="61"/>
      <c r="G112" s="15">
        <v>-261.24468000000002</v>
      </c>
      <c r="H112" s="15"/>
      <c r="I112" s="15"/>
      <c r="J112" s="15"/>
      <c r="K112" s="15"/>
      <c r="L112" s="13"/>
      <c r="M112" s="13"/>
      <c r="N112" s="13"/>
      <c r="O112" s="13"/>
      <c r="P112" s="13"/>
      <c r="Q112" s="13"/>
      <c r="R112" s="13"/>
      <c r="S112" s="13"/>
    </row>
    <row r="113" spans="2:19" ht="16" customHeight="1" x14ac:dyDescent="0.45">
      <c r="B113" s="11"/>
      <c r="C113" s="11" t="s">
        <v>22</v>
      </c>
      <c r="D113" s="29"/>
      <c r="E113" s="60"/>
      <c r="F113" s="29"/>
      <c r="G113" s="12"/>
      <c r="H113" s="12"/>
      <c r="I113" s="12"/>
      <c r="J113" s="12"/>
      <c r="K113" s="12"/>
      <c r="L113" s="13"/>
      <c r="M113" s="13"/>
      <c r="N113" s="13"/>
      <c r="O113" s="13"/>
      <c r="P113" s="13"/>
      <c r="Q113" s="13"/>
      <c r="R113" s="13"/>
      <c r="S113" s="13"/>
    </row>
    <row r="114" spans="2:19" ht="16" customHeight="1" x14ac:dyDescent="0.45">
      <c r="B114" s="34"/>
      <c r="C114" s="34" t="s">
        <v>875</v>
      </c>
      <c r="D114" s="69"/>
      <c r="E114" s="70">
        <f>-(-(E115+E116)-E117-E118)</f>
        <v>-32346.7942</v>
      </c>
      <c r="F114" s="69"/>
      <c r="G114" s="35">
        <f>-(-(G115+G116)-G117-G118)</f>
        <v>-22321.944609999999</v>
      </c>
      <c r="H114" s="35">
        <f>-(-(H115+H116)-H117-H118)</f>
        <v>-536.99946</v>
      </c>
      <c r="I114" s="35">
        <f>-(-(I115+I116)-I117-I118)</f>
        <v>0</v>
      </c>
      <c r="J114" s="35">
        <f>-(-(J115+J116)-J117-J118)</f>
        <v>0</v>
      </c>
      <c r="K114" s="35">
        <f>-(-(K115+K116)-K117-K118)</f>
        <v>-9487.8501299999989</v>
      </c>
      <c r="L114" s="13"/>
      <c r="M114" s="13"/>
      <c r="N114" s="13"/>
      <c r="O114" s="13"/>
      <c r="P114" s="13"/>
      <c r="Q114" s="13"/>
      <c r="R114" s="13"/>
      <c r="S114" s="13"/>
    </row>
    <row r="115" spans="2:19" ht="16" customHeight="1" x14ac:dyDescent="0.45">
      <c r="B115" s="14" t="s">
        <v>876</v>
      </c>
      <c r="C115" s="14" t="s">
        <v>877</v>
      </c>
      <c r="D115" s="61"/>
      <c r="E115" s="62">
        <v>1.0000000000000001E-5</v>
      </c>
      <c r="F115" s="61"/>
      <c r="G115" s="15">
        <v>1.0000000000000001E-5</v>
      </c>
      <c r="H115" s="15"/>
      <c r="I115" s="15"/>
      <c r="J115" s="15"/>
      <c r="K115" s="15"/>
      <c r="L115" s="13"/>
      <c r="M115" s="13"/>
      <c r="N115" s="13"/>
      <c r="O115" s="13"/>
      <c r="P115" s="13"/>
      <c r="Q115" s="13"/>
      <c r="R115" s="13"/>
      <c r="S115" s="13"/>
    </row>
    <row r="116" spans="2:19" ht="16" customHeight="1" x14ac:dyDescent="0.45">
      <c r="B116" s="14" t="s">
        <v>878</v>
      </c>
      <c r="C116" s="14" t="s">
        <v>879</v>
      </c>
      <c r="D116" s="61"/>
      <c r="E116" s="62">
        <v>-8231.9418399999995</v>
      </c>
      <c r="F116" s="61"/>
      <c r="G116" s="15">
        <v>2084.0727700000002</v>
      </c>
      <c r="H116" s="15">
        <v>-536.99946</v>
      </c>
      <c r="I116" s="15"/>
      <c r="J116" s="15"/>
      <c r="K116" s="15">
        <v>-9779.0151499999993</v>
      </c>
      <c r="L116" s="13"/>
      <c r="M116" s="13"/>
      <c r="N116" s="13"/>
      <c r="O116" s="13"/>
      <c r="P116" s="13"/>
      <c r="Q116" s="13"/>
      <c r="R116" s="13"/>
      <c r="S116" s="13"/>
    </row>
    <row r="117" spans="2:19" ht="16" customHeight="1" x14ac:dyDescent="0.45">
      <c r="B117" s="14" t="s">
        <v>880</v>
      </c>
      <c r="C117" s="14" t="s">
        <v>881</v>
      </c>
      <c r="D117" s="61"/>
      <c r="E117" s="62">
        <v>-381.42811</v>
      </c>
      <c r="F117" s="61"/>
      <c r="G117" s="15">
        <v>-672.59312999999997</v>
      </c>
      <c r="H117" s="15"/>
      <c r="I117" s="15"/>
      <c r="J117" s="15"/>
      <c r="K117" s="15">
        <v>291.16502000000003</v>
      </c>
      <c r="L117" s="13"/>
      <c r="M117" s="13"/>
      <c r="N117" s="13"/>
      <c r="O117" s="13"/>
      <c r="P117" s="13"/>
      <c r="Q117" s="13"/>
      <c r="R117" s="13"/>
      <c r="S117" s="13"/>
    </row>
    <row r="118" spans="2:19" ht="16" customHeight="1" x14ac:dyDescent="0.45">
      <c r="B118" s="14" t="s">
        <v>882</v>
      </c>
      <c r="C118" s="14" t="s">
        <v>883</v>
      </c>
      <c r="D118" s="61"/>
      <c r="E118" s="62">
        <v>-23733.42426</v>
      </c>
      <c r="F118" s="61"/>
      <c r="G118" s="15">
        <v>-23733.42426</v>
      </c>
      <c r="H118" s="15"/>
      <c r="I118" s="15"/>
      <c r="J118" s="15"/>
      <c r="K118" s="15"/>
      <c r="L118" s="13"/>
      <c r="M118" s="13"/>
      <c r="N118" s="13"/>
      <c r="O118" s="13"/>
      <c r="P118" s="13"/>
      <c r="Q118" s="13"/>
      <c r="R118" s="13"/>
      <c r="S118" s="13"/>
    </row>
    <row r="119" spans="2:19" ht="16" customHeight="1" x14ac:dyDescent="0.45">
      <c r="B119" s="11"/>
      <c r="C119" s="11" t="s">
        <v>22</v>
      </c>
      <c r="D119" s="29"/>
      <c r="E119" s="60"/>
      <c r="F119" s="29"/>
      <c r="G119" s="12"/>
      <c r="H119" s="12"/>
      <c r="I119" s="12"/>
      <c r="J119" s="12"/>
      <c r="K119" s="12"/>
      <c r="L119" s="13"/>
      <c r="M119" s="13"/>
      <c r="N119" s="13"/>
      <c r="O119" s="13"/>
      <c r="P119" s="13"/>
      <c r="Q119" s="13"/>
      <c r="R119" s="13"/>
      <c r="S119" s="13"/>
    </row>
    <row r="120" spans="2:19" ht="16" customHeight="1" x14ac:dyDescent="0.45">
      <c r="B120" s="34"/>
      <c r="C120" s="34" t="s">
        <v>884</v>
      </c>
      <c r="D120" s="69"/>
      <c r="E120" s="70">
        <f>E106+E114</f>
        <v>-206424.55327</v>
      </c>
      <c r="F120" s="69"/>
      <c r="G120" s="35">
        <f>G106+G114</f>
        <v>-165309.42631000001</v>
      </c>
      <c r="H120" s="35">
        <f>H106+H114</f>
        <v>-29871.945259999997</v>
      </c>
      <c r="I120" s="35">
        <f>I106+I114</f>
        <v>0</v>
      </c>
      <c r="J120" s="35">
        <f>J106+J114</f>
        <v>0</v>
      </c>
      <c r="K120" s="35">
        <f>K106+K114</f>
        <v>-11243.181699999999</v>
      </c>
      <c r="L120" s="13"/>
      <c r="M120" s="13"/>
      <c r="N120" s="13"/>
      <c r="O120" s="13"/>
      <c r="P120" s="13"/>
      <c r="Q120" s="13"/>
      <c r="R120" s="13"/>
      <c r="S120" s="13"/>
    </row>
    <row r="121" spans="2:19" ht="16" customHeight="1" x14ac:dyDescent="0.45">
      <c r="B121" s="11"/>
      <c r="C121" s="11" t="s">
        <v>22</v>
      </c>
      <c r="D121" s="29"/>
      <c r="E121" s="60"/>
      <c r="F121" s="29"/>
      <c r="G121" s="12"/>
      <c r="H121" s="12"/>
      <c r="I121" s="12"/>
      <c r="J121" s="12"/>
      <c r="K121" s="12"/>
      <c r="L121" s="13"/>
      <c r="M121" s="13"/>
      <c r="N121" s="13"/>
      <c r="O121" s="13"/>
      <c r="P121" s="13"/>
      <c r="Q121" s="13"/>
      <c r="R121" s="13"/>
      <c r="S121" s="13"/>
    </row>
    <row r="122" spans="2:19" ht="16" customHeight="1" x14ac:dyDescent="0.45">
      <c r="B122" s="34"/>
      <c r="C122" s="34" t="s">
        <v>885</v>
      </c>
      <c r="D122" s="69"/>
      <c r="E122" s="70">
        <f>E123+E124</f>
        <v>0</v>
      </c>
      <c r="F122" s="69"/>
      <c r="G122" s="35">
        <f>G123+G124</f>
        <v>0</v>
      </c>
      <c r="H122" s="35">
        <f>H123+H124</f>
        <v>0</v>
      </c>
      <c r="I122" s="35">
        <f>I123+I124</f>
        <v>0</v>
      </c>
      <c r="J122" s="35">
        <f>J123+J124</f>
        <v>0</v>
      </c>
      <c r="K122" s="35">
        <f>K123+K124</f>
        <v>0</v>
      </c>
      <c r="L122" s="13"/>
      <c r="M122" s="13"/>
      <c r="N122" s="13"/>
      <c r="O122" s="13"/>
      <c r="P122" s="13"/>
      <c r="Q122" s="13"/>
      <c r="R122" s="13"/>
      <c r="S122" s="13"/>
    </row>
    <row r="123" spans="2:19" ht="16" customHeight="1" x14ac:dyDescent="0.45">
      <c r="B123" s="14" t="s">
        <v>886</v>
      </c>
      <c r="C123" s="14" t="s">
        <v>887</v>
      </c>
      <c r="D123" s="61"/>
      <c r="E123" s="62"/>
      <c r="F123" s="61"/>
      <c r="G123" s="15"/>
      <c r="H123" s="15"/>
      <c r="I123" s="15"/>
      <c r="J123" s="15"/>
      <c r="K123" s="15"/>
      <c r="L123" s="13"/>
      <c r="M123" s="13"/>
      <c r="N123" s="13"/>
      <c r="O123" s="13"/>
      <c r="P123" s="13"/>
      <c r="Q123" s="13"/>
      <c r="R123" s="13"/>
      <c r="S123" s="13"/>
    </row>
    <row r="124" spans="2:19" ht="16" customHeight="1" x14ac:dyDescent="0.45">
      <c r="B124" s="14" t="s">
        <v>888</v>
      </c>
      <c r="C124" s="14" t="s">
        <v>889</v>
      </c>
      <c r="D124" s="61"/>
      <c r="E124" s="62"/>
      <c r="F124" s="61"/>
      <c r="G124" s="15"/>
      <c r="H124" s="15"/>
      <c r="I124" s="15"/>
      <c r="J124" s="15"/>
      <c r="K124" s="15"/>
      <c r="L124" s="13"/>
      <c r="M124" s="13"/>
      <c r="N124" s="13"/>
      <c r="O124" s="13"/>
      <c r="P124" s="13"/>
      <c r="Q124" s="13"/>
      <c r="R124" s="13"/>
      <c r="S124" s="13"/>
    </row>
    <row r="125" spans="2:19" ht="16" customHeight="1" x14ac:dyDescent="0.45">
      <c r="B125" s="11"/>
      <c r="C125" s="11" t="s">
        <v>22</v>
      </c>
      <c r="D125" s="29"/>
      <c r="E125" s="60"/>
      <c r="F125" s="29"/>
      <c r="G125" s="12"/>
      <c r="H125" s="12"/>
      <c r="I125" s="12"/>
      <c r="J125" s="12"/>
      <c r="K125" s="12"/>
      <c r="L125" s="13"/>
      <c r="M125" s="13"/>
      <c r="N125" s="13"/>
      <c r="O125" s="13"/>
      <c r="P125" s="13"/>
      <c r="Q125" s="13"/>
      <c r="R125" s="13"/>
      <c r="S125" s="13"/>
    </row>
    <row r="126" spans="2:19" ht="16" customHeight="1" x14ac:dyDescent="0.45">
      <c r="B126" s="34"/>
      <c r="C126" s="34" t="s">
        <v>890</v>
      </c>
      <c r="D126" s="69"/>
      <c r="E126" s="70">
        <f>E120+E122</f>
        <v>-206424.55327</v>
      </c>
      <c r="F126" s="69"/>
      <c r="G126" s="35">
        <f>G120+G122</f>
        <v>-165309.42631000001</v>
      </c>
      <c r="H126" s="35">
        <f>H120+H122</f>
        <v>-29871.945259999997</v>
      </c>
      <c r="I126" s="35">
        <f>I120+I122</f>
        <v>0</v>
      </c>
      <c r="J126" s="35">
        <f>J120+J122</f>
        <v>0</v>
      </c>
      <c r="K126" s="35">
        <f>K120+K122</f>
        <v>-11243.181699999999</v>
      </c>
      <c r="L126" s="13"/>
      <c r="M126" s="13"/>
      <c r="N126" s="13"/>
      <c r="O126" s="13"/>
      <c r="P126" s="13"/>
      <c r="Q126" s="13"/>
      <c r="R126" s="13"/>
      <c r="S126" s="13"/>
    </row>
    <row r="127" spans="2:19" ht="16" customHeight="1" x14ac:dyDescent="0.45">
      <c r="B127" s="11"/>
      <c r="C127" s="11" t="s">
        <v>22</v>
      </c>
      <c r="D127" s="29"/>
      <c r="E127" s="60"/>
      <c r="F127" s="29"/>
      <c r="G127" s="12"/>
      <c r="H127" s="12"/>
      <c r="I127" s="12"/>
      <c r="J127" s="12"/>
      <c r="K127" s="12"/>
      <c r="L127" s="13"/>
      <c r="M127" s="13"/>
      <c r="N127" s="13"/>
      <c r="O127" s="13"/>
      <c r="P127" s="13"/>
      <c r="Q127" s="13"/>
      <c r="R127" s="13"/>
      <c r="S127" s="13"/>
    </row>
    <row r="128" spans="2:19" ht="16" customHeight="1" x14ac:dyDescent="0.45">
      <c r="B128" s="34" t="s">
        <v>891</v>
      </c>
      <c r="C128" s="34" t="s">
        <v>892</v>
      </c>
      <c r="D128" s="69"/>
      <c r="E128" s="70">
        <f>E129+E130</f>
        <v>2158.8922699999998</v>
      </c>
      <c r="F128" s="69"/>
      <c r="G128" s="35">
        <f>G129+G130</f>
        <v>2158.8922699999998</v>
      </c>
      <c r="H128" s="35">
        <f>H129+H130</f>
        <v>0</v>
      </c>
      <c r="I128" s="35">
        <f>I129+I130</f>
        <v>0</v>
      </c>
      <c r="J128" s="35">
        <f>J129+J130</f>
        <v>0</v>
      </c>
      <c r="K128" s="35">
        <f>K129+K130</f>
        <v>0</v>
      </c>
      <c r="L128" s="13"/>
      <c r="M128" s="13"/>
      <c r="N128" s="13"/>
      <c r="O128" s="13"/>
      <c r="P128" s="13"/>
      <c r="Q128" s="13"/>
      <c r="R128" s="13"/>
      <c r="S128" s="13"/>
    </row>
    <row r="129" spans="2:19" ht="16" customHeight="1" x14ac:dyDescent="0.45">
      <c r="B129" s="14"/>
      <c r="C129" s="14" t="s">
        <v>894</v>
      </c>
      <c r="D129" s="61"/>
      <c r="E129" s="62"/>
      <c r="F129" s="61"/>
      <c r="G129" s="15"/>
      <c r="H129" s="15"/>
      <c r="I129" s="15"/>
      <c r="J129" s="15"/>
      <c r="K129" s="15"/>
      <c r="L129" s="13"/>
      <c r="M129" s="13"/>
      <c r="N129" s="13"/>
      <c r="O129" s="13"/>
      <c r="P129" s="13"/>
      <c r="Q129" s="13"/>
      <c r="R129" s="13"/>
      <c r="S129" s="13"/>
    </row>
    <row r="130" spans="2:19" ht="16" customHeight="1" x14ac:dyDescent="0.45">
      <c r="B130" s="14"/>
      <c r="C130" s="14" t="s">
        <v>896</v>
      </c>
      <c r="D130" s="61"/>
      <c r="E130" s="62">
        <v>2158.8922699999998</v>
      </c>
      <c r="F130" s="61"/>
      <c r="G130" s="15">
        <v>2158.8922699999998</v>
      </c>
      <c r="H130" s="15"/>
      <c r="I130" s="15"/>
      <c r="J130" s="15"/>
      <c r="K130" s="15"/>
      <c r="L130" s="13"/>
      <c r="M130" s="13"/>
      <c r="N130" s="13"/>
      <c r="O130" s="13"/>
      <c r="P130" s="13"/>
      <c r="Q130" s="13"/>
      <c r="R130" s="13"/>
      <c r="S130" s="13"/>
    </row>
    <row r="131" spans="2:19" ht="16" customHeight="1" x14ac:dyDescent="0.45">
      <c r="B131" s="11"/>
      <c r="C131" s="11" t="s">
        <v>22</v>
      </c>
      <c r="D131" s="29"/>
      <c r="E131" s="60"/>
      <c r="F131" s="29"/>
      <c r="G131" s="12"/>
      <c r="H131" s="12"/>
      <c r="I131" s="12"/>
      <c r="J131" s="12"/>
      <c r="K131" s="12"/>
      <c r="L131" s="13"/>
      <c r="M131" s="13"/>
      <c r="N131" s="13"/>
      <c r="O131" s="13"/>
      <c r="P131" s="13"/>
      <c r="Q131" s="13"/>
      <c r="R131" s="13"/>
      <c r="S131" s="13"/>
    </row>
    <row r="132" spans="2:19" ht="16" customHeight="1" x14ac:dyDescent="0.45">
      <c r="B132" s="34"/>
      <c r="C132" s="34" t="s">
        <v>897</v>
      </c>
      <c r="D132" s="69"/>
      <c r="E132" s="70">
        <f>E126+E128</f>
        <v>-204265.66099999999</v>
      </c>
      <c r="F132" s="69"/>
      <c r="G132" s="35">
        <f>G126+G128</f>
        <v>-163150.53404</v>
      </c>
      <c r="H132" s="35">
        <f>H126+H128</f>
        <v>-29871.945259999997</v>
      </c>
      <c r="I132" s="35">
        <f>I126+I128</f>
        <v>0</v>
      </c>
      <c r="J132" s="35">
        <f>J126+J128</f>
        <v>0</v>
      </c>
      <c r="K132" s="35">
        <f>K126+K128</f>
        <v>-11243.181699999999</v>
      </c>
      <c r="L132" s="13"/>
      <c r="M132" s="13"/>
      <c r="N132" s="13"/>
      <c r="O132" s="13"/>
      <c r="P132" s="13"/>
      <c r="Q132" s="13"/>
      <c r="R132" s="13"/>
      <c r="S132" s="13"/>
    </row>
    <row r="133" spans="2:19" ht="16" customHeight="1" x14ac:dyDescent="0.45">
      <c r="B133" s="11"/>
      <c r="C133" s="11" t="s">
        <v>22</v>
      </c>
      <c r="D133" s="29"/>
      <c r="E133" s="60"/>
      <c r="F133" s="29"/>
      <c r="G133" s="12"/>
      <c r="H133" s="12"/>
      <c r="I133" s="12"/>
      <c r="J133" s="12"/>
      <c r="K133" s="12"/>
      <c r="L133" s="13"/>
      <c r="M133" s="13"/>
      <c r="N133" s="13"/>
      <c r="O133" s="13"/>
      <c r="P133" s="13"/>
      <c r="Q133" s="13"/>
      <c r="R133" s="13"/>
      <c r="S133" s="13"/>
    </row>
    <row r="134" spans="2:19" ht="16" customHeight="1" x14ac:dyDescent="0.45">
      <c r="B134" s="34"/>
      <c r="C134" s="34" t="s">
        <v>898</v>
      </c>
      <c r="D134" s="69"/>
      <c r="E134" s="70">
        <f>E135+E136</f>
        <v>0</v>
      </c>
      <c r="F134" s="69"/>
      <c r="G134" s="35">
        <f>G135+G136</f>
        <v>0</v>
      </c>
      <c r="H134" s="35">
        <f>H135+H136</f>
        <v>0</v>
      </c>
      <c r="I134" s="35">
        <f>I135+I136</f>
        <v>0</v>
      </c>
      <c r="J134" s="35">
        <f>J135+J136</f>
        <v>0</v>
      </c>
      <c r="K134" s="35">
        <f>K135+K136</f>
        <v>0</v>
      </c>
      <c r="L134" s="13"/>
      <c r="M134" s="13"/>
      <c r="N134" s="13"/>
      <c r="O134" s="13"/>
      <c r="P134" s="13"/>
      <c r="Q134" s="13"/>
      <c r="R134" s="13"/>
      <c r="S134" s="13"/>
    </row>
    <row r="135" spans="2:19" ht="16" customHeight="1" x14ac:dyDescent="0.45">
      <c r="B135" s="14" t="s">
        <v>899</v>
      </c>
      <c r="C135" s="14" t="s">
        <v>900</v>
      </c>
      <c r="D135" s="61"/>
      <c r="E135" s="62"/>
      <c r="F135" s="61"/>
      <c r="G135" s="15"/>
      <c r="H135" s="15"/>
      <c r="I135" s="15"/>
      <c r="J135" s="15"/>
      <c r="K135" s="15"/>
      <c r="L135" s="13"/>
      <c r="M135" s="13"/>
      <c r="N135" s="13"/>
      <c r="O135" s="13"/>
      <c r="P135" s="13"/>
      <c r="Q135" s="13"/>
      <c r="R135" s="13"/>
      <c r="S135" s="13"/>
    </row>
    <row r="136" spans="2:19" ht="16" customHeight="1" x14ac:dyDescent="0.45">
      <c r="B136" s="14" t="s">
        <v>901</v>
      </c>
      <c r="C136" s="14" t="s">
        <v>902</v>
      </c>
      <c r="D136" s="61"/>
      <c r="E136" s="62"/>
      <c r="F136" s="61"/>
      <c r="G136" s="15"/>
      <c r="H136" s="15"/>
      <c r="I136" s="15"/>
      <c r="J136" s="15"/>
      <c r="K136" s="15"/>
      <c r="L136" s="13"/>
      <c r="M136" s="13"/>
      <c r="N136" s="13"/>
      <c r="O136" s="13"/>
      <c r="P136" s="13"/>
      <c r="Q136" s="13"/>
      <c r="R136" s="13"/>
      <c r="S136" s="13"/>
    </row>
    <row r="137" spans="2:19" ht="16" customHeight="1" x14ac:dyDescent="0.45">
      <c r="B137" s="11"/>
      <c r="C137" s="11" t="s">
        <v>22</v>
      </c>
      <c r="D137" s="29"/>
      <c r="E137" s="60"/>
      <c r="F137" s="29"/>
      <c r="G137" s="12"/>
      <c r="H137" s="12"/>
      <c r="I137" s="12"/>
      <c r="J137" s="12"/>
      <c r="K137" s="12"/>
      <c r="L137" s="13"/>
      <c r="M137" s="13"/>
      <c r="N137" s="13"/>
      <c r="O137" s="13"/>
      <c r="P137" s="13"/>
      <c r="Q137" s="13"/>
      <c r="R137" s="13"/>
      <c r="S137" s="13"/>
    </row>
    <row r="138" spans="2:19" ht="16" customHeight="1" x14ac:dyDescent="0.45">
      <c r="B138" s="34"/>
      <c r="C138" s="34" t="s">
        <v>903</v>
      </c>
      <c r="D138" s="69"/>
      <c r="E138" s="70">
        <f>E139+E140</f>
        <v>0</v>
      </c>
      <c r="F138" s="69"/>
      <c r="G138" s="35">
        <f>G139+G140</f>
        <v>0</v>
      </c>
      <c r="H138" s="35">
        <f>H139+H140</f>
        <v>0</v>
      </c>
      <c r="I138" s="35">
        <f>I139+I140</f>
        <v>0</v>
      </c>
      <c r="J138" s="35">
        <f>J139+J140</f>
        <v>0</v>
      </c>
      <c r="K138" s="35">
        <f>K139+K140</f>
        <v>0</v>
      </c>
      <c r="L138" s="13"/>
      <c r="M138" s="13"/>
      <c r="N138" s="13"/>
      <c r="O138" s="13"/>
      <c r="P138" s="13"/>
      <c r="Q138" s="13"/>
      <c r="R138" s="13"/>
      <c r="S138" s="13"/>
    </row>
    <row r="139" spans="2:19" ht="16" customHeight="1" x14ac:dyDescent="0.45">
      <c r="B139" s="14" t="s">
        <v>904</v>
      </c>
      <c r="C139" s="14" t="s">
        <v>905</v>
      </c>
      <c r="D139" s="61"/>
      <c r="E139" s="62"/>
      <c r="F139" s="61"/>
      <c r="G139" s="15"/>
      <c r="H139" s="15"/>
      <c r="I139" s="15"/>
      <c r="J139" s="15"/>
      <c r="K139" s="15"/>
      <c r="L139" s="13"/>
      <c r="M139" s="13"/>
      <c r="N139" s="13"/>
      <c r="O139" s="13"/>
      <c r="P139" s="13"/>
      <c r="Q139" s="13"/>
      <c r="R139" s="13"/>
      <c r="S139" s="13"/>
    </row>
    <row r="140" spans="2:19" ht="16" customHeight="1" x14ac:dyDescent="0.45">
      <c r="B140" s="14" t="s">
        <v>906</v>
      </c>
      <c r="C140" s="14" t="s">
        <v>907</v>
      </c>
      <c r="D140" s="61"/>
      <c r="E140" s="62">
        <f>E141+E142</f>
        <v>0</v>
      </c>
      <c r="F140" s="61"/>
      <c r="G140" s="15">
        <f>G141+G142</f>
        <v>0</v>
      </c>
      <c r="H140" s="15">
        <f>H141+H142</f>
        <v>0</v>
      </c>
      <c r="I140" s="15">
        <f>I141+I142</f>
        <v>0</v>
      </c>
      <c r="J140" s="15">
        <f>J141+J142</f>
        <v>0</v>
      </c>
      <c r="K140" s="15">
        <f>K141+K142</f>
        <v>0</v>
      </c>
      <c r="L140" s="13"/>
      <c r="M140" s="13"/>
      <c r="N140" s="13"/>
      <c r="O140" s="13"/>
      <c r="P140" s="13"/>
      <c r="Q140" s="13"/>
      <c r="R140" s="13"/>
      <c r="S140" s="13"/>
    </row>
    <row r="141" spans="2:19" ht="16" customHeight="1" x14ac:dyDescent="0.45">
      <c r="B141" s="14"/>
      <c r="C141" s="14" t="s">
        <v>909</v>
      </c>
      <c r="D141" s="61"/>
      <c r="E141" s="62"/>
      <c r="F141" s="61"/>
      <c r="G141" s="15"/>
      <c r="H141" s="15"/>
      <c r="I141" s="15"/>
      <c r="J141" s="15"/>
      <c r="K141" s="15"/>
      <c r="L141" s="13"/>
      <c r="M141" s="13"/>
      <c r="N141" s="13"/>
      <c r="O141" s="13"/>
      <c r="P141" s="13"/>
      <c r="Q141" s="13"/>
      <c r="R141" s="13"/>
      <c r="S141" s="13"/>
    </row>
    <row r="142" spans="2:19" ht="16" customHeight="1" x14ac:dyDescent="0.45">
      <c r="B142" s="14"/>
      <c r="C142" s="14" t="s">
        <v>911</v>
      </c>
      <c r="D142" s="61"/>
      <c r="E142" s="62"/>
      <c r="F142" s="61"/>
      <c r="G142" s="15"/>
      <c r="H142" s="15"/>
      <c r="I142" s="15"/>
      <c r="J142" s="15"/>
      <c r="K142" s="15"/>
      <c r="L142" s="13"/>
      <c r="M142" s="13"/>
      <c r="N142" s="13"/>
      <c r="O142" s="13"/>
      <c r="P142" s="13"/>
      <c r="Q142" s="13"/>
      <c r="R142" s="13"/>
      <c r="S142" s="13"/>
    </row>
    <row r="143" spans="2:19" ht="16" customHeight="1" x14ac:dyDescent="0.45">
      <c r="B143" s="11"/>
      <c r="C143" s="11" t="s">
        <v>22</v>
      </c>
      <c r="D143" s="29"/>
      <c r="E143" s="60"/>
      <c r="F143" s="29"/>
      <c r="G143" s="12"/>
      <c r="H143" s="12"/>
      <c r="I143" s="12"/>
      <c r="J143" s="12"/>
      <c r="K143" s="12"/>
      <c r="L143" s="13"/>
      <c r="M143" s="13"/>
      <c r="N143" s="13"/>
      <c r="O143" s="13"/>
      <c r="P143" s="13"/>
      <c r="Q143" s="13"/>
      <c r="R143" s="13"/>
      <c r="S143" s="13"/>
    </row>
    <row r="144" spans="2:19" ht="16" customHeight="1" x14ac:dyDescent="0.45">
      <c r="B144" s="34"/>
      <c r="C144" s="34" t="s">
        <v>912</v>
      </c>
      <c r="D144" s="69"/>
      <c r="E144" s="70">
        <f>E145+E146</f>
        <v>329000</v>
      </c>
      <c r="F144" s="69"/>
      <c r="G144" s="35">
        <f>G145+G146</f>
        <v>0</v>
      </c>
      <c r="H144" s="35">
        <f>H145+H146</f>
        <v>0</v>
      </c>
      <c r="I144" s="35">
        <f>I145+I146</f>
        <v>0</v>
      </c>
      <c r="J144" s="35">
        <f>J145+J146</f>
        <v>0</v>
      </c>
      <c r="K144" s="35">
        <f>K145+K146</f>
        <v>329000</v>
      </c>
      <c r="L144" s="13"/>
      <c r="M144" s="13"/>
      <c r="N144" s="13"/>
      <c r="O144" s="13"/>
      <c r="P144" s="13"/>
      <c r="Q144" s="13"/>
      <c r="R144" s="13"/>
      <c r="S144" s="13"/>
    </row>
    <row r="145" spans="2:19" ht="16" customHeight="1" x14ac:dyDescent="0.45">
      <c r="B145" s="14" t="s">
        <v>913</v>
      </c>
      <c r="C145" s="14" t="s">
        <v>914</v>
      </c>
      <c r="D145" s="61"/>
      <c r="E145" s="62">
        <v>329000</v>
      </c>
      <c r="F145" s="61"/>
      <c r="G145" s="15"/>
      <c r="H145" s="15"/>
      <c r="I145" s="15"/>
      <c r="J145" s="15"/>
      <c r="K145" s="15">
        <v>329000</v>
      </c>
      <c r="L145" s="13"/>
      <c r="M145" s="13"/>
      <c r="N145" s="13"/>
      <c r="O145" s="13"/>
      <c r="P145" s="13"/>
      <c r="Q145" s="13"/>
      <c r="R145" s="13"/>
      <c r="S145" s="13"/>
    </row>
    <row r="146" spans="2:19" ht="16" customHeight="1" x14ac:dyDescent="0.45">
      <c r="B146" s="14" t="s">
        <v>915</v>
      </c>
      <c r="C146" s="14" t="s">
        <v>916</v>
      </c>
      <c r="D146" s="61"/>
      <c r="E146" s="62"/>
      <c r="F146" s="61"/>
      <c r="G146" s="15"/>
      <c r="H146" s="15"/>
      <c r="I146" s="15"/>
      <c r="J146" s="15"/>
      <c r="K146" s="15"/>
      <c r="L146" s="13"/>
      <c r="M146" s="13"/>
      <c r="N146" s="13"/>
      <c r="O146" s="13"/>
      <c r="P146" s="13"/>
      <c r="Q146" s="13"/>
      <c r="R146" s="13"/>
      <c r="S146" s="13"/>
    </row>
    <row r="147" spans="2:19" ht="16" customHeight="1" x14ac:dyDescent="0.45">
      <c r="B147" s="11"/>
      <c r="C147" s="11" t="s">
        <v>22</v>
      </c>
      <c r="D147" s="29"/>
      <c r="E147" s="60"/>
      <c r="F147" s="29"/>
      <c r="G147" s="12"/>
      <c r="H147" s="12"/>
      <c r="I147" s="12"/>
      <c r="J147" s="12"/>
      <c r="K147" s="12"/>
      <c r="L147" s="13"/>
      <c r="M147" s="13"/>
      <c r="N147" s="13"/>
      <c r="O147" s="13"/>
      <c r="P147" s="13"/>
      <c r="Q147" s="13"/>
      <c r="R147" s="13"/>
      <c r="S147" s="13"/>
    </row>
    <row r="148" spans="2:19" ht="16" customHeight="1" x14ac:dyDescent="0.45">
      <c r="B148" s="34"/>
      <c r="C148" s="34" t="s">
        <v>917</v>
      </c>
      <c r="D148" s="69"/>
      <c r="E148" s="70">
        <f>E149+E150</f>
        <v>-87260.482879999996</v>
      </c>
      <c r="F148" s="69"/>
      <c r="G148" s="35">
        <f>G149+G150</f>
        <v>0</v>
      </c>
      <c r="H148" s="35">
        <f>H149+H150</f>
        <v>0</v>
      </c>
      <c r="I148" s="35">
        <f>I149+I150</f>
        <v>0</v>
      </c>
      <c r="J148" s="35">
        <f>J149+J150</f>
        <v>0</v>
      </c>
      <c r="K148" s="35">
        <f>K149+K150</f>
        <v>-87260.482879999996</v>
      </c>
      <c r="L148" s="13"/>
      <c r="M148" s="13"/>
      <c r="N148" s="13"/>
      <c r="O148" s="13"/>
      <c r="P148" s="13"/>
      <c r="Q148" s="13"/>
      <c r="R148" s="13"/>
      <c r="S148" s="13"/>
    </row>
    <row r="149" spans="2:19" ht="16" customHeight="1" x14ac:dyDescent="0.45">
      <c r="B149" s="14" t="s">
        <v>918</v>
      </c>
      <c r="C149" s="14" t="s">
        <v>919</v>
      </c>
      <c r="D149" s="61"/>
      <c r="E149" s="62">
        <v>-87325.869030000002</v>
      </c>
      <c r="F149" s="61"/>
      <c r="G149" s="15"/>
      <c r="H149" s="15"/>
      <c r="I149" s="15"/>
      <c r="J149" s="15"/>
      <c r="K149" s="15">
        <v>-87325.869030000002</v>
      </c>
      <c r="L149" s="13"/>
      <c r="M149" s="13"/>
      <c r="N149" s="13"/>
      <c r="O149" s="13"/>
      <c r="P149" s="13"/>
      <c r="Q149" s="13"/>
      <c r="R149" s="13"/>
      <c r="S149" s="13"/>
    </row>
    <row r="150" spans="2:19" ht="16" customHeight="1" x14ac:dyDescent="0.35">
      <c r="B150" s="14" t="s">
        <v>920</v>
      </c>
      <c r="C150" s="14" t="s">
        <v>921</v>
      </c>
      <c r="D150" s="61"/>
      <c r="E150" s="62">
        <v>65.386150000000001</v>
      </c>
      <c r="F150" s="61"/>
      <c r="G150" s="15"/>
      <c r="H150" s="15"/>
      <c r="I150" s="15"/>
      <c r="J150" s="15"/>
      <c r="K150" s="15">
        <v>65.386150000000001</v>
      </c>
    </row>
    <row r="151" spans="2:19" ht="16" customHeight="1" x14ac:dyDescent="0.35">
      <c r="B151" s="11"/>
      <c r="C151" s="11" t="s">
        <v>22</v>
      </c>
      <c r="D151" s="29"/>
      <c r="E151" s="60"/>
      <c r="F151" s="29"/>
      <c r="G151" s="12"/>
      <c r="H151" s="12"/>
      <c r="I151" s="12"/>
      <c r="J151" s="12"/>
      <c r="K151" s="12"/>
    </row>
    <row r="152" spans="2:19" ht="16" customHeight="1" x14ac:dyDescent="0.35">
      <c r="B152" s="34"/>
      <c r="C152" s="34" t="s">
        <v>922</v>
      </c>
      <c r="D152" s="69"/>
      <c r="E152" s="70">
        <f>-(-E153)</f>
        <v>3632.4903599999998</v>
      </c>
      <c r="F152" s="69"/>
      <c r="G152" s="35">
        <f>-(-G153)</f>
        <v>-226.96051</v>
      </c>
      <c r="H152" s="35">
        <f>-(-H153)</f>
        <v>3847.7945300000001</v>
      </c>
      <c r="I152" s="35">
        <f>-(-I153)</f>
        <v>11.65634</v>
      </c>
      <c r="J152" s="35">
        <f>-(-J153)</f>
        <v>0</v>
      </c>
      <c r="K152" s="35">
        <f>-(-K153)</f>
        <v>0</v>
      </c>
    </row>
    <row r="153" spans="2:19" ht="16" customHeight="1" x14ac:dyDescent="0.35">
      <c r="B153" s="14" t="s">
        <v>923</v>
      </c>
      <c r="C153" s="14" t="s">
        <v>924</v>
      </c>
      <c r="D153" s="61"/>
      <c r="E153" s="62">
        <v>3632.4903599999998</v>
      </c>
      <c r="F153" s="61"/>
      <c r="G153" s="15">
        <v>-226.96051</v>
      </c>
      <c r="H153" s="15">
        <v>3847.7945300000001</v>
      </c>
      <c r="I153" s="15">
        <v>11.65634</v>
      </c>
      <c r="J153" s="15"/>
      <c r="K153" s="15">
        <v>0</v>
      </c>
    </row>
    <row r="154" spans="2:19" ht="16" customHeight="1" x14ac:dyDescent="0.35">
      <c r="B154" s="11"/>
      <c r="C154" s="11" t="s">
        <v>22</v>
      </c>
      <c r="D154" s="29"/>
      <c r="E154" s="60"/>
      <c r="F154" s="29"/>
      <c r="G154" s="12"/>
      <c r="H154" s="12"/>
      <c r="I154" s="12"/>
      <c r="J154" s="12"/>
      <c r="K154" s="12"/>
    </row>
    <row r="155" spans="2:19" ht="16" customHeight="1" x14ac:dyDescent="0.35">
      <c r="B155" s="34"/>
      <c r="C155" s="34" t="s">
        <v>925</v>
      </c>
      <c r="D155" s="69"/>
      <c r="E155" s="70">
        <f>E156+E157</f>
        <v>0</v>
      </c>
      <c r="F155" s="69"/>
      <c r="G155" s="35">
        <f>G156+G157</f>
        <v>0</v>
      </c>
      <c r="H155" s="35">
        <f>H156+H157</f>
        <v>0</v>
      </c>
      <c r="I155" s="35">
        <f>I156+I157</f>
        <v>0</v>
      </c>
      <c r="J155" s="35">
        <f>J156+J157</f>
        <v>0</v>
      </c>
      <c r="K155" s="35">
        <f>K156+K157</f>
        <v>0</v>
      </c>
    </row>
    <row r="156" spans="2:19" ht="16" customHeight="1" x14ac:dyDescent="0.35">
      <c r="B156" s="14" t="s">
        <v>926</v>
      </c>
      <c r="C156" s="14" t="s">
        <v>927</v>
      </c>
      <c r="D156" s="61"/>
      <c r="E156" s="62"/>
      <c r="F156" s="61"/>
      <c r="G156" s="15"/>
      <c r="H156" s="15"/>
      <c r="I156" s="15"/>
      <c r="J156" s="15"/>
      <c r="K156" s="15"/>
    </row>
    <row r="157" spans="2:19" ht="16" customHeight="1" x14ac:dyDescent="0.35">
      <c r="B157" s="14" t="s">
        <v>928</v>
      </c>
      <c r="C157" s="14" t="s">
        <v>929</v>
      </c>
      <c r="D157" s="61"/>
      <c r="E157" s="62"/>
      <c r="F157" s="61"/>
      <c r="G157" s="15"/>
      <c r="H157" s="15"/>
      <c r="I157" s="15"/>
      <c r="J157" s="15"/>
      <c r="K157" s="15"/>
    </row>
    <row r="158" spans="2:19" ht="16" customHeight="1" x14ac:dyDescent="0.35">
      <c r="B158" s="11"/>
      <c r="C158" s="11" t="s">
        <v>22</v>
      </c>
      <c r="D158" s="29"/>
      <c r="E158" s="60"/>
      <c r="F158" s="29"/>
      <c r="G158" s="12"/>
      <c r="H158" s="12"/>
      <c r="I158" s="12"/>
      <c r="J158" s="12"/>
      <c r="K158" s="12"/>
    </row>
    <row r="159" spans="2:19" ht="16" customHeight="1" x14ac:dyDescent="0.35">
      <c r="B159" s="34"/>
      <c r="C159" s="34" t="s">
        <v>930</v>
      </c>
      <c r="D159" s="69"/>
      <c r="E159" s="70">
        <f>-(-E134-E138-E144-E148-E152-E155)</f>
        <v>245372.00748</v>
      </c>
      <c r="F159" s="69"/>
      <c r="G159" s="35">
        <f>-(-G134-G138-G144-G148-G152-G155)</f>
        <v>-226.96051</v>
      </c>
      <c r="H159" s="35">
        <f>-(-H134-H138-H144-H148-H152-H155)</f>
        <v>3847.7945300000001</v>
      </c>
      <c r="I159" s="35">
        <f>-(-I134-I138-I144-I148-I152-I155)</f>
        <v>11.65634</v>
      </c>
      <c r="J159" s="35">
        <f>-(-J134-J138-J144-J148-J152-J155)</f>
        <v>0</v>
      </c>
      <c r="K159" s="35">
        <f>-(-K134-K138-K144-K148-K152-K155)</f>
        <v>241739.51712</v>
      </c>
    </row>
    <row r="160" spans="2:19" ht="16" customHeight="1" x14ac:dyDescent="0.35">
      <c r="B160" s="11"/>
      <c r="C160" s="11" t="s">
        <v>22</v>
      </c>
      <c r="D160" s="29"/>
      <c r="E160" s="60"/>
      <c r="F160" s="29"/>
      <c r="G160" s="12"/>
      <c r="H160" s="12"/>
      <c r="I160" s="12"/>
      <c r="J160" s="12"/>
      <c r="K160" s="12"/>
    </row>
    <row r="161" spans="2:11" ht="16" customHeight="1" x14ac:dyDescent="0.35">
      <c r="B161" s="40"/>
      <c r="C161" s="40" t="s">
        <v>931</v>
      </c>
      <c r="D161" s="53"/>
      <c r="E161" s="53">
        <f>E132+E159</f>
        <v>41106.346480000007</v>
      </c>
      <c r="F161" s="53"/>
      <c r="G161" s="24">
        <f>G132+G159</f>
        <v>-163377.49455</v>
      </c>
      <c r="H161" s="24">
        <f>H132+H159</f>
        <v>-26024.150729999998</v>
      </c>
      <c r="I161" s="24">
        <f>I132+I159</f>
        <v>11.65634</v>
      </c>
      <c r="J161" s="24">
        <f>J132+J159</f>
        <v>0</v>
      </c>
      <c r="K161" s="24">
        <f>K132+K159</f>
        <v>230496.33542000002</v>
      </c>
    </row>
    <row r="162" spans="2:11" ht="16" customHeight="1" x14ac:dyDescent="0.35">
      <c r="B162" s="11"/>
      <c r="C162" s="11" t="s">
        <v>22</v>
      </c>
      <c r="D162" s="29"/>
      <c r="E162" s="60"/>
      <c r="F162" s="29"/>
      <c r="G162" s="12"/>
      <c r="H162" s="12"/>
      <c r="I162" s="12"/>
      <c r="J162" s="12"/>
      <c r="K162" s="12"/>
    </row>
    <row r="163" spans="2:11" ht="16" customHeight="1" x14ac:dyDescent="0.35">
      <c r="B163" s="34"/>
      <c r="C163" s="34" t="s">
        <v>932</v>
      </c>
      <c r="D163" s="69"/>
      <c r="E163" s="70"/>
      <c r="F163" s="69"/>
      <c r="G163" s="35"/>
      <c r="H163" s="35"/>
      <c r="I163" s="35"/>
      <c r="J163" s="35"/>
      <c r="K163" s="35"/>
    </row>
    <row r="164" spans="2:11" ht="16" customHeight="1" x14ac:dyDescent="0.35">
      <c r="B164" s="11"/>
      <c r="C164" s="11" t="s">
        <v>22</v>
      </c>
      <c r="D164" s="29"/>
      <c r="E164" s="60"/>
      <c r="F164" s="29"/>
      <c r="G164" s="12"/>
      <c r="H164" s="12"/>
      <c r="I164" s="12"/>
      <c r="J164" s="12"/>
      <c r="K164" s="12"/>
    </row>
    <row r="165" spans="2:11" ht="16" customHeight="1" x14ac:dyDescent="0.35">
      <c r="B165" s="34"/>
      <c r="C165" s="34" t="s">
        <v>933</v>
      </c>
      <c r="D165" s="69"/>
      <c r="E165" s="70">
        <f>-(-(E166+E167)-E168)</f>
        <v>0</v>
      </c>
      <c r="F165" s="69"/>
      <c r="G165" s="35">
        <f>-(-(G166+G167)-G168)</f>
        <v>0</v>
      </c>
      <c r="H165" s="35">
        <f>-(-(H166+H167)-H168)</f>
        <v>0</v>
      </c>
      <c r="I165" s="35">
        <f>-(-(I166+I167)-I168)</f>
        <v>0</v>
      </c>
      <c r="J165" s="35">
        <f>-(-(J166+J167)-J168)</f>
        <v>0</v>
      </c>
      <c r="K165" s="35">
        <f>-(-(K166+K167)-K168)</f>
        <v>0</v>
      </c>
    </row>
    <row r="166" spans="2:11" ht="16" customHeight="1" x14ac:dyDescent="0.35">
      <c r="B166" s="14" t="s">
        <v>934</v>
      </c>
      <c r="C166" s="14" t="s">
        <v>935</v>
      </c>
      <c r="D166" s="61"/>
      <c r="E166" s="62"/>
      <c r="F166" s="61"/>
      <c r="G166" s="15"/>
      <c r="H166" s="15"/>
      <c r="I166" s="15"/>
      <c r="J166" s="15"/>
      <c r="K166" s="15"/>
    </row>
    <row r="167" spans="2:11" ht="16" customHeight="1" x14ac:dyDescent="0.35">
      <c r="B167" s="14" t="s">
        <v>936</v>
      </c>
      <c r="C167" s="14" t="s">
        <v>937</v>
      </c>
      <c r="D167" s="61"/>
      <c r="E167" s="62"/>
      <c r="F167" s="61"/>
      <c r="G167" s="15"/>
      <c r="H167" s="15"/>
      <c r="I167" s="15"/>
      <c r="J167" s="15"/>
      <c r="K167" s="15"/>
    </row>
    <row r="168" spans="2:11" ht="16" customHeight="1" x14ac:dyDescent="0.35">
      <c r="B168" s="14" t="s">
        <v>938</v>
      </c>
      <c r="C168" s="14" t="s">
        <v>939</v>
      </c>
      <c r="D168" s="61"/>
      <c r="E168" s="62"/>
      <c r="F168" s="61"/>
      <c r="G168" s="15"/>
      <c r="H168" s="15"/>
      <c r="I168" s="15"/>
      <c r="J168" s="15"/>
      <c r="K168" s="15"/>
    </row>
    <row r="169" spans="2:11" ht="16" customHeight="1" x14ac:dyDescent="0.35">
      <c r="B169" s="11"/>
      <c r="C169" s="11" t="s">
        <v>22</v>
      </c>
      <c r="D169" s="29"/>
      <c r="E169" s="60"/>
      <c r="F169" s="29"/>
      <c r="G169" s="12"/>
      <c r="H169" s="12"/>
      <c r="I169" s="12"/>
      <c r="J169" s="12"/>
      <c r="K169" s="12"/>
    </row>
    <row r="170" spans="2:11" ht="16" customHeight="1" x14ac:dyDescent="0.35">
      <c r="B170" s="34"/>
      <c r="C170" s="34" t="s">
        <v>940</v>
      </c>
      <c r="D170" s="69"/>
      <c r="E170" s="70">
        <f>E171+E172</f>
        <v>0</v>
      </c>
      <c r="F170" s="69"/>
      <c r="G170" s="35">
        <f>G171+G172</f>
        <v>0</v>
      </c>
      <c r="H170" s="35">
        <f>H171+H172</f>
        <v>0</v>
      </c>
      <c r="I170" s="35">
        <f>I171+I172</f>
        <v>0</v>
      </c>
      <c r="J170" s="35">
        <f>J171+J172</f>
        <v>0</v>
      </c>
      <c r="K170" s="35">
        <f>K171+K172</f>
        <v>0</v>
      </c>
    </row>
    <row r="171" spans="2:11" ht="16" customHeight="1" x14ac:dyDescent="0.35">
      <c r="B171" s="14" t="s">
        <v>941</v>
      </c>
      <c r="C171" s="14" t="s">
        <v>942</v>
      </c>
      <c r="D171" s="61"/>
      <c r="E171" s="62"/>
      <c r="F171" s="61"/>
      <c r="G171" s="15"/>
      <c r="H171" s="15"/>
      <c r="I171" s="15"/>
      <c r="J171" s="15"/>
      <c r="K171" s="15"/>
    </row>
    <row r="172" spans="2:11" ht="16" customHeight="1" x14ac:dyDescent="0.35">
      <c r="B172" s="14" t="s">
        <v>943</v>
      </c>
      <c r="C172" s="14" t="s">
        <v>944</v>
      </c>
      <c r="D172" s="61"/>
      <c r="E172" s="62"/>
      <c r="F172" s="61"/>
      <c r="G172" s="15"/>
      <c r="H172" s="15"/>
      <c r="I172" s="15"/>
      <c r="J172" s="15"/>
      <c r="K172" s="15"/>
    </row>
    <row r="173" spans="2:11" ht="16" customHeight="1" x14ac:dyDescent="0.35">
      <c r="B173" s="11"/>
      <c r="C173" s="11" t="s">
        <v>22</v>
      </c>
      <c r="D173" s="29"/>
      <c r="E173" s="60"/>
      <c r="F173" s="29"/>
      <c r="G173" s="12"/>
      <c r="H173" s="12"/>
      <c r="I173" s="12"/>
      <c r="J173" s="12"/>
      <c r="K173" s="12"/>
    </row>
    <row r="174" spans="2:11" ht="16" customHeight="1" x14ac:dyDescent="0.35">
      <c r="B174" s="14" t="s">
        <v>945</v>
      </c>
      <c r="C174" s="14" t="s">
        <v>946</v>
      </c>
      <c r="D174" s="61"/>
      <c r="E174" s="62"/>
      <c r="F174" s="61"/>
      <c r="G174" s="15"/>
      <c r="H174" s="15"/>
      <c r="I174" s="15"/>
      <c r="J174" s="15"/>
      <c r="K174" s="15"/>
    </row>
    <row r="175" spans="2:11" ht="16" customHeight="1" x14ac:dyDescent="0.35">
      <c r="B175" s="11"/>
      <c r="C175" s="11" t="s">
        <v>22</v>
      </c>
      <c r="D175" s="29"/>
      <c r="E175" s="60"/>
      <c r="F175" s="29"/>
      <c r="G175" s="12"/>
      <c r="H175" s="12"/>
      <c r="I175" s="12"/>
      <c r="J175" s="12"/>
      <c r="K175" s="12"/>
    </row>
    <row r="176" spans="2:11" ht="16" customHeight="1" x14ac:dyDescent="0.35">
      <c r="B176" s="14" t="s">
        <v>947</v>
      </c>
      <c r="C176" s="14" t="s">
        <v>948</v>
      </c>
      <c r="D176" s="61"/>
      <c r="E176" s="62"/>
      <c r="F176" s="61"/>
      <c r="G176" s="15"/>
      <c r="H176" s="15"/>
      <c r="I176" s="15"/>
      <c r="J176" s="15"/>
      <c r="K176" s="15"/>
    </row>
    <row r="177" spans="2:11" ht="16" customHeight="1" x14ac:dyDescent="0.35">
      <c r="B177" s="11"/>
      <c r="C177" s="11" t="s">
        <v>22</v>
      </c>
      <c r="D177" s="29"/>
      <c r="E177" s="60"/>
      <c r="F177" s="29"/>
      <c r="G177" s="12"/>
      <c r="H177" s="12"/>
      <c r="I177" s="12"/>
      <c r="J177" s="12"/>
      <c r="K177" s="12"/>
    </row>
    <row r="178" spans="2:11" ht="16" customHeight="1" x14ac:dyDescent="0.35">
      <c r="B178" s="14" t="s">
        <v>949</v>
      </c>
      <c r="C178" s="14" t="s">
        <v>950</v>
      </c>
      <c r="D178" s="61"/>
      <c r="E178" s="62"/>
      <c r="F178" s="61"/>
      <c r="G178" s="15"/>
      <c r="H178" s="15"/>
      <c r="I178" s="15"/>
      <c r="J178" s="15"/>
      <c r="K178" s="15"/>
    </row>
    <row r="179" spans="2:11" ht="16" customHeight="1" x14ac:dyDescent="0.35">
      <c r="B179" s="11"/>
      <c r="C179" s="11" t="s">
        <v>22</v>
      </c>
      <c r="D179" s="29"/>
      <c r="E179" s="60"/>
      <c r="F179" s="29"/>
      <c r="G179" s="12"/>
      <c r="H179" s="12"/>
      <c r="I179" s="12"/>
      <c r="J179" s="12"/>
      <c r="K179" s="12"/>
    </row>
    <row r="180" spans="2:11" ht="16" customHeight="1" x14ac:dyDescent="0.35">
      <c r="B180" s="34"/>
      <c r="C180" s="34" t="s">
        <v>951</v>
      </c>
      <c r="D180" s="69"/>
      <c r="E180" s="70">
        <f>E181+E182</f>
        <v>0</v>
      </c>
      <c r="F180" s="69"/>
      <c r="G180" s="35">
        <f>G181+G182</f>
        <v>0</v>
      </c>
      <c r="H180" s="35">
        <f>H181+H182</f>
        <v>0</v>
      </c>
      <c r="I180" s="35">
        <f>I181+I182</f>
        <v>0</v>
      </c>
      <c r="J180" s="35">
        <f>J181+J182</f>
        <v>0</v>
      </c>
      <c r="K180" s="35">
        <f>K181+K182</f>
        <v>0</v>
      </c>
    </row>
    <row r="181" spans="2:11" ht="16" customHeight="1" x14ac:dyDescent="0.35">
      <c r="B181" s="14" t="s">
        <v>952</v>
      </c>
      <c r="C181" s="14" t="s">
        <v>953</v>
      </c>
      <c r="D181" s="61"/>
      <c r="E181" s="62"/>
      <c r="F181" s="61"/>
      <c r="G181" s="15"/>
      <c r="H181" s="15"/>
      <c r="I181" s="15"/>
      <c r="J181" s="15"/>
      <c r="K181" s="15"/>
    </row>
    <row r="182" spans="2:11" ht="16" customHeight="1" x14ac:dyDescent="0.35">
      <c r="B182" s="14" t="s">
        <v>954</v>
      </c>
      <c r="C182" s="14" t="s">
        <v>955</v>
      </c>
      <c r="D182" s="61"/>
      <c r="E182" s="62"/>
      <c r="F182" s="61"/>
      <c r="G182" s="15"/>
      <c r="H182" s="15"/>
      <c r="I182" s="15"/>
      <c r="J182" s="15"/>
      <c r="K182" s="15"/>
    </row>
    <row r="183" spans="2:11" ht="16" customHeight="1" x14ac:dyDescent="0.35">
      <c r="B183" s="11"/>
      <c r="C183" s="11" t="s">
        <v>22</v>
      </c>
      <c r="D183" s="29"/>
      <c r="E183" s="60"/>
      <c r="F183" s="29"/>
      <c r="G183" s="12"/>
      <c r="H183" s="12"/>
      <c r="I183" s="12"/>
      <c r="J183" s="12"/>
      <c r="K183" s="12"/>
    </row>
    <row r="184" spans="2:11" ht="16" customHeight="1" x14ac:dyDescent="0.35">
      <c r="B184" s="34"/>
      <c r="C184" s="34" t="s">
        <v>956</v>
      </c>
      <c r="D184" s="69"/>
      <c r="E184" s="70">
        <f>-(-(E185+E186)-E187-E188-E189)</f>
        <v>0</v>
      </c>
      <c r="F184" s="69"/>
      <c r="G184" s="35">
        <f>-(-(G185+G186)-G187-G188-G189)</f>
        <v>0</v>
      </c>
      <c r="H184" s="35">
        <f>-(-(H185+H186)-H187-H188-H189)</f>
        <v>0</v>
      </c>
      <c r="I184" s="35">
        <f>-(-(I185+I186)-I187-I188-I189)</f>
        <v>0</v>
      </c>
      <c r="J184" s="35">
        <f>-(-(J185+J186)-J187-J188-J189)</f>
        <v>0</v>
      </c>
      <c r="K184" s="35">
        <f>-(-(K185+K186)-K187-K188-K189)</f>
        <v>0</v>
      </c>
    </row>
    <row r="185" spans="2:11" ht="16" customHeight="1" x14ac:dyDescent="0.35">
      <c r="B185" s="14" t="s">
        <v>957</v>
      </c>
      <c r="C185" s="14" t="s">
        <v>958</v>
      </c>
      <c r="D185" s="61"/>
      <c r="E185" s="62"/>
      <c r="F185" s="61"/>
      <c r="G185" s="15"/>
      <c r="H185" s="15"/>
      <c r="I185" s="15"/>
      <c r="J185" s="15"/>
      <c r="K185" s="15"/>
    </row>
    <row r="186" spans="2:11" ht="16" customHeight="1" x14ac:dyDescent="0.35">
      <c r="B186" s="14" t="s">
        <v>959</v>
      </c>
      <c r="C186" s="14" t="s">
        <v>960</v>
      </c>
      <c r="D186" s="61"/>
      <c r="E186" s="62">
        <v>200</v>
      </c>
      <c r="F186" s="61"/>
      <c r="G186" s="15"/>
      <c r="H186" s="15"/>
      <c r="I186" s="15"/>
      <c r="J186" s="15"/>
      <c r="K186" s="15">
        <v>200</v>
      </c>
    </row>
    <row r="187" spans="2:11" ht="16" customHeight="1" x14ac:dyDescent="0.35">
      <c r="B187" s="14" t="s">
        <v>961</v>
      </c>
      <c r="C187" s="14" t="s">
        <v>962</v>
      </c>
      <c r="D187" s="61"/>
      <c r="E187" s="62"/>
      <c r="F187" s="61"/>
      <c r="G187" s="15"/>
      <c r="H187" s="15"/>
      <c r="I187" s="15"/>
      <c r="J187" s="15"/>
      <c r="K187" s="15"/>
    </row>
    <row r="188" spans="2:11" ht="16" customHeight="1" x14ac:dyDescent="0.35">
      <c r="B188" s="14" t="s">
        <v>963</v>
      </c>
      <c r="C188" s="14" t="s">
        <v>964</v>
      </c>
      <c r="D188" s="61"/>
      <c r="E188" s="62">
        <v>-200</v>
      </c>
      <c r="F188" s="61"/>
      <c r="G188" s="15"/>
      <c r="H188" s="15"/>
      <c r="I188" s="15"/>
      <c r="J188" s="15"/>
      <c r="K188" s="15">
        <v>-200</v>
      </c>
    </row>
    <row r="189" spans="2:11" ht="16" customHeight="1" x14ac:dyDescent="0.35">
      <c r="B189" s="14" t="s">
        <v>965</v>
      </c>
      <c r="C189" s="14" t="s">
        <v>966</v>
      </c>
      <c r="D189" s="61"/>
      <c r="E189" s="62"/>
      <c r="F189" s="61"/>
      <c r="G189" s="15"/>
      <c r="H189" s="15"/>
      <c r="I189" s="15"/>
      <c r="J189" s="15"/>
      <c r="K189" s="15"/>
    </row>
    <row r="190" spans="2:11" ht="16" customHeight="1" x14ac:dyDescent="0.35">
      <c r="B190" s="11"/>
      <c r="C190" s="11" t="s">
        <v>22</v>
      </c>
      <c r="D190" s="29"/>
      <c r="E190" s="60"/>
      <c r="F190" s="29"/>
      <c r="G190" s="12"/>
      <c r="H190" s="12"/>
      <c r="I190" s="12"/>
      <c r="J190" s="12"/>
      <c r="K190" s="12"/>
    </row>
    <row r="191" spans="2:11" ht="16" customHeight="1" x14ac:dyDescent="0.35">
      <c r="B191" s="34"/>
      <c r="C191" s="34" t="s">
        <v>967</v>
      </c>
      <c r="D191" s="69"/>
      <c r="E191" s="70">
        <f>E193+E198+E202</f>
        <v>69236.507869999987</v>
      </c>
      <c r="F191" s="69"/>
      <c r="G191" s="35">
        <f>G193+G198+G202</f>
        <v>0</v>
      </c>
      <c r="H191" s="35">
        <f>H193+H198+H202</f>
        <v>0</v>
      </c>
      <c r="I191" s="35">
        <f>I193+I198+I202</f>
        <v>0</v>
      </c>
      <c r="J191" s="35">
        <f>J193+J198+J202</f>
        <v>0</v>
      </c>
      <c r="K191" s="35">
        <f>K193+K198+K202</f>
        <v>69236.507869999987</v>
      </c>
    </row>
    <row r="192" spans="2:11" ht="16" customHeight="1" x14ac:dyDescent="0.35">
      <c r="B192" s="11"/>
      <c r="C192" s="11" t="s">
        <v>22</v>
      </c>
      <c r="D192" s="29"/>
      <c r="E192" s="60"/>
      <c r="F192" s="29"/>
      <c r="G192" s="12"/>
      <c r="H192" s="12"/>
      <c r="I192" s="12"/>
      <c r="J192" s="12"/>
      <c r="K192" s="12"/>
    </row>
    <row r="193" spans="2:11" ht="16" customHeight="1" x14ac:dyDescent="0.35">
      <c r="B193" s="34"/>
      <c r="C193" s="34" t="s">
        <v>968</v>
      </c>
      <c r="D193" s="69"/>
      <c r="E193" s="70">
        <f>-(-(E194+E195)-E196)</f>
        <v>76157.919899999994</v>
      </c>
      <c r="F193" s="69"/>
      <c r="G193" s="35">
        <f>-(-(G194+G195)-G196)</f>
        <v>0</v>
      </c>
      <c r="H193" s="35">
        <f>-(-(H194+H195)-H196)</f>
        <v>0</v>
      </c>
      <c r="I193" s="35">
        <f>-(-(I194+I195)-I196)</f>
        <v>0</v>
      </c>
      <c r="J193" s="35">
        <f>-(-(J194+J195)-J196)</f>
        <v>0</v>
      </c>
      <c r="K193" s="35">
        <f>-(-(K194+K195)-K196)</f>
        <v>76157.919899999994</v>
      </c>
    </row>
    <row r="194" spans="2:11" ht="16" customHeight="1" x14ac:dyDescent="0.35">
      <c r="B194" s="14" t="s">
        <v>969</v>
      </c>
      <c r="C194" s="14" t="s">
        <v>970</v>
      </c>
      <c r="D194" s="61"/>
      <c r="E194" s="62">
        <v>76361.240319999997</v>
      </c>
      <c r="F194" s="61"/>
      <c r="G194" s="15"/>
      <c r="H194" s="15"/>
      <c r="I194" s="15"/>
      <c r="J194" s="15"/>
      <c r="K194" s="15">
        <v>76361.240319999997</v>
      </c>
    </row>
    <row r="195" spans="2:11" ht="16" customHeight="1" x14ac:dyDescent="0.35">
      <c r="B195" s="14" t="s">
        <v>971</v>
      </c>
      <c r="C195" s="14" t="s">
        <v>972</v>
      </c>
      <c r="D195" s="61"/>
      <c r="E195" s="62">
        <v>-203.32042000000001</v>
      </c>
      <c r="F195" s="61"/>
      <c r="G195" s="15"/>
      <c r="H195" s="15"/>
      <c r="I195" s="15"/>
      <c r="J195" s="15"/>
      <c r="K195" s="15">
        <v>-203.32042000000001</v>
      </c>
    </row>
    <row r="196" spans="2:11" ht="16" customHeight="1" x14ac:dyDescent="0.35">
      <c r="B196" s="14" t="s">
        <v>973</v>
      </c>
      <c r="C196" s="14" t="s">
        <v>974</v>
      </c>
      <c r="D196" s="61"/>
      <c r="E196" s="62"/>
      <c r="F196" s="61"/>
      <c r="G196" s="15"/>
      <c r="H196" s="15"/>
      <c r="I196" s="15"/>
      <c r="J196" s="15"/>
      <c r="K196" s="15"/>
    </row>
    <row r="197" spans="2:11" ht="16" customHeight="1" x14ac:dyDescent="0.35">
      <c r="B197" s="11"/>
      <c r="C197" s="11" t="s">
        <v>22</v>
      </c>
      <c r="D197" s="29"/>
      <c r="E197" s="60"/>
      <c r="F197" s="29"/>
      <c r="G197" s="12"/>
      <c r="H197" s="12"/>
      <c r="I197" s="12"/>
      <c r="J197" s="12"/>
      <c r="K197" s="12"/>
    </row>
    <row r="198" spans="2:11" ht="16" customHeight="1" x14ac:dyDescent="0.35">
      <c r="B198" s="34" t="s">
        <v>975</v>
      </c>
      <c r="C198" s="34" t="s">
        <v>976</v>
      </c>
      <c r="D198" s="69"/>
      <c r="E198" s="70">
        <f>E199+E200</f>
        <v>-6889.3020300000007</v>
      </c>
      <c r="F198" s="69"/>
      <c r="G198" s="35">
        <f>G199+G200</f>
        <v>0</v>
      </c>
      <c r="H198" s="35">
        <f>H199+H200</f>
        <v>0</v>
      </c>
      <c r="I198" s="35">
        <f>I199+I200</f>
        <v>0</v>
      </c>
      <c r="J198" s="35">
        <f>J199+J200</f>
        <v>0</v>
      </c>
      <c r="K198" s="35">
        <f>K199+K200</f>
        <v>-6889.3020300000007</v>
      </c>
    </row>
    <row r="199" spans="2:11" ht="16" customHeight="1" x14ac:dyDescent="0.35">
      <c r="B199" s="14"/>
      <c r="C199" s="14" t="s">
        <v>978</v>
      </c>
      <c r="D199" s="61"/>
      <c r="E199" s="62">
        <v>-8474.1310300000005</v>
      </c>
      <c r="F199" s="61"/>
      <c r="G199" s="15"/>
      <c r="H199" s="15"/>
      <c r="I199" s="15"/>
      <c r="J199" s="15"/>
      <c r="K199" s="15">
        <v>-8474.1310300000005</v>
      </c>
    </row>
    <row r="200" spans="2:11" ht="16" customHeight="1" x14ac:dyDescent="0.35">
      <c r="B200" s="14"/>
      <c r="C200" s="14" t="s">
        <v>980</v>
      </c>
      <c r="D200" s="61"/>
      <c r="E200" s="62">
        <v>1584.829</v>
      </c>
      <c r="F200" s="61"/>
      <c r="G200" s="15"/>
      <c r="H200" s="15"/>
      <c r="I200" s="15"/>
      <c r="J200" s="15"/>
      <c r="K200" s="15">
        <v>1584.829</v>
      </c>
    </row>
    <row r="201" spans="2:11" ht="16" customHeight="1" x14ac:dyDescent="0.35">
      <c r="B201" s="11"/>
      <c r="C201" s="11" t="s">
        <v>22</v>
      </c>
      <c r="D201" s="29"/>
      <c r="E201" s="60"/>
      <c r="F201" s="29"/>
      <c r="G201" s="12"/>
      <c r="H201" s="12"/>
      <c r="I201" s="12"/>
      <c r="J201" s="12"/>
      <c r="K201" s="12"/>
    </row>
    <row r="202" spans="2:11" ht="16" customHeight="1" x14ac:dyDescent="0.35">
      <c r="B202" s="34"/>
      <c r="C202" s="34" t="s">
        <v>981</v>
      </c>
      <c r="D202" s="69"/>
      <c r="E202" s="70">
        <f>E204+E208</f>
        <v>-32.11</v>
      </c>
      <c r="F202" s="69"/>
      <c r="G202" s="35">
        <f>G204+G208</f>
        <v>0</v>
      </c>
      <c r="H202" s="35">
        <f>H204+H208</f>
        <v>0</v>
      </c>
      <c r="I202" s="35">
        <f>I204+I208</f>
        <v>0</v>
      </c>
      <c r="J202" s="35">
        <f>J204+J208</f>
        <v>0</v>
      </c>
      <c r="K202" s="35">
        <f>K204+K208</f>
        <v>-32.11</v>
      </c>
    </row>
    <row r="203" spans="2:11" ht="16" customHeight="1" x14ac:dyDescent="0.35">
      <c r="B203" s="11"/>
      <c r="C203" s="11" t="s">
        <v>22</v>
      </c>
      <c r="D203" s="29"/>
      <c r="E203" s="60"/>
      <c r="F203" s="29"/>
      <c r="G203" s="12"/>
      <c r="H203" s="12"/>
      <c r="I203" s="12"/>
      <c r="J203" s="12"/>
      <c r="K203" s="12"/>
    </row>
    <row r="204" spans="2:11" ht="16" customHeight="1" x14ac:dyDescent="0.35">
      <c r="B204" s="34"/>
      <c r="C204" s="34" t="s">
        <v>982</v>
      </c>
      <c r="D204" s="69"/>
      <c r="E204" s="70">
        <f>E205+E206</f>
        <v>0</v>
      </c>
      <c r="F204" s="69"/>
      <c r="G204" s="35">
        <f>G205+G206</f>
        <v>0</v>
      </c>
      <c r="H204" s="35">
        <f>H205+H206</f>
        <v>0</v>
      </c>
      <c r="I204" s="35">
        <f>I205+I206</f>
        <v>0</v>
      </c>
      <c r="J204" s="35">
        <f>J205+J206</f>
        <v>0</v>
      </c>
      <c r="K204" s="35">
        <f>K205+K206</f>
        <v>0</v>
      </c>
    </row>
    <row r="205" spans="2:11" ht="16" customHeight="1" x14ac:dyDescent="0.35">
      <c r="B205" s="14" t="s">
        <v>983</v>
      </c>
      <c r="C205" s="14" t="s">
        <v>984</v>
      </c>
      <c r="D205" s="61"/>
      <c r="E205" s="62"/>
      <c r="F205" s="61"/>
      <c r="G205" s="15"/>
      <c r="H205" s="15"/>
      <c r="I205" s="15"/>
      <c r="J205" s="15"/>
      <c r="K205" s="15"/>
    </row>
    <row r="206" spans="2:11" ht="16" customHeight="1" x14ac:dyDescent="0.35">
      <c r="B206" s="14" t="s">
        <v>985</v>
      </c>
      <c r="C206" s="14" t="s">
        <v>986</v>
      </c>
      <c r="D206" s="61"/>
      <c r="E206" s="62"/>
      <c r="F206" s="61"/>
      <c r="G206" s="15"/>
      <c r="H206" s="15"/>
      <c r="I206" s="15"/>
      <c r="J206" s="15"/>
      <c r="K206" s="15"/>
    </row>
    <row r="207" spans="2:11" ht="16" customHeight="1" x14ac:dyDescent="0.35">
      <c r="B207" s="11"/>
      <c r="C207" s="11" t="s">
        <v>22</v>
      </c>
      <c r="D207" s="29"/>
      <c r="E207" s="60"/>
      <c r="F207" s="29"/>
      <c r="G207" s="12"/>
      <c r="H207" s="12"/>
      <c r="I207" s="12"/>
      <c r="J207" s="12"/>
      <c r="K207" s="12"/>
    </row>
    <row r="208" spans="2:11" ht="16" customHeight="1" x14ac:dyDescent="0.35">
      <c r="B208" s="34"/>
      <c r="C208" s="34" t="s">
        <v>987</v>
      </c>
      <c r="D208" s="69"/>
      <c r="E208" s="70">
        <f>-(-(E209+E210)-E211)</f>
        <v>-32.11</v>
      </c>
      <c r="F208" s="69"/>
      <c r="G208" s="35">
        <f>-(-(G209+G210)-G211)</f>
        <v>0</v>
      </c>
      <c r="H208" s="35">
        <f>-(-(H209+H210)-H211)</f>
        <v>0</v>
      </c>
      <c r="I208" s="35">
        <f>-(-(I209+I210)-I211)</f>
        <v>0</v>
      </c>
      <c r="J208" s="35">
        <f>-(-(J209+J210)-J211)</f>
        <v>0</v>
      </c>
      <c r="K208" s="35">
        <f>-(-(K209+K210)-K211)</f>
        <v>-32.11</v>
      </c>
    </row>
    <row r="209" spans="2:11" ht="16" customHeight="1" x14ac:dyDescent="0.35">
      <c r="B209" s="14" t="s">
        <v>988</v>
      </c>
      <c r="C209" s="14" t="s">
        <v>989</v>
      </c>
      <c r="D209" s="61"/>
      <c r="E209" s="62"/>
      <c r="F209" s="61"/>
      <c r="G209" s="15"/>
      <c r="H209" s="15"/>
      <c r="I209" s="15"/>
      <c r="J209" s="15"/>
      <c r="K209" s="15"/>
    </row>
    <row r="210" spans="2:11" ht="16" customHeight="1" x14ac:dyDescent="0.35">
      <c r="B210" s="14" t="s">
        <v>990</v>
      </c>
      <c r="C210" s="14" t="s">
        <v>991</v>
      </c>
      <c r="D210" s="61"/>
      <c r="E210" s="62"/>
      <c r="F210" s="61"/>
      <c r="G210" s="15"/>
      <c r="H210" s="15"/>
      <c r="I210" s="15"/>
      <c r="J210" s="15"/>
      <c r="K210" s="15"/>
    </row>
    <row r="211" spans="2:11" ht="16" customHeight="1" x14ac:dyDescent="0.35">
      <c r="B211" s="14" t="s">
        <v>992</v>
      </c>
      <c r="C211" s="14" t="s">
        <v>993</v>
      </c>
      <c r="D211" s="61"/>
      <c r="E211" s="62">
        <v>-32.11</v>
      </c>
      <c r="F211" s="61"/>
      <c r="G211" s="15"/>
      <c r="H211" s="15"/>
      <c r="I211" s="15"/>
      <c r="J211" s="15"/>
      <c r="K211" s="15">
        <v>-32.11</v>
      </c>
    </row>
    <row r="212" spans="2:11" ht="16" customHeight="1" x14ac:dyDescent="0.35">
      <c r="B212" s="11"/>
      <c r="C212" s="11" t="s">
        <v>22</v>
      </c>
      <c r="D212" s="29"/>
      <c r="E212" s="60"/>
      <c r="F212" s="29"/>
      <c r="G212" s="12"/>
      <c r="H212" s="12"/>
      <c r="I212" s="12"/>
      <c r="J212" s="12"/>
      <c r="K212" s="12"/>
    </row>
    <row r="213" spans="2:11" ht="16" customHeight="1" x14ac:dyDescent="0.35">
      <c r="B213" s="40"/>
      <c r="C213" s="40" t="s">
        <v>994</v>
      </c>
      <c r="D213" s="53"/>
      <c r="E213" s="53">
        <f>E165+E170+E174+E176+E178+E180+E184+E191</f>
        <v>69236.507869999987</v>
      </c>
      <c r="F213" s="53"/>
      <c r="G213" s="24">
        <f>G165+G170+G174+G176+G178+G180+G184+G191</f>
        <v>0</v>
      </c>
      <c r="H213" s="24">
        <f>H165+H170+H174+H176+H178+H180+H184+H191</f>
        <v>0</v>
      </c>
      <c r="I213" s="24">
        <f>I165+I170+I174+I176+I178+I180+I184+I191</f>
        <v>0</v>
      </c>
      <c r="J213" s="24">
        <f>J165+J170+J174+J176+J178+J180+J184+J191</f>
        <v>0</v>
      </c>
      <c r="K213" s="24">
        <f>K165+K170+K174+K176+K178+K180+K184+K191</f>
        <v>69236.507869999987</v>
      </c>
    </row>
    <row r="214" spans="2:11" ht="16" customHeight="1" x14ac:dyDescent="0.35">
      <c r="B214" s="11"/>
      <c r="C214" s="11" t="s">
        <v>22</v>
      </c>
      <c r="D214" s="29"/>
      <c r="E214" s="60"/>
      <c r="F214" s="29"/>
      <c r="G214" s="12"/>
      <c r="H214" s="12"/>
      <c r="I214" s="12"/>
      <c r="J214" s="12"/>
      <c r="K214" s="12"/>
    </row>
    <row r="215" spans="2:11" ht="16" customHeight="1" x14ac:dyDescent="0.35">
      <c r="B215" s="40" t="s">
        <v>995</v>
      </c>
      <c r="C215" s="40" t="s">
        <v>996</v>
      </c>
      <c r="D215" s="53"/>
      <c r="E215" s="53">
        <f>E102+E161+E213</f>
        <v>873.71947000005457</v>
      </c>
      <c r="F215" s="53"/>
      <c r="G215" s="24">
        <f>G102+G161+G213</f>
        <v>-48314.777510000014</v>
      </c>
      <c r="H215" s="24">
        <f>H102+H161+H213</f>
        <v>-21661.771229999998</v>
      </c>
      <c r="I215" s="24">
        <f>I102+I161+I213</f>
        <v>15239.253790000001</v>
      </c>
      <c r="J215" s="24">
        <f>J102+J161+J213</f>
        <v>-10507.68001</v>
      </c>
      <c r="K215" s="24">
        <f>K102+K161+K213</f>
        <v>66118.694429999989</v>
      </c>
    </row>
    <row r="216" spans="2:11" ht="16" customHeight="1" x14ac:dyDescent="0.35">
      <c r="B216" s="11"/>
      <c r="C216" s="11" t="s">
        <v>22</v>
      </c>
      <c r="D216" s="29"/>
      <c r="E216" s="60"/>
      <c r="F216" s="29"/>
      <c r="G216" s="12"/>
      <c r="H216" s="12"/>
      <c r="I216" s="12"/>
      <c r="J216" s="12"/>
      <c r="K216" s="12"/>
    </row>
    <row r="217" spans="2:11" ht="16" customHeight="1" x14ac:dyDescent="0.35">
      <c r="B217" s="14" t="s">
        <v>997</v>
      </c>
      <c r="C217" s="14" t="s">
        <v>998</v>
      </c>
      <c r="D217" s="61"/>
      <c r="E217" s="62">
        <v>1955.4903200000001</v>
      </c>
      <c r="F217" s="61"/>
      <c r="G217" s="15"/>
      <c r="H217" s="15"/>
      <c r="I217" s="15"/>
      <c r="J217" s="15"/>
      <c r="K217" s="15">
        <v>1955.4903200000001</v>
      </c>
    </row>
    <row r="218" spans="2:11" ht="16" customHeight="1" x14ac:dyDescent="0.35">
      <c r="B218" s="14" t="s">
        <v>999</v>
      </c>
      <c r="C218" s="14" t="s">
        <v>996</v>
      </c>
      <c r="D218" s="61"/>
      <c r="E218" s="62">
        <f>E220-E219-E217</f>
        <v>873.71523999999977</v>
      </c>
      <c r="F218" s="61"/>
      <c r="G218" s="15">
        <f>G220-G219-G217</f>
        <v>0</v>
      </c>
      <c r="H218" s="15">
        <f>H220-H219-H217</f>
        <v>0</v>
      </c>
      <c r="I218" s="15">
        <f>I220-I219-I217</f>
        <v>0</v>
      </c>
      <c r="J218" s="15">
        <f>J220-J219-J217</f>
        <v>0</v>
      </c>
      <c r="K218" s="15">
        <f>K220-K219-K217</f>
        <v>873.71523999999977</v>
      </c>
    </row>
    <row r="219" spans="2:11" ht="16" customHeight="1" x14ac:dyDescent="0.35">
      <c r="B219" s="14" t="s">
        <v>1000</v>
      </c>
      <c r="C219" s="14" t="s">
        <v>1001</v>
      </c>
      <c r="D219" s="61"/>
      <c r="E219" s="62"/>
      <c r="F219" s="61"/>
      <c r="G219" s="15"/>
      <c r="H219" s="15"/>
      <c r="I219" s="15"/>
      <c r="J219" s="15"/>
      <c r="K219" s="15"/>
    </row>
    <row r="220" spans="2:11" ht="16" customHeight="1" x14ac:dyDescent="0.35">
      <c r="B220" s="14" t="s">
        <v>1002</v>
      </c>
      <c r="C220" s="14" t="s">
        <v>1003</v>
      </c>
      <c r="D220" s="61"/>
      <c r="E220" s="62">
        <v>2829.2055599999999</v>
      </c>
      <c r="F220" s="61"/>
      <c r="G220" s="15"/>
      <c r="H220" s="15"/>
      <c r="I220" s="15"/>
      <c r="J220" s="15"/>
      <c r="K220" s="15">
        <v>2829.2055599999999</v>
      </c>
    </row>
    <row r="221" spans="2:11" ht="16" customHeight="1" x14ac:dyDescent="0.35">
      <c r="B221" s="11"/>
      <c r="C221" s="11" t="s">
        <v>22</v>
      </c>
      <c r="D221" s="29"/>
      <c r="E221" s="60"/>
      <c r="F221" s="29"/>
      <c r="G221" s="12"/>
      <c r="H221" s="12"/>
      <c r="I221" s="12"/>
      <c r="J221" s="12"/>
      <c r="K221" s="12"/>
    </row>
    <row r="222" spans="2:11" ht="16" customHeight="1" x14ac:dyDescent="0.35">
      <c r="B222" s="11"/>
      <c r="C222" s="11" t="s">
        <v>22</v>
      </c>
      <c r="D222" s="29"/>
      <c r="E222" s="60"/>
      <c r="F222" s="29"/>
      <c r="G222" s="12"/>
      <c r="H222" s="12"/>
      <c r="I222" s="12"/>
      <c r="J222" s="12"/>
      <c r="K222" s="12"/>
    </row>
    <row r="223" spans="2:11" ht="16" customHeight="1" x14ac:dyDescent="0.35">
      <c r="B223" s="36"/>
      <c r="C223" s="36" t="s">
        <v>751</v>
      </c>
      <c r="D223" s="71"/>
      <c r="E223" s="72">
        <f>E215-E218</f>
        <v>4.2300000548038952E-3</v>
      </c>
      <c r="F223" s="71"/>
      <c r="G223" s="37">
        <f>G215-G218</f>
        <v>-48314.777510000014</v>
      </c>
      <c r="H223" s="37">
        <f>H215-H218</f>
        <v>-21661.771229999998</v>
      </c>
      <c r="I223" s="37">
        <f>I215-I218</f>
        <v>15239.253790000001</v>
      </c>
      <c r="J223" s="37">
        <f>J215-J218</f>
        <v>-10507.68001</v>
      </c>
      <c r="K223" s="37">
        <f>K215-K218</f>
        <v>65244.979189999991</v>
      </c>
    </row>
    <row r="224" spans="2:11" ht="16" customHeight="1" x14ac:dyDescent="0.35">
      <c r="B224" s="11"/>
      <c r="C224" s="11" t="s">
        <v>22</v>
      </c>
      <c r="D224" s="29"/>
      <c r="E224" s="60"/>
      <c r="F224" s="29"/>
      <c r="G224" s="12"/>
      <c r="H224" s="12"/>
      <c r="I224" s="12"/>
      <c r="J224" s="12"/>
      <c r="K224" s="12"/>
    </row>
    <row r="225" spans="2:11" ht="16" customHeight="1" x14ac:dyDescent="0.35">
      <c r="B225" s="11"/>
      <c r="C225" s="11" t="s">
        <v>22</v>
      </c>
      <c r="D225" s="29"/>
      <c r="E225" s="60"/>
      <c r="F225" s="29"/>
      <c r="G225" s="12"/>
      <c r="H225" s="12"/>
      <c r="I225" s="12"/>
      <c r="J225" s="12"/>
      <c r="K225" s="12"/>
    </row>
    <row r="226" spans="2:11" ht="16" customHeight="1" x14ac:dyDescent="0.35">
      <c r="B226" s="34"/>
      <c r="C226" s="34" t="s">
        <v>1004</v>
      </c>
      <c r="D226" s="69"/>
      <c r="E226" s="70"/>
      <c r="F226" s="69"/>
      <c r="G226" s="35"/>
      <c r="H226" s="35"/>
      <c r="I226" s="35"/>
      <c r="J226" s="35"/>
      <c r="K226" s="35"/>
    </row>
    <row r="227" spans="2:11" ht="16" customHeight="1" x14ac:dyDescent="0.35">
      <c r="B227" s="11"/>
      <c r="C227" s="11" t="s">
        <v>22</v>
      </c>
      <c r="D227" s="29"/>
      <c r="E227" s="60"/>
      <c r="F227" s="29"/>
      <c r="G227" s="12"/>
      <c r="H227" s="12"/>
      <c r="I227" s="12"/>
      <c r="J227" s="12"/>
      <c r="K227" s="12"/>
    </row>
    <row r="228" spans="2:11" ht="16" customHeight="1" x14ac:dyDescent="0.35">
      <c r="B228" s="14"/>
      <c r="C228" s="14" t="s">
        <v>890</v>
      </c>
      <c r="D228" s="61"/>
      <c r="E228" s="62">
        <f>E126</f>
        <v>-206424.55327</v>
      </c>
      <c r="F228" s="61"/>
      <c r="G228" s="15">
        <f>G126</f>
        <v>-165309.42631000001</v>
      </c>
      <c r="H228" s="15">
        <f>H126</f>
        <v>-29871.945259999997</v>
      </c>
      <c r="I228" s="15">
        <f>I126</f>
        <v>0</v>
      </c>
      <c r="J228" s="15">
        <f>J126</f>
        <v>0</v>
      </c>
      <c r="K228" s="15">
        <f>K126</f>
        <v>-11243.181699999999</v>
      </c>
    </row>
    <row r="229" spans="2:11" ht="16" customHeight="1" x14ac:dyDescent="0.35">
      <c r="B229" s="14"/>
      <c r="C229" s="14" t="s">
        <v>892</v>
      </c>
      <c r="D229" s="61"/>
      <c r="E229" s="62">
        <f>E128</f>
        <v>2158.8922699999998</v>
      </c>
      <c r="F229" s="61"/>
      <c r="G229" s="15">
        <f>G128</f>
        <v>2158.8922699999998</v>
      </c>
      <c r="H229" s="15">
        <f>H128</f>
        <v>0</v>
      </c>
      <c r="I229" s="15">
        <f>I128</f>
        <v>0</v>
      </c>
      <c r="J229" s="15">
        <f>J128</f>
        <v>0</v>
      </c>
      <c r="K229" s="15">
        <f>K128</f>
        <v>0</v>
      </c>
    </row>
    <row r="230" spans="2:11" ht="16" customHeight="1" x14ac:dyDescent="0.35">
      <c r="B230" s="34"/>
      <c r="C230" s="34" t="s">
        <v>1005</v>
      </c>
      <c r="D230" s="69"/>
      <c r="E230" s="70">
        <f>E102+E228+E229</f>
        <v>-313734.79587999993</v>
      </c>
      <c r="F230" s="69"/>
      <c r="G230" s="35">
        <f>G102+G228+G229</f>
        <v>-48087.817000000025</v>
      </c>
      <c r="H230" s="35">
        <f>H102+H228+H229</f>
        <v>-25509.565759999998</v>
      </c>
      <c r="I230" s="35">
        <f>I102+I228+I229</f>
        <v>15227.597450000001</v>
      </c>
      <c r="J230" s="35">
        <f>J102+J228+J229</f>
        <v>-10507.68001</v>
      </c>
      <c r="K230" s="35">
        <f>K102+K228+K229</f>
        <v>-244857.33056</v>
      </c>
    </row>
    <row r="231" spans="2:11" ht="16" customHeight="1" x14ac:dyDescent="0.35">
      <c r="B231" s="14"/>
      <c r="C231" s="14" t="s">
        <v>976</v>
      </c>
      <c r="D231" s="61"/>
      <c r="E231" s="62">
        <f>E198</f>
        <v>-6889.3020300000007</v>
      </c>
      <c r="F231" s="61"/>
      <c r="G231" s="15">
        <f>G198</f>
        <v>0</v>
      </c>
      <c r="H231" s="15">
        <f>H198</f>
        <v>0</v>
      </c>
      <c r="I231" s="15">
        <f>I198</f>
        <v>0</v>
      </c>
      <c r="J231" s="15">
        <f>J198</f>
        <v>0</v>
      </c>
      <c r="K231" s="15">
        <f>K198</f>
        <v>-6889.3020300000007</v>
      </c>
    </row>
    <row r="232" spans="2:11" ht="16" customHeight="1" x14ac:dyDescent="0.35">
      <c r="B232" s="34"/>
      <c r="C232" s="34" t="s">
        <v>1006</v>
      </c>
      <c r="D232" s="69"/>
      <c r="E232" s="70">
        <f>E230+E231</f>
        <v>-320624.09790999995</v>
      </c>
      <c r="F232" s="69"/>
      <c r="G232" s="35">
        <f>G230+G231</f>
        <v>-48087.817000000025</v>
      </c>
      <c r="H232" s="35">
        <f>H230+H231</f>
        <v>-25509.565759999998</v>
      </c>
      <c r="I232" s="35">
        <f>I230+I231</f>
        <v>15227.597450000001</v>
      </c>
      <c r="J232" s="35">
        <f>J230+J231</f>
        <v>-10507.68001</v>
      </c>
      <c r="K232" s="35">
        <f>K230+K231</f>
        <v>-251746.63258999999</v>
      </c>
    </row>
    <row r="233" spans="2:11" ht="16" customHeight="1" x14ac:dyDescent="0.35">
      <c r="B233" s="14"/>
      <c r="C233" s="14" t="s">
        <v>813</v>
      </c>
      <c r="D233" s="61"/>
      <c r="E233" s="62">
        <f>E61</f>
        <v>-45327.306960000002</v>
      </c>
      <c r="F233" s="61"/>
      <c r="G233" s="15">
        <f>G61</f>
        <v>0</v>
      </c>
      <c r="H233" s="15">
        <f>H61</f>
        <v>0</v>
      </c>
      <c r="I233" s="15">
        <f>I61</f>
        <v>0</v>
      </c>
      <c r="J233" s="15">
        <f>J61</f>
        <v>0</v>
      </c>
      <c r="K233" s="15">
        <f>K61</f>
        <v>-45327.306960000002</v>
      </c>
    </row>
    <row r="234" spans="2:11" ht="16" customHeight="1" x14ac:dyDescent="0.35">
      <c r="B234" s="34"/>
      <c r="C234" s="34" t="s">
        <v>1007</v>
      </c>
      <c r="D234" s="69"/>
      <c r="E234" s="70">
        <f>E232-E233</f>
        <v>-275296.79094999994</v>
      </c>
      <c r="F234" s="69"/>
      <c r="G234" s="35">
        <f>G232-G233</f>
        <v>-48087.817000000025</v>
      </c>
      <c r="H234" s="35">
        <f>H232-H233</f>
        <v>-25509.565759999998</v>
      </c>
      <c r="I234" s="35">
        <f>I232-I233</f>
        <v>15227.597450000001</v>
      </c>
      <c r="J234" s="35">
        <f>J232-J233</f>
        <v>-10507.68001</v>
      </c>
      <c r="K234" s="35">
        <f>K232-K233</f>
        <v>-206419.32562999998</v>
      </c>
    </row>
    <row r="235" spans="2:11" ht="16" customHeight="1" x14ac:dyDescent="0.35">
      <c r="B235" s="11"/>
      <c r="C235" s="11" t="s">
        <v>22</v>
      </c>
      <c r="D235" s="29"/>
      <c r="E235" s="60"/>
      <c r="F235" s="29"/>
      <c r="G235" s="12"/>
      <c r="H235" s="12"/>
      <c r="I235" s="12"/>
      <c r="J235" s="12"/>
      <c r="K235" s="12"/>
    </row>
    <row r="236" spans="2:11" ht="16" customHeight="1" x14ac:dyDescent="0.35">
      <c r="B236" s="44"/>
      <c r="C236" s="44" t="s">
        <v>1008</v>
      </c>
      <c r="D236" s="73"/>
      <c r="E236" s="74">
        <v>-0.764491209</v>
      </c>
      <c r="F236" s="73"/>
      <c r="G236" s="45">
        <v>-0.13856138100000001</v>
      </c>
      <c r="H236" s="45">
        <v>-1.911852568</v>
      </c>
      <c r="I236" s="45">
        <v>14.831636653</v>
      </c>
      <c r="J236" s="45">
        <v>7.9858373760000001</v>
      </c>
      <c r="K236" s="45">
        <v>0</v>
      </c>
    </row>
    <row r="237" spans="2:11" ht="16" customHeight="1" x14ac:dyDescent="0.35">
      <c r="B237" s="44"/>
      <c r="C237" s="44" t="s">
        <v>1009</v>
      </c>
      <c r="D237" s="73"/>
      <c r="E237" s="74">
        <v>-1.601005674</v>
      </c>
      <c r="F237" s="73"/>
      <c r="G237" s="45">
        <v>-0.23291355399999999</v>
      </c>
      <c r="H237" s="45">
        <v>-2.8152823549999999</v>
      </c>
      <c r="I237" s="45">
        <v>14.831636653</v>
      </c>
      <c r="J237" s="45">
        <v>7.9858373760000001</v>
      </c>
      <c r="K237" s="45">
        <v>12.704671458</v>
      </c>
    </row>
    <row r="238" spans="2:11" ht="16" customHeight="1" x14ac:dyDescent="0.35">
      <c r="B238" s="44"/>
      <c r="C238" s="44" t="s">
        <v>1010</v>
      </c>
      <c r="D238" s="73"/>
      <c r="E238" s="74">
        <v>-0.244677272</v>
      </c>
      <c r="F238" s="73"/>
      <c r="G238" s="45">
        <v>-4.1848435000000003E-2</v>
      </c>
      <c r="H238" s="45">
        <v>-0.23889824900000001</v>
      </c>
      <c r="I238" s="45">
        <v>0.27929727599999998</v>
      </c>
      <c r="J238" s="45">
        <v>0</v>
      </c>
      <c r="K238" s="45">
        <v>0</v>
      </c>
    </row>
    <row r="239" spans="2:11" ht="16" customHeight="1" x14ac:dyDescent="0.35">
      <c r="B239" s="11"/>
      <c r="C239" s="11" t="s">
        <v>22</v>
      </c>
      <c r="D239" s="29"/>
      <c r="E239" s="22"/>
      <c r="F239" s="12"/>
      <c r="G239" s="12"/>
      <c r="H239" s="12"/>
      <c r="I239" s="12"/>
      <c r="J239" s="12"/>
      <c r="K239" s="12"/>
    </row>
    <row r="240" spans="2:11" ht="16" customHeight="1" x14ac:dyDescent="0.45">
      <c r="B240" s="13"/>
      <c r="C240" s="9"/>
      <c r="D240" s="9"/>
      <c r="E240" s="13"/>
      <c r="F240" s="13"/>
      <c r="G240" s="13"/>
      <c r="H240" s="13"/>
      <c r="I240" s="13"/>
      <c r="J240" s="13"/>
      <c r="K240" s="13"/>
    </row>
    <row r="241" spans="2:11" ht="16" customHeight="1" x14ac:dyDescent="0.45">
      <c r="B241" s="13"/>
      <c r="C241" s="9"/>
      <c r="D241" s="9"/>
      <c r="E241" s="13"/>
      <c r="F241" s="13"/>
      <c r="G241" s="13"/>
      <c r="H241" s="13"/>
      <c r="I241" s="13"/>
      <c r="J241" s="13"/>
      <c r="K241" s="13"/>
    </row>
    <row r="242" spans="2:11" ht="16" customHeight="1" x14ac:dyDescent="0.45">
      <c r="B242" s="13"/>
      <c r="C242" s="9"/>
      <c r="D242" s="9"/>
      <c r="E242" s="13"/>
      <c r="F242" s="13"/>
      <c r="G242" s="13"/>
      <c r="H242" s="13"/>
      <c r="I242" s="13"/>
      <c r="J242" s="13"/>
      <c r="K242" s="13"/>
    </row>
    <row r="243" spans="2:11" ht="16" customHeight="1" x14ac:dyDescent="0.45">
      <c r="B243" s="13"/>
      <c r="C243" s="9"/>
      <c r="D243" s="9"/>
      <c r="E243" s="13"/>
      <c r="F243" s="13"/>
      <c r="G243" s="13"/>
      <c r="H243" s="13"/>
      <c r="I243" s="13"/>
      <c r="J243" s="13"/>
      <c r="K243" s="13"/>
    </row>
    <row r="244" spans="2:11" ht="16" customHeight="1" x14ac:dyDescent="0.45">
      <c r="B244" s="13"/>
      <c r="C244" s="9"/>
      <c r="D244" s="9"/>
      <c r="E244" s="13"/>
      <c r="F244" s="13"/>
      <c r="G244" s="13"/>
      <c r="H244" s="13"/>
      <c r="I244" s="13"/>
      <c r="J244" s="13"/>
      <c r="K244" s="13"/>
    </row>
    <row r="245" spans="2:11" ht="16" customHeight="1" x14ac:dyDescent="0.45">
      <c r="B245" s="13"/>
      <c r="C245" s="9"/>
      <c r="D245" s="9"/>
      <c r="E245" s="13"/>
      <c r="F245" s="13"/>
      <c r="G245" s="13"/>
      <c r="H245" s="13"/>
      <c r="I245" s="13"/>
      <c r="J245" s="13"/>
      <c r="K245" s="13"/>
    </row>
    <row r="246" spans="2:11" ht="16" customHeight="1" x14ac:dyDescent="0.45">
      <c r="B246" s="13"/>
      <c r="C246" s="9"/>
      <c r="D246" s="9"/>
      <c r="E246" s="13"/>
      <c r="F246" s="13"/>
      <c r="G246" s="13"/>
      <c r="H246" s="13"/>
      <c r="I246" s="13"/>
      <c r="J246" s="13"/>
      <c r="K246" s="13"/>
    </row>
    <row r="247" spans="2:11" ht="16" customHeight="1" x14ac:dyDescent="0.45">
      <c r="B247" s="13"/>
      <c r="C247" s="9"/>
      <c r="D247" s="9"/>
      <c r="E247" s="13"/>
      <c r="F247" s="13"/>
      <c r="G247" s="13"/>
      <c r="H247" s="13"/>
      <c r="I247" s="13"/>
      <c r="J247" s="13"/>
      <c r="K247" s="13"/>
    </row>
    <row r="248" spans="2:11" ht="16" customHeight="1" x14ac:dyDescent="0.45">
      <c r="B248" s="13"/>
      <c r="C248" s="9"/>
      <c r="D248" s="9"/>
      <c r="E248" s="13"/>
      <c r="F248" s="13"/>
      <c r="G248" s="13"/>
      <c r="H248" s="13"/>
      <c r="I248" s="13"/>
      <c r="J248" s="13"/>
      <c r="K248" s="13"/>
    </row>
    <row r="249" spans="2:11" ht="16" customHeight="1" x14ac:dyDescent="0.45">
      <c r="B249" s="13"/>
      <c r="C249" s="9"/>
      <c r="D249" s="9"/>
      <c r="E249" s="13"/>
      <c r="F249" s="13"/>
      <c r="G249" s="13"/>
      <c r="H249" s="13"/>
      <c r="I249" s="13"/>
      <c r="J249" s="13"/>
      <c r="K249" s="13"/>
    </row>
    <row r="250" spans="2:11" ht="16" customHeight="1" x14ac:dyDescent="0.45">
      <c r="B250" s="13"/>
      <c r="C250" s="9"/>
      <c r="D250" s="9"/>
      <c r="E250" s="13"/>
      <c r="F250" s="13"/>
      <c r="G250" s="13"/>
      <c r="H250" s="13"/>
      <c r="I250" s="13"/>
      <c r="J250" s="13"/>
      <c r="K250" s="13"/>
    </row>
    <row r="251" spans="2:11" ht="16" customHeight="1" x14ac:dyDescent="0.45">
      <c r="B251" s="13"/>
      <c r="C251" s="9"/>
      <c r="D251" s="9"/>
      <c r="E251" s="13"/>
      <c r="F251" s="13"/>
      <c r="G251" s="13"/>
      <c r="H251" s="13"/>
      <c r="I251" s="13"/>
      <c r="J251" s="13"/>
      <c r="K251" s="13"/>
    </row>
    <row r="252" spans="2:11" ht="16" customHeight="1" x14ac:dyDescent="0.45">
      <c r="B252" s="13"/>
      <c r="C252" s="9"/>
      <c r="D252" s="9"/>
      <c r="E252" s="13"/>
      <c r="F252" s="13"/>
      <c r="G252" s="13"/>
      <c r="H252" s="13"/>
      <c r="I252" s="13"/>
      <c r="J252" s="13"/>
      <c r="K252" s="13"/>
    </row>
    <row r="253" spans="2:11" ht="16" customHeight="1" x14ac:dyDescent="0.45">
      <c r="B253" s="13"/>
      <c r="C253" s="9"/>
      <c r="D253" s="9"/>
      <c r="E253" s="13"/>
      <c r="F253" s="13"/>
      <c r="G253" s="13"/>
      <c r="H253" s="13"/>
      <c r="I253" s="13"/>
      <c r="J253" s="13"/>
      <c r="K253" s="13"/>
    </row>
    <row r="254" spans="2:11" ht="16" customHeight="1" x14ac:dyDescent="0.45">
      <c r="B254" s="13"/>
      <c r="C254" s="9"/>
      <c r="D254" s="9"/>
      <c r="E254" s="13"/>
      <c r="F254" s="13"/>
      <c r="G254" s="13"/>
      <c r="H254" s="13"/>
      <c r="I254" s="13"/>
      <c r="J254" s="13"/>
      <c r="K254" s="13"/>
    </row>
    <row r="255" spans="2:11" ht="16" customHeight="1" x14ac:dyDescent="0.45">
      <c r="B255" s="13"/>
      <c r="C255" s="9"/>
      <c r="D255" s="9"/>
      <c r="E255" s="13"/>
      <c r="F255" s="13"/>
      <c r="G255" s="13"/>
      <c r="H255" s="13"/>
      <c r="I255" s="13"/>
      <c r="J255" s="13"/>
      <c r="K255" s="13"/>
    </row>
    <row r="256" spans="2:11" ht="16" customHeight="1" x14ac:dyDescent="0.45">
      <c r="B256" s="13"/>
      <c r="C256" s="9"/>
      <c r="D256" s="9"/>
      <c r="E256" s="13"/>
      <c r="F256" s="13"/>
      <c r="G256" s="13"/>
      <c r="H256" s="13"/>
      <c r="I256" s="13"/>
      <c r="J256" s="13"/>
      <c r="K256" s="13"/>
    </row>
    <row r="257" spans="2:11" ht="16" customHeight="1" x14ac:dyDescent="0.45">
      <c r="B257" s="13"/>
      <c r="C257" s="9"/>
      <c r="D257" s="9"/>
      <c r="E257" s="13"/>
      <c r="F257" s="13"/>
      <c r="G257" s="13"/>
      <c r="H257" s="13"/>
      <c r="I257" s="13"/>
      <c r="J257" s="13"/>
      <c r="K257" s="13"/>
    </row>
    <row r="258" spans="2:11" ht="16" customHeight="1" x14ac:dyDescent="0.45">
      <c r="B258" s="13"/>
      <c r="C258" s="9"/>
      <c r="D258" s="9"/>
      <c r="E258" s="13"/>
      <c r="F258" s="13"/>
      <c r="G258" s="13"/>
      <c r="H258" s="13"/>
      <c r="I258" s="13"/>
      <c r="J258" s="13"/>
      <c r="K258" s="13"/>
    </row>
    <row r="259" spans="2:11" ht="16" customHeight="1" x14ac:dyDescent="0.45">
      <c r="B259" s="13"/>
      <c r="C259" s="9"/>
      <c r="D259" s="9"/>
      <c r="E259" s="13"/>
      <c r="F259" s="13"/>
      <c r="G259" s="13"/>
      <c r="H259" s="13"/>
      <c r="I259" s="13"/>
      <c r="J259" s="13"/>
      <c r="K259" s="13"/>
    </row>
    <row r="260" spans="2:11" ht="16" customHeight="1" x14ac:dyDescent="0.45">
      <c r="B260" s="13"/>
      <c r="C260" s="9"/>
      <c r="D260" s="9"/>
      <c r="E260" s="13"/>
      <c r="F260" s="13"/>
      <c r="G260" s="13"/>
      <c r="H260" s="13"/>
      <c r="I260" s="13"/>
      <c r="J260" s="13"/>
      <c r="K260" s="13"/>
    </row>
    <row r="261" spans="2:11" ht="16" customHeight="1" x14ac:dyDescent="0.45">
      <c r="B261" s="13"/>
      <c r="C261" s="9"/>
      <c r="D261" s="9"/>
      <c r="E261" s="13"/>
      <c r="F261" s="13"/>
      <c r="G261" s="13"/>
      <c r="H261" s="13"/>
      <c r="I261" s="13"/>
      <c r="J261" s="13"/>
      <c r="K261" s="13"/>
    </row>
    <row r="262" spans="2:11" ht="16" customHeight="1" x14ac:dyDescent="0.45">
      <c r="B262" s="13"/>
      <c r="C262" s="9"/>
      <c r="D262" s="9"/>
      <c r="E262" s="13"/>
      <c r="F262" s="13"/>
      <c r="G262" s="13"/>
      <c r="H262" s="13"/>
      <c r="I262" s="13"/>
      <c r="J262" s="13"/>
      <c r="K262" s="13"/>
    </row>
    <row r="263" spans="2:11" ht="16" customHeight="1" x14ac:dyDescent="0.45">
      <c r="B263" s="13"/>
      <c r="C263" s="9"/>
      <c r="D263" s="9"/>
      <c r="E263" s="13"/>
      <c r="F263" s="13"/>
      <c r="G263" s="13"/>
      <c r="H263" s="13"/>
      <c r="I263" s="13"/>
      <c r="J263" s="13"/>
      <c r="K263" s="13"/>
    </row>
    <row r="264" spans="2:11" ht="16" customHeight="1" x14ac:dyDescent="0.45">
      <c r="B264" s="13"/>
      <c r="C264" s="9"/>
      <c r="D264" s="9"/>
      <c r="E264" s="13"/>
      <c r="F264" s="13"/>
      <c r="G264" s="13"/>
      <c r="H264" s="13"/>
      <c r="I264" s="13"/>
      <c r="J264" s="13"/>
      <c r="K264" s="13"/>
    </row>
    <row r="265" spans="2:11" ht="16" customHeight="1" x14ac:dyDescent="0.45">
      <c r="B265" s="13"/>
      <c r="C265" s="9"/>
      <c r="D265" s="9"/>
      <c r="E265" s="13"/>
      <c r="F265" s="13"/>
      <c r="G265" s="13"/>
      <c r="H265" s="13"/>
      <c r="I265" s="13"/>
      <c r="J265" s="13"/>
      <c r="K265" s="13"/>
    </row>
    <row r="266" spans="2:11" ht="16" customHeight="1" x14ac:dyDescent="0.45">
      <c r="B266" s="13"/>
      <c r="C266" s="9"/>
      <c r="D266" s="9"/>
      <c r="E266" s="13"/>
      <c r="F266" s="13"/>
      <c r="G266" s="13"/>
      <c r="H266" s="13"/>
      <c r="I266" s="13"/>
      <c r="J266" s="13"/>
      <c r="K266" s="13"/>
    </row>
    <row r="267" spans="2:11" ht="16" customHeight="1" x14ac:dyDescent="0.45">
      <c r="B267" s="13"/>
      <c r="C267" s="9"/>
      <c r="D267" s="9"/>
      <c r="E267" s="13"/>
      <c r="F267" s="13"/>
      <c r="G267" s="13"/>
      <c r="H267" s="13"/>
      <c r="I267" s="13"/>
      <c r="J267" s="13"/>
      <c r="K267" s="13"/>
    </row>
    <row r="268" spans="2:11" ht="16" customHeight="1" x14ac:dyDescent="0.45">
      <c r="B268" s="13"/>
      <c r="C268" s="9"/>
      <c r="D268" s="9"/>
      <c r="E268" s="13"/>
      <c r="F268" s="13"/>
      <c r="G268" s="13"/>
      <c r="H268" s="13"/>
      <c r="I268" s="13"/>
      <c r="J268" s="13"/>
      <c r="K268" s="13"/>
    </row>
    <row r="269" spans="2:11" ht="16" customHeight="1" x14ac:dyDescent="0.45">
      <c r="B269" s="13"/>
      <c r="C269" s="9"/>
      <c r="D269" s="9"/>
      <c r="E269" s="13"/>
      <c r="F269" s="13"/>
      <c r="G269" s="13"/>
      <c r="H269" s="13"/>
      <c r="I269" s="13"/>
      <c r="J269" s="13"/>
      <c r="K269" s="13"/>
    </row>
    <row r="270" spans="2:11" ht="16" customHeight="1" x14ac:dyDescent="0.45">
      <c r="B270" s="13"/>
      <c r="C270" s="9"/>
      <c r="D270" s="9"/>
      <c r="E270" s="13"/>
      <c r="F270" s="13"/>
      <c r="G270" s="13"/>
      <c r="H270" s="13"/>
      <c r="I270" s="13"/>
      <c r="J270" s="13"/>
      <c r="K270" s="13"/>
    </row>
    <row r="271" spans="2:11" ht="16" customHeight="1" x14ac:dyDescent="0.45">
      <c r="B271" s="13"/>
      <c r="C271" s="9"/>
      <c r="D271" s="9"/>
      <c r="E271" s="13"/>
      <c r="F271" s="13"/>
      <c r="G271" s="13"/>
      <c r="H271" s="13"/>
      <c r="I271" s="13"/>
      <c r="J271" s="13"/>
      <c r="K271" s="13"/>
    </row>
    <row r="272" spans="2:11" ht="16" customHeight="1" x14ac:dyDescent="0.45">
      <c r="B272" s="13"/>
      <c r="C272" s="9"/>
      <c r="D272" s="9"/>
      <c r="E272" s="13"/>
      <c r="F272" s="13"/>
      <c r="G272" s="13"/>
      <c r="H272" s="13"/>
      <c r="I272" s="13"/>
      <c r="J272" s="13"/>
      <c r="K272" s="13"/>
    </row>
    <row r="273" spans="2:11" ht="16" customHeight="1" x14ac:dyDescent="0.45">
      <c r="B273" s="13"/>
      <c r="C273" s="9"/>
      <c r="D273" s="9"/>
      <c r="E273" s="13"/>
      <c r="F273" s="13"/>
      <c r="G273" s="13"/>
      <c r="H273" s="13"/>
      <c r="I273" s="13"/>
      <c r="J273" s="13"/>
      <c r="K273" s="13"/>
    </row>
    <row r="274" spans="2:11" ht="16" customHeight="1" x14ac:dyDescent="0.45">
      <c r="B274" s="13"/>
      <c r="C274" s="9"/>
      <c r="D274" s="9"/>
      <c r="E274" s="13"/>
      <c r="F274" s="13"/>
      <c r="G274" s="13"/>
      <c r="H274" s="13"/>
      <c r="I274" s="13"/>
      <c r="J274" s="13"/>
      <c r="K274" s="13"/>
    </row>
    <row r="275" spans="2:11" ht="16" customHeight="1" x14ac:dyDescent="0.45">
      <c r="B275" s="13"/>
      <c r="C275" s="9"/>
      <c r="D275" s="9"/>
      <c r="E275" s="13"/>
      <c r="F275" s="13"/>
      <c r="G275" s="13"/>
      <c r="H275" s="13"/>
      <c r="I275" s="13"/>
      <c r="J275" s="13"/>
      <c r="K275" s="13"/>
    </row>
    <row r="276" spans="2:11" ht="16" customHeight="1" x14ac:dyDescent="0.45">
      <c r="B276" s="13"/>
      <c r="C276" s="9"/>
      <c r="D276" s="9"/>
      <c r="E276" s="13"/>
      <c r="F276" s="13"/>
      <c r="G276" s="13"/>
      <c r="H276" s="13"/>
      <c r="I276" s="13"/>
      <c r="J276" s="13"/>
      <c r="K276" s="13"/>
    </row>
    <row r="277" spans="2:11" ht="16" customHeight="1" x14ac:dyDescent="0.45">
      <c r="B277" s="13"/>
      <c r="C277" s="9"/>
      <c r="D277" s="9"/>
      <c r="E277" s="13"/>
      <c r="F277" s="13"/>
      <c r="G277" s="13"/>
      <c r="H277" s="13"/>
      <c r="I277" s="13"/>
      <c r="J277" s="13"/>
      <c r="K277" s="13"/>
    </row>
    <row r="278" spans="2:11" ht="16" customHeight="1" x14ac:dyDescent="0.45">
      <c r="B278" s="13"/>
      <c r="C278" s="9"/>
      <c r="D278" s="9"/>
      <c r="E278" s="13"/>
      <c r="F278" s="13"/>
      <c r="G278" s="13"/>
      <c r="H278" s="13"/>
      <c r="I278" s="13"/>
      <c r="J278" s="13"/>
      <c r="K278" s="13"/>
    </row>
    <row r="279" spans="2:11" ht="16" customHeight="1" x14ac:dyDescent="0.45">
      <c r="B279" s="13"/>
      <c r="C279" s="9"/>
      <c r="D279" s="9"/>
      <c r="E279" s="13"/>
      <c r="F279" s="13"/>
      <c r="G279" s="13"/>
      <c r="H279" s="13"/>
      <c r="I279" s="13"/>
      <c r="J279" s="13"/>
      <c r="K279" s="13"/>
    </row>
    <row r="280" spans="2:11" ht="16" customHeight="1" x14ac:dyDescent="0.45">
      <c r="B280" s="13"/>
      <c r="C280" s="9"/>
      <c r="D280" s="9"/>
      <c r="E280" s="13"/>
      <c r="F280" s="13"/>
      <c r="G280" s="13"/>
      <c r="H280" s="13"/>
      <c r="I280" s="13"/>
      <c r="J280" s="13"/>
      <c r="K280" s="13"/>
    </row>
    <row r="281" spans="2:11" ht="16" customHeight="1" x14ac:dyDescent="0.45">
      <c r="B281" s="13"/>
      <c r="C281" s="9"/>
      <c r="D281" s="9"/>
      <c r="E281" s="13"/>
      <c r="F281" s="13"/>
      <c r="G281" s="13"/>
      <c r="H281" s="13"/>
      <c r="I281" s="13"/>
      <c r="J281" s="13"/>
      <c r="K281" s="13"/>
    </row>
    <row r="282" spans="2:11" ht="16" customHeight="1" x14ac:dyDescent="0.45">
      <c r="B282" s="13"/>
      <c r="C282" s="9"/>
      <c r="D282" s="9"/>
      <c r="E282" s="13"/>
      <c r="F282" s="13"/>
      <c r="G282" s="13"/>
      <c r="H282" s="13"/>
      <c r="I282" s="13"/>
      <c r="J282" s="13"/>
      <c r="K282" s="13"/>
    </row>
    <row r="283" spans="2:11" ht="16" customHeight="1" x14ac:dyDescent="0.45">
      <c r="B283" s="13"/>
      <c r="C283" s="9"/>
      <c r="D283" s="9"/>
      <c r="E283" s="13"/>
      <c r="F283" s="13"/>
      <c r="G283" s="13"/>
      <c r="H283" s="13"/>
      <c r="I283" s="13"/>
      <c r="J283" s="13"/>
      <c r="K283" s="13"/>
    </row>
    <row r="284" spans="2:11" ht="16" customHeight="1" x14ac:dyDescent="0.45">
      <c r="B284" s="13"/>
      <c r="C284" s="9"/>
      <c r="D284" s="9"/>
      <c r="E284" s="13"/>
      <c r="F284" s="13"/>
      <c r="G284" s="13"/>
      <c r="H284" s="13"/>
      <c r="I284" s="13"/>
      <c r="J284" s="13"/>
      <c r="K284" s="13"/>
    </row>
    <row r="285" spans="2:11" ht="16" customHeight="1" x14ac:dyDescent="0.45">
      <c r="B285" s="13"/>
      <c r="C285" s="9"/>
      <c r="D285" s="9"/>
      <c r="E285" s="13"/>
      <c r="F285" s="13"/>
      <c r="G285" s="13"/>
      <c r="H285" s="13"/>
      <c r="I285" s="13"/>
      <c r="J285" s="13"/>
      <c r="K285" s="13"/>
    </row>
    <row r="286" spans="2:11" ht="16" customHeight="1" x14ac:dyDescent="0.45">
      <c r="B286" s="13"/>
      <c r="C286" s="9"/>
      <c r="D286" s="9"/>
      <c r="E286" s="13"/>
      <c r="F286" s="13"/>
      <c r="G286" s="13"/>
      <c r="H286" s="13"/>
      <c r="I286" s="13"/>
      <c r="J286" s="13"/>
      <c r="K286" s="13"/>
    </row>
    <row r="287" spans="2:11" ht="16" customHeight="1" x14ac:dyDescent="0.45">
      <c r="B287" s="13"/>
      <c r="C287" s="9"/>
      <c r="D287" s="9"/>
      <c r="E287" s="13"/>
      <c r="F287" s="13"/>
      <c r="G287" s="13"/>
      <c r="H287" s="13"/>
      <c r="I287" s="13"/>
      <c r="J287" s="13"/>
      <c r="K287" s="13"/>
    </row>
    <row r="288" spans="2:11" ht="16" customHeight="1" x14ac:dyDescent="0.45">
      <c r="B288" s="13"/>
      <c r="C288" s="9"/>
      <c r="D288" s="9"/>
      <c r="E288" s="13"/>
      <c r="F288" s="13"/>
      <c r="G288" s="13"/>
      <c r="H288" s="13"/>
      <c r="I288" s="13"/>
      <c r="J288" s="13"/>
      <c r="K288" s="13"/>
    </row>
    <row r="289" spans="2:11" ht="16" customHeight="1" x14ac:dyDescent="0.45">
      <c r="B289" s="13"/>
      <c r="C289" s="9"/>
      <c r="D289" s="9"/>
      <c r="E289" s="13"/>
      <c r="F289" s="13"/>
      <c r="G289" s="13"/>
      <c r="H289" s="13"/>
      <c r="I289" s="13"/>
      <c r="J289" s="13"/>
      <c r="K289" s="13"/>
    </row>
    <row r="290" spans="2:11" ht="16" customHeight="1" x14ac:dyDescent="0.45">
      <c r="B290" s="13"/>
      <c r="C290" s="9"/>
      <c r="D290" s="9"/>
      <c r="E290" s="13"/>
      <c r="F290" s="13"/>
      <c r="G290" s="13"/>
      <c r="H290" s="13"/>
      <c r="I290" s="13"/>
      <c r="J290" s="13"/>
      <c r="K290" s="13"/>
    </row>
    <row r="291" spans="2:11" ht="16" customHeight="1" x14ac:dyDescent="0.45">
      <c r="B291" s="13"/>
      <c r="C291" s="9"/>
      <c r="D291" s="9"/>
      <c r="E291" s="13"/>
      <c r="F291" s="13"/>
      <c r="G291" s="13"/>
      <c r="H291" s="13"/>
      <c r="I291" s="13"/>
      <c r="J291" s="13"/>
      <c r="K291" s="13"/>
    </row>
    <row r="292" spans="2:11" ht="16" customHeight="1" x14ac:dyDescent="0.45">
      <c r="B292" s="13"/>
      <c r="C292" s="9"/>
      <c r="D292" s="9"/>
      <c r="E292" s="13"/>
      <c r="F292" s="13"/>
      <c r="G292" s="13"/>
      <c r="H292" s="13"/>
      <c r="I292" s="13"/>
      <c r="J292" s="13"/>
      <c r="K292" s="13"/>
    </row>
    <row r="293" spans="2:11" ht="16" customHeight="1" x14ac:dyDescent="0.45">
      <c r="B293" s="13"/>
      <c r="C293" s="9"/>
      <c r="D293" s="9"/>
      <c r="E293" s="13"/>
      <c r="F293" s="13"/>
      <c r="G293" s="13"/>
      <c r="H293" s="13"/>
      <c r="I293" s="13"/>
      <c r="J293" s="13"/>
      <c r="K293" s="13"/>
    </row>
    <row r="294" spans="2:11" ht="16" customHeight="1" x14ac:dyDescent="0.45">
      <c r="B294" s="13"/>
      <c r="C294" s="9"/>
      <c r="D294" s="9"/>
      <c r="E294" s="13"/>
      <c r="F294" s="13"/>
      <c r="G294" s="13"/>
      <c r="H294" s="13"/>
      <c r="I294" s="13"/>
      <c r="J294" s="13"/>
      <c r="K294" s="13"/>
    </row>
    <row r="295" spans="2:11" ht="16" customHeight="1" x14ac:dyDescent="0.45">
      <c r="B295" s="13"/>
      <c r="C295" s="9"/>
      <c r="D295" s="9"/>
      <c r="E295" s="13"/>
      <c r="F295" s="13"/>
      <c r="G295" s="13"/>
      <c r="H295" s="13"/>
      <c r="I295" s="13"/>
      <c r="J295" s="13"/>
      <c r="K295" s="13"/>
    </row>
    <row r="296" spans="2:11" ht="16" customHeight="1" x14ac:dyDescent="0.45">
      <c r="B296" s="13"/>
      <c r="C296" s="9"/>
      <c r="D296" s="9"/>
      <c r="E296" s="13"/>
      <c r="F296" s="13"/>
      <c r="G296" s="13"/>
      <c r="H296" s="13"/>
      <c r="I296" s="13"/>
      <c r="J296" s="13"/>
      <c r="K296" s="13"/>
    </row>
    <row r="297" spans="2:11" ht="16" customHeight="1" x14ac:dyDescent="0.45">
      <c r="B297" s="13"/>
      <c r="C297" s="9"/>
      <c r="D297" s="9"/>
      <c r="E297" s="13"/>
      <c r="F297" s="13"/>
      <c r="G297" s="13"/>
      <c r="H297" s="13"/>
      <c r="I297" s="13"/>
      <c r="J297" s="13"/>
      <c r="K297" s="13"/>
    </row>
    <row r="298" spans="2:11" ht="16" customHeight="1" x14ac:dyDescent="0.45">
      <c r="B298" s="13"/>
      <c r="C298" s="9"/>
      <c r="D298" s="9"/>
      <c r="E298" s="13"/>
      <c r="F298" s="13"/>
      <c r="G298" s="13"/>
      <c r="H298" s="13"/>
      <c r="I298" s="13"/>
      <c r="J298" s="13"/>
      <c r="K298" s="13"/>
    </row>
    <row r="299" spans="2:11" ht="16" customHeight="1" x14ac:dyDescent="0.45">
      <c r="B299" s="13"/>
      <c r="C299" s="9"/>
      <c r="D299" s="9"/>
      <c r="E299" s="13"/>
      <c r="F299" s="13"/>
      <c r="G299" s="13"/>
      <c r="H299" s="13"/>
      <c r="I299" s="13"/>
      <c r="J299" s="13"/>
      <c r="K299" s="13"/>
    </row>
    <row r="300" spans="2:11" ht="16" customHeight="1" x14ac:dyDescent="0.45">
      <c r="B300" s="13"/>
      <c r="C300" s="9"/>
      <c r="D300" s="9"/>
      <c r="E300" s="13"/>
      <c r="F300" s="13"/>
      <c r="G300" s="13"/>
      <c r="H300" s="13"/>
      <c r="I300" s="13"/>
      <c r="J300" s="13"/>
      <c r="K300" s="13"/>
    </row>
    <row r="301" spans="2:11" ht="16" customHeight="1" x14ac:dyDescent="0.45">
      <c r="B301" s="13"/>
      <c r="C301" s="9"/>
      <c r="D301" s="9"/>
      <c r="E301" s="13"/>
      <c r="F301" s="13"/>
      <c r="G301" s="13"/>
      <c r="H301" s="13"/>
      <c r="I301" s="13"/>
      <c r="J301" s="13"/>
      <c r="K301" s="13"/>
    </row>
    <row r="302" spans="2:11" ht="16" customHeight="1" x14ac:dyDescent="0.45">
      <c r="B302" s="13"/>
      <c r="C302" s="9"/>
      <c r="D302" s="9"/>
      <c r="E302" s="13"/>
      <c r="F302" s="13"/>
      <c r="G302" s="13"/>
      <c r="H302" s="13"/>
      <c r="I302" s="13"/>
      <c r="J302" s="13"/>
      <c r="K302" s="13"/>
    </row>
    <row r="303" spans="2:11" ht="16" customHeight="1" x14ac:dyDescent="0.45">
      <c r="B303" s="13"/>
      <c r="C303" s="9"/>
      <c r="D303" s="9"/>
      <c r="E303" s="13"/>
      <c r="F303" s="13"/>
      <c r="G303" s="13"/>
      <c r="H303" s="13"/>
      <c r="I303" s="13"/>
      <c r="J303" s="13"/>
      <c r="K303" s="13"/>
    </row>
    <row r="304" spans="2:11" ht="16" customHeight="1" x14ac:dyDescent="0.45">
      <c r="B304" s="13"/>
      <c r="C304" s="9"/>
      <c r="D304" s="9"/>
      <c r="E304" s="13"/>
      <c r="F304" s="13"/>
      <c r="G304" s="13"/>
      <c r="H304" s="13"/>
      <c r="I304" s="13"/>
      <c r="J304" s="13"/>
      <c r="K304" s="13"/>
    </row>
    <row r="305" spans="2:11" ht="16" customHeight="1" x14ac:dyDescent="0.45">
      <c r="B305" s="13"/>
      <c r="C305" s="9"/>
      <c r="D305" s="9"/>
      <c r="E305" s="13"/>
      <c r="F305" s="13"/>
      <c r="G305" s="13"/>
      <c r="H305" s="13"/>
      <c r="I305" s="13"/>
      <c r="J305" s="13"/>
      <c r="K305" s="13"/>
    </row>
    <row r="306" spans="2:11" ht="16" customHeight="1" x14ac:dyDescent="0.45">
      <c r="B306" s="13"/>
      <c r="C306" s="9"/>
      <c r="D306" s="9"/>
      <c r="E306" s="13"/>
      <c r="F306" s="13"/>
      <c r="G306" s="13"/>
      <c r="H306" s="13"/>
      <c r="I306" s="13"/>
      <c r="J306" s="13"/>
      <c r="K306" s="13"/>
    </row>
    <row r="307" spans="2:11" ht="16" customHeight="1" x14ac:dyDescent="0.45">
      <c r="B307" s="13"/>
      <c r="C307" s="9"/>
      <c r="D307" s="9"/>
      <c r="E307" s="13"/>
      <c r="F307" s="13"/>
      <c r="G307" s="13"/>
      <c r="H307" s="13"/>
      <c r="I307" s="13"/>
      <c r="J307" s="13"/>
      <c r="K307" s="13"/>
    </row>
    <row r="308" spans="2:11" ht="16" customHeight="1" x14ac:dyDescent="0.45">
      <c r="B308" s="13"/>
      <c r="C308" s="9"/>
      <c r="D308" s="9"/>
      <c r="E308" s="13"/>
      <c r="F308" s="13"/>
      <c r="G308" s="13"/>
      <c r="H308" s="13"/>
      <c r="I308" s="13"/>
      <c r="J308" s="13"/>
      <c r="K308" s="13"/>
    </row>
    <row r="309" spans="2:11" ht="16" customHeight="1" x14ac:dyDescent="0.45">
      <c r="B309" s="13"/>
      <c r="C309" s="9"/>
      <c r="D309" s="9"/>
      <c r="E309" s="13"/>
      <c r="F309" s="13"/>
      <c r="G309" s="13"/>
      <c r="H309" s="13"/>
      <c r="I309" s="13"/>
      <c r="J309" s="13"/>
      <c r="K309" s="13"/>
    </row>
    <row r="310" spans="2:11" ht="16" customHeight="1" x14ac:dyDescent="0.45">
      <c r="B310" s="13"/>
      <c r="C310" s="9"/>
      <c r="D310" s="9"/>
      <c r="E310" s="13"/>
      <c r="F310" s="13"/>
      <c r="G310" s="13"/>
      <c r="H310" s="13"/>
      <c r="I310" s="13"/>
      <c r="J310" s="13"/>
      <c r="K310" s="13"/>
    </row>
    <row r="311" spans="2:11" ht="16" customHeight="1" x14ac:dyDescent="0.45">
      <c r="B311" s="13"/>
      <c r="C311" s="9"/>
      <c r="D311" s="9"/>
      <c r="E311" s="13"/>
      <c r="F311" s="13"/>
      <c r="G311" s="13"/>
      <c r="H311" s="13"/>
      <c r="I311" s="13"/>
      <c r="J311" s="13"/>
      <c r="K311" s="13"/>
    </row>
    <row r="312" spans="2:11" ht="16" customHeight="1" x14ac:dyDescent="0.45">
      <c r="B312" s="13"/>
      <c r="C312" s="9"/>
      <c r="D312" s="9"/>
      <c r="E312" s="13"/>
      <c r="F312" s="13"/>
      <c r="G312" s="13"/>
      <c r="H312" s="13"/>
      <c r="I312" s="13"/>
      <c r="J312" s="13"/>
      <c r="K312" s="13"/>
    </row>
    <row r="313" spans="2:11" ht="16" customHeight="1" x14ac:dyDescent="0.45">
      <c r="B313" s="13"/>
      <c r="C313" s="9"/>
      <c r="D313" s="9"/>
      <c r="E313" s="13"/>
      <c r="F313" s="13"/>
      <c r="G313" s="13"/>
      <c r="H313" s="13"/>
      <c r="I313" s="13"/>
      <c r="J313" s="13"/>
      <c r="K313" s="13"/>
    </row>
    <row r="314" spans="2:11" ht="16" customHeight="1" x14ac:dyDescent="0.45">
      <c r="B314" s="13"/>
      <c r="C314" s="9"/>
      <c r="D314" s="9"/>
      <c r="E314" s="13"/>
      <c r="F314" s="13"/>
      <c r="G314" s="13"/>
      <c r="H314" s="13"/>
      <c r="I314" s="13"/>
      <c r="J314" s="13"/>
      <c r="K314" s="13"/>
    </row>
    <row r="315" spans="2:11" ht="16" customHeight="1" x14ac:dyDescent="0.45">
      <c r="B315" s="13"/>
      <c r="C315" s="9"/>
      <c r="D315" s="9"/>
      <c r="E315" s="13"/>
      <c r="F315" s="13"/>
      <c r="G315" s="13"/>
      <c r="H315" s="13"/>
      <c r="I315" s="13"/>
      <c r="J315" s="13"/>
      <c r="K315" s="13"/>
    </row>
    <row r="316" spans="2:11" ht="16" customHeight="1" x14ac:dyDescent="0.45">
      <c r="B316" s="13"/>
      <c r="C316" s="9"/>
      <c r="D316" s="9"/>
      <c r="E316" s="13"/>
      <c r="F316" s="13"/>
      <c r="G316" s="13"/>
      <c r="H316" s="13"/>
      <c r="I316" s="13"/>
      <c r="J316" s="13"/>
      <c r="K316" s="13"/>
    </row>
    <row r="317" spans="2:11" ht="16" customHeight="1" x14ac:dyDescent="0.45">
      <c r="B317" s="13"/>
      <c r="C317" s="9"/>
      <c r="D317" s="9"/>
      <c r="E317" s="13"/>
      <c r="F317" s="13"/>
      <c r="G317" s="13"/>
      <c r="H317" s="13"/>
      <c r="I317" s="13"/>
      <c r="J317" s="13"/>
      <c r="K317" s="13"/>
    </row>
    <row r="318" spans="2:11" ht="16" customHeight="1" x14ac:dyDescent="0.45">
      <c r="B318" s="13"/>
      <c r="C318" s="9"/>
      <c r="D318" s="9"/>
      <c r="E318" s="13"/>
      <c r="F318" s="13"/>
      <c r="G318" s="13"/>
      <c r="H318" s="13"/>
      <c r="I318" s="13"/>
      <c r="J318" s="13"/>
      <c r="K318" s="13"/>
    </row>
    <row r="319" spans="2:11" ht="16" customHeight="1" x14ac:dyDescent="0.45">
      <c r="B319" s="13"/>
      <c r="C319" s="9"/>
      <c r="D319" s="9"/>
      <c r="E319" s="13"/>
      <c r="F319" s="13"/>
      <c r="G319" s="13"/>
      <c r="H319" s="13"/>
      <c r="I319" s="13"/>
      <c r="J319" s="13"/>
      <c r="K319" s="13"/>
    </row>
    <row r="320" spans="2:11" ht="16" customHeight="1" x14ac:dyDescent="0.45">
      <c r="B320" s="13"/>
      <c r="C320" s="9"/>
      <c r="D320" s="9"/>
      <c r="E320" s="13"/>
      <c r="F320" s="13"/>
      <c r="G320" s="13"/>
      <c r="H320" s="13"/>
      <c r="I320" s="13"/>
      <c r="J320" s="13"/>
      <c r="K320" s="13"/>
    </row>
    <row r="321" spans="2:11" ht="16" customHeight="1" x14ac:dyDescent="0.45">
      <c r="B321" s="13"/>
      <c r="C321" s="9"/>
      <c r="D321" s="9"/>
      <c r="E321" s="13"/>
      <c r="F321" s="13"/>
      <c r="G321" s="13"/>
      <c r="H321" s="13"/>
      <c r="I321" s="13"/>
      <c r="J321" s="13"/>
      <c r="K321" s="13"/>
    </row>
    <row r="322" spans="2:11" ht="16" customHeight="1" x14ac:dyDescent="0.45">
      <c r="B322" s="13"/>
      <c r="C322" s="9"/>
      <c r="D322" s="9"/>
      <c r="E322" s="13"/>
      <c r="F322" s="13"/>
      <c r="G322" s="13"/>
      <c r="H322" s="13"/>
      <c r="I322" s="13"/>
      <c r="J322" s="13"/>
      <c r="K322" s="13"/>
    </row>
    <row r="323" spans="2:11" ht="16" customHeight="1" x14ac:dyDescent="0.45">
      <c r="B323" s="13"/>
      <c r="C323" s="9"/>
      <c r="D323" s="9"/>
      <c r="E323" s="13"/>
      <c r="F323" s="13"/>
      <c r="G323" s="13"/>
      <c r="H323" s="13"/>
      <c r="I323" s="13"/>
      <c r="J323" s="13"/>
      <c r="K323" s="13"/>
    </row>
    <row r="324" spans="2:11" ht="16" customHeight="1" x14ac:dyDescent="0.45">
      <c r="B324" s="13"/>
      <c r="C324" s="9"/>
      <c r="D324" s="9"/>
      <c r="E324" s="13"/>
      <c r="F324" s="13"/>
      <c r="G324" s="13"/>
      <c r="H324" s="13"/>
      <c r="I324" s="13"/>
      <c r="J324" s="13"/>
      <c r="K324" s="13"/>
    </row>
    <row r="325" spans="2:11" ht="16" customHeight="1" x14ac:dyDescent="0.45">
      <c r="B325" s="13"/>
      <c r="C325" s="9"/>
      <c r="D325" s="9"/>
      <c r="E325" s="13"/>
      <c r="F325" s="13"/>
      <c r="G325" s="13"/>
      <c r="H325" s="13"/>
      <c r="I325" s="13"/>
      <c r="J325" s="13"/>
      <c r="K325" s="13"/>
    </row>
    <row r="326" spans="2:11" ht="16" customHeight="1" x14ac:dyDescent="0.45">
      <c r="B326" s="13"/>
      <c r="C326" s="9"/>
      <c r="D326" s="9"/>
      <c r="E326" s="13"/>
      <c r="F326" s="13"/>
      <c r="G326" s="13"/>
      <c r="H326" s="13"/>
      <c r="I326" s="13"/>
      <c r="J326" s="13"/>
      <c r="K326" s="13"/>
    </row>
    <row r="327" spans="2:11" ht="16" customHeight="1" x14ac:dyDescent="0.45">
      <c r="B327" s="13"/>
      <c r="C327" s="9"/>
      <c r="D327" s="9"/>
      <c r="E327" s="13"/>
      <c r="F327" s="13"/>
      <c r="G327" s="13"/>
      <c r="H327" s="13"/>
      <c r="I327" s="13"/>
      <c r="J327" s="13"/>
      <c r="K327" s="13"/>
    </row>
    <row r="328" spans="2:11" ht="16" customHeight="1" x14ac:dyDescent="0.45">
      <c r="B328" s="13"/>
      <c r="C328" s="9"/>
      <c r="D328" s="9"/>
      <c r="E328" s="13"/>
      <c r="F328" s="13"/>
      <c r="G328" s="13"/>
      <c r="H328" s="13"/>
      <c r="I328" s="13"/>
      <c r="J328" s="13"/>
      <c r="K328" s="13"/>
    </row>
    <row r="329" spans="2:11" ht="16" customHeight="1" x14ac:dyDescent="0.45">
      <c r="B329" s="13"/>
      <c r="C329" s="9"/>
      <c r="D329" s="9"/>
      <c r="E329" s="13"/>
      <c r="F329" s="13"/>
      <c r="G329" s="13"/>
      <c r="H329" s="13"/>
      <c r="I329" s="13"/>
      <c r="J329" s="13"/>
      <c r="K329" s="13"/>
    </row>
    <row r="330" spans="2:11" ht="16" customHeight="1" x14ac:dyDescent="0.45">
      <c r="B330" s="13"/>
      <c r="C330" s="9"/>
      <c r="D330" s="9"/>
      <c r="E330" s="13"/>
      <c r="F330" s="13"/>
      <c r="G330" s="13"/>
      <c r="H330" s="13"/>
      <c r="I330" s="13"/>
      <c r="J330" s="13"/>
      <c r="K330" s="13"/>
    </row>
    <row r="331" spans="2:11" ht="16" customHeight="1" x14ac:dyDescent="0.45">
      <c r="B331" s="13"/>
      <c r="C331" s="9"/>
      <c r="D331" s="9"/>
      <c r="E331" s="13"/>
      <c r="F331" s="13"/>
      <c r="G331" s="13"/>
      <c r="H331" s="13"/>
      <c r="I331" s="13"/>
      <c r="J331" s="13"/>
      <c r="K331" s="13"/>
    </row>
    <row r="332" spans="2:11" ht="16" customHeight="1" x14ac:dyDescent="0.45">
      <c r="B332" s="13"/>
      <c r="C332" s="9"/>
      <c r="D332" s="9"/>
      <c r="E332" s="13"/>
      <c r="F332" s="13"/>
      <c r="G332" s="13"/>
      <c r="H332" s="13"/>
      <c r="I332" s="13"/>
      <c r="J332" s="13"/>
      <c r="K332" s="13"/>
    </row>
    <row r="333" spans="2:11" ht="16" customHeight="1" x14ac:dyDescent="0.45">
      <c r="B333" s="13"/>
      <c r="C333" s="9"/>
      <c r="D333" s="9"/>
      <c r="E333" s="13"/>
      <c r="F333" s="13"/>
      <c r="G333" s="13"/>
      <c r="H333" s="13"/>
      <c r="I333" s="13"/>
      <c r="J333" s="13"/>
      <c r="K333" s="13"/>
    </row>
    <row r="334" spans="2:11" ht="16" customHeight="1" x14ac:dyDescent="0.45">
      <c r="B334" s="13"/>
      <c r="C334" s="9"/>
      <c r="D334" s="9"/>
      <c r="E334" s="13"/>
      <c r="F334" s="13"/>
      <c r="G334" s="13"/>
      <c r="H334" s="13"/>
      <c r="I334" s="13"/>
      <c r="J334" s="13"/>
      <c r="K334" s="13"/>
    </row>
    <row r="335" spans="2:11" ht="16" customHeight="1" x14ac:dyDescent="0.45">
      <c r="B335" s="13"/>
      <c r="C335" s="9"/>
      <c r="D335" s="9"/>
      <c r="E335" s="13"/>
      <c r="F335" s="13"/>
      <c r="G335" s="13"/>
      <c r="H335" s="13"/>
      <c r="I335" s="13"/>
      <c r="J335" s="13"/>
      <c r="K335" s="13"/>
    </row>
    <row r="336" spans="2:11" ht="16" customHeight="1" x14ac:dyDescent="0.45">
      <c r="B336" s="13"/>
      <c r="C336" s="9"/>
      <c r="D336" s="9"/>
      <c r="E336" s="13"/>
      <c r="F336" s="13"/>
      <c r="G336" s="13"/>
      <c r="H336" s="13"/>
      <c r="I336" s="13"/>
      <c r="J336" s="13"/>
      <c r="K336" s="13"/>
    </row>
    <row r="337" spans="2:11" ht="16" customHeight="1" x14ac:dyDescent="0.45">
      <c r="B337" s="13"/>
      <c r="C337" s="9"/>
      <c r="D337" s="9"/>
      <c r="E337" s="13"/>
      <c r="F337" s="13"/>
      <c r="G337" s="13"/>
      <c r="H337" s="13"/>
      <c r="I337" s="13"/>
      <c r="J337" s="13"/>
      <c r="K337" s="13"/>
    </row>
    <row r="338" spans="2:11" ht="16" customHeight="1" x14ac:dyDescent="0.45">
      <c r="B338" s="13"/>
      <c r="C338" s="9"/>
      <c r="D338" s="9"/>
      <c r="E338" s="13"/>
      <c r="F338" s="13"/>
      <c r="G338" s="13"/>
      <c r="H338" s="13"/>
      <c r="I338" s="13"/>
      <c r="J338" s="13"/>
      <c r="K338" s="13"/>
    </row>
    <row r="339" spans="2:11" ht="16" customHeight="1" x14ac:dyDescent="0.45">
      <c r="B339" s="13"/>
      <c r="C339" s="9"/>
      <c r="D339" s="9"/>
      <c r="E339" s="13"/>
      <c r="F339" s="13"/>
      <c r="G339" s="13"/>
      <c r="H339" s="13"/>
      <c r="I339" s="13"/>
      <c r="J339" s="13"/>
      <c r="K339" s="13"/>
    </row>
    <row r="340" spans="2:11" ht="16" customHeight="1" x14ac:dyDescent="0.45">
      <c r="B340" s="13"/>
      <c r="C340" s="9"/>
      <c r="D340" s="9"/>
      <c r="E340" s="13"/>
      <c r="F340" s="13"/>
      <c r="G340" s="13"/>
      <c r="H340" s="13"/>
      <c r="I340" s="13"/>
      <c r="J340" s="13"/>
      <c r="K340" s="13"/>
    </row>
    <row r="341" spans="2:11" ht="16" customHeight="1" x14ac:dyDescent="0.45">
      <c r="B341" s="13"/>
      <c r="C341" s="9"/>
      <c r="D341" s="9"/>
      <c r="E341" s="13"/>
      <c r="F341" s="13"/>
      <c r="G341" s="13"/>
      <c r="H341" s="13"/>
      <c r="I341" s="13"/>
      <c r="J341" s="13"/>
      <c r="K341" s="13"/>
    </row>
    <row r="342" spans="2:11" ht="16" customHeight="1" x14ac:dyDescent="0.45">
      <c r="B342" s="13"/>
      <c r="C342" s="9"/>
      <c r="D342" s="9"/>
      <c r="E342" s="13"/>
      <c r="F342" s="13"/>
      <c r="G342" s="13"/>
      <c r="H342" s="13"/>
      <c r="I342" s="13"/>
      <c r="J342" s="13"/>
      <c r="K342" s="13"/>
    </row>
    <row r="343" spans="2:11" ht="16" customHeight="1" x14ac:dyDescent="0.45">
      <c r="B343" s="13"/>
      <c r="C343" s="9"/>
      <c r="D343" s="9"/>
      <c r="E343" s="13"/>
      <c r="F343" s="13"/>
      <c r="G343" s="13"/>
      <c r="H343" s="13"/>
      <c r="I343" s="13"/>
      <c r="J343" s="13"/>
      <c r="K343" s="13"/>
    </row>
    <row r="344" spans="2:11" ht="16" customHeight="1" x14ac:dyDescent="0.45">
      <c r="B344" s="13"/>
      <c r="C344" s="9"/>
      <c r="D344" s="9"/>
      <c r="E344" s="13"/>
      <c r="F344" s="13"/>
      <c r="G344" s="13"/>
      <c r="H344" s="13"/>
      <c r="I344" s="13"/>
      <c r="J344" s="13"/>
      <c r="K344" s="13"/>
    </row>
    <row r="345" spans="2:11" ht="16" customHeight="1" x14ac:dyDescent="0.45">
      <c r="B345" s="13"/>
      <c r="C345" s="9"/>
      <c r="D345" s="9"/>
      <c r="E345" s="13"/>
      <c r="F345" s="13"/>
      <c r="G345" s="13"/>
      <c r="H345" s="13"/>
      <c r="I345" s="13"/>
      <c r="J345" s="13"/>
      <c r="K345" s="13"/>
    </row>
    <row r="346" spans="2:11" ht="16" customHeight="1" x14ac:dyDescent="0.45">
      <c r="B346" s="13"/>
      <c r="C346" s="9"/>
      <c r="D346" s="9"/>
      <c r="E346" s="13"/>
      <c r="F346" s="13"/>
      <c r="G346" s="13"/>
      <c r="H346" s="13"/>
      <c r="I346" s="13"/>
      <c r="J346" s="13"/>
      <c r="K346" s="13"/>
    </row>
    <row r="347" spans="2:11" ht="16" customHeight="1" x14ac:dyDescent="0.45">
      <c r="B347" s="13"/>
      <c r="C347" s="9"/>
      <c r="D347" s="9"/>
      <c r="E347" s="13"/>
      <c r="F347" s="13"/>
      <c r="G347" s="13"/>
      <c r="H347" s="13"/>
      <c r="I347" s="13"/>
      <c r="J347" s="13"/>
      <c r="K347" s="13"/>
    </row>
    <row r="348" spans="2:11" ht="16" customHeight="1" x14ac:dyDescent="0.45">
      <c r="B348" s="13"/>
      <c r="C348" s="9"/>
      <c r="D348" s="9"/>
      <c r="E348" s="13"/>
      <c r="F348" s="13"/>
      <c r="G348" s="13"/>
      <c r="H348" s="13"/>
      <c r="I348" s="13"/>
      <c r="J348" s="13"/>
      <c r="K348" s="13"/>
    </row>
    <row r="349" spans="2:11" ht="16" customHeight="1" x14ac:dyDescent="0.45">
      <c r="B349" s="13"/>
      <c r="C349" s="9"/>
      <c r="D349" s="9"/>
      <c r="E349" s="13"/>
      <c r="F349" s="13"/>
      <c r="G349" s="13"/>
      <c r="H349" s="13"/>
      <c r="I349" s="13"/>
      <c r="J349" s="13"/>
      <c r="K349" s="13"/>
    </row>
    <row r="350" spans="2:11" ht="16" customHeight="1" x14ac:dyDescent="0.45">
      <c r="B350" s="13"/>
      <c r="C350" s="9"/>
      <c r="D350" s="9"/>
      <c r="E350" s="13"/>
      <c r="F350" s="13"/>
      <c r="G350" s="13"/>
      <c r="H350" s="13"/>
      <c r="I350" s="13"/>
      <c r="J350" s="13"/>
      <c r="K350" s="13"/>
    </row>
    <row r="351" spans="2:11" ht="16" customHeight="1" x14ac:dyDescent="0.45">
      <c r="B351" s="13"/>
      <c r="C351" s="9"/>
      <c r="D351" s="9"/>
      <c r="E351" s="13"/>
      <c r="F351" s="13"/>
      <c r="G351" s="13"/>
      <c r="H351" s="13"/>
      <c r="I351" s="13"/>
      <c r="J351" s="13"/>
      <c r="K351" s="13"/>
    </row>
    <row r="352" spans="2:11" ht="16" customHeight="1" x14ac:dyDescent="0.45">
      <c r="B352" s="13"/>
      <c r="C352" s="9"/>
      <c r="D352" s="9"/>
      <c r="E352" s="13"/>
      <c r="F352" s="13"/>
      <c r="G352" s="13"/>
      <c r="H352" s="13"/>
      <c r="I352" s="13"/>
      <c r="J352" s="13"/>
      <c r="K352" s="13"/>
    </row>
    <row r="353" spans="2:11" ht="16" customHeight="1" x14ac:dyDescent="0.45">
      <c r="B353" s="13"/>
      <c r="C353" s="9"/>
      <c r="D353" s="9"/>
      <c r="E353" s="13"/>
      <c r="F353" s="13"/>
      <c r="G353" s="13"/>
      <c r="H353" s="13"/>
      <c r="I353" s="13"/>
      <c r="J353" s="13"/>
      <c r="K353" s="13"/>
    </row>
    <row r="354" spans="2:11" ht="16" customHeight="1" x14ac:dyDescent="0.45">
      <c r="B354" s="13"/>
      <c r="C354" s="9"/>
      <c r="D354" s="9"/>
      <c r="E354" s="13"/>
      <c r="F354" s="13"/>
      <c r="G354" s="13"/>
      <c r="H354" s="13"/>
      <c r="I354" s="13"/>
      <c r="J354" s="13"/>
      <c r="K354" s="13"/>
    </row>
    <row r="355" spans="2:11" ht="16" customHeight="1" x14ac:dyDescent="0.45">
      <c r="B355" s="13"/>
      <c r="C355" s="9"/>
      <c r="D355" s="9"/>
      <c r="E355" s="13"/>
      <c r="F355" s="13"/>
      <c r="G355" s="13"/>
      <c r="H355" s="13"/>
      <c r="I355" s="13"/>
      <c r="J355" s="13"/>
      <c r="K355" s="13"/>
    </row>
    <row r="356" spans="2:11" ht="16" customHeight="1" x14ac:dyDescent="0.45">
      <c r="B356" s="13"/>
      <c r="C356" s="9"/>
      <c r="D356" s="9"/>
      <c r="E356" s="13"/>
      <c r="F356" s="13"/>
      <c r="G356" s="13"/>
      <c r="H356" s="13"/>
      <c r="I356" s="13"/>
      <c r="J356" s="13"/>
      <c r="K356" s="13"/>
    </row>
    <row r="357" spans="2:11" ht="16" customHeight="1" x14ac:dyDescent="0.45">
      <c r="B357" s="13"/>
      <c r="C357" s="9"/>
      <c r="D357" s="9"/>
      <c r="E357" s="13"/>
      <c r="F357" s="13"/>
      <c r="G357" s="13"/>
      <c r="H357" s="13"/>
      <c r="I357" s="13"/>
      <c r="J357" s="13"/>
      <c r="K357" s="13"/>
    </row>
    <row r="358" spans="2:11" ht="16" customHeight="1" x14ac:dyDescent="0.45">
      <c r="B358" s="13"/>
      <c r="C358" s="9"/>
      <c r="D358" s="9"/>
      <c r="E358" s="13"/>
      <c r="F358" s="13"/>
      <c r="G358" s="13"/>
      <c r="H358" s="13"/>
      <c r="I358" s="13"/>
      <c r="J358" s="13"/>
      <c r="K358" s="13"/>
    </row>
    <row r="359" spans="2:11" ht="16" customHeight="1" x14ac:dyDescent="0.45">
      <c r="B359" s="13"/>
      <c r="C359" s="9"/>
      <c r="D359" s="9"/>
      <c r="E359" s="13"/>
      <c r="F359" s="13"/>
      <c r="G359" s="13"/>
      <c r="H359" s="13"/>
      <c r="I359" s="13"/>
      <c r="J359" s="13"/>
      <c r="K359" s="13"/>
    </row>
    <row r="360" spans="2:11" ht="16" customHeight="1" x14ac:dyDescent="0.45">
      <c r="B360" s="13"/>
      <c r="C360" s="9"/>
      <c r="D360" s="9"/>
      <c r="E360" s="13"/>
      <c r="F360" s="13"/>
      <c r="G360" s="13"/>
      <c r="H360" s="13"/>
      <c r="I360" s="13"/>
      <c r="J360" s="13"/>
      <c r="K360" s="13"/>
    </row>
    <row r="361" spans="2:11" ht="16" customHeight="1" x14ac:dyDescent="0.45">
      <c r="B361" s="13"/>
      <c r="C361" s="9"/>
      <c r="D361" s="9"/>
      <c r="E361" s="13"/>
      <c r="F361" s="13"/>
      <c r="G361" s="13"/>
      <c r="H361" s="13"/>
      <c r="I361" s="13"/>
      <c r="J361" s="13"/>
      <c r="K361" s="13"/>
    </row>
    <row r="362" spans="2:11" ht="16" customHeight="1" x14ac:dyDescent="0.45">
      <c r="B362" s="13"/>
      <c r="C362" s="9"/>
      <c r="D362" s="9"/>
      <c r="E362" s="13"/>
      <c r="F362" s="13"/>
      <c r="G362" s="13"/>
      <c r="H362" s="13"/>
      <c r="I362" s="13"/>
      <c r="J362" s="13"/>
      <c r="K362" s="13"/>
    </row>
    <row r="363" spans="2:11" ht="16" customHeight="1" x14ac:dyDescent="0.45">
      <c r="B363" s="13"/>
      <c r="C363" s="9"/>
      <c r="D363" s="9"/>
      <c r="E363" s="13"/>
      <c r="F363" s="13"/>
      <c r="G363" s="13"/>
      <c r="H363" s="13"/>
      <c r="I363" s="13"/>
      <c r="J363" s="13"/>
      <c r="K363" s="13"/>
    </row>
    <row r="364" spans="2:11" ht="16" customHeight="1" x14ac:dyDescent="0.45">
      <c r="B364" s="13"/>
      <c r="C364" s="9"/>
      <c r="D364" s="9"/>
      <c r="E364" s="13"/>
      <c r="F364" s="13"/>
      <c r="G364" s="13"/>
      <c r="H364" s="13"/>
      <c r="I364" s="13"/>
      <c r="J364" s="13"/>
      <c r="K364" s="13"/>
    </row>
    <row r="365" spans="2:11" ht="16" customHeight="1" x14ac:dyDescent="0.45">
      <c r="B365" s="13"/>
      <c r="C365" s="9"/>
      <c r="D365" s="9"/>
      <c r="E365" s="13"/>
      <c r="F365" s="13"/>
      <c r="G365" s="13"/>
      <c r="H365" s="13"/>
      <c r="I365" s="13"/>
      <c r="J365" s="13"/>
      <c r="K365" s="13"/>
    </row>
    <row r="366" spans="2:11" ht="16" customHeight="1" x14ac:dyDescent="0.45">
      <c r="B366" s="13"/>
      <c r="C366" s="9"/>
      <c r="D366" s="9"/>
      <c r="E366" s="13"/>
      <c r="F366" s="13"/>
      <c r="G366" s="13"/>
      <c r="H366" s="13"/>
      <c r="I366" s="13"/>
      <c r="J366" s="13"/>
      <c r="K366" s="13"/>
    </row>
    <row r="367" spans="2:11" ht="16" customHeight="1" x14ac:dyDescent="0.45">
      <c r="B367" s="13"/>
      <c r="C367" s="9"/>
      <c r="D367" s="9"/>
      <c r="E367" s="13"/>
      <c r="F367" s="13"/>
      <c r="G367" s="13"/>
      <c r="H367" s="13"/>
      <c r="I367" s="13"/>
      <c r="J367" s="13"/>
      <c r="K367" s="13"/>
    </row>
    <row r="368" spans="2:11" ht="16" customHeight="1" x14ac:dyDescent="0.45">
      <c r="B368" s="13"/>
      <c r="C368" s="9"/>
      <c r="D368" s="9"/>
      <c r="E368" s="13"/>
      <c r="F368" s="13"/>
      <c r="G368" s="13"/>
      <c r="H368" s="13"/>
      <c r="I368" s="13"/>
      <c r="J368" s="13"/>
      <c r="K368" s="13"/>
    </row>
    <row r="369" spans="2:11" ht="16" customHeight="1" x14ac:dyDescent="0.45">
      <c r="B369" s="13"/>
      <c r="C369" s="9"/>
      <c r="D369" s="9"/>
      <c r="E369" s="13"/>
      <c r="F369" s="13"/>
      <c r="G369" s="13"/>
      <c r="H369" s="13"/>
      <c r="I369" s="13"/>
      <c r="J369" s="13"/>
      <c r="K369" s="13"/>
    </row>
    <row r="370" spans="2:11" ht="16" customHeight="1" x14ac:dyDescent="0.45">
      <c r="B370" s="13"/>
      <c r="C370" s="9"/>
      <c r="D370" s="9"/>
      <c r="E370" s="13"/>
      <c r="F370" s="13"/>
      <c r="G370" s="13"/>
      <c r="H370" s="13"/>
      <c r="I370" s="13"/>
      <c r="J370" s="13"/>
      <c r="K370" s="13"/>
    </row>
    <row r="371" spans="2:11" ht="16" customHeight="1" x14ac:dyDescent="0.45">
      <c r="B371" s="13"/>
      <c r="C371" s="9"/>
      <c r="D371" s="9"/>
      <c r="E371" s="13"/>
      <c r="F371" s="13"/>
      <c r="G371" s="13"/>
      <c r="H371" s="13"/>
      <c r="I371" s="13"/>
      <c r="J371" s="13"/>
      <c r="K371" s="13"/>
    </row>
    <row r="372" spans="2:11" ht="16" customHeight="1" x14ac:dyDescent="0.45">
      <c r="B372" s="13"/>
      <c r="C372" s="9"/>
      <c r="D372" s="9"/>
      <c r="E372" s="13"/>
      <c r="F372" s="13"/>
      <c r="G372" s="13"/>
      <c r="H372" s="13"/>
      <c r="I372" s="13"/>
      <c r="J372" s="13"/>
      <c r="K372" s="13"/>
    </row>
    <row r="373" spans="2:11" ht="16" customHeight="1" x14ac:dyDescent="0.45">
      <c r="B373" s="13"/>
      <c r="C373" s="9"/>
      <c r="D373" s="9"/>
      <c r="E373" s="13"/>
      <c r="F373" s="13"/>
      <c r="G373" s="13"/>
      <c r="H373" s="13"/>
      <c r="I373" s="13"/>
      <c r="J373" s="13"/>
      <c r="K373" s="13"/>
    </row>
    <row r="374" spans="2:11" ht="16" customHeight="1" x14ac:dyDescent="0.45">
      <c r="B374" s="13"/>
      <c r="C374" s="9"/>
      <c r="D374" s="9"/>
      <c r="E374" s="13"/>
      <c r="F374" s="13"/>
      <c r="G374" s="13"/>
      <c r="H374" s="13"/>
      <c r="I374" s="13"/>
      <c r="J374" s="13"/>
      <c r="K374" s="13"/>
    </row>
    <row r="375" spans="2:11" ht="16" customHeight="1" x14ac:dyDescent="0.45">
      <c r="B375" s="13"/>
      <c r="C375" s="9"/>
      <c r="D375" s="9"/>
      <c r="E375" s="13"/>
      <c r="F375" s="13"/>
      <c r="G375" s="13"/>
      <c r="H375" s="13"/>
      <c r="I375" s="13"/>
      <c r="J375" s="13"/>
      <c r="K375" s="13"/>
    </row>
    <row r="376" spans="2:11" ht="16" customHeight="1" x14ac:dyDescent="0.45">
      <c r="B376" s="13"/>
      <c r="C376" s="9"/>
      <c r="D376" s="9"/>
      <c r="E376" s="13"/>
      <c r="F376" s="13"/>
      <c r="G376" s="13"/>
      <c r="H376" s="13"/>
      <c r="I376" s="13"/>
      <c r="J376" s="13"/>
      <c r="K376" s="13"/>
    </row>
    <row r="377" spans="2:11" ht="16" customHeight="1" x14ac:dyDescent="0.45">
      <c r="B377" s="13"/>
      <c r="C377" s="9"/>
      <c r="D377" s="9"/>
      <c r="E377" s="13"/>
      <c r="F377" s="13"/>
      <c r="G377" s="13"/>
      <c r="H377" s="13"/>
      <c r="I377" s="13"/>
      <c r="J377" s="13"/>
      <c r="K377" s="13"/>
    </row>
    <row r="378" spans="2:11" ht="16" customHeight="1" x14ac:dyDescent="0.45">
      <c r="B378" s="13"/>
      <c r="C378" s="9"/>
      <c r="D378" s="9"/>
      <c r="E378" s="13"/>
      <c r="F378" s="13"/>
      <c r="G378" s="13"/>
      <c r="H378" s="13"/>
      <c r="I378" s="13"/>
      <c r="J378" s="13"/>
      <c r="K378" s="13"/>
    </row>
  </sheetData>
  <mergeCells count="2">
    <mergeCell ref="B4:E4"/>
    <mergeCell ref="B6:C6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1218B-4F75-4A45-A46F-6E440E4951CD}">
  <dimension ref="A3:U378"/>
  <sheetViews>
    <sheetView showGridLines="0" zoomScale="90" zoomScaleNormal="90" workbookViewId="0">
      <pane xSplit="6" ySplit="8" topLeftCell="G9" activePane="bottomRight" state="frozen"/>
      <selection pane="topRight" activeCell="G1" sqref="G1"/>
      <selection pane="bottomLeft" activeCell="A7" sqref="A7"/>
      <selection pane="bottomRight" activeCell="C35" sqref="C35"/>
    </sheetView>
  </sheetViews>
  <sheetFormatPr defaultColWidth="9.1796875" defaultRowHeight="16" customHeight="1" x14ac:dyDescent="0.35"/>
  <cols>
    <col min="1" max="1" width="5.7265625" style="1" customWidth="1"/>
    <col min="2" max="2" width="10.7265625" style="1" customWidth="1"/>
    <col min="3" max="3" width="60.7265625" style="1" customWidth="1"/>
    <col min="4" max="4" width="2.7265625" style="1" customWidth="1"/>
    <col min="5" max="5" width="14.7265625" style="1" customWidth="1"/>
    <col min="6" max="6" width="2.7265625" style="1" customWidth="1"/>
    <col min="7" max="80" width="14.7265625" style="1" customWidth="1"/>
    <col min="81" max="130" width="15.7265625" style="1" customWidth="1"/>
    <col min="131" max="16384" width="9.1796875" style="1"/>
  </cols>
  <sheetData>
    <row r="3" spans="1:21" ht="16" customHeight="1" x14ac:dyDescent="0.35">
      <c r="B3" s="2" t="s">
        <v>1041</v>
      </c>
    </row>
    <row r="4" spans="1:21" ht="16" customHeight="1" x14ac:dyDescent="0.35">
      <c r="B4" s="4" t="s">
        <v>270</v>
      </c>
      <c r="E4" s="3"/>
    </row>
    <row r="5" spans="1:21" ht="16" customHeight="1" x14ac:dyDescent="0.35">
      <c r="B5" s="4" t="s">
        <v>1016</v>
      </c>
    </row>
    <row r="6" spans="1:21" ht="16" customHeight="1" x14ac:dyDescent="0.35">
      <c r="A6" s="20"/>
      <c r="B6" s="56">
        <v>46189.339858865744</v>
      </c>
      <c r="C6" s="56"/>
    </row>
    <row r="8" spans="1:21" ht="16.5" thickBot="1" x14ac:dyDescent="0.5">
      <c r="B8" s="7"/>
      <c r="C8" s="28"/>
      <c r="D8" s="59"/>
      <c r="E8" s="21" t="s">
        <v>1017</v>
      </c>
      <c r="F8" s="59"/>
      <c r="G8" s="8" t="s">
        <v>1018</v>
      </c>
      <c r="H8" s="8" t="s">
        <v>1019</v>
      </c>
      <c r="I8" s="8" t="s">
        <v>1020</v>
      </c>
      <c r="J8" s="8" t="s">
        <v>1033</v>
      </c>
      <c r="K8" s="8" t="s">
        <v>1042</v>
      </c>
      <c r="L8" s="9"/>
      <c r="M8" s="9"/>
      <c r="N8" s="9"/>
      <c r="O8" s="9"/>
      <c r="P8" s="9"/>
      <c r="Q8" s="9"/>
      <c r="R8" s="13"/>
      <c r="S8" s="9"/>
      <c r="T8" s="13"/>
      <c r="U8" s="13"/>
    </row>
    <row r="9" spans="1:21" ht="15" customHeight="1" x14ac:dyDescent="0.45">
      <c r="B9" s="11"/>
      <c r="C9" s="11"/>
      <c r="D9" s="29"/>
      <c r="E9" s="60"/>
      <c r="F9" s="29"/>
      <c r="G9" s="12"/>
      <c r="H9" s="12"/>
      <c r="I9" s="12"/>
      <c r="J9" s="12"/>
      <c r="K9" s="12"/>
      <c r="L9" s="13"/>
      <c r="M9" s="13"/>
      <c r="N9" s="13"/>
      <c r="O9" s="13"/>
      <c r="P9" s="13"/>
      <c r="Q9" s="13"/>
      <c r="R9" s="13"/>
      <c r="S9" s="13"/>
      <c r="T9" s="13"/>
      <c r="U9" s="13"/>
    </row>
    <row r="10" spans="1:21" ht="16" customHeight="1" x14ac:dyDescent="0.45">
      <c r="B10" s="34"/>
      <c r="C10" s="34" t="s">
        <v>754</v>
      </c>
      <c r="D10" s="69"/>
      <c r="E10" s="70"/>
      <c r="F10" s="69"/>
      <c r="G10" s="35"/>
      <c r="H10" s="35"/>
      <c r="I10" s="35"/>
      <c r="J10" s="35"/>
      <c r="K10" s="35"/>
      <c r="L10" s="13"/>
      <c r="M10" s="13"/>
      <c r="N10" s="13"/>
      <c r="O10" s="13"/>
      <c r="P10" s="13"/>
      <c r="Q10" s="13"/>
      <c r="R10" s="13"/>
      <c r="S10" s="13"/>
      <c r="T10" s="13"/>
      <c r="U10" s="13"/>
    </row>
    <row r="11" spans="1:21" ht="16" customHeight="1" x14ac:dyDescent="0.45">
      <c r="B11" s="11"/>
      <c r="C11" s="11" t="s">
        <v>22</v>
      </c>
      <c r="D11" s="29"/>
      <c r="E11" s="60"/>
      <c r="F11" s="29"/>
      <c r="G11" s="12"/>
      <c r="H11" s="12"/>
      <c r="I11" s="12"/>
      <c r="J11" s="12"/>
      <c r="K11" s="12"/>
      <c r="L11" s="13"/>
      <c r="M11" s="13"/>
      <c r="N11" s="13"/>
      <c r="O11" s="13"/>
      <c r="P11" s="13"/>
      <c r="Q11" s="13"/>
      <c r="R11" s="13"/>
      <c r="S11" s="13"/>
    </row>
    <row r="12" spans="1:21" ht="16" customHeight="1" x14ac:dyDescent="0.45">
      <c r="B12" s="14" t="s">
        <v>755</v>
      </c>
      <c r="C12" s="14" t="s">
        <v>138</v>
      </c>
      <c r="D12" s="61"/>
      <c r="E12" s="62">
        <v>97227.604170000006</v>
      </c>
      <c r="F12" s="61"/>
      <c r="G12" s="15">
        <v>92556.802949999998</v>
      </c>
      <c r="H12" s="15">
        <v>4440.84699</v>
      </c>
      <c r="I12" s="15">
        <v>229.9426</v>
      </c>
      <c r="J12" s="15">
        <v>1.163E-2</v>
      </c>
      <c r="K12" s="15">
        <v>0</v>
      </c>
      <c r="L12" s="13"/>
      <c r="M12" s="13"/>
      <c r="N12" s="13"/>
      <c r="O12" s="13"/>
      <c r="P12" s="13"/>
      <c r="Q12" s="13"/>
      <c r="R12" s="13"/>
      <c r="S12" s="13"/>
    </row>
    <row r="13" spans="1:21" ht="16" customHeight="1" x14ac:dyDescent="0.45">
      <c r="B13" s="11"/>
      <c r="C13" s="11" t="s">
        <v>22</v>
      </c>
      <c r="D13" s="29"/>
      <c r="E13" s="60"/>
      <c r="F13" s="29"/>
      <c r="G13" s="12"/>
      <c r="H13" s="12"/>
      <c r="I13" s="12"/>
      <c r="J13" s="12"/>
      <c r="K13" s="12"/>
      <c r="L13" s="13"/>
      <c r="M13" s="13"/>
      <c r="N13" s="13"/>
      <c r="O13" s="13"/>
      <c r="P13" s="13"/>
      <c r="Q13" s="13"/>
      <c r="R13" s="13"/>
      <c r="S13" s="13"/>
    </row>
    <row r="14" spans="1:21" ht="16" customHeight="1" x14ac:dyDescent="0.45">
      <c r="B14" s="14" t="s">
        <v>756</v>
      </c>
      <c r="C14" s="14" t="s">
        <v>757</v>
      </c>
      <c r="D14" s="61"/>
      <c r="E14" s="62">
        <v>30127.991580000002</v>
      </c>
      <c r="F14" s="61"/>
      <c r="G14" s="15">
        <v>29294.746289999999</v>
      </c>
      <c r="H14" s="15">
        <v>833.24528999999995</v>
      </c>
      <c r="I14" s="15"/>
      <c r="J14" s="15"/>
      <c r="K14" s="15"/>
      <c r="L14" s="13"/>
      <c r="M14" s="13"/>
      <c r="N14" s="13"/>
      <c r="O14" s="13"/>
      <c r="P14" s="13"/>
      <c r="Q14" s="13"/>
      <c r="R14" s="13"/>
      <c r="S14" s="13"/>
    </row>
    <row r="15" spans="1:21" ht="16" customHeight="1" x14ac:dyDescent="0.45">
      <c r="B15" s="11"/>
      <c r="C15" s="11" t="s">
        <v>22</v>
      </c>
      <c r="D15" s="29"/>
      <c r="E15" s="60"/>
      <c r="F15" s="29"/>
      <c r="G15" s="12"/>
      <c r="H15" s="12"/>
      <c r="I15" s="12"/>
      <c r="J15" s="12"/>
      <c r="K15" s="12"/>
      <c r="L15" s="13"/>
      <c r="M15" s="13"/>
      <c r="N15" s="13"/>
      <c r="O15" s="13"/>
      <c r="P15" s="13"/>
      <c r="Q15" s="13"/>
      <c r="R15" s="13"/>
      <c r="S15" s="13"/>
    </row>
    <row r="16" spans="1:21" ht="16" customHeight="1" x14ac:dyDescent="0.45">
      <c r="B16" s="34" t="s">
        <v>758</v>
      </c>
      <c r="C16" s="34" t="s">
        <v>126</v>
      </c>
      <c r="D16" s="69"/>
      <c r="E16" s="70">
        <f>E12+E14</f>
        <v>127355.59575000001</v>
      </c>
      <c r="F16" s="69"/>
      <c r="G16" s="35">
        <f>G12+G14</f>
        <v>121851.54923999999</v>
      </c>
      <c r="H16" s="35">
        <f>H12+H14</f>
        <v>5274.0922799999998</v>
      </c>
      <c r="I16" s="35">
        <f>I12+I14</f>
        <v>229.9426</v>
      </c>
      <c r="J16" s="35">
        <f>J12+J14</f>
        <v>1.163E-2</v>
      </c>
      <c r="K16" s="35">
        <f>K12+K14</f>
        <v>0</v>
      </c>
      <c r="L16" s="13"/>
      <c r="M16" s="13"/>
      <c r="N16" s="13"/>
      <c r="O16" s="13"/>
      <c r="P16" s="13"/>
      <c r="Q16" s="13"/>
      <c r="R16" s="13"/>
      <c r="S16" s="13"/>
    </row>
    <row r="17" spans="2:19" ht="16" customHeight="1" x14ac:dyDescent="0.45">
      <c r="B17" s="11"/>
      <c r="C17" s="11" t="s">
        <v>22</v>
      </c>
      <c r="D17" s="29"/>
      <c r="E17" s="60"/>
      <c r="F17" s="29"/>
      <c r="G17" s="12"/>
      <c r="H17" s="12"/>
      <c r="I17" s="12"/>
      <c r="J17" s="12"/>
      <c r="K17" s="12"/>
      <c r="L17" s="13"/>
      <c r="M17" s="13"/>
      <c r="N17" s="13"/>
      <c r="O17" s="13"/>
      <c r="P17" s="13"/>
      <c r="Q17" s="13"/>
      <c r="R17" s="13"/>
      <c r="S17" s="13"/>
    </row>
    <row r="18" spans="2:19" ht="16" customHeight="1" x14ac:dyDescent="0.45">
      <c r="B18" s="14" t="s">
        <v>759</v>
      </c>
      <c r="C18" s="14" t="s">
        <v>760</v>
      </c>
      <c r="D18" s="61"/>
      <c r="E18" s="62">
        <v>1499.8803399999999</v>
      </c>
      <c r="F18" s="61"/>
      <c r="G18" s="15">
        <v>1479.5521699999999</v>
      </c>
      <c r="H18" s="15">
        <v>20.32817</v>
      </c>
      <c r="I18" s="15"/>
      <c r="J18" s="15"/>
      <c r="K18" s="15"/>
      <c r="L18" s="13"/>
      <c r="M18" s="13"/>
      <c r="N18" s="13"/>
      <c r="O18" s="13"/>
      <c r="P18" s="13"/>
      <c r="Q18" s="13"/>
      <c r="R18" s="13"/>
      <c r="S18" s="13"/>
    </row>
    <row r="19" spans="2:19" ht="16" customHeight="1" x14ac:dyDescent="0.45">
      <c r="B19" s="14"/>
      <c r="C19" s="14" t="s">
        <v>762</v>
      </c>
      <c r="D19" s="61"/>
      <c r="E19" s="62">
        <v>2489.42121</v>
      </c>
      <c r="F19" s="61"/>
      <c r="G19" s="15">
        <v>2103.47498</v>
      </c>
      <c r="H19" s="15">
        <v>226.09019000000001</v>
      </c>
      <c r="I19" s="15">
        <v>9.0164899999999992</v>
      </c>
      <c r="J19" s="15">
        <v>10.66717</v>
      </c>
      <c r="K19" s="15">
        <v>140.17238</v>
      </c>
      <c r="L19" s="13"/>
      <c r="M19" s="13"/>
      <c r="N19" s="13"/>
      <c r="O19" s="13"/>
      <c r="P19" s="13"/>
      <c r="Q19" s="13"/>
      <c r="R19" s="13"/>
      <c r="S19" s="13"/>
    </row>
    <row r="20" spans="2:19" ht="16" customHeight="1" x14ac:dyDescent="0.45">
      <c r="B20" s="11"/>
      <c r="C20" s="11" t="s">
        <v>22</v>
      </c>
      <c r="D20" s="29"/>
      <c r="E20" s="60"/>
      <c r="F20" s="29"/>
      <c r="G20" s="12"/>
      <c r="H20" s="12"/>
      <c r="I20" s="12"/>
      <c r="J20" s="12"/>
      <c r="K20" s="12"/>
      <c r="L20" s="13"/>
      <c r="M20" s="13"/>
      <c r="N20" s="13"/>
      <c r="O20" s="13"/>
      <c r="P20" s="13"/>
      <c r="Q20" s="13"/>
      <c r="R20" s="13"/>
      <c r="S20" s="13"/>
    </row>
    <row r="21" spans="2:19" ht="16" customHeight="1" x14ac:dyDescent="0.45">
      <c r="B21" s="34"/>
      <c r="C21" s="34" t="s">
        <v>763</v>
      </c>
      <c r="D21" s="69"/>
      <c r="E21" s="70">
        <f>E22+E23</f>
        <v>0</v>
      </c>
      <c r="F21" s="69"/>
      <c r="G21" s="35">
        <f>G22+G23</f>
        <v>0</v>
      </c>
      <c r="H21" s="35">
        <f>H22+H23</f>
        <v>0</v>
      </c>
      <c r="I21" s="35">
        <f>I22+I23</f>
        <v>0</v>
      </c>
      <c r="J21" s="35">
        <f>J22+J23</f>
        <v>0</v>
      </c>
      <c r="K21" s="35">
        <f>K22+K23</f>
        <v>0</v>
      </c>
      <c r="L21" s="13"/>
      <c r="M21" s="13"/>
      <c r="N21" s="13"/>
      <c r="O21" s="13"/>
      <c r="P21" s="13"/>
      <c r="Q21" s="13"/>
      <c r="R21" s="13"/>
      <c r="S21" s="13"/>
    </row>
    <row r="22" spans="2:19" ht="16" customHeight="1" x14ac:dyDescent="0.45">
      <c r="B22" s="14" t="s">
        <v>764</v>
      </c>
      <c r="C22" s="14" t="s">
        <v>112</v>
      </c>
      <c r="D22" s="61"/>
      <c r="E22" s="62"/>
      <c r="F22" s="61"/>
      <c r="G22" s="15"/>
      <c r="H22" s="15"/>
      <c r="I22" s="15"/>
      <c r="J22" s="15"/>
      <c r="K22" s="15"/>
      <c r="L22" s="13"/>
      <c r="M22" s="13"/>
      <c r="N22" s="13"/>
      <c r="O22" s="13"/>
      <c r="P22" s="13"/>
      <c r="Q22" s="13"/>
      <c r="R22" s="13"/>
      <c r="S22" s="13"/>
    </row>
    <row r="23" spans="2:19" ht="16" customHeight="1" x14ac:dyDescent="0.45">
      <c r="B23" s="14" t="s">
        <v>765</v>
      </c>
      <c r="C23" s="14" t="s">
        <v>110</v>
      </c>
      <c r="D23" s="61"/>
      <c r="E23" s="62"/>
      <c r="F23" s="61"/>
      <c r="G23" s="15"/>
      <c r="H23" s="15"/>
      <c r="I23" s="15"/>
      <c r="J23" s="15"/>
      <c r="K23" s="15"/>
      <c r="L23" s="13"/>
      <c r="M23" s="13"/>
      <c r="N23" s="13"/>
      <c r="O23" s="13"/>
      <c r="P23" s="13"/>
      <c r="Q23" s="13"/>
      <c r="R23" s="13"/>
      <c r="S23" s="13"/>
    </row>
    <row r="24" spans="2:19" ht="16" customHeight="1" x14ac:dyDescent="0.45">
      <c r="B24" s="11"/>
      <c r="C24" s="11" t="s">
        <v>22</v>
      </c>
      <c r="D24" s="29"/>
      <c r="E24" s="60"/>
      <c r="F24" s="29"/>
      <c r="G24" s="12"/>
      <c r="H24" s="12"/>
      <c r="I24" s="12"/>
      <c r="J24" s="12"/>
      <c r="K24" s="12"/>
      <c r="L24" s="13"/>
      <c r="M24" s="13"/>
      <c r="N24" s="13"/>
      <c r="O24" s="13"/>
      <c r="P24" s="13"/>
      <c r="Q24" s="13"/>
      <c r="R24" s="13"/>
      <c r="S24" s="13"/>
    </row>
    <row r="25" spans="2:19" ht="16" customHeight="1" x14ac:dyDescent="0.45">
      <c r="B25" s="34"/>
      <c r="C25" s="34" t="s">
        <v>766</v>
      </c>
      <c r="D25" s="69"/>
      <c r="E25" s="70">
        <f>E26+E27</f>
        <v>1188.5669</v>
      </c>
      <c r="F25" s="69"/>
      <c r="G25" s="35">
        <f>G26+G27</f>
        <v>983.28076999999996</v>
      </c>
      <c r="H25" s="35">
        <f>H26+H27</f>
        <v>85.502679999999998</v>
      </c>
      <c r="I25" s="35">
        <f>I26+I27</f>
        <v>0</v>
      </c>
      <c r="J25" s="35">
        <f>J26+J27</f>
        <v>119.78345</v>
      </c>
      <c r="K25" s="35">
        <f>K26+K27</f>
        <v>0</v>
      </c>
      <c r="L25" s="13"/>
      <c r="M25" s="13"/>
      <c r="N25" s="13"/>
      <c r="O25" s="13"/>
      <c r="P25" s="13"/>
      <c r="Q25" s="13"/>
      <c r="R25" s="13"/>
      <c r="S25" s="13"/>
    </row>
    <row r="26" spans="2:19" ht="16" customHeight="1" x14ac:dyDescent="0.45">
      <c r="B26" s="14" t="s">
        <v>767</v>
      </c>
      <c r="C26" s="14" t="s">
        <v>768</v>
      </c>
      <c r="D26" s="61"/>
      <c r="E26" s="62"/>
      <c r="F26" s="61"/>
      <c r="G26" s="15"/>
      <c r="H26" s="15"/>
      <c r="I26" s="15"/>
      <c r="J26" s="15"/>
      <c r="K26" s="15"/>
      <c r="L26" s="13"/>
      <c r="M26" s="13"/>
      <c r="N26" s="13"/>
      <c r="O26" s="13"/>
      <c r="P26" s="13"/>
      <c r="Q26" s="13"/>
      <c r="R26" s="13"/>
      <c r="S26" s="13"/>
    </row>
    <row r="27" spans="2:19" ht="16" customHeight="1" x14ac:dyDescent="0.45">
      <c r="B27" s="14" t="s">
        <v>769</v>
      </c>
      <c r="C27" s="14" t="s">
        <v>770</v>
      </c>
      <c r="D27" s="61"/>
      <c r="E27" s="62">
        <v>1188.5669</v>
      </c>
      <c r="F27" s="61"/>
      <c r="G27" s="15">
        <v>983.28076999999996</v>
      </c>
      <c r="H27" s="15">
        <v>85.502679999999998</v>
      </c>
      <c r="I27" s="15"/>
      <c r="J27" s="15">
        <v>119.78345</v>
      </c>
      <c r="K27" s="15"/>
      <c r="L27" s="13"/>
      <c r="M27" s="13"/>
      <c r="N27" s="13"/>
      <c r="O27" s="13"/>
      <c r="P27" s="13"/>
      <c r="Q27" s="13"/>
      <c r="R27" s="13"/>
      <c r="S27" s="13"/>
    </row>
    <row r="28" spans="2:19" ht="16" customHeight="1" x14ac:dyDescent="0.45">
      <c r="B28" s="11"/>
      <c r="C28" s="11" t="s">
        <v>22</v>
      </c>
      <c r="D28" s="29"/>
      <c r="E28" s="60"/>
      <c r="F28" s="29"/>
      <c r="G28" s="12"/>
      <c r="H28" s="12"/>
      <c r="I28" s="12"/>
      <c r="J28" s="12"/>
      <c r="K28" s="12"/>
      <c r="L28" s="13"/>
      <c r="M28" s="13"/>
      <c r="N28" s="13"/>
      <c r="O28" s="13"/>
      <c r="P28" s="13"/>
      <c r="Q28" s="13"/>
      <c r="R28" s="13"/>
      <c r="S28" s="13"/>
    </row>
    <row r="29" spans="2:19" ht="16" customHeight="1" x14ac:dyDescent="0.45">
      <c r="B29" s="34"/>
      <c r="C29" s="34" t="s">
        <v>771</v>
      </c>
      <c r="D29" s="69"/>
      <c r="E29" s="70">
        <f>E30+E31+E32+E33+E34+E35+E36</f>
        <v>5967.6549999999997</v>
      </c>
      <c r="F29" s="69"/>
      <c r="G29" s="35">
        <f>G30+G31+G32+G33+G34+G35+G36</f>
        <v>-597.46270000000004</v>
      </c>
      <c r="H29" s="35">
        <f>H30+H31+H32+H33+H34+H35+H36</f>
        <v>6565.1177000000007</v>
      </c>
      <c r="I29" s="35">
        <f>I30+I31+I32+I33+I34+I35+I36</f>
        <v>0</v>
      </c>
      <c r="J29" s="35">
        <f>J30+J31+J32+J33+J34+J35+J36</f>
        <v>0</v>
      </c>
      <c r="K29" s="35">
        <f>K30+K31+K32+K33+K34+K35+K36</f>
        <v>0</v>
      </c>
      <c r="L29" s="13"/>
      <c r="M29" s="13"/>
      <c r="N29" s="13"/>
      <c r="O29" s="13"/>
      <c r="P29" s="13"/>
      <c r="Q29" s="13"/>
      <c r="R29" s="13"/>
      <c r="S29" s="13"/>
    </row>
    <row r="30" spans="2:19" ht="16" customHeight="1" x14ac:dyDescent="0.45">
      <c r="B30" s="14" t="s">
        <v>772</v>
      </c>
      <c r="C30" s="14" t="s">
        <v>88</v>
      </c>
      <c r="D30" s="61"/>
      <c r="E30" s="62">
        <v>0</v>
      </c>
      <c r="F30" s="61"/>
      <c r="G30" s="15">
        <v>0</v>
      </c>
      <c r="H30" s="15"/>
      <c r="I30" s="15"/>
      <c r="J30" s="15"/>
      <c r="K30" s="15"/>
      <c r="L30" s="13"/>
      <c r="M30" s="13"/>
      <c r="N30" s="13"/>
      <c r="O30" s="13"/>
      <c r="P30" s="13"/>
      <c r="Q30" s="13"/>
      <c r="R30" s="13"/>
      <c r="S30" s="13"/>
    </row>
    <row r="31" spans="2:19" ht="16" customHeight="1" x14ac:dyDescent="0.45">
      <c r="B31" s="14" t="s">
        <v>773</v>
      </c>
      <c r="C31" s="14" t="s">
        <v>774</v>
      </c>
      <c r="D31" s="61"/>
      <c r="E31" s="62">
        <v>-0.1208</v>
      </c>
      <c r="F31" s="61"/>
      <c r="G31" s="15">
        <v>-0.1208</v>
      </c>
      <c r="H31" s="15"/>
      <c r="I31" s="15"/>
      <c r="J31" s="15"/>
      <c r="K31" s="15"/>
      <c r="L31" s="13"/>
      <c r="M31" s="13"/>
      <c r="N31" s="13"/>
      <c r="O31" s="13"/>
      <c r="P31" s="13"/>
      <c r="Q31" s="13"/>
      <c r="R31" s="13"/>
      <c r="S31" s="13"/>
    </row>
    <row r="32" spans="2:19" ht="16" customHeight="1" x14ac:dyDescent="0.45">
      <c r="B32" s="14" t="s">
        <v>775</v>
      </c>
      <c r="C32" s="14" t="s">
        <v>776</v>
      </c>
      <c r="D32" s="61"/>
      <c r="E32" s="62">
        <v>0</v>
      </c>
      <c r="F32" s="61"/>
      <c r="G32" s="15">
        <v>0</v>
      </c>
      <c r="H32" s="15">
        <v>0</v>
      </c>
      <c r="I32" s="15"/>
      <c r="J32" s="15"/>
      <c r="K32" s="15"/>
      <c r="L32" s="13"/>
      <c r="M32" s="13"/>
      <c r="N32" s="13"/>
      <c r="O32" s="13"/>
      <c r="P32" s="13"/>
      <c r="Q32" s="13"/>
      <c r="R32" s="13"/>
      <c r="S32" s="13"/>
    </row>
    <row r="33" spans="2:19" ht="16" customHeight="1" x14ac:dyDescent="0.45">
      <c r="B33" s="14" t="s">
        <v>777</v>
      </c>
      <c r="C33" s="14" t="s">
        <v>778</v>
      </c>
      <c r="D33" s="61"/>
      <c r="E33" s="62">
        <v>-832.26072999999997</v>
      </c>
      <c r="F33" s="61"/>
      <c r="G33" s="15">
        <v>-765.67988000000003</v>
      </c>
      <c r="H33" s="15">
        <v>-66.580849999999998</v>
      </c>
      <c r="I33" s="15"/>
      <c r="J33" s="15"/>
      <c r="K33" s="15"/>
      <c r="L33" s="13"/>
      <c r="M33" s="13"/>
      <c r="N33" s="13"/>
      <c r="O33" s="13"/>
      <c r="P33" s="13"/>
      <c r="Q33" s="13"/>
      <c r="R33" s="13"/>
      <c r="S33" s="13"/>
    </row>
    <row r="34" spans="2:19" ht="16" customHeight="1" x14ac:dyDescent="0.45">
      <c r="B34" s="14" t="s">
        <v>779</v>
      </c>
      <c r="C34" s="14" t="s">
        <v>780</v>
      </c>
      <c r="D34" s="61"/>
      <c r="E34" s="62">
        <v>-20.866779999999999</v>
      </c>
      <c r="F34" s="61"/>
      <c r="G34" s="15">
        <v>-19.19744</v>
      </c>
      <c r="H34" s="15">
        <v>-1.66934</v>
      </c>
      <c r="I34" s="15"/>
      <c r="J34" s="15"/>
      <c r="K34" s="15"/>
      <c r="L34" s="13"/>
      <c r="M34" s="13"/>
      <c r="N34" s="13"/>
      <c r="O34" s="13"/>
      <c r="P34" s="13"/>
      <c r="Q34" s="13"/>
      <c r="R34" s="13"/>
      <c r="S34" s="13"/>
    </row>
    <row r="35" spans="2:19" ht="16" customHeight="1" x14ac:dyDescent="0.45">
      <c r="B35" s="14" t="s">
        <v>781</v>
      </c>
      <c r="C35" s="14" t="s">
        <v>782</v>
      </c>
      <c r="D35" s="61"/>
      <c r="E35" s="62">
        <v>6820.9033099999997</v>
      </c>
      <c r="F35" s="61"/>
      <c r="G35" s="15">
        <v>187.53541999999999</v>
      </c>
      <c r="H35" s="15">
        <v>6633.3678900000004</v>
      </c>
      <c r="I35" s="15"/>
      <c r="J35" s="15"/>
      <c r="K35" s="15"/>
      <c r="L35" s="13"/>
      <c r="M35" s="13"/>
      <c r="N35" s="13"/>
      <c r="O35" s="13"/>
      <c r="P35" s="13"/>
      <c r="Q35" s="13"/>
      <c r="R35" s="13"/>
      <c r="S35" s="13"/>
    </row>
    <row r="36" spans="2:19" ht="16" customHeight="1" x14ac:dyDescent="0.45">
      <c r="B36" s="14"/>
      <c r="C36" s="14" t="s">
        <v>784</v>
      </c>
      <c r="D36" s="61"/>
      <c r="E36" s="62"/>
      <c r="F36" s="61"/>
      <c r="G36" s="15"/>
      <c r="H36" s="15"/>
      <c r="I36" s="15"/>
      <c r="J36" s="15"/>
      <c r="K36" s="15"/>
      <c r="L36" s="13"/>
      <c r="M36" s="13"/>
      <c r="N36" s="13"/>
      <c r="O36" s="13"/>
      <c r="P36" s="13"/>
      <c r="Q36" s="13"/>
      <c r="R36" s="13"/>
      <c r="S36" s="13"/>
    </row>
    <row r="37" spans="2:19" ht="16" customHeight="1" x14ac:dyDescent="0.45">
      <c r="B37" s="11"/>
      <c r="C37" s="11" t="s">
        <v>22</v>
      </c>
      <c r="D37" s="29"/>
      <c r="E37" s="60"/>
      <c r="F37" s="29"/>
      <c r="G37" s="12"/>
      <c r="H37" s="12"/>
      <c r="I37" s="12"/>
      <c r="J37" s="12"/>
      <c r="K37" s="12"/>
      <c r="L37" s="13"/>
      <c r="M37" s="13"/>
      <c r="N37" s="13"/>
      <c r="O37" s="13"/>
      <c r="P37" s="13"/>
      <c r="Q37" s="13"/>
      <c r="R37" s="13"/>
      <c r="S37" s="13"/>
    </row>
    <row r="38" spans="2:19" ht="16" customHeight="1" x14ac:dyDescent="0.45">
      <c r="B38" s="34"/>
      <c r="C38" s="34" t="s">
        <v>785</v>
      </c>
      <c r="D38" s="69"/>
      <c r="E38" s="70">
        <f>-(-(E39+E40)-E41)</f>
        <v>0</v>
      </c>
      <c r="F38" s="69"/>
      <c r="G38" s="35">
        <f>-(-(G39+G40)-G41)</f>
        <v>0</v>
      </c>
      <c r="H38" s="35">
        <f>-(-(H39+H40)-H41)</f>
        <v>0</v>
      </c>
      <c r="I38" s="35">
        <f>-(-(I39+I40)-I41)</f>
        <v>0</v>
      </c>
      <c r="J38" s="35">
        <f>-(-(J39+J40)-J41)</f>
        <v>0</v>
      </c>
      <c r="K38" s="35">
        <f>-(-(K39+K40)-K41)</f>
        <v>0</v>
      </c>
      <c r="L38" s="13"/>
      <c r="M38" s="13"/>
      <c r="N38" s="13"/>
      <c r="O38" s="13"/>
      <c r="P38" s="13"/>
      <c r="Q38" s="13"/>
      <c r="R38" s="13"/>
      <c r="S38" s="13"/>
    </row>
    <row r="39" spans="2:19" ht="16" customHeight="1" x14ac:dyDescent="0.45">
      <c r="B39" s="14" t="s">
        <v>786</v>
      </c>
      <c r="C39" s="14" t="s">
        <v>787</v>
      </c>
      <c r="D39" s="61"/>
      <c r="E39" s="62"/>
      <c r="F39" s="61"/>
      <c r="G39" s="15"/>
      <c r="H39" s="15"/>
      <c r="I39" s="15"/>
      <c r="J39" s="15"/>
      <c r="K39" s="15"/>
      <c r="L39" s="13"/>
      <c r="M39" s="13"/>
      <c r="N39" s="13"/>
      <c r="O39" s="13"/>
      <c r="P39" s="13"/>
      <c r="Q39" s="13"/>
      <c r="R39" s="13"/>
      <c r="S39" s="13"/>
    </row>
    <row r="40" spans="2:19" ht="16" customHeight="1" x14ac:dyDescent="0.45">
      <c r="B40" s="14" t="s">
        <v>788</v>
      </c>
      <c r="C40" s="14" t="s">
        <v>789</v>
      </c>
      <c r="D40" s="61"/>
      <c r="E40" s="62"/>
      <c r="F40" s="61"/>
      <c r="G40" s="15"/>
      <c r="H40" s="15"/>
      <c r="I40" s="15"/>
      <c r="J40" s="15"/>
      <c r="K40" s="15"/>
      <c r="L40" s="13"/>
      <c r="M40" s="13"/>
      <c r="N40" s="13"/>
      <c r="O40" s="13"/>
      <c r="P40" s="13"/>
      <c r="Q40" s="13"/>
      <c r="R40" s="13"/>
      <c r="S40" s="13"/>
    </row>
    <row r="41" spans="2:19" ht="16" customHeight="1" x14ac:dyDescent="0.45">
      <c r="B41" s="14" t="s">
        <v>790</v>
      </c>
      <c r="C41" s="14" t="s">
        <v>791</v>
      </c>
      <c r="D41" s="61"/>
      <c r="E41" s="62"/>
      <c r="F41" s="61"/>
      <c r="G41" s="15"/>
      <c r="H41" s="15"/>
      <c r="I41" s="15"/>
      <c r="J41" s="15"/>
      <c r="K41" s="15"/>
      <c r="L41" s="13"/>
      <c r="M41" s="13"/>
      <c r="N41" s="13"/>
      <c r="O41" s="13"/>
      <c r="P41" s="13"/>
      <c r="Q41" s="13"/>
      <c r="R41" s="13"/>
      <c r="S41" s="13"/>
    </row>
    <row r="42" spans="2:19" ht="16" customHeight="1" x14ac:dyDescent="0.45">
      <c r="B42" s="11"/>
      <c r="C42" s="11" t="s">
        <v>22</v>
      </c>
      <c r="D42" s="29"/>
      <c r="E42" s="60"/>
      <c r="F42" s="29"/>
      <c r="G42" s="12"/>
      <c r="H42" s="12"/>
      <c r="I42" s="12"/>
      <c r="J42" s="12"/>
      <c r="K42" s="12"/>
      <c r="L42" s="13"/>
      <c r="M42" s="13"/>
      <c r="N42" s="13"/>
      <c r="O42" s="13"/>
      <c r="P42" s="13"/>
      <c r="Q42" s="13"/>
      <c r="R42" s="13"/>
      <c r="S42" s="13"/>
    </row>
    <row r="43" spans="2:19" ht="16" customHeight="1" x14ac:dyDescent="0.45">
      <c r="B43" s="34"/>
      <c r="C43" s="34" t="s">
        <v>792</v>
      </c>
      <c r="D43" s="69"/>
      <c r="E43" s="70">
        <f>E45+E49</f>
        <v>-352.71646000000004</v>
      </c>
      <c r="F43" s="69"/>
      <c r="G43" s="35">
        <f>G45+G49</f>
        <v>-105.51636000000001</v>
      </c>
      <c r="H43" s="35">
        <f>H45+H49</f>
        <v>-6.4000000000000005E-4</v>
      </c>
      <c r="I43" s="35">
        <f>I45+I49</f>
        <v>0</v>
      </c>
      <c r="J43" s="35">
        <f>J45+J49</f>
        <v>0</v>
      </c>
      <c r="K43" s="35">
        <f>K45+K49</f>
        <v>-247.19946000000002</v>
      </c>
      <c r="L43" s="13"/>
      <c r="M43" s="13"/>
      <c r="N43" s="13"/>
      <c r="O43" s="13"/>
      <c r="P43" s="13"/>
      <c r="Q43" s="13"/>
      <c r="R43" s="13"/>
      <c r="S43" s="13"/>
    </row>
    <row r="44" spans="2:19" ht="16" customHeight="1" x14ac:dyDescent="0.45">
      <c r="B44" s="11"/>
      <c r="C44" s="11" t="s">
        <v>22</v>
      </c>
      <c r="D44" s="29"/>
      <c r="E44" s="60"/>
      <c r="F44" s="29"/>
      <c r="G44" s="12"/>
      <c r="H44" s="12"/>
      <c r="I44" s="12"/>
      <c r="J44" s="12"/>
      <c r="K44" s="12"/>
      <c r="L44" s="13"/>
      <c r="M44" s="13"/>
      <c r="N44" s="13"/>
      <c r="O44" s="13"/>
      <c r="P44" s="13"/>
      <c r="Q44" s="13"/>
      <c r="R44" s="13"/>
      <c r="S44" s="13"/>
    </row>
    <row r="45" spans="2:19" ht="16" customHeight="1" x14ac:dyDescent="0.45">
      <c r="B45" s="34"/>
      <c r="C45" s="34" t="s">
        <v>793</v>
      </c>
      <c r="D45" s="69"/>
      <c r="E45" s="70">
        <f>E46+E47</f>
        <v>0</v>
      </c>
      <c r="F45" s="69"/>
      <c r="G45" s="35">
        <f>G46+G47</f>
        <v>0</v>
      </c>
      <c r="H45" s="35">
        <f>H46+H47</f>
        <v>0</v>
      </c>
      <c r="I45" s="35">
        <f>I46+I47</f>
        <v>0</v>
      </c>
      <c r="J45" s="35">
        <f>J46+J47</f>
        <v>0</v>
      </c>
      <c r="K45" s="35">
        <f>K46+K47</f>
        <v>0</v>
      </c>
      <c r="L45" s="13"/>
      <c r="M45" s="13"/>
      <c r="N45" s="13"/>
      <c r="O45" s="13"/>
      <c r="P45" s="13"/>
      <c r="Q45" s="13"/>
      <c r="R45" s="13"/>
      <c r="S45" s="13"/>
    </row>
    <row r="46" spans="2:19" ht="16" customHeight="1" x14ac:dyDescent="0.45">
      <c r="B46" s="14" t="s">
        <v>794</v>
      </c>
      <c r="C46" s="14" t="s">
        <v>795</v>
      </c>
      <c r="D46" s="61"/>
      <c r="E46" s="62"/>
      <c r="F46" s="61"/>
      <c r="G46" s="15"/>
      <c r="H46" s="15"/>
      <c r="I46" s="15"/>
      <c r="J46" s="15"/>
      <c r="K46" s="15"/>
      <c r="L46" s="13"/>
      <c r="M46" s="13"/>
      <c r="N46" s="13"/>
      <c r="O46" s="13"/>
      <c r="P46" s="13"/>
      <c r="Q46" s="13"/>
      <c r="R46" s="13"/>
      <c r="S46" s="13"/>
    </row>
    <row r="47" spans="2:19" ht="16" customHeight="1" x14ac:dyDescent="0.45">
      <c r="B47" s="14" t="s">
        <v>796</v>
      </c>
      <c r="C47" s="14" t="s">
        <v>797</v>
      </c>
      <c r="D47" s="61"/>
      <c r="E47" s="62"/>
      <c r="F47" s="61"/>
      <c r="G47" s="15"/>
      <c r="H47" s="15"/>
      <c r="I47" s="15"/>
      <c r="J47" s="15"/>
      <c r="K47" s="15"/>
      <c r="L47" s="13"/>
      <c r="M47" s="13"/>
      <c r="N47" s="13"/>
      <c r="O47" s="13"/>
      <c r="P47" s="13"/>
      <c r="Q47" s="13"/>
      <c r="R47" s="13"/>
      <c r="S47" s="13"/>
    </row>
    <row r="48" spans="2:19" ht="16" customHeight="1" x14ac:dyDescent="0.45">
      <c r="B48" s="11"/>
      <c r="C48" s="11" t="s">
        <v>22</v>
      </c>
      <c r="D48" s="29"/>
      <c r="E48" s="60"/>
      <c r="F48" s="29"/>
      <c r="G48" s="12"/>
      <c r="H48" s="12"/>
      <c r="I48" s="12"/>
      <c r="J48" s="12"/>
      <c r="K48" s="12"/>
      <c r="L48" s="13"/>
      <c r="M48" s="13"/>
      <c r="N48" s="13"/>
      <c r="O48" s="13"/>
      <c r="P48" s="13"/>
      <c r="Q48" s="13"/>
      <c r="R48" s="13"/>
      <c r="S48" s="13"/>
    </row>
    <row r="49" spans="2:19" ht="16" customHeight="1" x14ac:dyDescent="0.45">
      <c r="B49" s="34"/>
      <c r="C49" s="34" t="s">
        <v>798</v>
      </c>
      <c r="D49" s="69"/>
      <c r="E49" s="70">
        <f>-(-(E50+E51)-E52)</f>
        <v>-352.71646000000004</v>
      </c>
      <c r="F49" s="69"/>
      <c r="G49" s="35">
        <f>-(-(G50+G51)-G52)</f>
        <v>-105.51636000000001</v>
      </c>
      <c r="H49" s="35">
        <f>-(-(H50+H51)-H52)</f>
        <v>-6.4000000000000005E-4</v>
      </c>
      <c r="I49" s="35">
        <f>-(-(I50+I51)-I52)</f>
        <v>0</v>
      </c>
      <c r="J49" s="35">
        <f>-(-(J50+J51)-J52)</f>
        <v>0</v>
      </c>
      <c r="K49" s="35">
        <f>-(-(K50+K51)-K52)</f>
        <v>-247.19946000000002</v>
      </c>
      <c r="L49" s="13"/>
      <c r="M49" s="13"/>
      <c r="N49" s="13"/>
      <c r="O49" s="13"/>
      <c r="P49" s="13"/>
      <c r="Q49" s="13"/>
      <c r="R49" s="13"/>
      <c r="S49" s="13"/>
    </row>
    <row r="50" spans="2:19" ht="16" customHeight="1" x14ac:dyDescent="0.45">
      <c r="B50" s="14" t="s">
        <v>799</v>
      </c>
      <c r="C50" s="14" t="s">
        <v>800</v>
      </c>
      <c r="D50" s="61"/>
      <c r="E50" s="62"/>
      <c r="F50" s="61"/>
      <c r="G50" s="15"/>
      <c r="H50" s="15"/>
      <c r="I50" s="15"/>
      <c r="J50" s="15"/>
      <c r="K50" s="15"/>
      <c r="L50" s="13"/>
      <c r="M50" s="13"/>
      <c r="N50" s="13"/>
      <c r="O50" s="13"/>
      <c r="P50" s="13"/>
      <c r="Q50" s="13"/>
      <c r="R50" s="13"/>
      <c r="S50" s="13"/>
    </row>
    <row r="51" spans="2:19" ht="16" customHeight="1" x14ac:dyDescent="0.45">
      <c r="B51" s="14" t="s">
        <v>801</v>
      </c>
      <c r="C51" s="14" t="s">
        <v>802</v>
      </c>
      <c r="D51" s="61"/>
      <c r="E51" s="62">
        <v>-38.024509999999999</v>
      </c>
      <c r="F51" s="61"/>
      <c r="G51" s="15">
        <v>-105.51636000000001</v>
      </c>
      <c r="H51" s="15">
        <v>-6.4000000000000005E-4</v>
      </c>
      <c r="I51" s="15"/>
      <c r="J51" s="15"/>
      <c r="K51" s="15">
        <v>67.492490000000004</v>
      </c>
      <c r="L51" s="13"/>
      <c r="M51" s="13"/>
      <c r="N51" s="13"/>
      <c r="O51" s="13"/>
      <c r="P51" s="13"/>
      <c r="Q51" s="13"/>
      <c r="R51" s="13"/>
      <c r="S51" s="13"/>
    </row>
    <row r="52" spans="2:19" ht="16" customHeight="1" x14ac:dyDescent="0.45">
      <c r="B52" s="14" t="s">
        <v>803</v>
      </c>
      <c r="C52" s="14" t="s">
        <v>804</v>
      </c>
      <c r="D52" s="61"/>
      <c r="E52" s="62">
        <v>-314.69195000000002</v>
      </c>
      <c r="F52" s="61"/>
      <c r="G52" s="15"/>
      <c r="H52" s="15"/>
      <c r="I52" s="15"/>
      <c r="J52" s="15"/>
      <c r="K52" s="15">
        <v>-314.69195000000002</v>
      </c>
      <c r="L52" s="13"/>
      <c r="M52" s="13"/>
      <c r="N52" s="13"/>
      <c r="O52" s="13"/>
      <c r="P52" s="13"/>
      <c r="Q52" s="13"/>
      <c r="R52" s="13"/>
      <c r="S52" s="13"/>
    </row>
    <row r="53" spans="2:19" ht="16" customHeight="1" x14ac:dyDescent="0.45">
      <c r="B53" s="11"/>
      <c r="C53" s="11" t="s">
        <v>22</v>
      </c>
      <c r="D53" s="29"/>
      <c r="E53" s="60"/>
      <c r="F53" s="29"/>
      <c r="G53" s="12"/>
      <c r="H53" s="12"/>
      <c r="I53" s="12"/>
      <c r="J53" s="12"/>
      <c r="K53" s="12"/>
      <c r="L53" s="13"/>
      <c r="M53" s="13"/>
      <c r="N53" s="13"/>
      <c r="O53" s="13"/>
      <c r="P53" s="13"/>
      <c r="Q53" s="13"/>
      <c r="R53" s="13"/>
      <c r="S53" s="13"/>
    </row>
    <row r="54" spans="2:19" ht="16" customHeight="1" x14ac:dyDescent="0.45">
      <c r="B54" s="34"/>
      <c r="C54" s="34" t="s">
        <v>805</v>
      </c>
      <c r="D54" s="69"/>
      <c r="E54" s="70">
        <f>E55+E56</f>
        <v>3.7958099999999999</v>
      </c>
      <c r="F54" s="69"/>
      <c r="G54" s="35">
        <f>G55+G56</f>
        <v>0</v>
      </c>
      <c r="H54" s="35">
        <f>H55+H56</f>
        <v>0</v>
      </c>
      <c r="I54" s="35">
        <f>I55+I56</f>
        <v>0</v>
      </c>
      <c r="J54" s="35">
        <f>J55+J56</f>
        <v>0</v>
      </c>
      <c r="K54" s="35">
        <f>K55+K56</f>
        <v>3.7958099999999999</v>
      </c>
      <c r="L54" s="13"/>
      <c r="M54" s="13"/>
      <c r="N54" s="13"/>
      <c r="O54" s="13"/>
      <c r="P54" s="13"/>
      <c r="Q54" s="13"/>
      <c r="R54" s="13"/>
      <c r="S54" s="13"/>
    </row>
    <row r="55" spans="2:19" ht="16" customHeight="1" x14ac:dyDescent="0.45">
      <c r="B55" s="14" t="s">
        <v>806</v>
      </c>
      <c r="C55" s="14" t="s">
        <v>805</v>
      </c>
      <c r="D55" s="61"/>
      <c r="E55" s="62">
        <v>3.7958099999999999</v>
      </c>
      <c r="F55" s="61"/>
      <c r="G55" s="15"/>
      <c r="H55" s="15"/>
      <c r="I55" s="15"/>
      <c r="J55" s="15"/>
      <c r="K55" s="15">
        <v>3.7958099999999999</v>
      </c>
      <c r="L55" s="13"/>
      <c r="M55" s="13"/>
      <c r="N55" s="13"/>
      <c r="O55" s="13"/>
      <c r="P55" s="13"/>
      <c r="Q55" s="13"/>
      <c r="R55" s="13"/>
      <c r="S55" s="13"/>
    </row>
    <row r="56" spans="2:19" ht="16" customHeight="1" x14ac:dyDescent="0.45">
      <c r="B56" s="14" t="s">
        <v>807</v>
      </c>
      <c r="C56" s="14" t="s">
        <v>808</v>
      </c>
      <c r="D56" s="61"/>
      <c r="E56" s="62"/>
      <c r="F56" s="61"/>
      <c r="G56" s="15"/>
      <c r="H56" s="15"/>
      <c r="I56" s="15"/>
      <c r="J56" s="15"/>
      <c r="K56" s="15"/>
      <c r="L56" s="13"/>
      <c r="M56" s="13"/>
      <c r="N56" s="13"/>
      <c r="O56" s="13"/>
      <c r="P56" s="13"/>
      <c r="Q56" s="13"/>
      <c r="R56" s="13"/>
      <c r="S56" s="13"/>
    </row>
    <row r="57" spans="2:19" ht="16" customHeight="1" x14ac:dyDescent="0.45">
      <c r="B57" s="11"/>
      <c r="C57" s="11" t="s">
        <v>22</v>
      </c>
      <c r="D57" s="29"/>
      <c r="E57" s="60"/>
      <c r="F57" s="29"/>
      <c r="G57" s="12"/>
      <c r="H57" s="12"/>
      <c r="I57" s="12"/>
      <c r="J57" s="12"/>
      <c r="K57" s="12"/>
      <c r="L57" s="13"/>
      <c r="M57" s="13"/>
      <c r="N57" s="13"/>
      <c r="O57" s="13"/>
      <c r="P57" s="13"/>
      <c r="Q57" s="13"/>
      <c r="R57" s="13"/>
      <c r="S57" s="13"/>
    </row>
    <row r="58" spans="2:19" ht="16" customHeight="1" x14ac:dyDescent="0.45">
      <c r="B58" s="14" t="s">
        <v>809</v>
      </c>
      <c r="C58" s="14" t="s">
        <v>810</v>
      </c>
      <c r="D58" s="61"/>
      <c r="E58" s="62">
        <v>-2215.65832</v>
      </c>
      <c r="F58" s="61"/>
      <c r="G58" s="15"/>
      <c r="H58" s="15"/>
      <c r="I58" s="15"/>
      <c r="J58" s="15"/>
      <c r="K58" s="15">
        <v>-2215.65832</v>
      </c>
      <c r="L58" s="13"/>
      <c r="M58" s="13"/>
      <c r="N58" s="13"/>
      <c r="O58" s="13"/>
      <c r="P58" s="13"/>
      <c r="Q58" s="13"/>
      <c r="R58" s="13"/>
      <c r="S58" s="13"/>
    </row>
    <row r="59" spans="2:19" ht="16" customHeight="1" x14ac:dyDescent="0.45">
      <c r="B59" s="11"/>
      <c r="C59" s="11" t="s">
        <v>22</v>
      </c>
      <c r="D59" s="29"/>
      <c r="E59" s="60"/>
      <c r="F59" s="29"/>
      <c r="G59" s="12"/>
      <c r="H59" s="12"/>
      <c r="I59" s="12"/>
      <c r="J59" s="12"/>
      <c r="K59" s="12"/>
      <c r="L59" s="13"/>
      <c r="M59" s="13"/>
      <c r="N59" s="13"/>
      <c r="O59" s="13"/>
      <c r="P59" s="13"/>
      <c r="Q59" s="13"/>
      <c r="R59" s="13"/>
      <c r="S59" s="13"/>
    </row>
    <row r="60" spans="2:19" ht="16" customHeight="1" x14ac:dyDescent="0.45">
      <c r="B60" s="34"/>
      <c r="C60" s="34" t="s">
        <v>811</v>
      </c>
      <c r="D60" s="69"/>
      <c r="E60" s="70">
        <f>-(-(E61+E62)-E63)</f>
        <v>0</v>
      </c>
      <c r="F60" s="69"/>
      <c r="G60" s="35">
        <f>-(-(G61+G62)-G63)</f>
        <v>0</v>
      </c>
      <c r="H60" s="35">
        <f>-(-(H61+H62)-H63)</f>
        <v>0</v>
      </c>
      <c r="I60" s="35">
        <f>-(-(I61+I62)-I63)</f>
        <v>0</v>
      </c>
      <c r="J60" s="35">
        <f>-(-(J61+J62)-J63)</f>
        <v>0</v>
      </c>
      <c r="K60" s="35">
        <f>-(-(K61+K62)-K63)</f>
        <v>0</v>
      </c>
      <c r="L60" s="13"/>
      <c r="M60" s="13"/>
      <c r="N60" s="13"/>
      <c r="O60" s="13"/>
      <c r="P60" s="13"/>
      <c r="Q60" s="13"/>
      <c r="R60" s="13"/>
      <c r="S60" s="13"/>
    </row>
    <row r="61" spans="2:19" ht="16" customHeight="1" x14ac:dyDescent="0.45">
      <c r="B61" s="14" t="s">
        <v>812</v>
      </c>
      <c r="C61" s="14" t="s">
        <v>813</v>
      </c>
      <c r="D61" s="61"/>
      <c r="E61" s="62">
        <v>0</v>
      </c>
      <c r="F61" s="61"/>
      <c r="G61" s="15"/>
      <c r="H61" s="15"/>
      <c r="I61" s="15"/>
      <c r="J61" s="15"/>
      <c r="K61" s="15">
        <v>0</v>
      </c>
      <c r="L61" s="13"/>
      <c r="M61" s="13"/>
      <c r="N61" s="13"/>
      <c r="O61" s="13"/>
      <c r="P61" s="13"/>
      <c r="Q61" s="13"/>
      <c r="R61" s="13"/>
      <c r="S61" s="13"/>
    </row>
    <row r="62" spans="2:19" ht="16" customHeight="1" x14ac:dyDescent="0.45">
      <c r="B62" s="14" t="s">
        <v>814</v>
      </c>
      <c r="C62" s="14" t="s">
        <v>815</v>
      </c>
      <c r="D62" s="61"/>
      <c r="E62" s="62"/>
      <c r="F62" s="61"/>
      <c r="G62" s="15"/>
      <c r="H62" s="15"/>
      <c r="I62" s="15"/>
      <c r="J62" s="15"/>
      <c r="K62" s="15"/>
      <c r="L62" s="13"/>
      <c r="M62" s="13"/>
      <c r="N62" s="13"/>
      <c r="O62" s="13"/>
      <c r="P62" s="13"/>
      <c r="Q62" s="13"/>
      <c r="R62" s="13"/>
      <c r="S62" s="13"/>
    </row>
    <row r="63" spans="2:19" ht="16" customHeight="1" x14ac:dyDescent="0.45">
      <c r="B63" s="14" t="s">
        <v>816</v>
      </c>
      <c r="C63" s="14" t="s">
        <v>817</v>
      </c>
      <c r="D63" s="61"/>
      <c r="E63" s="62"/>
      <c r="F63" s="61"/>
      <c r="G63" s="15"/>
      <c r="H63" s="15"/>
      <c r="I63" s="15"/>
      <c r="J63" s="15"/>
      <c r="K63" s="15"/>
      <c r="L63" s="13"/>
      <c r="M63" s="13"/>
      <c r="N63" s="13"/>
      <c r="O63" s="13"/>
      <c r="P63" s="13"/>
      <c r="Q63" s="13"/>
      <c r="R63" s="13"/>
      <c r="S63" s="13"/>
    </row>
    <row r="64" spans="2:19" ht="16" customHeight="1" x14ac:dyDescent="0.45">
      <c r="B64" s="11"/>
      <c r="C64" s="11" t="s">
        <v>22</v>
      </c>
      <c r="D64" s="29"/>
      <c r="E64" s="60"/>
      <c r="F64" s="29"/>
      <c r="G64" s="12"/>
      <c r="H64" s="12"/>
      <c r="I64" s="12"/>
      <c r="J64" s="12"/>
      <c r="K64" s="12"/>
      <c r="L64" s="13"/>
      <c r="M64" s="13"/>
      <c r="N64" s="13"/>
      <c r="O64" s="13"/>
      <c r="P64" s="13"/>
      <c r="Q64" s="13"/>
      <c r="R64" s="13"/>
      <c r="S64" s="13"/>
    </row>
    <row r="65" spans="2:19" ht="16" customHeight="1" x14ac:dyDescent="0.45">
      <c r="B65" s="34" t="s">
        <v>818</v>
      </c>
      <c r="C65" s="34" t="s">
        <v>819</v>
      </c>
      <c r="D65" s="69"/>
      <c r="E65" s="70">
        <f>E66+E67</f>
        <v>-10601.80711</v>
      </c>
      <c r="F65" s="69"/>
      <c r="G65" s="35">
        <f>G66+G67</f>
        <v>-14324.58934</v>
      </c>
      <c r="H65" s="35">
        <f>H66+H67</f>
        <v>3721.9822300000001</v>
      </c>
      <c r="I65" s="35">
        <f>I66+I67</f>
        <v>0.8</v>
      </c>
      <c r="J65" s="35">
        <f>J66+J67</f>
        <v>0</v>
      </c>
      <c r="K65" s="35">
        <f>K66+K67</f>
        <v>0</v>
      </c>
      <c r="L65" s="13"/>
      <c r="M65" s="13"/>
      <c r="N65" s="13"/>
      <c r="O65" s="13"/>
      <c r="P65" s="13"/>
      <c r="Q65" s="13"/>
      <c r="R65" s="13"/>
      <c r="S65" s="13"/>
    </row>
    <row r="66" spans="2:19" ht="16" customHeight="1" x14ac:dyDescent="0.45">
      <c r="B66" s="14"/>
      <c r="C66" s="14" t="s">
        <v>821</v>
      </c>
      <c r="D66" s="61"/>
      <c r="E66" s="62">
        <v>-11242.342199999999</v>
      </c>
      <c r="F66" s="61"/>
      <c r="G66" s="15">
        <v>-14960.457990000001</v>
      </c>
      <c r="H66" s="15">
        <v>3717.3157900000001</v>
      </c>
      <c r="I66" s="15">
        <v>0.8</v>
      </c>
      <c r="J66" s="15">
        <v>0</v>
      </c>
      <c r="K66" s="15"/>
      <c r="L66" s="13"/>
      <c r="M66" s="13"/>
      <c r="N66" s="13"/>
      <c r="O66" s="13"/>
      <c r="P66" s="13"/>
      <c r="Q66" s="13"/>
      <c r="R66" s="13"/>
      <c r="S66" s="13"/>
    </row>
    <row r="67" spans="2:19" ht="16" customHeight="1" x14ac:dyDescent="0.45">
      <c r="B67" s="14"/>
      <c r="C67" s="14" t="s">
        <v>823</v>
      </c>
      <c r="D67" s="61"/>
      <c r="E67" s="62">
        <v>640.53508999999997</v>
      </c>
      <c r="F67" s="61"/>
      <c r="G67" s="15">
        <v>635.86865</v>
      </c>
      <c r="H67" s="15">
        <v>4.6664399999999997</v>
      </c>
      <c r="I67" s="15"/>
      <c r="J67" s="15"/>
      <c r="K67" s="15"/>
      <c r="L67" s="13"/>
      <c r="M67" s="13"/>
      <c r="N67" s="13"/>
      <c r="O67" s="13"/>
      <c r="P67" s="13"/>
      <c r="Q67" s="13"/>
      <c r="R67" s="13"/>
      <c r="S67" s="13"/>
    </row>
    <row r="68" spans="2:19" ht="16" customHeight="1" x14ac:dyDescent="0.45">
      <c r="B68" s="11"/>
      <c r="C68" s="11" t="s">
        <v>22</v>
      </c>
      <c r="D68" s="29"/>
      <c r="E68" s="60"/>
      <c r="F68" s="29"/>
      <c r="G68" s="12"/>
      <c r="H68" s="12"/>
      <c r="I68" s="12"/>
      <c r="J68" s="12"/>
      <c r="K68" s="12"/>
      <c r="L68" s="13"/>
      <c r="M68" s="13"/>
      <c r="N68" s="13"/>
      <c r="O68" s="13"/>
      <c r="P68" s="13"/>
      <c r="Q68" s="13"/>
      <c r="R68" s="13"/>
      <c r="S68" s="13"/>
    </row>
    <row r="69" spans="2:19" ht="16" customHeight="1" x14ac:dyDescent="0.45">
      <c r="B69" s="34"/>
      <c r="C69" s="34" t="s">
        <v>824</v>
      </c>
      <c r="D69" s="69"/>
      <c r="E69" s="70">
        <f>-(-(E70+E71)-E72)</f>
        <v>-6790.5774599999995</v>
      </c>
      <c r="F69" s="69"/>
      <c r="G69" s="35">
        <f>-(-(G70+G71)-G72)</f>
        <v>53603.356029999995</v>
      </c>
      <c r="H69" s="35">
        <f>-(-(H70+H71)-H72)</f>
        <v>-5396.8798700000007</v>
      </c>
      <c r="I69" s="35">
        <f>-(-(I70+I71)-I72)</f>
        <v>6979.3140199999998</v>
      </c>
      <c r="J69" s="35">
        <f>-(-(J70+J71)-J72)</f>
        <v>0</v>
      </c>
      <c r="K69" s="35">
        <f>-(-(K70+K71)-K72)</f>
        <v>-61976.367639999997</v>
      </c>
      <c r="L69" s="13"/>
      <c r="M69" s="13"/>
      <c r="N69" s="13"/>
      <c r="O69" s="13"/>
      <c r="P69" s="13"/>
      <c r="Q69" s="13"/>
      <c r="R69" s="13"/>
      <c r="S69" s="13"/>
    </row>
    <row r="70" spans="2:19" ht="16" customHeight="1" x14ac:dyDescent="0.45">
      <c r="B70" s="14" t="s">
        <v>825</v>
      </c>
      <c r="C70" s="14" t="s">
        <v>826</v>
      </c>
      <c r="D70" s="61"/>
      <c r="E70" s="62">
        <v>-756.86201000000005</v>
      </c>
      <c r="F70" s="61"/>
      <c r="G70" s="15">
        <v>1710.3702699999999</v>
      </c>
      <c r="H70" s="15">
        <v>-1161.3071500000001</v>
      </c>
      <c r="I70" s="15">
        <v>-1305.9251300000001</v>
      </c>
      <c r="J70" s="15"/>
      <c r="K70" s="15">
        <v>0</v>
      </c>
      <c r="L70" s="13"/>
      <c r="M70" s="13"/>
      <c r="N70" s="13"/>
      <c r="O70" s="13"/>
      <c r="P70" s="13"/>
      <c r="Q70" s="13"/>
      <c r="R70" s="13"/>
      <c r="S70" s="13"/>
    </row>
    <row r="71" spans="2:19" ht="16" customHeight="1" x14ac:dyDescent="0.45">
      <c r="B71" s="14" t="s">
        <v>827</v>
      </c>
      <c r="C71" s="14" t="s">
        <v>828</v>
      </c>
      <c r="D71" s="61"/>
      <c r="E71" s="62">
        <v>-6061.8346799999999</v>
      </c>
      <c r="F71" s="61"/>
      <c r="G71" s="15">
        <v>51864.866529999999</v>
      </c>
      <c r="H71" s="15">
        <v>-4235.5727200000001</v>
      </c>
      <c r="I71" s="15">
        <v>8285.2391499999994</v>
      </c>
      <c r="J71" s="15"/>
      <c r="K71" s="15">
        <v>-61976.367639999997</v>
      </c>
      <c r="L71" s="13"/>
      <c r="M71" s="13"/>
      <c r="N71" s="13"/>
      <c r="O71" s="13"/>
      <c r="P71" s="13"/>
      <c r="Q71" s="13"/>
      <c r="R71" s="13"/>
      <c r="S71" s="13"/>
    </row>
    <row r="72" spans="2:19" ht="16" customHeight="1" x14ac:dyDescent="0.45">
      <c r="B72" s="14" t="s">
        <v>829</v>
      </c>
      <c r="C72" s="14" t="s">
        <v>830</v>
      </c>
      <c r="D72" s="61"/>
      <c r="E72" s="62">
        <v>28.119230000000002</v>
      </c>
      <c r="F72" s="61"/>
      <c r="G72" s="15">
        <v>28.119230000000002</v>
      </c>
      <c r="H72" s="15">
        <v>0</v>
      </c>
      <c r="I72" s="15"/>
      <c r="J72" s="15"/>
      <c r="K72" s="15"/>
      <c r="L72" s="13"/>
      <c r="M72" s="13"/>
      <c r="N72" s="13"/>
      <c r="O72" s="13"/>
      <c r="P72" s="13"/>
      <c r="Q72" s="13"/>
      <c r="R72" s="13"/>
      <c r="S72" s="13"/>
    </row>
    <row r="73" spans="2:19" ht="16" customHeight="1" x14ac:dyDescent="0.45">
      <c r="B73" s="11"/>
      <c r="C73" s="11" t="s">
        <v>22</v>
      </c>
      <c r="D73" s="29"/>
      <c r="E73" s="60"/>
      <c r="F73" s="29"/>
      <c r="G73" s="12"/>
      <c r="H73" s="12"/>
      <c r="I73" s="12"/>
      <c r="J73" s="12"/>
      <c r="K73" s="12"/>
      <c r="L73" s="13"/>
      <c r="M73" s="13"/>
      <c r="N73" s="13"/>
      <c r="O73" s="13"/>
      <c r="P73" s="13"/>
      <c r="Q73" s="13"/>
      <c r="R73" s="13"/>
      <c r="S73" s="13"/>
    </row>
    <row r="74" spans="2:19" ht="16" customHeight="1" x14ac:dyDescent="0.45">
      <c r="B74" s="34"/>
      <c r="C74" s="34" t="s">
        <v>831</v>
      </c>
      <c r="D74" s="69"/>
      <c r="E74" s="70">
        <f>E75+E76</f>
        <v>-2692.3322799999996</v>
      </c>
      <c r="F74" s="69"/>
      <c r="G74" s="35">
        <f>G75+G76</f>
        <v>-3369.8049500000006</v>
      </c>
      <c r="H74" s="35">
        <f>H75+H76</f>
        <v>-3211.4232700000002</v>
      </c>
      <c r="I74" s="35">
        <f>I75+I76</f>
        <v>-970.89518999999996</v>
      </c>
      <c r="J74" s="35">
        <f>J75+J76</f>
        <v>1596.1757399999999</v>
      </c>
      <c r="K74" s="35">
        <f>K75+K76</f>
        <v>3263.6153899999999</v>
      </c>
      <c r="L74" s="13"/>
      <c r="M74" s="13"/>
      <c r="N74" s="13"/>
      <c r="O74" s="13"/>
      <c r="P74" s="13"/>
      <c r="Q74" s="13"/>
      <c r="R74" s="13"/>
      <c r="S74" s="13"/>
    </row>
    <row r="75" spans="2:19" ht="16" customHeight="1" x14ac:dyDescent="0.45">
      <c r="B75" s="14" t="s">
        <v>832</v>
      </c>
      <c r="C75" s="14" t="s">
        <v>833</v>
      </c>
      <c r="D75" s="61"/>
      <c r="E75" s="62">
        <v>6919.4018900000001</v>
      </c>
      <c r="F75" s="61"/>
      <c r="G75" s="15">
        <v>6138.4145799999997</v>
      </c>
      <c r="H75" s="15">
        <v>685.83444999999995</v>
      </c>
      <c r="I75" s="15"/>
      <c r="J75" s="15"/>
      <c r="K75" s="15">
        <v>95.152860000000004</v>
      </c>
      <c r="L75" s="13"/>
      <c r="M75" s="13"/>
      <c r="N75" s="13"/>
      <c r="O75" s="13"/>
      <c r="P75" s="13"/>
      <c r="Q75" s="13"/>
      <c r="R75" s="13"/>
      <c r="S75" s="13"/>
    </row>
    <row r="76" spans="2:19" ht="16" customHeight="1" x14ac:dyDescent="0.45">
      <c r="B76" s="14" t="s">
        <v>834</v>
      </c>
      <c r="C76" s="14" t="s">
        <v>835</v>
      </c>
      <c r="D76" s="61"/>
      <c r="E76" s="62">
        <v>-9611.7341699999997</v>
      </c>
      <c r="F76" s="61"/>
      <c r="G76" s="15">
        <v>-9508.2195300000003</v>
      </c>
      <c r="H76" s="15">
        <v>-3897.2577200000001</v>
      </c>
      <c r="I76" s="15">
        <v>-970.89518999999996</v>
      </c>
      <c r="J76" s="15">
        <v>1596.1757399999999</v>
      </c>
      <c r="K76" s="15">
        <v>3168.4625299999998</v>
      </c>
      <c r="L76" s="13"/>
      <c r="M76" s="13"/>
      <c r="N76" s="13"/>
      <c r="O76" s="13"/>
      <c r="P76" s="13"/>
      <c r="Q76" s="13"/>
      <c r="R76" s="13"/>
      <c r="S76" s="13"/>
    </row>
    <row r="77" spans="2:19" ht="16" customHeight="1" x14ac:dyDescent="0.45">
      <c r="B77" s="11"/>
      <c r="C77" s="11" t="s">
        <v>22</v>
      </c>
      <c r="D77" s="29"/>
      <c r="E77" s="60"/>
      <c r="F77" s="29"/>
      <c r="G77" s="12"/>
      <c r="H77" s="12"/>
      <c r="I77" s="12"/>
      <c r="J77" s="12"/>
      <c r="K77" s="12"/>
      <c r="L77" s="13"/>
      <c r="M77" s="13"/>
      <c r="N77" s="13"/>
      <c r="O77" s="13"/>
      <c r="P77" s="13"/>
      <c r="Q77" s="13"/>
      <c r="R77" s="13"/>
      <c r="S77" s="13"/>
    </row>
    <row r="78" spans="2:19" ht="16" customHeight="1" x14ac:dyDescent="0.45">
      <c r="B78" s="34"/>
      <c r="C78" s="34" t="s">
        <v>836</v>
      </c>
      <c r="D78" s="69"/>
      <c r="E78" s="70">
        <f>-(-(E65+E69)-E74)</f>
        <v>-20084.716849999997</v>
      </c>
      <c r="F78" s="69"/>
      <c r="G78" s="35">
        <f>-(-(G65+G69)-G74)</f>
        <v>35908.961739999999</v>
      </c>
      <c r="H78" s="35">
        <f>-(-(H65+H69)-H74)</f>
        <v>-4886.3209100000004</v>
      </c>
      <c r="I78" s="35">
        <f>-(-(I65+I69)-I74)</f>
        <v>6009.2188299999998</v>
      </c>
      <c r="J78" s="35">
        <f>-(-(J65+J69)-J74)</f>
        <v>1596.1757399999999</v>
      </c>
      <c r="K78" s="35">
        <f>-(-(K65+K69)-K74)</f>
        <v>-58712.752249999998</v>
      </c>
      <c r="L78" s="13"/>
      <c r="M78" s="13"/>
      <c r="N78" s="13"/>
      <c r="O78" s="13"/>
      <c r="P78" s="13"/>
      <c r="Q78" s="13"/>
      <c r="R78" s="13"/>
      <c r="S78" s="13"/>
    </row>
    <row r="79" spans="2:19" ht="16" customHeight="1" x14ac:dyDescent="0.45">
      <c r="B79" s="11"/>
      <c r="C79" s="11" t="s">
        <v>22</v>
      </c>
      <c r="D79" s="29"/>
      <c r="E79" s="60"/>
      <c r="F79" s="29"/>
      <c r="G79" s="12"/>
      <c r="H79" s="12"/>
      <c r="I79" s="12"/>
      <c r="J79" s="12"/>
      <c r="K79" s="12"/>
      <c r="L79" s="13"/>
      <c r="M79" s="13"/>
      <c r="N79" s="13"/>
      <c r="O79" s="13"/>
      <c r="P79" s="13"/>
      <c r="Q79" s="13"/>
      <c r="R79" s="13"/>
      <c r="S79" s="13"/>
    </row>
    <row r="80" spans="2:19" ht="16" customHeight="1" x14ac:dyDescent="0.45">
      <c r="B80" s="34"/>
      <c r="C80" s="34" t="s">
        <v>837</v>
      </c>
      <c r="D80" s="69"/>
      <c r="E80" s="70">
        <f>-(-(E82+E84)-E89-E94-E96)</f>
        <v>-562.83785000000171</v>
      </c>
      <c r="F80" s="69"/>
      <c r="G80" s="35">
        <f>-(-(G82+G84)-G89-G94-G96)</f>
        <v>4648.3074400000005</v>
      </c>
      <c r="H80" s="35">
        <f>-(-(H82+H84)-H89-H94-H96)</f>
        <v>36.246080000000006</v>
      </c>
      <c r="I80" s="35">
        <f>-(-(I82+I84)-I89-I94-I96)</f>
        <v>60.335610000000003</v>
      </c>
      <c r="J80" s="35">
        <f>-(-(J82+J84)-J89-J94-J96)</f>
        <v>-2576.97372</v>
      </c>
      <c r="K80" s="35">
        <f>-(-(K82+K84)-K89-K94-K96)</f>
        <v>-2730.75326</v>
      </c>
      <c r="L80" s="13"/>
      <c r="M80" s="13"/>
      <c r="N80" s="13"/>
      <c r="O80" s="13"/>
      <c r="P80" s="13"/>
      <c r="Q80" s="13"/>
      <c r="R80" s="13"/>
      <c r="S80" s="13"/>
    </row>
    <row r="81" spans="2:19" ht="16" customHeight="1" x14ac:dyDescent="0.45">
      <c r="B81" s="11"/>
      <c r="C81" s="11" t="s">
        <v>22</v>
      </c>
      <c r="D81" s="29"/>
      <c r="E81" s="60"/>
      <c r="F81" s="29"/>
      <c r="G81" s="12"/>
      <c r="H81" s="12"/>
      <c r="I81" s="12"/>
      <c r="J81" s="12"/>
      <c r="K81" s="12"/>
      <c r="L81" s="13"/>
      <c r="M81" s="13"/>
      <c r="N81" s="13"/>
      <c r="O81" s="13"/>
      <c r="P81" s="13"/>
      <c r="Q81" s="13"/>
      <c r="R81" s="13"/>
      <c r="S81" s="13"/>
    </row>
    <row r="82" spans="2:19" ht="16" customHeight="1" x14ac:dyDescent="0.45">
      <c r="B82" s="14" t="s">
        <v>838</v>
      </c>
      <c r="C82" s="14" t="s">
        <v>839</v>
      </c>
      <c r="D82" s="61"/>
      <c r="E82" s="62">
        <v>11.853160000000001</v>
      </c>
      <c r="F82" s="61"/>
      <c r="G82" s="15">
        <v>10.904909999999999</v>
      </c>
      <c r="H82" s="15">
        <v>0.94825000000000004</v>
      </c>
      <c r="I82" s="15"/>
      <c r="J82" s="15">
        <v>0</v>
      </c>
      <c r="K82" s="15"/>
      <c r="L82" s="13"/>
      <c r="M82" s="13"/>
      <c r="N82" s="13"/>
      <c r="O82" s="13"/>
      <c r="P82" s="13"/>
      <c r="Q82" s="13"/>
      <c r="R82" s="13"/>
      <c r="S82" s="13"/>
    </row>
    <row r="83" spans="2:19" ht="16" customHeight="1" x14ac:dyDescent="0.45">
      <c r="B83" s="11"/>
      <c r="C83" s="11" t="s">
        <v>22</v>
      </c>
      <c r="D83" s="29"/>
      <c r="E83" s="60"/>
      <c r="F83" s="29"/>
      <c r="G83" s="12"/>
      <c r="H83" s="12"/>
      <c r="I83" s="12"/>
      <c r="J83" s="12"/>
      <c r="K83" s="12"/>
      <c r="L83" s="13"/>
      <c r="M83" s="13"/>
      <c r="N83" s="13"/>
      <c r="O83" s="13"/>
      <c r="P83" s="13"/>
      <c r="Q83" s="13"/>
      <c r="R83" s="13"/>
      <c r="S83" s="13"/>
    </row>
    <row r="84" spans="2:19" ht="16" customHeight="1" x14ac:dyDescent="0.45">
      <c r="B84" s="34"/>
      <c r="C84" s="34" t="s">
        <v>840</v>
      </c>
      <c r="D84" s="69"/>
      <c r="E84" s="70">
        <f>-(-(E85+E86)-E87)</f>
        <v>4133.3923799999993</v>
      </c>
      <c r="F84" s="69"/>
      <c r="G84" s="35">
        <f>-(-(G85+G86)-G87)</f>
        <v>9579.2368499999993</v>
      </c>
      <c r="H84" s="35">
        <f>-(-(H85+H86)-H87)</f>
        <v>79.00245000000001</v>
      </c>
      <c r="I84" s="35">
        <f>-(-(I85+I86)-I87)</f>
        <v>14</v>
      </c>
      <c r="J84" s="35">
        <f>-(-(J85+J86)-J87)</f>
        <v>-2559.7908400000001</v>
      </c>
      <c r="K84" s="35">
        <f>-(-(K85+K86)-K87)</f>
        <v>-2979.0560799999998</v>
      </c>
      <c r="L84" s="13"/>
      <c r="M84" s="13"/>
      <c r="N84" s="13"/>
      <c r="O84" s="13"/>
      <c r="P84" s="13"/>
      <c r="Q84" s="13"/>
      <c r="R84" s="13"/>
      <c r="S84" s="13"/>
    </row>
    <row r="85" spans="2:19" ht="16" customHeight="1" x14ac:dyDescent="0.45">
      <c r="B85" s="14" t="s">
        <v>841</v>
      </c>
      <c r="C85" s="14" t="s">
        <v>842</v>
      </c>
      <c r="D85" s="61"/>
      <c r="E85" s="62">
        <v>-3185.6074800000001</v>
      </c>
      <c r="F85" s="61"/>
      <c r="G85" s="15">
        <v>-287.76952</v>
      </c>
      <c r="H85" s="15">
        <v>81.220079999999996</v>
      </c>
      <c r="I85" s="15">
        <v>0</v>
      </c>
      <c r="J85" s="15"/>
      <c r="K85" s="15">
        <v>-2979.0580399999999</v>
      </c>
      <c r="L85" s="13"/>
      <c r="M85" s="13"/>
      <c r="N85" s="13"/>
      <c r="O85" s="13"/>
      <c r="P85" s="13"/>
      <c r="Q85" s="13"/>
      <c r="R85" s="13"/>
      <c r="S85" s="13"/>
    </row>
    <row r="86" spans="2:19" ht="16" customHeight="1" x14ac:dyDescent="0.45">
      <c r="B86" s="14" t="s">
        <v>843</v>
      </c>
      <c r="C86" s="14" t="s">
        <v>844</v>
      </c>
      <c r="D86" s="61"/>
      <c r="E86" s="62">
        <v>-1533.94406</v>
      </c>
      <c r="F86" s="61"/>
      <c r="G86" s="15">
        <v>494.36376999999999</v>
      </c>
      <c r="H86" s="15">
        <v>-417.93957999999998</v>
      </c>
      <c r="I86" s="15"/>
      <c r="J86" s="15">
        <v>-1610.37021</v>
      </c>
      <c r="K86" s="15">
        <v>1.9599999999999999E-3</v>
      </c>
      <c r="L86" s="13"/>
      <c r="M86" s="13"/>
      <c r="N86" s="13"/>
      <c r="O86" s="13"/>
      <c r="P86" s="13"/>
      <c r="Q86" s="13"/>
      <c r="R86" s="13"/>
      <c r="S86" s="13"/>
    </row>
    <row r="87" spans="2:19" ht="16" customHeight="1" x14ac:dyDescent="0.45">
      <c r="B87" s="14" t="s">
        <v>845</v>
      </c>
      <c r="C87" s="14" t="s">
        <v>846</v>
      </c>
      <c r="D87" s="61"/>
      <c r="E87" s="62">
        <v>8852.9439199999997</v>
      </c>
      <c r="F87" s="61"/>
      <c r="G87" s="15">
        <v>9372.6425999999992</v>
      </c>
      <c r="H87" s="15">
        <v>415.72194999999999</v>
      </c>
      <c r="I87" s="15">
        <v>14</v>
      </c>
      <c r="J87" s="15">
        <v>-949.42062999999996</v>
      </c>
      <c r="K87" s="15">
        <v>0</v>
      </c>
      <c r="L87" s="13"/>
      <c r="M87" s="13"/>
      <c r="N87" s="13"/>
      <c r="O87" s="13"/>
      <c r="P87" s="13"/>
      <c r="Q87" s="13"/>
      <c r="R87" s="13"/>
      <c r="S87" s="13"/>
    </row>
    <row r="88" spans="2:19" ht="16" customHeight="1" x14ac:dyDescent="0.45">
      <c r="B88" s="11"/>
      <c r="C88" s="11" t="s">
        <v>22</v>
      </c>
      <c r="D88" s="29"/>
      <c r="E88" s="60"/>
      <c r="F88" s="29"/>
      <c r="G88" s="12"/>
      <c r="H88" s="12"/>
      <c r="I88" s="12"/>
      <c r="J88" s="12"/>
      <c r="K88" s="12"/>
      <c r="L88" s="13"/>
      <c r="M88" s="13"/>
      <c r="N88" s="13"/>
      <c r="O88" s="13"/>
      <c r="P88" s="13"/>
      <c r="Q88" s="13"/>
      <c r="R88" s="13"/>
      <c r="S88" s="13"/>
    </row>
    <row r="89" spans="2:19" ht="16" customHeight="1" x14ac:dyDescent="0.45">
      <c r="B89" s="34"/>
      <c r="C89" s="34" t="s">
        <v>847</v>
      </c>
      <c r="D89" s="69"/>
      <c r="E89" s="70">
        <f>-(-(E90+E91)-E92)</f>
        <v>3189.7034399999993</v>
      </c>
      <c r="F89" s="69"/>
      <c r="G89" s="35">
        <f>-(-(G90+G91)-G92)</f>
        <v>2877.5466200000001</v>
      </c>
      <c r="H89" s="35">
        <f>-(-(H90+H91)-H92)</f>
        <v>34.701269999999994</v>
      </c>
      <c r="I89" s="35">
        <f>-(-(I90+I91)-I92)</f>
        <v>46.335610000000003</v>
      </c>
      <c r="J89" s="35">
        <f>-(-(J90+J91)-J92)</f>
        <v>-17.182879999999997</v>
      </c>
      <c r="K89" s="35">
        <f>-(-(K90+K91)-K92)</f>
        <v>248.30282</v>
      </c>
      <c r="L89" s="13"/>
      <c r="M89" s="13"/>
      <c r="N89" s="13"/>
      <c r="O89" s="13"/>
      <c r="P89" s="13"/>
      <c r="Q89" s="13"/>
      <c r="R89" s="13"/>
      <c r="S89" s="13"/>
    </row>
    <row r="90" spans="2:19" ht="16" customHeight="1" x14ac:dyDescent="0.45">
      <c r="B90" s="14" t="s">
        <v>848</v>
      </c>
      <c r="C90" s="14" t="s">
        <v>849</v>
      </c>
      <c r="D90" s="61"/>
      <c r="E90" s="62">
        <v>-1360.6068700000001</v>
      </c>
      <c r="F90" s="61"/>
      <c r="G90" s="15">
        <v>-1442.47487</v>
      </c>
      <c r="H90" s="15">
        <v>-67.180300000000003</v>
      </c>
      <c r="I90" s="15">
        <v>0</v>
      </c>
      <c r="J90" s="15">
        <v>-99.360550000000003</v>
      </c>
      <c r="K90" s="15">
        <v>248.40885</v>
      </c>
      <c r="L90" s="13"/>
      <c r="M90" s="13"/>
      <c r="N90" s="13"/>
      <c r="O90" s="13"/>
      <c r="P90" s="13"/>
      <c r="Q90" s="13"/>
      <c r="R90" s="13"/>
      <c r="S90" s="13"/>
    </row>
    <row r="91" spans="2:19" ht="16" customHeight="1" x14ac:dyDescent="0.45">
      <c r="B91" s="14" t="s">
        <v>850</v>
      </c>
      <c r="C91" s="14" t="s">
        <v>636</v>
      </c>
      <c r="D91" s="61"/>
      <c r="E91" s="62">
        <v>-0.106</v>
      </c>
      <c r="F91" s="61"/>
      <c r="G91" s="15">
        <v>0</v>
      </c>
      <c r="H91" s="15">
        <v>0</v>
      </c>
      <c r="I91" s="15">
        <v>0</v>
      </c>
      <c r="J91" s="15"/>
      <c r="K91" s="15">
        <v>-0.106</v>
      </c>
      <c r="L91" s="13"/>
      <c r="M91" s="13"/>
      <c r="N91" s="13"/>
      <c r="O91" s="13"/>
      <c r="P91" s="13"/>
      <c r="Q91" s="13"/>
      <c r="R91" s="13"/>
      <c r="S91" s="13"/>
    </row>
    <row r="92" spans="2:19" ht="16" customHeight="1" x14ac:dyDescent="0.45">
      <c r="B92" s="14" t="s">
        <v>851</v>
      </c>
      <c r="C92" s="14" t="s">
        <v>852</v>
      </c>
      <c r="D92" s="61"/>
      <c r="E92" s="62">
        <v>4550.4163099999996</v>
      </c>
      <c r="F92" s="61"/>
      <c r="G92" s="15">
        <v>4320.0214900000001</v>
      </c>
      <c r="H92" s="15">
        <v>101.88157</v>
      </c>
      <c r="I92" s="15">
        <v>46.335610000000003</v>
      </c>
      <c r="J92" s="15">
        <v>82.177670000000006</v>
      </c>
      <c r="K92" s="15">
        <v>-3.0000000000000001E-5</v>
      </c>
      <c r="L92" s="13"/>
      <c r="M92" s="13"/>
      <c r="N92" s="13"/>
      <c r="O92" s="13"/>
      <c r="P92" s="13"/>
      <c r="Q92" s="13"/>
      <c r="R92" s="13"/>
      <c r="S92" s="13"/>
    </row>
    <row r="93" spans="2:19" ht="16" customHeight="1" x14ac:dyDescent="0.45">
      <c r="B93" s="11"/>
      <c r="C93" s="11" t="s">
        <v>22</v>
      </c>
      <c r="D93" s="29"/>
      <c r="E93" s="60"/>
      <c r="F93" s="29"/>
      <c r="G93" s="12"/>
      <c r="H93" s="12"/>
      <c r="I93" s="12"/>
      <c r="J93" s="12"/>
      <c r="K93" s="12"/>
      <c r="L93" s="13"/>
      <c r="M93" s="13"/>
      <c r="N93" s="13"/>
      <c r="O93" s="13"/>
      <c r="P93" s="13"/>
      <c r="Q93" s="13"/>
      <c r="R93" s="13"/>
      <c r="S93" s="13"/>
    </row>
    <row r="94" spans="2:19" ht="16" customHeight="1" x14ac:dyDescent="0.45">
      <c r="B94" s="14" t="s">
        <v>853</v>
      </c>
      <c r="C94" s="14" t="s">
        <v>854</v>
      </c>
      <c r="D94" s="61"/>
      <c r="E94" s="62">
        <v>-737.37003000000004</v>
      </c>
      <c r="F94" s="61"/>
      <c r="G94" s="15">
        <v>-677.86104999999998</v>
      </c>
      <c r="H94" s="15">
        <v>-59.508980000000001</v>
      </c>
      <c r="I94" s="15"/>
      <c r="J94" s="15"/>
      <c r="K94" s="15"/>
      <c r="L94" s="13"/>
      <c r="M94" s="13"/>
      <c r="N94" s="13"/>
      <c r="O94" s="13"/>
      <c r="P94" s="13"/>
      <c r="Q94" s="13"/>
      <c r="R94" s="13"/>
      <c r="S94" s="13"/>
    </row>
    <row r="95" spans="2:19" ht="16" customHeight="1" x14ac:dyDescent="0.45">
      <c r="B95" s="11"/>
      <c r="C95" s="11" t="s">
        <v>22</v>
      </c>
      <c r="D95" s="29"/>
      <c r="E95" s="60"/>
      <c r="F95" s="29"/>
      <c r="G95" s="12"/>
      <c r="H95" s="12"/>
      <c r="I95" s="12"/>
      <c r="J95" s="12"/>
      <c r="K95" s="12"/>
      <c r="L95" s="13"/>
      <c r="M95" s="13"/>
      <c r="N95" s="13"/>
      <c r="O95" s="13"/>
      <c r="P95" s="13"/>
      <c r="Q95" s="13"/>
      <c r="R95" s="13"/>
      <c r="S95" s="13"/>
    </row>
    <row r="96" spans="2:19" ht="16" customHeight="1" x14ac:dyDescent="0.45">
      <c r="B96" s="14" t="s">
        <v>855</v>
      </c>
      <c r="C96" s="14" t="s">
        <v>856</v>
      </c>
      <c r="D96" s="61"/>
      <c r="E96" s="62">
        <v>-7160.4168</v>
      </c>
      <c r="F96" s="61"/>
      <c r="G96" s="15">
        <v>-7141.5198899999996</v>
      </c>
      <c r="H96" s="15">
        <v>-18.896909999999998</v>
      </c>
      <c r="I96" s="15">
        <v>0</v>
      </c>
      <c r="J96" s="15"/>
      <c r="K96" s="15"/>
      <c r="L96" s="13"/>
      <c r="M96" s="13"/>
      <c r="N96" s="13"/>
      <c r="O96" s="13"/>
      <c r="P96" s="13"/>
      <c r="Q96" s="13"/>
      <c r="R96" s="13"/>
      <c r="S96" s="13"/>
    </row>
    <row r="97" spans="2:19" ht="16" customHeight="1" x14ac:dyDescent="0.45">
      <c r="B97" s="11"/>
      <c r="C97" s="11" t="s">
        <v>22</v>
      </c>
      <c r="D97" s="29"/>
      <c r="E97" s="60"/>
      <c r="F97" s="29"/>
      <c r="G97" s="12"/>
      <c r="H97" s="12"/>
      <c r="I97" s="12"/>
      <c r="J97" s="12"/>
      <c r="K97" s="12"/>
      <c r="L97" s="13"/>
      <c r="M97" s="13"/>
      <c r="N97" s="13"/>
      <c r="O97" s="13"/>
      <c r="P97" s="13"/>
      <c r="Q97" s="13"/>
      <c r="R97" s="13"/>
      <c r="S97" s="13"/>
    </row>
    <row r="98" spans="2:19" ht="16" customHeight="1" x14ac:dyDescent="0.45">
      <c r="B98" s="34"/>
      <c r="C98" s="34" t="s">
        <v>857</v>
      </c>
      <c r="D98" s="69"/>
      <c r="E98" s="70">
        <f>E78+E80</f>
        <v>-20647.554700000001</v>
      </c>
      <c r="F98" s="69"/>
      <c r="G98" s="35">
        <f>G78+G80</f>
        <v>40557.269180000003</v>
      </c>
      <c r="H98" s="35">
        <f>H78+H80</f>
        <v>-4850.0748300000005</v>
      </c>
      <c r="I98" s="35">
        <f>I78+I80</f>
        <v>6069.5544399999999</v>
      </c>
      <c r="J98" s="35">
        <f>J78+J80</f>
        <v>-980.79798000000005</v>
      </c>
      <c r="K98" s="35">
        <f>K78+K80</f>
        <v>-61443.505509999995</v>
      </c>
      <c r="L98" s="13"/>
      <c r="M98" s="13"/>
      <c r="N98" s="13"/>
      <c r="O98" s="13"/>
      <c r="P98" s="13"/>
      <c r="Q98" s="13"/>
      <c r="R98" s="13"/>
      <c r="S98" s="13"/>
    </row>
    <row r="99" spans="2:19" ht="16" customHeight="1" x14ac:dyDescent="0.45">
      <c r="B99" s="11"/>
      <c r="C99" s="11" t="s">
        <v>22</v>
      </c>
      <c r="D99" s="29"/>
      <c r="E99" s="60"/>
      <c r="F99" s="29"/>
      <c r="G99" s="12"/>
      <c r="H99" s="12"/>
      <c r="I99" s="12"/>
      <c r="J99" s="12"/>
      <c r="K99" s="12"/>
      <c r="L99" s="13"/>
      <c r="M99" s="13"/>
      <c r="N99" s="13"/>
      <c r="O99" s="13"/>
      <c r="P99" s="13"/>
      <c r="Q99" s="13"/>
      <c r="R99" s="13"/>
      <c r="S99" s="13"/>
    </row>
    <row r="100" spans="2:19" ht="16" customHeight="1" x14ac:dyDescent="0.45">
      <c r="B100" s="14" t="s">
        <v>858</v>
      </c>
      <c r="C100" s="14" t="s">
        <v>859</v>
      </c>
      <c r="D100" s="61"/>
      <c r="E100" s="62">
        <v>-3956.4825999999998</v>
      </c>
      <c r="F100" s="61"/>
      <c r="G100" s="15"/>
      <c r="H100" s="15"/>
      <c r="I100" s="15"/>
      <c r="J100" s="15"/>
      <c r="K100" s="15">
        <v>-3956.4825999999998</v>
      </c>
      <c r="L100" s="13"/>
      <c r="M100" s="13"/>
      <c r="N100" s="13"/>
      <c r="O100" s="13"/>
      <c r="P100" s="13"/>
      <c r="Q100" s="13"/>
      <c r="R100" s="13"/>
      <c r="S100" s="13"/>
    </row>
    <row r="101" spans="2:19" ht="16" customHeight="1" x14ac:dyDescent="0.45">
      <c r="B101" s="11"/>
      <c r="C101" s="11" t="s">
        <v>22</v>
      </c>
      <c r="D101" s="29"/>
      <c r="E101" s="60"/>
      <c r="F101" s="29"/>
      <c r="G101" s="12"/>
      <c r="H101" s="12"/>
      <c r="I101" s="12"/>
      <c r="J101" s="12"/>
      <c r="K101" s="12"/>
      <c r="L101" s="13"/>
      <c r="M101" s="13"/>
      <c r="N101" s="13"/>
      <c r="O101" s="13"/>
      <c r="P101" s="13"/>
      <c r="Q101" s="13"/>
      <c r="R101" s="13"/>
      <c r="S101" s="13"/>
    </row>
    <row r="102" spans="2:19" ht="16" customHeight="1" x14ac:dyDescent="0.45">
      <c r="B102" s="40"/>
      <c r="C102" s="40" t="s">
        <v>860</v>
      </c>
      <c r="D102" s="53"/>
      <c r="E102" s="53">
        <f>E16+E18+E19+E21+E25+E29+E38+E43+E54+E58+E60+E98+E100</f>
        <v>111332.50293000003</v>
      </c>
      <c r="F102" s="53"/>
      <c r="G102" s="24">
        <f>G16+G18+G19+G21+G25+G29+G38+G43+G54+G58+G60+G98+G100</f>
        <v>166272.14727999998</v>
      </c>
      <c r="H102" s="24">
        <f>H16+H18+H19+H21+H25+H29+H38+H43+H54+H58+H60+H98+H100</f>
        <v>7321.05555</v>
      </c>
      <c r="I102" s="24">
        <f>I16+I18+I19+I21+I25+I29+I38+I43+I54+I58+I60+I98+I100</f>
        <v>6308.5135300000002</v>
      </c>
      <c r="J102" s="24">
        <f>J16+J18+J19+J21+J25+J29+J38+J43+J54+J58+J60+J98+J100</f>
        <v>-850.33573000000001</v>
      </c>
      <c r="K102" s="24">
        <f>K16+K18+K19+K21+K25+K29+K38+K43+K54+K58+K60+K98+K100</f>
        <v>-67718.877699999997</v>
      </c>
      <c r="L102" s="13"/>
      <c r="M102" s="13"/>
      <c r="N102" s="13"/>
      <c r="O102" s="13"/>
      <c r="P102" s="13"/>
      <c r="Q102" s="13"/>
      <c r="R102" s="13"/>
      <c r="S102" s="13"/>
    </row>
    <row r="103" spans="2:19" ht="16" customHeight="1" x14ac:dyDescent="0.45">
      <c r="B103" s="11"/>
      <c r="C103" s="11" t="s">
        <v>22</v>
      </c>
      <c r="D103" s="29"/>
      <c r="E103" s="60"/>
      <c r="F103" s="29"/>
      <c r="G103" s="12"/>
      <c r="H103" s="12"/>
      <c r="I103" s="12"/>
      <c r="J103" s="12"/>
      <c r="K103" s="12"/>
      <c r="L103" s="13"/>
      <c r="M103" s="13"/>
      <c r="N103" s="13"/>
      <c r="O103" s="13"/>
      <c r="P103" s="13"/>
      <c r="Q103" s="13"/>
      <c r="R103" s="13"/>
      <c r="S103" s="13"/>
    </row>
    <row r="104" spans="2:19" ht="16" customHeight="1" x14ac:dyDescent="0.45">
      <c r="B104" s="34"/>
      <c r="C104" s="34" t="s">
        <v>861</v>
      </c>
      <c r="D104" s="69"/>
      <c r="E104" s="70"/>
      <c r="F104" s="69"/>
      <c r="G104" s="35"/>
      <c r="H104" s="35"/>
      <c r="I104" s="35"/>
      <c r="J104" s="35"/>
      <c r="K104" s="35"/>
      <c r="L104" s="13"/>
      <c r="M104" s="13"/>
      <c r="N104" s="13"/>
      <c r="O104" s="13"/>
      <c r="P104" s="13"/>
      <c r="Q104" s="13"/>
      <c r="R104" s="13"/>
      <c r="S104" s="13"/>
    </row>
    <row r="105" spans="2:19" ht="16" customHeight="1" x14ac:dyDescent="0.45">
      <c r="B105" s="11"/>
      <c r="C105" s="11" t="s">
        <v>22</v>
      </c>
      <c r="D105" s="29"/>
      <c r="E105" s="60"/>
      <c r="F105" s="29"/>
      <c r="G105" s="12"/>
      <c r="H105" s="12"/>
      <c r="I105" s="12"/>
      <c r="J105" s="12"/>
      <c r="K105" s="12"/>
      <c r="L105" s="13"/>
      <c r="M105" s="13"/>
      <c r="N105" s="13"/>
      <c r="O105" s="13"/>
      <c r="P105" s="13"/>
      <c r="Q105" s="13"/>
      <c r="R105" s="13"/>
      <c r="S105" s="13"/>
    </row>
    <row r="106" spans="2:19" ht="16" customHeight="1" x14ac:dyDescent="0.45">
      <c r="B106" s="34"/>
      <c r="C106" s="34" t="s">
        <v>862</v>
      </c>
      <c r="D106" s="69"/>
      <c r="E106" s="70">
        <f>-(-(E107+E108)-E109-E110-E111-E112)</f>
        <v>-36652.850359999997</v>
      </c>
      <c r="F106" s="69"/>
      <c r="G106" s="35">
        <f>-(-(G107+G108)-G109-G110-G111-G112)</f>
        <v>-27226.228279999999</v>
      </c>
      <c r="H106" s="35">
        <f>-(-(H107+H108)-H109-H110-H111-H112)</f>
        <v>-10296.1104</v>
      </c>
      <c r="I106" s="35">
        <f>-(-(I107+I108)-I109-I110-I111-I112)</f>
        <v>0</v>
      </c>
      <c r="J106" s="35">
        <f>-(-(J107+J108)-J109-J110-J111-J112)</f>
        <v>0</v>
      </c>
      <c r="K106" s="35">
        <f>-(-(K107+K108)-K109-K110-K111-K112)</f>
        <v>869.48832000000004</v>
      </c>
      <c r="L106" s="13"/>
      <c r="M106" s="13"/>
      <c r="N106" s="13"/>
      <c r="O106" s="13"/>
      <c r="P106" s="13"/>
      <c r="Q106" s="13"/>
      <c r="R106" s="13"/>
      <c r="S106" s="13"/>
    </row>
    <row r="107" spans="2:19" ht="16" customHeight="1" x14ac:dyDescent="0.45">
      <c r="B107" s="14" t="s">
        <v>863</v>
      </c>
      <c r="C107" s="14" t="s">
        <v>864</v>
      </c>
      <c r="D107" s="61"/>
      <c r="E107" s="62">
        <v>-24874.830399999999</v>
      </c>
      <c r="F107" s="61"/>
      <c r="G107" s="15">
        <v>-16068.49928</v>
      </c>
      <c r="H107" s="15">
        <v>-9675.8194399999993</v>
      </c>
      <c r="I107" s="15"/>
      <c r="J107" s="15"/>
      <c r="K107" s="15">
        <v>869.48832000000004</v>
      </c>
      <c r="L107" s="13"/>
      <c r="M107" s="13"/>
      <c r="N107" s="13"/>
      <c r="O107" s="13"/>
      <c r="P107" s="13"/>
      <c r="Q107" s="13"/>
      <c r="R107" s="13"/>
      <c r="S107" s="13"/>
    </row>
    <row r="108" spans="2:19" ht="16" customHeight="1" x14ac:dyDescent="0.45">
      <c r="B108" s="14" t="s">
        <v>865</v>
      </c>
      <c r="C108" s="14" t="s">
        <v>866</v>
      </c>
      <c r="D108" s="61"/>
      <c r="E108" s="62">
        <v>-2.1722399999999999</v>
      </c>
      <c r="F108" s="61"/>
      <c r="G108" s="15">
        <v>19.55376</v>
      </c>
      <c r="H108" s="15">
        <v>-21.725999999999999</v>
      </c>
      <c r="I108" s="15"/>
      <c r="J108" s="15"/>
      <c r="K108" s="15"/>
      <c r="L108" s="13"/>
      <c r="M108" s="13"/>
      <c r="N108" s="13"/>
      <c r="O108" s="13"/>
      <c r="P108" s="13"/>
      <c r="Q108" s="13"/>
      <c r="R108" s="13"/>
      <c r="S108" s="13"/>
    </row>
    <row r="109" spans="2:19" ht="16" customHeight="1" x14ac:dyDescent="0.45">
      <c r="B109" s="14" t="s">
        <v>867</v>
      </c>
      <c r="C109" s="14" t="s">
        <v>868</v>
      </c>
      <c r="D109" s="61"/>
      <c r="E109" s="62">
        <v>-1703.83203</v>
      </c>
      <c r="F109" s="61"/>
      <c r="G109" s="15">
        <v>-1703.83203</v>
      </c>
      <c r="H109" s="15"/>
      <c r="I109" s="15"/>
      <c r="J109" s="15"/>
      <c r="K109" s="15"/>
      <c r="L109" s="13"/>
      <c r="M109" s="13"/>
      <c r="N109" s="13"/>
      <c r="O109" s="13"/>
      <c r="P109" s="13"/>
      <c r="Q109" s="13"/>
      <c r="R109" s="13"/>
      <c r="S109" s="13"/>
    </row>
    <row r="110" spans="2:19" ht="16" customHeight="1" x14ac:dyDescent="0.45">
      <c r="B110" s="14" t="s">
        <v>869</v>
      </c>
      <c r="C110" s="14" t="s">
        <v>870</v>
      </c>
      <c r="D110" s="61"/>
      <c r="E110" s="62">
        <v>-3395.7184499999998</v>
      </c>
      <c r="F110" s="61"/>
      <c r="G110" s="15">
        <v>-3395.7184499999998</v>
      </c>
      <c r="H110" s="15"/>
      <c r="I110" s="15"/>
      <c r="J110" s="15"/>
      <c r="K110" s="15"/>
      <c r="L110" s="13"/>
      <c r="M110" s="13"/>
      <c r="N110" s="13"/>
      <c r="O110" s="13"/>
      <c r="P110" s="13"/>
      <c r="Q110" s="13"/>
      <c r="R110" s="13"/>
      <c r="S110" s="13"/>
    </row>
    <row r="111" spans="2:19" ht="16" customHeight="1" x14ac:dyDescent="0.45">
      <c r="B111" s="14" t="s">
        <v>871</v>
      </c>
      <c r="C111" s="14" t="s">
        <v>872</v>
      </c>
      <c r="D111" s="61"/>
      <c r="E111" s="62">
        <v>-6636.8540499999999</v>
      </c>
      <c r="F111" s="61"/>
      <c r="G111" s="15">
        <v>-6038.2890900000002</v>
      </c>
      <c r="H111" s="15">
        <v>-598.56496000000004</v>
      </c>
      <c r="I111" s="15"/>
      <c r="J111" s="15"/>
      <c r="K111" s="15">
        <v>0</v>
      </c>
      <c r="L111" s="13"/>
      <c r="M111" s="13"/>
      <c r="N111" s="13"/>
      <c r="O111" s="13"/>
      <c r="P111" s="13"/>
      <c r="Q111" s="13"/>
      <c r="R111" s="13"/>
      <c r="S111" s="13"/>
    </row>
    <row r="112" spans="2:19" ht="16" customHeight="1" x14ac:dyDescent="0.45">
      <c r="B112" s="14" t="s">
        <v>873</v>
      </c>
      <c r="C112" s="14" t="s">
        <v>874</v>
      </c>
      <c r="D112" s="61"/>
      <c r="E112" s="62">
        <v>-39.443190000000001</v>
      </c>
      <c r="F112" s="61"/>
      <c r="G112" s="15">
        <v>-39.443190000000001</v>
      </c>
      <c r="H112" s="15"/>
      <c r="I112" s="15"/>
      <c r="J112" s="15"/>
      <c r="K112" s="15"/>
      <c r="L112" s="13"/>
      <c r="M112" s="13"/>
      <c r="N112" s="13"/>
      <c r="O112" s="13"/>
      <c r="P112" s="13"/>
      <c r="Q112" s="13"/>
      <c r="R112" s="13"/>
      <c r="S112" s="13"/>
    </row>
    <row r="113" spans="2:19" ht="16" customHeight="1" x14ac:dyDescent="0.45">
      <c r="B113" s="11"/>
      <c r="C113" s="11" t="s">
        <v>22</v>
      </c>
      <c r="D113" s="29"/>
      <c r="E113" s="60"/>
      <c r="F113" s="29"/>
      <c r="G113" s="12"/>
      <c r="H113" s="12"/>
      <c r="I113" s="12"/>
      <c r="J113" s="12"/>
      <c r="K113" s="12"/>
      <c r="L113" s="13"/>
      <c r="M113" s="13"/>
      <c r="N113" s="13"/>
      <c r="O113" s="13"/>
      <c r="P113" s="13"/>
      <c r="Q113" s="13"/>
      <c r="R113" s="13"/>
      <c r="S113" s="13"/>
    </row>
    <row r="114" spans="2:19" ht="16" customHeight="1" x14ac:dyDescent="0.45">
      <c r="B114" s="34"/>
      <c r="C114" s="34" t="s">
        <v>875</v>
      </c>
      <c r="D114" s="69"/>
      <c r="E114" s="70">
        <f>-(-(E115+E116)-E117-E118)</f>
        <v>-3745.2883099999999</v>
      </c>
      <c r="F114" s="69"/>
      <c r="G114" s="35">
        <f>-(-(G115+G116)-G117-G118)</f>
        <v>-735.20422999999982</v>
      </c>
      <c r="H114" s="35">
        <f>-(-(H115+H116)-H117-H118)</f>
        <v>-107.38018</v>
      </c>
      <c r="I114" s="35">
        <f>-(-(I115+I116)-I117-I118)</f>
        <v>0</v>
      </c>
      <c r="J114" s="35">
        <f>-(-(J115+J116)-J117-J118)</f>
        <v>0</v>
      </c>
      <c r="K114" s="35">
        <f>-(-(K115+K116)-K117-K118)</f>
        <v>-2902.7039</v>
      </c>
      <c r="L114" s="13"/>
      <c r="M114" s="13"/>
      <c r="N114" s="13"/>
      <c r="O114" s="13"/>
      <c r="P114" s="13"/>
      <c r="Q114" s="13"/>
      <c r="R114" s="13"/>
      <c r="S114" s="13"/>
    </row>
    <row r="115" spans="2:19" ht="16" customHeight="1" x14ac:dyDescent="0.45">
      <c r="B115" s="14" t="s">
        <v>876</v>
      </c>
      <c r="C115" s="14" t="s">
        <v>877</v>
      </c>
      <c r="D115" s="61"/>
      <c r="E115" s="62">
        <v>0</v>
      </c>
      <c r="F115" s="61"/>
      <c r="G115" s="15">
        <v>0</v>
      </c>
      <c r="H115" s="15"/>
      <c r="I115" s="15"/>
      <c r="J115" s="15"/>
      <c r="K115" s="15"/>
      <c r="L115" s="13"/>
      <c r="M115" s="13"/>
      <c r="N115" s="13"/>
      <c r="O115" s="13"/>
      <c r="P115" s="13"/>
      <c r="Q115" s="13"/>
      <c r="R115" s="13"/>
      <c r="S115" s="13"/>
    </row>
    <row r="116" spans="2:19" ht="16" customHeight="1" x14ac:dyDescent="0.45">
      <c r="B116" s="14" t="s">
        <v>878</v>
      </c>
      <c r="C116" s="14" t="s">
        <v>879</v>
      </c>
      <c r="D116" s="61"/>
      <c r="E116" s="62">
        <v>-521.66728000000001</v>
      </c>
      <c r="F116" s="61"/>
      <c r="G116" s="15">
        <v>2488.4168</v>
      </c>
      <c r="H116" s="15">
        <v>-107.38018</v>
      </c>
      <c r="I116" s="15"/>
      <c r="J116" s="15"/>
      <c r="K116" s="15">
        <v>-2902.7039</v>
      </c>
      <c r="L116" s="13"/>
      <c r="M116" s="13"/>
      <c r="N116" s="13"/>
      <c r="O116" s="13"/>
      <c r="P116" s="13"/>
      <c r="Q116" s="13"/>
      <c r="R116" s="13"/>
      <c r="S116" s="13"/>
    </row>
    <row r="117" spans="2:19" ht="16" customHeight="1" x14ac:dyDescent="0.45">
      <c r="B117" s="14" t="s">
        <v>880</v>
      </c>
      <c r="C117" s="14" t="s">
        <v>881</v>
      </c>
      <c r="D117" s="61"/>
      <c r="E117" s="62">
        <v>-170.07039</v>
      </c>
      <c r="F117" s="61"/>
      <c r="G117" s="15">
        <v>-170.07039</v>
      </c>
      <c r="H117" s="15"/>
      <c r="I117" s="15"/>
      <c r="J117" s="15"/>
      <c r="K117" s="15">
        <v>0</v>
      </c>
      <c r="L117" s="13"/>
      <c r="M117" s="13"/>
      <c r="N117" s="13"/>
      <c r="O117" s="13"/>
      <c r="P117" s="13"/>
      <c r="Q117" s="13"/>
      <c r="R117" s="13"/>
      <c r="S117" s="13"/>
    </row>
    <row r="118" spans="2:19" ht="16" customHeight="1" x14ac:dyDescent="0.45">
      <c r="B118" s="14" t="s">
        <v>882</v>
      </c>
      <c r="C118" s="14" t="s">
        <v>883</v>
      </c>
      <c r="D118" s="61"/>
      <c r="E118" s="62">
        <v>-3053.5506399999999</v>
      </c>
      <c r="F118" s="61"/>
      <c r="G118" s="15">
        <v>-3053.5506399999999</v>
      </c>
      <c r="H118" s="15"/>
      <c r="I118" s="15"/>
      <c r="J118" s="15"/>
      <c r="K118" s="15"/>
      <c r="L118" s="13"/>
      <c r="M118" s="13"/>
      <c r="N118" s="13"/>
      <c r="O118" s="13"/>
      <c r="P118" s="13"/>
      <c r="Q118" s="13"/>
      <c r="R118" s="13"/>
      <c r="S118" s="13"/>
    </row>
    <row r="119" spans="2:19" ht="16" customHeight="1" x14ac:dyDescent="0.45">
      <c r="B119" s="11"/>
      <c r="C119" s="11" t="s">
        <v>22</v>
      </c>
      <c r="D119" s="29"/>
      <c r="E119" s="60"/>
      <c r="F119" s="29"/>
      <c r="G119" s="12"/>
      <c r="H119" s="12"/>
      <c r="I119" s="12"/>
      <c r="J119" s="12"/>
      <c r="K119" s="12"/>
      <c r="L119" s="13"/>
      <c r="M119" s="13"/>
      <c r="N119" s="13"/>
      <c r="O119" s="13"/>
      <c r="P119" s="13"/>
      <c r="Q119" s="13"/>
      <c r="R119" s="13"/>
      <c r="S119" s="13"/>
    </row>
    <row r="120" spans="2:19" ht="16" customHeight="1" x14ac:dyDescent="0.45">
      <c r="B120" s="34"/>
      <c r="C120" s="34" t="s">
        <v>884</v>
      </c>
      <c r="D120" s="69"/>
      <c r="E120" s="70">
        <f>E106+E114</f>
        <v>-40398.13867</v>
      </c>
      <c r="F120" s="69"/>
      <c r="G120" s="35">
        <f>G106+G114</f>
        <v>-27961.432509999999</v>
      </c>
      <c r="H120" s="35">
        <f>H106+H114</f>
        <v>-10403.49058</v>
      </c>
      <c r="I120" s="35">
        <f>I106+I114</f>
        <v>0</v>
      </c>
      <c r="J120" s="35">
        <f>J106+J114</f>
        <v>0</v>
      </c>
      <c r="K120" s="35">
        <f>K106+K114</f>
        <v>-2033.21558</v>
      </c>
      <c r="L120" s="13"/>
      <c r="M120" s="13"/>
      <c r="N120" s="13"/>
      <c r="O120" s="13"/>
      <c r="P120" s="13"/>
      <c r="Q120" s="13"/>
      <c r="R120" s="13"/>
      <c r="S120" s="13"/>
    </row>
    <row r="121" spans="2:19" ht="16" customHeight="1" x14ac:dyDescent="0.45">
      <c r="B121" s="11"/>
      <c r="C121" s="11" t="s">
        <v>22</v>
      </c>
      <c r="D121" s="29"/>
      <c r="E121" s="60"/>
      <c r="F121" s="29"/>
      <c r="G121" s="12"/>
      <c r="H121" s="12"/>
      <c r="I121" s="12"/>
      <c r="J121" s="12"/>
      <c r="K121" s="12"/>
      <c r="L121" s="13"/>
      <c r="M121" s="13"/>
      <c r="N121" s="13"/>
      <c r="O121" s="13"/>
      <c r="P121" s="13"/>
      <c r="Q121" s="13"/>
      <c r="R121" s="13"/>
      <c r="S121" s="13"/>
    </row>
    <row r="122" spans="2:19" ht="16" customHeight="1" x14ac:dyDescent="0.45">
      <c r="B122" s="34"/>
      <c r="C122" s="34" t="s">
        <v>885</v>
      </c>
      <c r="D122" s="69"/>
      <c r="E122" s="70">
        <f>E123+E124</f>
        <v>0</v>
      </c>
      <c r="F122" s="69"/>
      <c r="G122" s="35">
        <f>G123+G124</f>
        <v>0</v>
      </c>
      <c r="H122" s="35">
        <f>H123+H124</f>
        <v>0</v>
      </c>
      <c r="I122" s="35">
        <f>I123+I124</f>
        <v>0</v>
      </c>
      <c r="J122" s="35">
        <f>J123+J124</f>
        <v>0</v>
      </c>
      <c r="K122" s="35">
        <f>K123+K124</f>
        <v>0</v>
      </c>
      <c r="L122" s="13"/>
      <c r="M122" s="13"/>
      <c r="N122" s="13"/>
      <c r="O122" s="13"/>
      <c r="P122" s="13"/>
      <c r="Q122" s="13"/>
      <c r="R122" s="13"/>
      <c r="S122" s="13"/>
    </row>
    <row r="123" spans="2:19" ht="16" customHeight="1" x14ac:dyDescent="0.45">
      <c r="B123" s="14" t="s">
        <v>886</v>
      </c>
      <c r="C123" s="14" t="s">
        <v>887</v>
      </c>
      <c r="D123" s="61"/>
      <c r="E123" s="62"/>
      <c r="F123" s="61"/>
      <c r="G123" s="15"/>
      <c r="H123" s="15"/>
      <c r="I123" s="15"/>
      <c r="J123" s="15"/>
      <c r="K123" s="15"/>
      <c r="L123" s="13"/>
      <c r="M123" s="13"/>
      <c r="N123" s="13"/>
      <c r="O123" s="13"/>
      <c r="P123" s="13"/>
      <c r="Q123" s="13"/>
      <c r="R123" s="13"/>
      <c r="S123" s="13"/>
    </row>
    <row r="124" spans="2:19" ht="16" customHeight="1" x14ac:dyDescent="0.45">
      <c r="B124" s="14" t="s">
        <v>888</v>
      </c>
      <c r="C124" s="14" t="s">
        <v>889</v>
      </c>
      <c r="D124" s="61"/>
      <c r="E124" s="62"/>
      <c r="F124" s="61"/>
      <c r="G124" s="15"/>
      <c r="H124" s="15"/>
      <c r="I124" s="15"/>
      <c r="J124" s="15"/>
      <c r="K124" s="15"/>
      <c r="L124" s="13"/>
      <c r="M124" s="13"/>
      <c r="N124" s="13"/>
      <c r="O124" s="13"/>
      <c r="P124" s="13"/>
      <c r="Q124" s="13"/>
      <c r="R124" s="13"/>
      <c r="S124" s="13"/>
    </row>
    <row r="125" spans="2:19" ht="16" customHeight="1" x14ac:dyDescent="0.45">
      <c r="B125" s="11"/>
      <c r="C125" s="11" t="s">
        <v>22</v>
      </c>
      <c r="D125" s="29"/>
      <c r="E125" s="60"/>
      <c r="F125" s="29"/>
      <c r="G125" s="12"/>
      <c r="H125" s="12"/>
      <c r="I125" s="12"/>
      <c r="J125" s="12"/>
      <c r="K125" s="12"/>
      <c r="L125" s="13"/>
      <c r="M125" s="13"/>
      <c r="N125" s="13"/>
      <c r="O125" s="13"/>
      <c r="P125" s="13"/>
      <c r="Q125" s="13"/>
      <c r="R125" s="13"/>
      <c r="S125" s="13"/>
    </row>
    <row r="126" spans="2:19" ht="16" customHeight="1" x14ac:dyDescent="0.45">
      <c r="B126" s="34"/>
      <c r="C126" s="34" t="s">
        <v>890</v>
      </c>
      <c r="D126" s="69"/>
      <c r="E126" s="70">
        <f>E120+E122</f>
        <v>-40398.13867</v>
      </c>
      <c r="F126" s="69"/>
      <c r="G126" s="35">
        <f>G120+G122</f>
        <v>-27961.432509999999</v>
      </c>
      <c r="H126" s="35">
        <f>H120+H122</f>
        <v>-10403.49058</v>
      </c>
      <c r="I126" s="35">
        <f>I120+I122</f>
        <v>0</v>
      </c>
      <c r="J126" s="35">
        <f>J120+J122</f>
        <v>0</v>
      </c>
      <c r="K126" s="35">
        <f>K120+K122</f>
        <v>-2033.21558</v>
      </c>
      <c r="L126" s="13"/>
      <c r="M126" s="13"/>
      <c r="N126" s="13"/>
      <c r="O126" s="13"/>
      <c r="P126" s="13"/>
      <c r="Q126" s="13"/>
      <c r="R126" s="13"/>
      <c r="S126" s="13"/>
    </row>
    <row r="127" spans="2:19" ht="16" customHeight="1" x14ac:dyDescent="0.45">
      <c r="B127" s="11"/>
      <c r="C127" s="11" t="s">
        <v>22</v>
      </c>
      <c r="D127" s="29"/>
      <c r="E127" s="60"/>
      <c r="F127" s="29"/>
      <c r="G127" s="12"/>
      <c r="H127" s="12"/>
      <c r="I127" s="12"/>
      <c r="J127" s="12"/>
      <c r="K127" s="12"/>
      <c r="L127" s="13"/>
      <c r="M127" s="13"/>
      <c r="N127" s="13"/>
      <c r="O127" s="13"/>
      <c r="P127" s="13"/>
      <c r="Q127" s="13"/>
      <c r="R127" s="13"/>
      <c r="S127" s="13"/>
    </row>
    <row r="128" spans="2:19" ht="16" customHeight="1" x14ac:dyDescent="0.45">
      <c r="B128" s="34" t="s">
        <v>891</v>
      </c>
      <c r="C128" s="34" t="s">
        <v>892</v>
      </c>
      <c r="D128" s="69"/>
      <c r="E128" s="70">
        <f>E129+E130</f>
        <v>0</v>
      </c>
      <c r="F128" s="69"/>
      <c r="G128" s="35">
        <f>G129+G130</f>
        <v>0</v>
      </c>
      <c r="H128" s="35">
        <f>H129+H130</f>
        <v>0</v>
      </c>
      <c r="I128" s="35">
        <f>I129+I130</f>
        <v>0</v>
      </c>
      <c r="J128" s="35">
        <f>J129+J130</f>
        <v>0</v>
      </c>
      <c r="K128" s="35">
        <f>K129+K130</f>
        <v>0</v>
      </c>
      <c r="L128" s="13"/>
      <c r="M128" s="13"/>
      <c r="N128" s="13"/>
      <c r="O128" s="13"/>
      <c r="P128" s="13"/>
      <c r="Q128" s="13"/>
      <c r="R128" s="13"/>
      <c r="S128" s="13"/>
    </row>
    <row r="129" spans="2:19" ht="16" customHeight="1" x14ac:dyDescent="0.45">
      <c r="B129" s="14"/>
      <c r="C129" s="14" t="s">
        <v>894</v>
      </c>
      <c r="D129" s="61"/>
      <c r="E129" s="62"/>
      <c r="F129" s="61"/>
      <c r="G129" s="15"/>
      <c r="H129" s="15"/>
      <c r="I129" s="15"/>
      <c r="J129" s="15"/>
      <c r="K129" s="15"/>
      <c r="L129" s="13"/>
      <c r="M129" s="13"/>
      <c r="N129" s="13"/>
      <c r="O129" s="13"/>
      <c r="P129" s="13"/>
      <c r="Q129" s="13"/>
      <c r="R129" s="13"/>
      <c r="S129" s="13"/>
    </row>
    <row r="130" spans="2:19" ht="16" customHeight="1" x14ac:dyDescent="0.45">
      <c r="B130" s="14"/>
      <c r="C130" s="14" t="s">
        <v>896</v>
      </c>
      <c r="D130" s="61"/>
      <c r="E130" s="62">
        <v>0</v>
      </c>
      <c r="F130" s="61"/>
      <c r="G130" s="15">
        <v>0</v>
      </c>
      <c r="H130" s="15"/>
      <c r="I130" s="15"/>
      <c r="J130" s="15"/>
      <c r="K130" s="15"/>
      <c r="L130" s="13"/>
      <c r="M130" s="13"/>
      <c r="N130" s="13"/>
      <c r="O130" s="13"/>
      <c r="P130" s="13"/>
      <c r="Q130" s="13"/>
      <c r="R130" s="13"/>
      <c r="S130" s="13"/>
    </row>
    <row r="131" spans="2:19" ht="16" customHeight="1" x14ac:dyDescent="0.45">
      <c r="B131" s="11"/>
      <c r="C131" s="11" t="s">
        <v>22</v>
      </c>
      <c r="D131" s="29"/>
      <c r="E131" s="60"/>
      <c r="F131" s="29"/>
      <c r="G131" s="12"/>
      <c r="H131" s="12"/>
      <c r="I131" s="12"/>
      <c r="J131" s="12"/>
      <c r="K131" s="12"/>
      <c r="L131" s="13"/>
      <c r="M131" s="13"/>
      <c r="N131" s="13"/>
      <c r="O131" s="13"/>
      <c r="P131" s="13"/>
      <c r="Q131" s="13"/>
      <c r="R131" s="13"/>
      <c r="S131" s="13"/>
    </row>
    <row r="132" spans="2:19" ht="16" customHeight="1" x14ac:dyDescent="0.45">
      <c r="B132" s="34"/>
      <c r="C132" s="34" t="s">
        <v>897</v>
      </c>
      <c r="D132" s="69"/>
      <c r="E132" s="70">
        <f>E126+E128</f>
        <v>-40398.13867</v>
      </c>
      <c r="F132" s="69"/>
      <c r="G132" s="35">
        <f>G126+G128</f>
        <v>-27961.432509999999</v>
      </c>
      <c r="H132" s="35">
        <f>H126+H128</f>
        <v>-10403.49058</v>
      </c>
      <c r="I132" s="35">
        <f>I126+I128</f>
        <v>0</v>
      </c>
      <c r="J132" s="35">
        <f>J126+J128</f>
        <v>0</v>
      </c>
      <c r="K132" s="35">
        <f>K126+K128</f>
        <v>-2033.21558</v>
      </c>
      <c r="L132" s="13"/>
      <c r="M132" s="13"/>
      <c r="N132" s="13"/>
      <c r="O132" s="13"/>
      <c r="P132" s="13"/>
      <c r="Q132" s="13"/>
      <c r="R132" s="13"/>
      <c r="S132" s="13"/>
    </row>
    <row r="133" spans="2:19" ht="16" customHeight="1" x14ac:dyDescent="0.45">
      <c r="B133" s="11"/>
      <c r="C133" s="11" t="s">
        <v>22</v>
      </c>
      <c r="D133" s="29"/>
      <c r="E133" s="60"/>
      <c r="F133" s="29"/>
      <c r="G133" s="12"/>
      <c r="H133" s="12"/>
      <c r="I133" s="12"/>
      <c r="J133" s="12"/>
      <c r="K133" s="12"/>
      <c r="L133" s="13"/>
      <c r="M133" s="13"/>
      <c r="N133" s="13"/>
      <c r="O133" s="13"/>
      <c r="P133" s="13"/>
      <c r="Q133" s="13"/>
      <c r="R133" s="13"/>
      <c r="S133" s="13"/>
    </row>
    <row r="134" spans="2:19" ht="16" customHeight="1" x14ac:dyDescent="0.45">
      <c r="B134" s="34"/>
      <c r="C134" s="34" t="s">
        <v>898</v>
      </c>
      <c r="D134" s="69"/>
      <c r="E134" s="70">
        <f>E135+E136</f>
        <v>0</v>
      </c>
      <c r="F134" s="69"/>
      <c r="G134" s="35">
        <f>G135+G136</f>
        <v>0</v>
      </c>
      <c r="H134" s="35">
        <f>H135+H136</f>
        <v>0</v>
      </c>
      <c r="I134" s="35">
        <f>I135+I136</f>
        <v>0</v>
      </c>
      <c r="J134" s="35">
        <f>J135+J136</f>
        <v>0</v>
      </c>
      <c r="K134" s="35">
        <f>K135+K136</f>
        <v>0</v>
      </c>
      <c r="L134" s="13"/>
      <c r="M134" s="13"/>
      <c r="N134" s="13"/>
      <c r="O134" s="13"/>
      <c r="P134" s="13"/>
      <c r="Q134" s="13"/>
      <c r="R134" s="13"/>
      <c r="S134" s="13"/>
    </row>
    <row r="135" spans="2:19" ht="16" customHeight="1" x14ac:dyDescent="0.45">
      <c r="B135" s="14" t="s">
        <v>899</v>
      </c>
      <c r="C135" s="14" t="s">
        <v>900</v>
      </c>
      <c r="D135" s="61"/>
      <c r="E135" s="62"/>
      <c r="F135" s="61"/>
      <c r="G135" s="15"/>
      <c r="H135" s="15"/>
      <c r="I135" s="15"/>
      <c r="J135" s="15"/>
      <c r="K135" s="15"/>
      <c r="L135" s="13"/>
      <c r="M135" s="13"/>
      <c r="N135" s="13"/>
      <c r="O135" s="13"/>
      <c r="P135" s="13"/>
      <c r="Q135" s="13"/>
      <c r="R135" s="13"/>
      <c r="S135" s="13"/>
    </row>
    <row r="136" spans="2:19" ht="16" customHeight="1" x14ac:dyDescent="0.45">
      <c r="B136" s="14" t="s">
        <v>901</v>
      </c>
      <c r="C136" s="14" t="s">
        <v>902</v>
      </c>
      <c r="D136" s="61"/>
      <c r="E136" s="62"/>
      <c r="F136" s="61"/>
      <c r="G136" s="15"/>
      <c r="H136" s="15"/>
      <c r="I136" s="15"/>
      <c r="J136" s="15"/>
      <c r="K136" s="15"/>
      <c r="L136" s="13"/>
      <c r="M136" s="13"/>
      <c r="N136" s="13"/>
      <c r="O136" s="13"/>
      <c r="P136" s="13"/>
      <c r="Q136" s="13"/>
      <c r="R136" s="13"/>
      <c r="S136" s="13"/>
    </row>
    <row r="137" spans="2:19" ht="16" customHeight="1" x14ac:dyDescent="0.45">
      <c r="B137" s="11"/>
      <c r="C137" s="11" t="s">
        <v>22</v>
      </c>
      <c r="D137" s="29"/>
      <c r="E137" s="60"/>
      <c r="F137" s="29"/>
      <c r="G137" s="12"/>
      <c r="H137" s="12"/>
      <c r="I137" s="12"/>
      <c r="J137" s="12"/>
      <c r="K137" s="12"/>
      <c r="L137" s="13"/>
      <c r="M137" s="13"/>
      <c r="N137" s="13"/>
      <c r="O137" s="13"/>
      <c r="P137" s="13"/>
      <c r="Q137" s="13"/>
      <c r="R137" s="13"/>
      <c r="S137" s="13"/>
    </row>
    <row r="138" spans="2:19" ht="16" customHeight="1" x14ac:dyDescent="0.45">
      <c r="B138" s="34"/>
      <c r="C138" s="34" t="s">
        <v>903</v>
      </c>
      <c r="D138" s="69"/>
      <c r="E138" s="70">
        <f>E139+E140</f>
        <v>0</v>
      </c>
      <c r="F138" s="69"/>
      <c r="G138" s="35">
        <f>G139+G140</f>
        <v>0</v>
      </c>
      <c r="H138" s="35">
        <f>H139+H140</f>
        <v>0</v>
      </c>
      <c r="I138" s="35">
        <f>I139+I140</f>
        <v>0</v>
      </c>
      <c r="J138" s="35">
        <f>J139+J140</f>
        <v>0</v>
      </c>
      <c r="K138" s="35">
        <f>K139+K140</f>
        <v>0</v>
      </c>
      <c r="L138" s="13"/>
      <c r="M138" s="13"/>
      <c r="N138" s="13"/>
      <c r="O138" s="13"/>
      <c r="P138" s="13"/>
      <c r="Q138" s="13"/>
      <c r="R138" s="13"/>
      <c r="S138" s="13"/>
    </row>
    <row r="139" spans="2:19" ht="16" customHeight="1" x14ac:dyDescent="0.45">
      <c r="B139" s="14" t="s">
        <v>904</v>
      </c>
      <c r="C139" s="14" t="s">
        <v>905</v>
      </c>
      <c r="D139" s="61"/>
      <c r="E139" s="62"/>
      <c r="F139" s="61"/>
      <c r="G139" s="15"/>
      <c r="H139" s="15"/>
      <c r="I139" s="15"/>
      <c r="J139" s="15"/>
      <c r="K139" s="15"/>
      <c r="L139" s="13"/>
      <c r="M139" s="13"/>
      <c r="N139" s="13"/>
      <c r="O139" s="13"/>
      <c r="P139" s="13"/>
      <c r="Q139" s="13"/>
      <c r="R139" s="13"/>
      <c r="S139" s="13"/>
    </row>
    <row r="140" spans="2:19" ht="16" customHeight="1" x14ac:dyDescent="0.45">
      <c r="B140" s="14" t="s">
        <v>906</v>
      </c>
      <c r="C140" s="14" t="s">
        <v>907</v>
      </c>
      <c r="D140" s="61"/>
      <c r="E140" s="62">
        <f>E141+E142</f>
        <v>0</v>
      </c>
      <c r="F140" s="61"/>
      <c r="G140" s="15">
        <f>G141+G142</f>
        <v>0</v>
      </c>
      <c r="H140" s="15">
        <f>H141+H142</f>
        <v>0</v>
      </c>
      <c r="I140" s="15">
        <f>I141+I142</f>
        <v>0</v>
      </c>
      <c r="J140" s="15">
        <f>J141+J142</f>
        <v>0</v>
      </c>
      <c r="K140" s="15">
        <f>K141+K142</f>
        <v>0</v>
      </c>
      <c r="L140" s="13"/>
      <c r="M140" s="13"/>
      <c r="N140" s="13"/>
      <c r="O140" s="13"/>
      <c r="P140" s="13"/>
      <c r="Q140" s="13"/>
      <c r="R140" s="13"/>
      <c r="S140" s="13"/>
    </row>
    <row r="141" spans="2:19" ht="16" customHeight="1" x14ac:dyDescent="0.45">
      <c r="B141" s="14"/>
      <c r="C141" s="14" t="s">
        <v>909</v>
      </c>
      <c r="D141" s="61"/>
      <c r="E141" s="62"/>
      <c r="F141" s="61"/>
      <c r="G141" s="15"/>
      <c r="H141" s="15"/>
      <c r="I141" s="15"/>
      <c r="J141" s="15"/>
      <c r="K141" s="15"/>
      <c r="L141" s="13"/>
      <c r="M141" s="13"/>
      <c r="N141" s="13"/>
      <c r="O141" s="13"/>
      <c r="P141" s="13"/>
      <c r="Q141" s="13"/>
      <c r="R141" s="13"/>
      <c r="S141" s="13"/>
    </row>
    <row r="142" spans="2:19" ht="16" customHeight="1" x14ac:dyDescent="0.45">
      <c r="B142" s="14"/>
      <c r="C142" s="14" t="s">
        <v>911</v>
      </c>
      <c r="D142" s="61"/>
      <c r="E142" s="62"/>
      <c r="F142" s="61"/>
      <c r="G142" s="15"/>
      <c r="H142" s="15"/>
      <c r="I142" s="15"/>
      <c r="J142" s="15"/>
      <c r="K142" s="15"/>
      <c r="L142" s="13"/>
      <c r="M142" s="13"/>
      <c r="N142" s="13"/>
      <c r="O142" s="13"/>
      <c r="P142" s="13"/>
      <c r="Q142" s="13"/>
      <c r="R142" s="13"/>
      <c r="S142" s="13"/>
    </row>
    <row r="143" spans="2:19" ht="16" customHeight="1" x14ac:dyDescent="0.45">
      <c r="B143" s="11"/>
      <c r="C143" s="11" t="s">
        <v>22</v>
      </c>
      <c r="D143" s="29"/>
      <c r="E143" s="60"/>
      <c r="F143" s="29"/>
      <c r="G143" s="12"/>
      <c r="H143" s="12"/>
      <c r="I143" s="12"/>
      <c r="J143" s="12"/>
      <c r="K143" s="12"/>
      <c r="L143" s="13"/>
      <c r="M143" s="13"/>
      <c r="N143" s="13"/>
      <c r="O143" s="13"/>
      <c r="P143" s="13"/>
      <c r="Q143" s="13"/>
      <c r="R143" s="13"/>
      <c r="S143" s="13"/>
    </row>
    <row r="144" spans="2:19" ht="16" customHeight="1" x14ac:dyDescent="0.45">
      <c r="B144" s="34"/>
      <c r="C144" s="34" t="s">
        <v>912</v>
      </c>
      <c r="D144" s="69"/>
      <c r="E144" s="70">
        <f>E145+E146</f>
        <v>-68700</v>
      </c>
      <c r="F144" s="69"/>
      <c r="G144" s="35">
        <f>G145+G146</f>
        <v>0</v>
      </c>
      <c r="H144" s="35">
        <f>H145+H146</f>
        <v>0</v>
      </c>
      <c r="I144" s="35">
        <f>I145+I146</f>
        <v>0</v>
      </c>
      <c r="J144" s="35">
        <f>J145+J146</f>
        <v>0</v>
      </c>
      <c r="K144" s="35">
        <f>K145+K146</f>
        <v>-68700</v>
      </c>
      <c r="L144" s="13"/>
      <c r="M144" s="13"/>
      <c r="N144" s="13"/>
      <c r="O144" s="13"/>
      <c r="P144" s="13"/>
      <c r="Q144" s="13"/>
      <c r="R144" s="13"/>
      <c r="S144" s="13"/>
    </row>
    <row r="145" spans="2:19" ht="16" customHeight="1" x14ac:dyDescent="0.45">
      <c r="B145" s="14" t="s">
        <v>913</v>
      </c>
      <c r="C145" s="14" t="s">
        <v>914</v>
      </c>
      <c r="D145" s="61"/>
      <c r="E145" s="62">
        <v>-68700</v>
      </c>
      <c r="F145" s="61"/>
      <c r="G145" s="15"/>
      <c r="H145" s="15"/>
      <c r="I145" s="15"/>
      <c r="J145" s="15"/>
      <c r="K145" s="15">
        <v>-68700</v>
      </c>
      <c r="L145" s="13"/>
      <c r="M145" s="13"/>
      <c r="N145" s="13"/>
      <c r="O145" s="13"/>
      <c r="P145" s="13"/>
      <c r="Q145" s="13"/>
      <c r="R145" s="13"/>
      <c r="S145" s="13"/>
    </row>
    <row r="146" spans="2:19" ht="16" customHeight="1" x14ac:dyDescent="0.45">
      <c r="B146" s="14" t="s">
        <v>915</v>
      </c>
      <c r="C146" s="14" t="s">
        <v>916</v>
      </c>
      <c r="D146" s="61"/>
      <c r="E146" s="62"/>
      <c r="F146" s="61"/>
      <c r="G146" s="15"/>
      <c r="H146" s="15"/>
      <c r="I146" s="15"/>
      <c r="J146" s="15"/>
      <c r="K146" s="15"/>
      <c r="L146" s="13"/>
      <c r="M146" s="13"/>
      <c r="N146" s="13"/>
      <c r="O146" s="13"/>
      <c r="P146" s="13"/>
      <c r="Q146" s="13"/>
      <c r="R146" s="13"/>
      <c r="S146" s="13"/>
    </row>
    <row r="147" spans="2:19" ht="16" customHeight="1" x14ac:dyDescent="0.45">
      <c r="B147" s="11"/>
      <c r="C147" s="11" t="s">
        <v>22</v>
      </c>
      <c r="D147" s="29"/>
      <c r="E147" s="60"/>
      <c r="F147" s="29"/>
      <c r="G147" s="12"/>
      <c r="H147" s="12"/>
      <c r="I147" s="12"/>
      <c r="J147" s="12"/>
      <c r="K147" s="12"/>
      <c r="L147" s="13"/>
      <c r="M147" s="13"/>
      <c r="N147" s="13"/>
      <c r="O147" s="13"/>
      <c r="P147" s="13"/>
      <c r="Q147" s="13"/>
      <c r="R147" s="13"/>
      <c r="S147" s="13"/>
    </row>
    <row r="148" spans="2:19" ht="16" customHeight="1" x14ac:dyDescent="0.45">
      <c r="B148" s="34"/>
      <c r="C148" s="34" t="s">
        <v>917</v>
      </c>
      <c r="D148" s="69"/>
      <c r="E148" s="70">
        <f>E149+E150</f>
        <v>-15780.291950000001</v>
      </c>
      <c r="F148" s="69"/>
      <c r="G148" s="35">
        <f>G149+G150</f>
        <v>0</v>
      </c>
      <c r="H148" s="35">
        <f>H149+H150</f>
        <v>0</v>
      </c>
      <c r="I148" s="35">
        <f>I149+I150</f>
        <v>0</v>
      </c>
      <c r="J148" s="35">
        <f>J149+J150</f>
        <v>0</v>
      </c>
      <c r="K148" s="35">
        <f>K149+K150</f>
        <v>-15780.291950000001</v>
      </c>
      <c r="L148" s="13"/>
      <c r="M148" s="13"/>
      <c r="N148" s="13"/>
      <c r="O148" s="13"/>
      <c r="P148" s="13"/>
      <c r="Q148" s="13"/>
      <c r="R148" s="13"/>
      <c r="S148" s="13"/>
    </row>
    <row r="149" spans="2:19" ht="16" customHeight="1" x14ac:dyDescent="0.45">
      <c r="B149" s="14" t="s">
        <v>918</v>
      </c>
      <c r="C149" s="14" t="s">
        <v>919</v>
      </c>
      <c r="D149" s="61"/>
      <c r="E149" s="62">
        <v>-15789.914580000001</v>
      </c>
      <c r="F149" s="61"/>
      <c r="G149" s="15"/>
      <c r="H149" s="15"/>
      <c r="I149" s="15"/>
      <c r="J149" s="15"/>
      <c r="K149" s="15">
        <v>-15789.914580000001</v>
      </c>
      <c r="L149" s="13"/>
      <c r="M149" s="13"/>
      <c r="N149" s="13"/>
      <c r="O149" s="13"/>
      <c r="P149" s="13"/>
      <c r="Q149" s="13"/>
      <c r="R149" s="13"/>
      <c r="S149" s="13"/>
    </row>
    <row r="150" spans="2:19" ht="16" customHeight="1" x14ac:dyDescent="0.35">
      <c r="B150" s="14" t="s">
        <v>920</v>
      </c>
      <c r="C150" s="14" t="s">
        <v>921</v>
      </c>
      <c r="D150" s="61"/>
      <c r="E150" s="62">
        <v>9.6226299999999991</v>
      </c>
      <c r="F150" s="61"/>
      <c r="G150" s="15"/>
      <c r="H150" s="15"/>
      <c r="I150" s="15"/>
      <c r="J150" s="15"/>
      <c r="K150" s="15">
        <v>9.6226299999999991</v>
      </c>
    </row>
    <row r="151" spans="2:19" ht="16" customHeight="1" x14ac:dyDescent="0.35">
      <c r="B151" s="11"/>
      <c r="C151" s="11" t="s">
        <v>22</v>
      </c>
      <c r="D151" s="29"/>
      <c r="E151" s="60"/>
      <c r="F151" s="29"/>
      <c r="G151" s="12"/>
      <c r="H151" s="12"/>
      <c r="I151" s="12"/>
      <c r="J151" s="12"/>
      <c r="K151" s="12"/>
    </row>
    <row r="152" spans="2:19" ht="16" customHeight="1" x14ac:dyDescent="0.35">
      <c r="B152" s="34"/>
      <c r="C152" s="34" t="s">
        <v>922</v>
      </c>
      <c r="D152" s="69"/>
      <c r="E152" s="70">
        <f>-(-E153)</f>
        <v>-11.65634</v>
      </c>
      <c r="F152" s="69"/>
      <c r="G152" s="35">
        <f>-(-G153)</f>
        <v>-19.256340000000002</v>
      </c>
      <c r="H152" s="35">
        <f>-(-H153)</f>
        <v>7.6</v>
      </c>
      <c r="I152" s="35">
        <f>-(-I153)</f>
        <v>0</v>
      </c>
      <c r="J152" s="35">
        <f>-(-J153)</f>
        <v>0</v>
      </c>
      <c r="K152" s="35">
        <f>-(-K153)</f>
        <v>0</v>
      </c>
    </row>
    <row r="153" spans="2:19" ht="16" customHeight="1" x14ac:dyDescent="0.35">
      <c r="B153" s="14" t="s">
        <v>923</v>
      </c>
      <c r="C153" s="14" t="s">
        <v>924</v>
      </c>
      <c r="D153" s="61"/>
      <c r="E153" s="62">
        <v>-11.65634</v>
      </c>
      <c r="F153" s="61"/>
      <c r="G153" s="15">
        <v>-19.256340000000002</v>
      </c>
      <c r="H153" s="15">
        <v>7.6</v>
      </c>
      <c r="I153" s="15">
        <v>0</v>
      </c>
      <c r="J153" s="15"/>
      <c r="K153" s="15">
        <v>0</v>
      </c>
    </row>
    <row r="154" spans="2:19" ht="16" customHeight="1" x14ac:dyDescent="0.35">
      <c r="B154" s="11"/>
      <c r="C154" s="11" t="s">
        <v>22</v>
      </c>
      <c r="D154" s="29"/>
      <c r="E154" s="60"/>
      <c r="F154" s="29"/>
      <c r="G154" s="12"/>
      <c r="H154" s="12"/>
      <c r="I154" s="12"/>
      <c r="J154" s="12"/>
      <c r="K154" s="12"/>
    </row>
    <row r="155" spans="2:19" ht="16" customHeight="1" x14ac:dyDescent="0.35">
      <c r="B155" s="34"/>
      <c r="C155" s="34" t="s">
        <v>925</v>
      </c>
      <c r="D155" s="69"/>
      <c r="E155" s="70">
        <f>E156+E157</f>
        <v>0</v>
      </c>
      <c r="F155" s="69"/>
      <c r="G155" s="35">
        <f>G156+G157</f>
        <v>0</v>
      </c>
      <c r="H155" s="35">
        <f>H156+H157</f>
        <v>0</v>
      </c>
      <c r="I155" s="35">
        <f>I156+I157</f>
        <v>0</v>
      </c>
      <c r="J155" s="35">
        <f>J156+J157</f>
        <v>0</v>
      </c>
      <c r="K155" s="35">
        <f>K156+K157</f>
        <v>0</v>
      </c>
    </row>
    <row r="156" spans="2:19" ht="16" customHeight="1" x14ac:dyDescent="0.35">
      <c r="B156" s="14" t="s">
        <v>926</v>
      </c>
      <c r="C156" s="14" t="s">
        <v>927</v>
      </c>
      <c r="D156" s="61"/>
      <c r="E156" s="62"/>
      <c r="F156" s="61"/>
      <c r="G156" s="15"/>
      <c r="H156" s="15"/>
      <c r="I156" s="15"/>
      <c r="J156" s="15"/>
      <c r="K156" s="15"/>
    </row>
    <row r="157" spans="2:19" ht="16" customHeight="1" x14ac:dyDescent="0.35">
      <c r="B157" s="14" t="s">
        <v>928</v>
      </c>
      <c r="C157" s="14" t="s">
        <v>929</v>
      </c>
      <c r="D157" s="61"/>
      <c r="E157" s="62"/>
      <c r="F157" s="61"/>
      <c r="G157" s="15"/>
      <c r="H157" s="15"/>
      <c r="I157" s="15"/>
      <c r="J157" s="15"/>
      <c r="K157" s="15"/>
    </row>
    <row r="158" spans="2:19" ht="16" customHeight="1" x14ac:dyDescent="0.35">
      <c r="B158" s="11"/>
      <c r="C158" s="11" t="s">
        <v>22</v>
      </c>
      <c r="D158" s="29"/>
      <c r="E158" s="60"/>
      <c r="F158" s="29"/>
      <c r="G158" s="12"/>
      <c r="H158" s="12"/>
      <c r="I158" s="12"/>
      <c r="J158" s="12"/>
      <c r="K158" s="12"/>
    </row>
    <row r="159" spans="2:19" ht="16" customHeight="1" x14ac:dyDescent="0.35">
      <c r="B159" s="34"/>
      <c r="C159" s="34" t="s">
        <v>930</v>
      </c>
      <c r="D159" s="69"/>
      <c r="E159" s="70">
        <f>-(-E134-E138-E144-E148-E152-E155)</f>
        <v>-84491.94829</v>
      </c>
      <c r="F159" s="69"/>
      <c r="G159" s="35">
        <f>-(-G134-G138-G144-G148-G152-G155)</f>
        <v>-19.256340000000002</v>
      </c>
      <c r="H159" s="35">
        <f>-(-H134-H138-H144-H148-H152-H155)</f>
        <v>7.6</v>
      </c>
      <c r="I159" s="35">
        <f>-(-I134-I138-I144-I148-I152-I155)</f>
        <v>0</v>
      </c>
      <c r="J159" s="35">
        <f>-(-J134-J138-J144-J148-J152-J155)</f>
        <v>0</v>
      </c>
      <c r="K159" s="35">
        <f>-(-K134-K138-K144-K148-K152-K155)</f>
        <v>-84480.291949999999</v>
      </c>
    </row>
    <row r="160" spans="2:19" ht="16" customHeight="1" x14ac:dyDescent="0.35">
      <c r="B160" s="11"/>
      <c r="C160" s="11" t="s">
        <v>22</v>
      </c>
      <c r="D160" s="29"/>
      <c r="E160" s="60"/>
      <c r="F160" s="29"/>
      <c r="G160" s="12"/>
      <c r="H160" s="12"/>
      <c r="I160" s="12"/>
      <c r="J160" s="12"/>
      <c r="K160" s="12"/>
    </row>
    <row r="161" spans="2:11" ht="16" customHeight="1" x14ac:dyDescent="0.35">
      <c r="B161" s="40"/>
      <c r="C161" s="40" t="s">
        <v>931</v>
      </c>
      <c r="D161" s="53"/>
      <c r="E161" s="53">
        <f>E132+E159</f>
        <v>-124890.08696</v>
      </c>
      <c r="F161" s="53"/>
      <c r="G161" s="24">
        <f>G132+G159</f>
        <v>-27980.688849999999</v>
      </c>
      <c r="H161" s="24">
        <f>H132+H159</f>
        <v>-10395.890579999999</v>
      </c>
      <c r="I161" s="24">
        <f>I132+I159</f>
        <v>0</v>
      </c>
      <c r="J161" s="24">
        <f>J132+J159</f>
        <v>0</v>
      </c>
      <c r="K161" s="24">
        <f>K132+K159</f>
        <v>-86513.507530000003</v>
      </c>
    </row>
    <row r="162" spans="2:11" ht="16" customHeight="1" x14ac:dyDescent="0.35">
      <c r="B162" s="11"/>
      <c r="C162" s="11" t="s">
        <v>22</v>
      </c>
      <c r="D162" s="29"/>
      <c r="E162" s="60"/>
      <c r="F162" s="29"/>
      <c r="G162" s="12"/>
      <c r="H162" s="12"/>
      <c r="I162" s="12"/>
      <c r="J162" s="12"/>
      <c r="K162" s="12"/>
    </row>
    <row r="163" spans="2:11" ht="16" customHeight="1" x14ac:dyDescent="0.35">
      <c r="B163" s="34"/>
      <c r="C163" s="34" t="s">
        <v>932</v>
      </c>
      <c r="D163" s="69"/>
      <c r="E163" s="70"/>
      <c r="F163" s="69"/>
      <c r="G163" s="35"/>
      <c r="H163" s="35"/>
      <c r="I163" s="35"/>
      <c r="J163" s="35"/>
      <c r="K163" s="35"/>
    </row>
    <row r="164" spans="2:11" ht="16" customHeight="1" x14ac:dyDescent="0.35">
      <c r="B164" s="11"/>
      <c r="C164" s="11" t="s">
        <v>22</v>
      </c>
      <c r="D164" s="29"/>
      <c r="E164" s="60"/>
      <c r="F164" s="29"/>
      <c r="G164" s="12"/>
      <c r="H164" s="12"/>
      <c r="I164" s="12"/>
      <c r="J164" s="12"/>
      <c r="K164" s="12"/>
    </row>
    <row r="165" spans="2:11" ht="16" customHeight="1" x14ac:dyDescent="0.35">
      <c r="B165" s="34"/>
      <c r="C165" s="34" t="s">
        <v>933</v>
      </c>
      <c r="D165" s="69"/>
      <c r="E165" s="70">
        <f>-(-(E166+E167)-E168)</f>
        <v>0</v>
      </c>
      <c r="F165" s="69"/>
      <c r="G165" s="35">
        <f>-(-(G166+G167)-G168)</f>
        <v>0</v>
      </c>
      <c r="H165" s="35">
        <f>-(-(H166+H167)-H168)</f>
        <v>0</v>
      </c>
      <c r="I165" s="35">
        <f>-(-(I166+I167)-I168)</f>
        <v>0</v>
      </c>
      <c r="J165" s="35">
        <f>-(-(J166+J167)-J168)</f>
        <v>0</v>
      </c>
      <c r="K165" s="35">
        <f>-(-(K166+K167)-K168)</f>
        <v>0</v>
      </c>
    </row>
    <row r="166" spans="2:11" ht="16" customHeight="1" x14ac:dyDescent="0.35">
      <c r="B166" s="14" t="s">
        <v>934</v>
      </c>
      <c r="C166" s="14" t="s">
        <v>935</v>
      </c>
      <c r="D166" s="61"/>
      <c r="E166" s="62"/>
      <c r="F166" s="61"/>
      <c r="G166" s="15"/>
      <c r="H166" s="15"/>
      <c r="I166" s="15"/>
      <c r="J166" s="15"/>
      <c r="K166" s="15"/>
    </row>
    <row r="167" spans="2:11" ht="16" customHeight="1" x14ac:dyDescent="0.35">
      <c r="B167" s="14" t="s">
        <v>936</v>
      </c>
      <c r="C167" s="14" t="s">
        <v>937</v>
      </c>
      <c r="D167" s="61"/>
      <c r="E167" s="62"/>
      <c r="F167" s="61"/>
      <c r="G167" s="15"/>
      <c r="H167" s="15"/>
      <c r="I167" s="15"/>
      <c r="J167" s="15"/>
      <c r="K167" s="15"/>
    </row>
    <row r="168" spans="2:11" ht="16" customHeight="1" x14ac:dyDescent="0.35">
      <c r="B168" s="14" t="s">
        <v>938</v>
      </c>
      <c r="C168" s="14" t="s">
        <v>939</v>
      </c>
      <c r="D168" s="61"/>
      <c r="E168" s="62"/>
      <c r="F168" s="61"/>
      <c r="G168" s="15"/>
      <c r="H168" s="15"/>
      <c r="I168" s="15"/>
      <c r="J168" s="15"/>
      <c r="K168" s="15"/>
    </row>
    <row r="169" spans="2:11" ht="16" customHeight="1" x14ac:dyDescent="0.35">
      <c r="B169" s="11"/>
      <c r="C169" s="11" t="s">
        <v>22</v>
      </c>
      <c r="D169" s="29"/>
      <c r="E169" s="60"/>
      <c r="F169" s="29"/>
      <c r="G169" s="12"/>
      <c r="H169" s="12"/>
      <c r="I169" s="12"/>
      <c r="J169" s="12"/>
      <c r="K169" s="12"/>
    </row>
    <row r="170" spans="2:11" ht="16" customHeight="1" x14ac:dyDescent="0.35">
      <c r="B170" s="34"/>
      <c r="C170" s="34" t="s">
        <v>940</v>
      </c>
      <c r="D170" s="69"/>
      <c r="E170" s="70">
        <f>E171+E172</f>
        <v>0</v>
      </c>
      <c r="F170" s="69"/>
      <c r="G170" s="35">
        <f>G171+G172</f>
        <v>0</v>
      </c>
      <c r="H170" s="35">
        <f>H171+H172</f>
        <v>0</v>
      </c>
      <c r="I170" s="35">
        <f>I171+I172</f>
        <v>0</v>
      </c>
      <c r="J170" s="35">
        <f>J171+J172</f>
        <v>0</v>
      </c>
      <c r="K170" s="35">
        <f>K171+K172</f>
        <v>0</v>
      </c>
    </row>
    <row r="171" spans="2:11" ht="16" customHeight="1" x14ac:dyDescent="0.35">
      <c r="B171" s="14" t="s">
        <v>941</v>
      </c>
      <c r="C171" s="14" t="s">
        <v>942</v>
      </c>
      <c r="D171" s="61"/>
      <c r="E171" s="62"/>
      <c r="F171" s="61"/>
      <c r="G171" s="15"/>
      <c r="H171" s="15"/>
      <c r="I171" s="15"/>
      <c r="J171" s="15"/>
      <c r="K171" s="15"/>
    </row>
    <row r="172" spans="2:11" ht="16" customHeight="1" x14ac:dyDescent="0.35">
      <c r="B172" s="14" t="s">
        <v>943</v>
      </c>
      <c r="C172" s="14" t="s">
        <v>944</v>
      </c>
      <c r="D172" s="61"/>
      <c r="E172" s="62"/>
      <c r="F172" s="61"/>
      <c r="G172" s="15"/>
      <c r="H172" s="15"/>
      <c r="I172" s="15"/>
      <c r="J172" s="15"/>
      <c r="K172" s="15"/>
    </row>
    <row r="173" spans="2:11" ht="16" customHeight="1" x14ac:dyDescent="0.35">
      <c r="B173" s="11"/>
      <c r="C173" s="11" t="s">
        <v>22</v>
      </c>
      <c r="D173" s="29"/>
      <c r="E173" s="60"/>
      <c r="F173" s="29"/>
      <c r="G173" s="12"/>
      <c r="H173" s="12"/>
      <c r="I173" s="12"/>
      <c r="J173" s="12"/>
      <c r="K173" s="12"/>
    </row>
    <row r="174" spans="2:11" ht="16" customHeight="1" x14ac:dyDescent="0.35">
      <c r="B174" s="14" t="s">
        <v>945</v>
      </c>
      <c r="C174" s="14" t="s">
        <v>946</v>
      </c>
      <c r="D174" s="61"/>
      <c r="E174" s="62"/>
      <c r="F174" s="61"/>
      <c r="G174" s="15"/>
      <c r="H174" s="15"/>
      <c r="I174" s="15"/>
      <c r="J174" s="15"/>
      <c r="K174" s="15"/>
    </row>
    <row r="175" spans="2:11" ht="16" customHeight="1" x14ac:dyDescent="0.35">
      <c r="B175" s="11"/>
      <c r="C175" s="11" t="s">
        <v>22</v>
      </c>
      <c r="D175" s="29"/>
      <c r="E175" s="60"/>
      <c r="F175" s="29"/>
      <c r="G175" s="12"/>
      <c r="H175" s="12"/>
      <c r="I175" s="12"/>
      <c r="J175" s="12"/>
      <c r="K175" s="12"/>
    </row>
    <row r="176" spans="2:11" ht="16" customHeight="1" x14ac:dyDescent="0.35">
      <c r="B176" s="14" t="s">
        <v>947</v>
      </c>
      <c r="C176" s="14" t="s">
        <v>948</v>
      </c>
      <c r="D176" s="61"/>
      <c r="E176" s="62"/>
      <c r="F176" s="61"/>
      <c r="G176" s="15"/>
      <c r="H176" s="15"/>
      <c r="I176" s="15"/>
      <c r="J176" s="15"/>
      <c r="K176" s="15"/>
    </row>
    <row r="177" spans="2:11" ht="16" customHeight="1" x14ac:dyDescent="0.35">
      <c r="B177" s="11"/>
      <c r="C177" s="11" t="s">
        <v>22</v>
      </c>
      <c r="D177" s="29"/>
      <c r="E177" s="60"/>
      <c r="F177" s="29"/>
      <c r="G177" s="12"/>
      <c r="H177" s="12"/>
      <c r="I177" s="12"/>
      <c r="J177" s="12"/>
      <c r="K177" s="12"/>
    </row>
    <row r="178" spans="2:11" ht="16" customHeight="1" x14ac:dyDescent="0.35">
      <c r="B178" s="14" t="s">
        <v>949</v>
      </c>
      <c r="C178" s="14" t="s">
        <v>950</v>
      </c>
      <c r="D178" s="61"/>
      <c r="E178" s="62"/>
      <c r="F178" s="61"/>
      <c r="G178" s="15"/>
      <c r="H178" s="15"/>
      <c r="I178" s="15"/>
      <c r="J178" s="15"/>
      <c r="K178" s="15"/>
    </row>
    <row r="179" spans="2:11" ht="16" customHeight="1" x14ac:dyDescent="0.35">
      <c r="B179" s="11"/>
      <c r="C179" s="11" t="s">
        <v>22</v>
      </c>
      <c r="D179" s="29"/>
      <c r="E179" s="60"/>
      <c r="F179" s="29"/>
      <c r="G179" s="12"/>
      <c r="H179" s="12"/>
      <c r="I179" s="12"/>
      <c r="J179" s="12"/>
      <c r="K179" s="12"/>
    </row>
    <row r="180" spans="2:11" ht="16" customHeight="1" x14ac:dyDescent="0.35">
      <c r="B180" s="34"/>
      <c r="C180" s="34" t="s">
        <v>951</v>
      </c>
      <c r="D180" s="69"/>
      <c r="E180" s="70">
        <f>E181+E182</f>
        <v>0</v>
      </c>
      <c r="F180" s="69"/>
      <c r="G180" s="35">
        <f>G181+G182</f>
        <v>0</v>
      </c>
      <c r="H180" s="35">
        <f>H181+H182</f>
        <v>0</v>
      </c>
      <c r="I180" s="35">
        <f>I181+I182</f>
        <v>0</v>
      </c>
      <c r="J180" s="35">
        <f>J181+J182</f>
        <v>0</v>
      </c>
      <c r="K180" s="35">
        <f>K181+K182</f>
        <v>0</v>
      </c>
    </row>
    <row r="181" spans="2:11" ht="16" customHeight="1" x14ac:dyDescent="0.35">
      <c r="B181" s="14" t="s">
        <v>952</v>
      </c>
      <c r="C181" s="14" t="s">
        <v>953</v>
      </c>
      <c r="D181" s="61"/>
      <c r="E181" s="62"/>
      <c r="F181" s="61"/>
      <c r="G181" s="15"/>
      <c r="H181" s="15"/>
      <c r="I181" s="15"/>
      <c r="J181" s="15"/>
      <c r="K181" s="15"/>
    </row>
    <row r="182" spans="2:11" ht="16" customHeight="1" x14ac:dyDescent="0.35">
      <c r="B182" s="14" t="s">
        <v>954</v>
      </c>
      <c r="C182" s="14" t="s">
        <v>955</v>
      </c>
      <c r="D182" s="61"/>
      <c r="E182" s="62"/>
      <c r="F182" s="61"/>
      <c r="G182" s="15"/>
      <c r="H182" s="15"/>
      <c r="I182" s="15"/>
      <c r="J182" s="15"/>
      <c r="K182" s="15"/>
    </row>
    <row r="183" spans="2:11" ht="16" customHeight="1" x14ac:dyDescent="0.35">
      <c r="B183" s="11"/>
      <c r="C183" s="11" t="s">
        <v>22</v>
      </c>
      <c r="D183" s="29"/>
      <c r="E183" s="60"/>
      <c r="F183" s="29"/>
      <c r="G183" s="12"/>
      <c r="H183" s="12"/>
      <c r="I183" s="12"/>
      <c r="J183" s="12"/>
      <c r="K183" s="12"/>
    </row>
    <row r="184" spans="2:11" ht="16" customHeight="1" x14ac:dyDescent="0.35">
      <c r="B184" s="34"/>
      <c r="C184" s="34" t="s">
        <v>956</v>
      </c>
      <c r="D184" s="69"/>
      <c r="E184" s="70">
        <f>-(-(E185+E186)-E187-E188-E189)</f>
        <v>0</v>
      </c>
      <c r="F184" s="69"/>
      <c r="G184" s="35">
        <f>-(-(G185+G186)-G187-G188-G189)</f>
        <v>0</v>
      </c>
      <c r="H184" s="35">
        <f>-(-(H185+H186)-H187-H188-H189)</f>
        <v>0</v>
      </c>
      <c r="I184" s="35">
        <f>-(-(I185+I186)-I187-I188-I189)</f>
        <v>0</v>
      </c>
      <c r="J184" s="35">
        <f>-(-(J185+J186)-J187-J188-J189)</f>
        <v>0</v>
      </c>
      <c r="K184" s="35">
        <f>-(-(K185+K186)-K187-K188-K189)</f>
        <v>0</v>
      </c>
    </row>
    <row r="185" spans="2:11" ht="16" customHeight="1" x14ac:dyDescent="0.35">
      <c r="B185" s="14" t="s">
        <v>957</v>
      </c>
      <c r="C185" s="14" t="s">
        <v>958</v>
      </c>
      <c r="D185" s="61"/>
      <c r="E185" s="62"/>
      <c r="F185" s="61"/>
      <c r="G185" s="15"/>
      <c r="H185" s="15"/>
      <c r="I185" s="15"/>
      <c r="J185" s="15"/>
      <c r="K185" s="15"/>
    </row>
    <row r="186" spans="2:11" ht="16" customHeight="1" x14ac:dyDescent="0.35">
      <c r="B186" s="14" t="s">
        <v>959</v>
      </c>
      <c r="C186" s="14" t="s">
        <v>960</v>
      </c>
      <c r="D186" s="61"/>
      <c r="E186" s="62">
        <v>0</v>
      </c>
      <c r="F186" s="61"/>
      <c r="G186" s="15"/>
      <c r="H186" s="15"/>
      <c r="I186" s="15"/>
      <c r="J186" s="15"/>
      <c r="K186" s="15">
        <v>0</v>
      </c>
    </row>
    <row r="187" spans="2:11" ht="16" customHeight="1" x14ac:dyDescent="0.35">
      <c r="B187" s="14" t="s">
        <v>961</v>
      </c>
      <c r="C187" s="14" t="s">
        <v>962</v>
      </c>
      <c r="D187" s="61"/>
      <c r="E187" s="62"/>
      <c r="F187" s="61"/>
      <c r="G187" s="15"/>
      <c r="H187" s="15"/>
      <c r="I187" s="15"/>
      <c r="J187" s="15"/>
      <c r="K187" s="15"/>
    </row>
    <row r="188" spans="2:11" ht="16" customHeight="1" x14ac:dyDescent="0.35">
      <c r="B188" s="14" t="s">
        <v>963</v>
      </c>
      <c r="C188" s="14" t="s">
        <v>964</v>
      </c>
      <c r="D188" s="61"/>
      <c r="E188" s="62">
        <v>0</v>
      </c>
      <c r="F188" s="61"/>
      <c r="G188" s="15"/>
      <c r="H188" s="15"/>
      <c r="I188" s="15"/>
      <c r="J188" s="15"/>
      <c r="K188" s="15">
        <v>0</v>
      </c>
    </row>
    <row r="189" spans="2:11" ht="16" customHeight="1" x14ac:dyDescent="0.35">
      <c r="B189" s="14" t="s">
        <v>965</v>
      </c>
      <c r="C189" s="14" t="s">
        <v>966</v>
      </c>
      <c r="D189" s="61"/>
      <c r="E189" s="62"/>
      <c r="F189" s="61"/>
      <c r="G189" s="15"/>
      <c r="H189" s="15"/>
      <c r="I189" s="15"/>
      <c r="J189" s="15"/>
      <c r="K189" s="15"/>
    </row>
    <row r="190" spans="2:11" ht="16" customHeight="1" x14ac:dyDescent="0.35">
      <c r="B190" s="11"/>
      <c r="C190" s="11" t="s">
        <v>22</v>
      </c>
      <c r="D190" s="29"/>
      <c r="E190" s="60"/>
      <c r="F190" s="29"/>
      <c r="G190" s="12"/>
      <c r="H190" s="12"/>
      <c r="I190" s="12"/>
      <c r="J190" s="12"/>
      <c r="K190" s="12"/>
    </row>
    <row r="191" spans="2:11" ht="16" customHeight="1" x14ac:dyDescent="0.35">
      <c r="B191" s="34"/>
      <c r="C191" s="34" t="s">
        <v>967</v>
      </c>
      <c r="D191" s="69"/>
      <c r="E191" s="70">
        <f>E193+E198+E202</f>
        <v>16386.790590000001</v>
      </c>
      <c r="F191" s="69"/>
      <c r="G191" s="35">
        <f>G193+G198+G202</f>
        <v>0</v>
      </c>
      <c r="H191" s="35">
        <f>H193+H198+H202</f>
        <v>0</v>
      </c>
      <c r="I191" s="35">
        <f>I193+I198+I202</f>
        <v>0</v>
      </c>
      <c r="J191" s="35">
        <f>J193+J198+J202</f>
        <v>0</v>
      </c>
      <c r="K191" s="35">
        <f>K193+K198+K202</f>
        <v>16386.790590000001</v>
      </c>
    </row>
    <row r="192" spans="2:11" ht="16" customHeight="1" x14ac:dyDescent="0.35">
      <c r="B192" s="11"/>
      <c r="C192" s="11" t="s">
        <v>22</v>
      </c>
      <c r="D192" s="29"/>
      <c r="E192" s="60"/>
      <c r="F192" s="29"/>
      <c r="G192" s="12"/>
      <c r="H192" s="12"/>
      <c r="I192" s="12"/>
      <c r="J192" s="12"/>
      <c r="K192" s="12"/>
    </row>
    <row r="193" spans="2:11" ht="16" customHeight="1" x14ac:dyDescent="0.35">
      <c r="B193" s="34"/>
      <c r="C193" s="34" t="s">
        <v>968</v>
      </c>
      <c r="D193" s="69"/>
      <c r="E193" s="70">
        <f>-(-(E194+E195)-E196)</f>
        <v>17750.363580000001</v>
      </c>
      <c r="F193" s="69"/>
      <c r="G193" s="35">
        <f>-(-(G194+G195)-G196)</f>
        <v>0</v>
      </c>
      <c r="H193" s="35">
        <f>-(-(H194+H195)-H196)</f>
        <v>0</v>
      </c>
      <c r="I193" s="35">
        <f>-(-(I194+I195)-I196)</f>
        <v>0</v>
      </c>
      <c r="J193" s="35">
        <f>-(-(J194+J195)-J196)</f>
        <v>0</v>
      </c>
      <c r="K193" s="35">
        <f>-(-(K194+K195)-K196)</f>
        <v>17750.363580000001</v>
      </c>
    </row>
    <row r="194" spans="2:11" ht="16" customHeight="1" x14ac:dyDescent="0.35">
      <c r="B194" s="14" t="s">
        <v>969</v>
      </c>
      <c r="C194" s="14" t="s">
        <v>970</v>
      </c>
      <c r="D194" s="61"/>
      <c r="E194" s="62">
        <v>17863.32706</v>
      </c>
      <c r="F194" s="61"/>
      <c r="G194" s="15"/>
      <c r="H194" s="15"/>
      <c r="I194" s="15"/>
      <c r="J194" s="15"/>
      <c r="K194" s="15">
        <v>17863.32706</v>
      </c>
    </row>
    <row r="195" spans="2:11" ht="16" customHeight="1" x14ac:dyDescent="0.35">
      <c r="B195" s="14" t="s">
        <v>971</v>
      </c>
      <c r="C195" s="14" t="s">
        <v>972</v>
      </c>
      <c r="D195" s="61"/>
      <c r="E195" s="62">
        <v>-112.96348</v>
      </c>
      <c r="F195" s="61"/>
      <c r="G195" s="15"/>
      <c r="H195" s="15"/>
      <c r="I195" s="15"/>
      <c r="J195" s="15"/>
      <c r="K195" s="15">
        <v>-112.96348</v>
      </c>
    </row>
    <row r="196" spans="2:11" ht="16" customHeight="1" x14ac:dyDescent="0.35">
      <c r="B196" s="14" t="s">
        <v>973</v>
      </c>
      <c r="C196" s="14" t="s">
        <v>974</v>
      </c>
      <c r="D196" s="61"/>
      <c r="E196" s="62"/>
      <c r="F196" s="61"/>
      <c r="G196" s="15"/>
      <c r="H196" s="15"/>
      <c r="I196" s="15"/>
      <c r="J196" s="15"/>
      <c r="K196" s="15"/>
    </row>
    <row r="197" spans="2:11" ht="16" customHeight="1" x14ac:dyDescent="0.35">
      <c r="B197" s="11"/>
      <c r="C197" s="11" t="s">
        <v>22</v>
      </c>
      <c r="D197" s="29"/>
      <c r="E197" s="60"/>
      <c r="F197" s="29"/>
      <c r="G197" s="12"/>
      <c r="H197" s="12"/>
      <c r="I197" s="12"/>
      <c r="J197" s="12"/>
      <c r="K197" s="12"/>
    </row>
    <row r="198" spans="2:11" ht="16" customHeight="1" x14ac:dyDescent="0.35">
      <c r="B198" s="34" t="s">
        <v>975</v>
      </c>
      <c r="C198" s="34" t="s">
        <v>976</v>
      </c>
      <c r="D198" s="69"/>
      <c r="E198" s="70">
        <f>E199+E200</f>
        <v>-1379.3859899999998</v>
      </c>
      <c r="F198" s="69"/>
      <c r="G198" s="35">
        <f>G199+G200</f>
        <v>0</v>
      </c>
      <c r="H198" s="35">
        <f>H199+H200</f>
        <v>0</v>
      </c>
      <c r="I198" s="35">
        <f>I199+I200</f>
        <v>0</v>
      </c>
      <c r="J198" s="35">
        <f>J199+J200</f>
        <v>0</v>
      </c>
      <c r="K198" s="35">
        <f>K199+K200</f>
        <v>-1379.3859899999998</v>
      </c>
    </row>
    <row r="199" spans="2:11" ht="16" customHeight="1" x14ac:dyDescent="0.35">
      <c r="B199" s="14"/>
      <c r="C199" s="14" t="s">
        <v>978</v>
      </c>
      <c r="D199" s="61"/>
      <c r="E199" s="62">
        <v>-1694.0779399999999</v>
      </c>
      <c r="F199" s="61"/>
      <c r="G199" s="15"/>
      <c r="H199" s="15"/>
      <c r="I199" s="15"/>
      <c r="J199" s="15"/>
      <c r="K199" s="15">
        <v>-1694.0779399999999</v>
      </c>
    </row>
    <row r="200" spans="2:11" ht="16" customHeight="1" x14ac:dyDescent="0.35">
      <c r="B200" s="14"/>
      <c r="C200" s="14" t="s">
        <v>980</v>
      </c>
      <c r="D200" s="61"/>
      <c r="E200" s="62">
        <v>314.69195000000002</v>
      </c>
      <c r="F200" s="61"/>
      <c r="G200" s="15"/>
      <c r="H200" s="15"/>
      <c r="I200" s="15"/>
      <c r="J200" s="15"/>
      <c r="K200" s="15">
        <v>314.69195000000002</v>
      </c>
    </row>
    <row r="201" spans="2:11" ht="16" customHeight="1" x14ac:dyDescent="0.35">
      <c r="B201" s="11"/>
      <c r="C201" s="11" t="s">
        <v>22</v>
      </c>
      <c r="D201" s="29"/>
      <c r="E201" s="60"/>
      <c r="F201" s="29"/>
      <c r="G201" s="12"/>
      <c r="H201" s="12"/>
      <c r="I201" s="12"/>
      <c r="J201" s="12"/>
      <c r="K201" s="12"/>
    </row>
    <row r="202" spans="2:11" ht="16" customHeight="1" x14ac:dyDescent="0.35">
      <c r="B202" s="34"/>
      <c r="C202" s="34" t="s">
        <v>981</v>
      </c>
      <c r="D202" s="69"/>
      <c r="E202" s="70">
        <f>E204+E208</f>
        <v>15.813000000000001</v>
      </c>
      <c r="F202" s="69"/>
      <c r="G202" s="35">
        <f>G204+G208</f>
        <v>0</v>
      </c>
      <c r="H202" s="35">
        <f>H204+H208</f>
        <v>0</v>
      </c>
      <c r="I202" s="35">
        <f>I204+I208</f>
        <v>0</v>
      </c>
      <c r="J202" s="35">
        <f>J204+J208</f>
        <v>0</v>
      </c>
      <c r="K202" s="35">
        <f>K204+K208</f>
        <v>15.813000000000001</v>
      </c>
    </row>
    <row r="203" spans="2:11" ht="16" customHeight="1" x14ac:dyDescent="0.35">
      <c r="B203" s="11"/>
      <c r="C203" s="11" t="s">
        <v>22</v>
      </c>
      <c r="D203" s="29"/>
      <c r="E203" s="60"/>
      <c r="F203" s="29"/>
      <c r="G203" s="12"/>
      <c r="H203" s="12"/>
      <c r="I203" s="12"/>
      <c r="J203" s="12"/>
      <c r="K203" s="12"/>
    </row>
    <row r="204" spans="2:11" ht="16" customHeight="1" x14ac:dyDescent="0.35">
      <c r="B204" s="34"/>
      <c r="C204" s="34" t="s">
        <v>982</v>
      </c>
      <c r="D204" s="69"/>
      <c r="E204" s="70">
        <f>E205+E206</f>
        <v>0</v>
      </c>
      <c r="F204" s="69"/>
      <c r="G204" s="35">
        <f>G205+G206</f>
        <v>0</v>
      </c>
      <c r="H204" s="35">
        <f>H205+H206</f>
        <v>0</v>
      </c>
      <c r="I204" s="35">
        <f>I205+I206</f>
        <v>0</v>
      </c>
      <c r="J204" s="35">
        <f>J205+J206</f>
        <v>0</v>
      </c>
      <c r="K204" s="35">
        <f>K205+K206</f>
        <v>0</v>
      </c>
    </row>
    <row r="205" spans="2:11" ht="16" customHeight="1" x14ac:dyDescent="0.35">
      <c r="B205" s="14" t="s">
        <v>983</v>
      </c>
      <c r="C205" s="14" t="s">
        <v>984</v>
      </c>
      <c r="D205" s="61"/>
      <c r="E205" s="62"/>
      <c r="F205" s="61"/>
      <c r="G205" s="15"/>
      <c r="H205" s="15"/>
      <c r="I205" s="15"/>
      <c r="J205" s="15"/>
      <c r="K205" s="15"/>
    </row>
    <row r="206" spans="2:11" ht="16" customHeight="1" x14ac:dyDescent="0.35">
      <c r="B206" s="14" t="s">
        <v>985</v>
      </c>
      <c r="C206" s="14" t="s">
        <v>986</v>
      </c>
      <c r="D206" s="61"/>
      <c r="E206" s="62"/>
      <c r="F206" s="61"/>
      <c r="G206" s="15"/>
      <c r="H206" s="15"/>
      <c r="I206" s="15"/>
      <c r="J206" s="15"/>
      <c r="K206" s="15"/>
    </row>
    <row r="207" spans="2:11" ht="16" customHeight="1" x14ac:dyDescent="0.35">
      <c r="B207" s="11"/>
      <c r="C207" s="11" t="s">
        <v>22</v>
      </c>
      <c r="D207" s="29"/>
      <c r="E207" s="60"/>
      <c r="F207" s="29"/>
      <c r="G207" s="12"/>
      <c r="H207" s="12"/>
      <c r="I207" s="12"/>
      <c r="J207" s="12"/>
      <c r="K207" s="12"/>
    </row>
    <row r="208" spans="2:11" ht="16" customHeight="1" x14ac:dyDescent="0.35">
      <c r="B208" s="34"/>
      <c r="C208" s="34" t="s">
        <v>987</v>
      </c>
      <c r="D208" s="69"/>
      <c r="E208" s="70">
        <f>-(-(E209+E210)-E211)</f>
        <v>15.813000000000001</v>
      </c>
      <c r="F208" s="69"/>
      <c r="G208" s="35">
        <f>-(-(G209+G210)-G211)</f>
        <v>0</v>
      </c>
      <c r="H208" s="35">
        <f>-(-(H209+H210)-H211)</f>
        <v>0</v>
      </c>
      <c r="I208" s="35">
        <f>-(-(I209+I210)-I211)</f>
        <v>0</v>
      </c>
      <c r="J208" s="35">
        <f>-(-(J209+J210)-J211)</f>
        <v>0</v>
      </c>
      <c r="K208" s="35">
        <f>-(-(K209+K210)-K211)</f>
        <v>15.813000000000001</v>
      </c>
    </row>
    <row r="209" spans="2:11" ht="16" customHeight="1" x14ac:dyDescent="0.35">
      <c r="B209" s="14" t="s">
        <v>988</v>
      </c>
      <c r="C209" s="14" t="s">
        <v>989</v>
      </c>
      <c r="D209" s="61"/>
      <c r="E209" s="62"/>
      <c r="F209" s="61"/>
      <c r="G209" s="15"/>
      <c r="H209" s="15"/>
      <c r="I209" s="15"/>
      <c r="J209" s="15"/>
      <c r="K209" s="15"/>
    </row>
    <row r="210" spans="2:11" ht="16" customHeight="1" x14ac:dyDescent="0.35">
      <c r="B210" s="14" t="s">
        <v>990</v>
      </c>
      <c r="C210" s="14" t="s">
        <v>991</v>
      </c>
      <c r="D210" s="61"/>
      <c r="E210" s="62"/>
      <c r="F210" s="61"/>
      <c r="G210" s="15"/>
      <c r="H210" s="15"/>
      <c r="I210" s="15"/>
      <c r="J210" s="15"/>
      <c r="K210" s="15"/>
    </row>
    <row r="211" spans="2:11" ht="16" customHeight="1" x14ac:dyDescent="0.35">
      <c r="B211" s="14" t="s">
        <v>992</v>
      </c>
      <c r="C211" s="14" t="s">
        <v>993</v>
      </c>
      <c r="D211" s="61"/>
      <c r="E211" s="62">
        <v>15.813000000000001</v>
      </c>
      <c r="F211" s="61"/>
      <c r="G211" s="15"/>
      <c r="H211" s="15"/>
      <c r="I211" s="15"/>
      <c r="J211" s="15"/>
      <c r="K211" s="15">
        <v>15.813000000000001</v>
      </c>
    </row>
    <row r="212" spans="2:11" ht="16" customHeight="1" x14ac:dyDescent="0.35">
      <c r="B212" s="11"/>
      <c r="C212" s="11" t="s">
        <v>22</v>
      </c>
      <c r="D212" s="29"/>
      <c r="E212" s="60"/>
      <c r="F212" s="29"/>
      <c r="G212" s="12"/>
      <c r="H212" s="12"/>
      <c r="I212" s="12"/>
      <c r="J212" s="12"/>
      <c r="K212" s="12"/>
    </row>
    <row r="213" spans="2:11" ht="16" customHeight="1" x14ac:dyDescent="0.35">
      <c r="B213" s="40"/>
      <c r="C213" s="40" t="s">
        <v>994</v>
      </c>
      <c r="D213" s="53"/>
      <c r="E213" s="53">
        <f>E165+E170+E174+E176+E178+E180+E184+E191</f>
        <v>16386.790590000001</v>
      </c>
      <c r="F213" s="53"/>
      <c r="G213" s="24">
        <f>G165+G170+G174+G176+G178+G180+G184+G191</f>
        <v>0</v>
      </c>
      <c r="H213" s="24">
        <f>H165+H170+H174+H176+H178+H180+H184+H191</f>
        <v>0</v>
      </c>
      <c r="I213" s="24">
        <f>I165+I170+I174+I176+I178+I180+I184+I191</f>
        <v>0</v>
      </c>
      <c r="J213" s="24">
        <f>J165+J170+J174+J176+J178+J180+J184+J191</f>
        <v>0</v>
      </c>
      <c r="K213" s="24">
        <f>K165+K170+K174+K176+K178+K180+K184+K191</f>
        <v>16386.790590000001</v>
      </c>
    </row>
    <row r="214" spans="2:11" ht="16" customHeight="1" x14ac:dyDescent="0.35">
      <c r="B214" s="11"/>
      <c r="C214" s="11" t="s">
        <v>22</v>
      </c>
      <c r="D214" s="29"/>
      <c r="E214" s="60"/>
      <c r="F214" s="29"/>
      <c r="G214" s="12"/>
      <c r="H214" s="12"/>
      <c r="I214" s="12"/>
      <c r="J214" s="12"/>
      <c r="K214" s="12"/>
    </row>
    <row r="215" spans="2:11" ht="16" customHeight="1" x14ac:dyDescent="0.35">
      <c r="B215" s="40" t="s">
        <v>995</v>
      </c>
      <c r="C215" s="40" t="s">
        <v>996</v>
      </c>
      <c r="D215" s="53"/>
      <c r="E215" s="53">
        <f>E102+E161+E213</f>
        <v>2829.2065600000315</v>
      </c>
      <c r="F215" s="53"/>
      <c r="G215" s="24">
        <f>G102+G161+G213</f>
        <v>138291.45842999997</v>
      </c>
      <c r="H215" s="24">
        <f>H102+H161+H213</f>
        <v>-3074.8350299999993</v>
      </c>
      <c r="I215" s="24">
        <f>I102+I161+I213</f>
        <v>6308.5135300000002</v>
      </c>
      <c r="J215" s="24">
        <f>J102+J161+J213</f>
        <v>-850.33573000000001</v>
      </c>
      <c r="K215" s="24">
        <f>K102+K161+K213</f>
        <v>-137845.59464000002</v>
      </c>
    </row>
    <row r="216" spans="2:11" ht="16" customHeight="1" x14ac:dyDescent="0.35">
      <c r="B216" s="11"/>
      <c r="C216" s="11" t="s">
        <v>22</v>
      </c>
      <c r="D216" s="29"/>
      <c r="E216" s="60"/>
      <c r="F216" s="29"/>
      <c r="G216" s="12"/>
      <c r="H216" s="12"/>
      <c r="I216" s="12"/>
      <c r="J216" s="12"/>
      <c r="K216" s="12"/>
    </row>
    <row r="217" spans="2:11" ht="16" customHeight="1" x14ac:dyDescent="0.35">
      <c r="B217" s="14" t="s">
        <v>997</v>
      </c>
      <c r="C217" s="14" t="s">
        <v>998</v>
      </c>
      <c r="D217" s="61"/>
      <c r="E217" s="62">
        <v>0</v>
      </c>
      <c r="F217" s="61"/>
      <c r="G217" s="15"/>
      <c r="H217" s="15"/>
      <c r="I217" s="15"/>
      <c r="J217" s="15"/>
      <c r="K217" s="15">
        <v>0</v>
      </c>
    </row>
    <row r="218" spans="2:11" ht="16" customHeight="1" x14ac:dyDescent="0.35">
      <c r="B218" s="14" t="s">
        <v>999</v>
      </c>
      <c r="C218" s="14" t="s">
        <v>996</v>
      </c>
      <c r="D218" s="61"/>
      <c r="E218" s="62">
        <f>E220-E219-E217</f>
        <v>2829.2055599999999</v>
      </c>
      <c r="F218" s="61"/>
      <c r="G218" s="15">
        <f>G220-G219-G217</f>
        <v>0</v>
      </c>
      <c r="H218" s="15">
        <f>H220-H219-H217</f>
        <v>0</v>
      </c>
      <c r="I218" s="15">
        <f>I220-I219-I217</f>
        <v>0</v>
      </c>
      <c r="J218" s="15">
        <f>J220-J219-J217</f>
        <v>0</v>
      </c>
      <c r="K218" s="15">
        <f>K220-K219-K217</f>
        <v>2829.2055599999999</v>
      </c>
    </row>
    <row r="219" spans="2:11" ht="16" customHeight="1" x14ac:dyDescent="0.35">
      <c r="B219" s="14" t="s">
        <v>1000</v>
      </c>
      <c r="C219" s="14" t="s">
        <v>1001</v>
      </c>
      <c r="D219" s="61"/>
      <c r="E219" s="62"/>
      <c r="F219" s="61"/>
      <c r="G219" s="15"/>
      <c r="H219" s="15"/>
      <c r="I219" s="15"/>
      <c r="J219" s="15"/>
      <c r="K219" s="15"/>
    </row>
    <row r="220" spans="2:11" ht="16" customHeight="1" x14ac:dyDescent="0.35">
      <c r="B220" s="14" t="s">
        <v>1002</v>
      </c>
      <c r="C220" s="14" t="s">
        <v>1003</v>
      </c>
      <c r="D220" s="61"/>
      <c r="E220" s="62">
        <v>2829.2055599999999</v>
      </c>
      <c r="F220" s="61"/>
      <c r="G220" s="15"/>
      <c r="H220" s="15"/>
      <c r="I220" s="15"/>
      <c r="J220" s="15"/>
      <c r="K220" s="15">
        <v>2829.2055599999999</v>
      </c>
    </row>
    <row r="221" spans="2:11" ht="16" customHeight="1" x14ac:dyDescent="0.35">
      <c r="B221" s="11"/>
      <c r="C221" s="11" t="s">
        <v>22</v>
      </c>
      <c r="D221" s="29"/>
      <c r="E221" s="60"/>
      <c r="F221" s="29"/>
      <c r="G221" s="12"/>
      <c r="H221" s="12"/>
      <c r="I221" s="12"/>
      <c r="J221" s="12"/>
      <c r="K221" s="12"/>
    </row>
    <row r="222" spans="2:11" ht="16" customHeight="1" x14ac:dyDescent="0.35">
      <c r="B222" s="11"/>
      <c r="C222" s="11" t="s">
        <v>22</v>
      </c>
      <c r="D222" s="29"/>
      <c r="E222" s="60"/>
      <c r="F222" s="29"/>
      <c r="G222" s="12"/>
      <c r="H222" s="12"/>
      <c r="I222" s="12"/>
      <c r="J222" s="12"/>
      <c r="K222" s="12"/>
    </row>
    <row r="223" spans="2:11" ht="16" customHeight="1" x14ac:dyDescent="0.35">
      <c r="B223" s="36"/>
      <c r="C223" s="36" t="s">
        <v>751</v>
      </c>
      <c r="D223" s="71"/>
      <c r="E223" s="72">
        <f>E215-E218</f>
        <v>1.000000031581294E-3</v>
      </c>
      <c r="F223" s="71"/>
      <c r="G223" s="37">
        <f>G215-G218</f>
        <v>138291.45842999997</v>
      </c>
      <c r="H223" s="37">
        <f>H215-H218</f>
        <v>-3074.8350299999993</v>
      </c>
      <c r="I223" s="37">
        <f>I215-I218</f>
        <v>6308.5135300000002</v>
      </c>
      <c r="J223" s="37">
        <f>J215-J218</f>
        <v>-850.33573000000001</v>
      </c>
      <c r="K223" s="37">
        <f>K215-K218</f>
        <v>-140674.80020000003</v>
      </c>
    </row>
    <row r="224" spans="2:11" ht="16" customHeight="1" x14ac:dyDescent="0.35">
      <c r="B224" s="11"/>
      <c r="C224" s="11" t="s">
        <v>22</v>
      </c>
      <c r="D224" s="29"/>
      <c r="E224" s="60"/>
      <c r="F224" s="29"/>
      <c r="G224" s="12"/>
      <c r="H224" s="12"/>
      <c r="I224" s="12"/>
      <c r="J224" s="12"/>
      <c r="K224" s="12"/>
    </row>
    <row r="225" spans="2:11" ht="16" customHeight="1" x14ac:dyDescent="0.35">
      <c r="B225" s="11"/>
      <c r="C225" s="11" t="s">
        <v>22</v>
      </c>
      <c r="D225" s="29"/>
      <c r="E225" s="60"/>
      <c r="F225" s="29"/>
      <c r="G225" s="12"/>
      <c r="H225" s="12"/>
      <c r="I225" s="12"/>
      <c r="J225" s="12"/>
      <c r="K225" s="12"/>
    </row>
    <row r="226" spans="2:11" ht="16" customHeight="1" x14ac:dyDescent="0.35">
      <c r="B226" s="34"/>
      <c r="C226" s="34" t="s">
        <v>1004</v>
      </c>
      <c r="D226" s="69"/>
      <c r="E226" s="70"/>
      <c r="F226" s="69"/>
      <c r="G226" s="35"/>
      <c r="H226" s="35"/>
      <c r="I226" s="35"/>
      <c r="J226" s="35"/>
      <c r="K226" s="35"/>
    </row>
    <row r="227" spans="2:11" ht="16" customHeight="1" x14ac:dyDescent="0.35">
      <c r="B227" s="11"/>
      <c r="C227" s="11" t="s">
        <v>22</v>
      </c>
      <c r="D227" s="29"/>
      <c r="E227" s="60"/>
      <c r="F227" s="29"/>
      <c r="G227" s="12"/>
      <c r="H227" s="12"/>
      <c r="I227" s="12"/>
      <c r="J227" s="12"/>
      <c r="K227" s="12"/>
    </row>
    <row r="228" spans="2:11" ht="16" customHeight="1" x14ac:dyDescent="0.35">
      <c r="B228" s="14"/>
      <c r="C228" s="14" t="s">
        <v>890</v>
      </c>
      <c r="D228" s="61"/>
      <c r="E228" s="62">
        <f>E126</f>
        <v>-40398.13867</v>
      </c>
      <c r="F228" s="61"/>
      <c r="G228" s="15">
        <f>G126</f>
        <v>-27961.432509999999</v>
      </c>
      <c r="H228" s="15">
        <f>H126</f>
        <v>-10403.49058</v>
      </c>
      <c r="I228" s="15">
        <f>I126</f>
        <v>0</v>
      </c>
      <c r="J228" s="15">
        <f>J126</f>
        <v>0</v>
      </c>
      <c r="K228" s="15">
        <f>K126</f>
        <v>-2033.21558</v>
      </c>
    </row>
    <row r="229" spans="2:11" ht="16" customHeight="1" x14ac:dyDescent="0.35">
      <c r="B229" s="14"/>
      <c r="C229" s="14" t="s">
        <v>892</v>
      </c>
      <c r="D229" s="61"/>
      <c r="E229" s="62">
        <f>E128</f>
        <v>0</v>
      </c>
      <c r="F229" s="61"/>
      <c r="G229" s="15">
        <f>G128</f>
        <v>0</v>
      </c>
      <c r="H229" s="15">
        <f>H128</f>
        <v>0</v>
      </c>
      <c r="I229" s="15">
        <f>I128</f>
        <v>0</v>
      </c>
      <c r="J229" s="15">
        <f>J128</f>
        <v>0</v>
      </c>
      <c r="K229" s="15">
        <f>K128</f>
        <v>0</v>
      </c>
    </row>
    <row r="230" spans="2:11" ht="16" customHeight="1" x14ac:dyDescent="0.35">
      <c r="B230" s="34"/>
      <c r="C230" s="34" t="s">
        <v>1005</v>
      </c>
      <c r="D230" s="69"/>
      <c r="E230" s="70">
        <f>E102+E228+E229</f>
        <v>70934.364260000031</v>
      </c>
      <c r="F230" s="69"/>
      <c r="G230" s="35">
        <f>G102+G228+G229</f>
        <v>138310.71476999996</v>
      </c>
      <c r="H230" s="35">
        <f>H102+H228+H229</f>
        <v>-3082.4350299999996</v>
      </c>
      <c r="I230" s="35">
        <f>I102+I228+I229</f>
        <v>6308.5135300000002</v>
      </c>
      <c r="J230" s="35">
        <f>J102+J228+J229</f>
        <v>-850.33573000000001</v>
      </c>
      <c r="K230" s="35">
        <f>K102+K228+K229</f>
        <v>-69752.093280000001</v>
      </c>
    </row>
    <row r="231" spans="2:11" ht="16" customHeight="1" x14ac:dyDescent="0.35">
      <c r="B231" s="14"/>
      <c r="C231" s="14" t="s">
        <v>976</v>
      </c>
      <c r="D231" s="61"/>
      <c r="E231" s="62">
        <f>E198</f>
        <v>-1379.3859899999998</v>
      </c>
      <c r="F231" s="61"/>
      <c r="G231" s="15">
        <f>G198</f>
        <v>0</v>
      </c>
      <c r="H231" s="15">
        <f>H198</f>
        <v>0</v>
      </c>
      <c r="I231" s="15">
        <f>I198</f>
        <v>0</v>
      </c>
      <c r="J231" s="15">
        <f>J198</f>
        <v>0</v>
      </c>
      <c r="K231" s="15">
        <f>K198</f>
        <v>-1379.3859899999998</v>
      </c>
    </row>
    <row r="232" spans="2:11" ht="16" customHeight="1" x14ac:dyDescent="0.35">
      <c r="B232" s="34"/>
      <c r="C232" s="34" t="s">
        <v>1006</v>
      </c>
      <c r="D232" s="69"/>
      <c r="E232" s="70">
        <f>E230+E231</f>
        <v>69554.978270000036</v>
      </c>
      <c r="F232" s="69"/>
      <c r="G232" s="35">
        <f>G230+G231</f>
        <v>138310.71476999996</v>
      </c>
      <c r="H232" s="35">
        <f>H230+H231</f>
        <v>-3082.4350299999996</v>
      </c>
      <c r="I232" s="35">
        <f>I230+I231</f>
        <v>6308.5135300000002</v>
      </c>
      <c r="J232" s="35">
        <f>J230+J231</f>
        <v>-850.33573000000001</v>
      </c>
      <c r="K232" s="35">
        <f>K230+K231</f>
        <v>-71131.479269999996</v>
      </c>
    </row>
    <row r="233" spans="2:11" ht="16" customHeight="1" x14ac:dyDescent="0.35">
      <c r="B233" s="14"/>
      <c r="C233" s="14" t="s">
        <v>813</v>
      </c>
      <c r="D233" s="61"/>
      <c r="E233" s="62">
        <f>E61</f>
        <v>0</v>
      </c>
      <c r="F233" s="61"/>
      <c r="G233" s="15">
        <f>G61</f>
        <v>0</v>
      </c>
      <c r="H233" s="15">
        <f>H61</f>
        <v>0</v>
      </c>
      <c r="I233" s="15">
        <f>I61</f>
        <v>0</v>
      </c>
      <c r="J233" s="15">
        <f>J61</f>
        <v>0</v>
      </c>
      <c r="K233" s="15">
        <f>K61</f>
        <v>0</v>
      </c>
    </row>
    <row r="234" spans="2:11" ht="16" customHeight="1" x14ac:dyDescent="0.35">
      <c r="B234" s="34"/>
      <c r="C234" s="34" t="s">
        <v>1007</v>
      </c>
      <c r="D234" s="69"/>
      <c r="E234" s="70">
        <f>E232-E233</f>
        <v>69554.978270000036</v>
      </c>
      <c r="F234" s="69"/>
      <c r="G234" s="35">
        <f>G232-G233</f>
        <v>138310.71476999996</v>
      </c>
      <c r="H234" s="35">
        <f>H232-H233</f>
        <v>-3082.4350299999996</v>
      </c>
      <c r="I234" s="35">
        <f>I232-I233</f>
        <v>6308.5135300000002</v>
      </c>
      <c r="J234" s="35">
        <f>J232-J233</f>
        <v>-850.33573000000001</v>
      </c>
      <c r="K234" s="35">
        <f>K232-K233</f>
        <v>-71131.479269999996</v>
      </c>
    </row>
    <row r="235" spans="2:11" ht="16" customHeight="1" x14ac:dyDescent="0.35">
      <c r="B235" s="11"/>
      <c r="C235" s="11" t="s">
        <v>22</v>
      </c>
      <c r="D235" s="29"/>
      <c r="E235" s="60"/>
      <c r="F235" s="29"/>
      <c r="G235" s="12"/>
      <c r="H235" s="12"/>
      <c r="I235" s="12"/>
      <c r="J235" s="12"/>
      <c r="K235" s="12"/>
    </row>
    <row r="236" spans="2:11" ht="16" customHeight="1" x14ac:dyDescent="0.35">
      <c r="B236" s="44"/>
      <c r="C236" s="44" t="s">
        <v>1008</v>
      </c>
      <c r="D236" s="73"/>
      <c r="E236" s="74">
        <v>0.54614779899999999</v>
      </c>
      <c r="F236" s="73"/>
      <c r="G236" s="45">
        <v>1.1350755539999999</v>
      </c>
      <c r="H236" s="45">
        <v>-0.58444844500000004</v>
      </c>
      <c r="I236" s="45">
        <v>27.435166558999999</v>
      </c>
      <c r="J236" s="45">
        <v>0</v>
      </c>
      <c r="K236" s="45">
        <v>0</v>
      </c>
    </row>
    <row r="237" spans="2:11" ht="16" customHeight="1" x14ac:dyDescent="0.35">
      <c r="B237" s="44"/>
      <c r="C237" s="44" t="s">
        <v>1009</v>
      </c>
      <c r="D237" s="73"/>
      <c r="E237" s="74">
        <v>0.73431449999999998</v>
      </c>
      <c r="F237" s="73"/>
      <c r="G237" s="45">
        <v>1.494333321</v>
      </c>
      <c r="H237" s="45">
        <v>-0.69410971300000002</v>
      </c>
      <c r="I237" s="45">
        <v>27.435166558999999</v>
      </c>
      <c r="J237" s="45">
        <v>0</v>
      </c>
      <c r="K237" s="45">
        <v>111.039934398</v>
      </c>
    </row>
    <row r="238" spans="2:11" ht="16" customHeight="1" x14ac:dyDescent="0.35">
      <c r="B238" s="44"/>
      <c r="C238" s="44" t="s">
        <v>1010</v>
      </c>
      <c r="D238" s="73"/>
      <c r="E238" s="74">
        <v>0.21824453899999999</v>
      </c>
      <c r="F238" s="73"/>
      <c r="G238" s="45">
        <v>0.49431429199999999</v>
      </c>
      <c r="H238" s="45">
        <v>-0.10497548299999999</v>
      </c>
      <c r="I238" s="45">
        <v>0.661584269</v>
      </c>
      <c r="J238" s="45">
        <v>0</v>
      </c>
      <c r="K238" s="45">
        <v>0</v>
      </c>
    </row>
    <row r="239" spans="2:11" ht="16" customHeight="1" x14ac:dyDescent="0.35">
      <c r="B239" s="11"/>
      <c r="C239" s="11" t="s">
        <v>22</v>
      </c>
      <c r="D239" s="29"/>
      <c r="E239" s="22"/>
      <c r="F239" s="12"/>
      <c r="G239" s="12"/>
      <c r="H239" s="12"/>
      <c r="I239" s="12"/>
      <c r="J239" s="12"/>
      <c r="K239" s="12"/>
    </row>
    <row r="240" spans="2:11" ht="16" customHeight="1" x14ac:dyDescent="0.45">
      <c r="B240" s="13"/>
      <c r="C240" s="9"/>
      <c r="D240" s="9"/>
      <c r="E240" s="13"/>
      <c r="F240" s="13"/>
      <c r="G240" s="13"/>
      <c r="H240" s="13"/>
      <c r="I240" s="13"/>
      <c r="J240" s="13"/>
      <c r="K240" s="13"/>
    </row>
    <row r="241" spans="2:11" ht="16" customHeight="1" x14ac:dyDescent="0.45">
      <c r="B241" s="13"/>
      <c r="C241" s="9"/>
      <c r="D241" s="9"/>
      <c r="E241" s="13"/>
      <c r="F241" s="13"/>
      <c r="G241" s="13"/>
      <c r="H241" s="13"/>
      <c r="I241" s="13"/>
      <c r="J241" s="13"/>
      <c r="K241" s="13"/>
    </row>
    <row r="242" spans="2:11" ht="16" customHeight="1" x14ac:dyDescent="0.45">
      <c r="B242" s="13"/>
      <c r="C242" s="9"/>
      <c r="D242" s="9"/>
      <c r="E242" s="13"/>
      <c r="F242" s="13"/>
      <c r="G242" s="13"/>
      <c r="H242" s="13"/>
      <c r="I242" s="13"/>
      <c r="J242" s="13"/>
      <c r="K242" s="13"/>
    </row>
    <row r="243" spans="2:11" ht="16" customHeight="1" x14ac:dyDescent="0.45">
      <c r="B243" s="13"/>
      <c r="C243" s="9"/>
      <c r="D243" s="9"/>
      <c r="E243" s="13"/>
      <c r="F243" s="13"/>
      <c r="G243" s="13"/>
      <c r="H243" s="13"/>
      <c r="I243" s="13"/>
      <c r="J243" s="13"/>
      <c r="K243" s="13"/>
    </row>
    <row r="244" spans="2:11" ht="16" customHeight="1" x14ac:dyDescent="0.45">
      <c r="B244" s="13"/>
      <c r="C244" s="9"/>
      <c r="D244" s="9"/>
      <c r="E244" s="13"/>
      <c r="F244" s="13"/>
      <c r="G244" s="13"/>
      <c r="H244" s="13"/>
      <c r="I244" s="13"/>
      <c r="J244" s="13"/>
      <c r="K244" s="13"/>
    </row>
    <row r="245" spans="2:11" ht="16" customHeight="1" x14ac:dyDescent="0.45">
      <c r="B245" s="13"/>
      <c r="C245" s="9"/>
      <c r="D245" s="9"/>
      <c r="E245" s="13"/>
      <c r="F245" s="13"/>
      <c r="G245" s="13"/>
      <c r="H245" s="13"/>
      <c r="I245" s="13"/>
      <c r="J245" s="13"/>
      <c r="K245" s="13"/>
    </row>
    <row r="246" spans="2:11" ht="16" customHeight="1" x14ac:dyDescent="0.45">
      <c r="B246" s="13"/>
      <c r="C246" s="9"/>
      <c r="D246" s="9"/>
      <c r="E246" s="13"/>
      <c r="F246" s="13"/>
      <c r="G246" s="13"/>
      <c r="H246" s="13"/>
      <c r="I246" s="13"/>
      <c r="J246" s="13"/>
      <c r="K246" s="13"/>
    </row>
    <row r="247" spans="2:11" ht="16" customHeight="1" x14ac:dyDescent="0.45">
      <c r="B247" s="13"/>
      <c r="C247" s="9"/>
      <c r="D247" s="9"/>
      <c r="E247" s="13"/>
      <c r="F247" s="13"/>
      <c r="G247" s="13"/>
      <c r="H247" s="13"/>
      <c r="I247" s="13"/>
      <c r="J247" s="13"/>
      <c r="K247" s="13"/>
    </row>
    <row r="248" spans="2:11" ht="16" customHeight="1" x14ac:dyDescent="0.45">
      <c r="B248" s="13"/>
      <c r="C248" s="9"/>
      <c r="D248" s="9"/>
      <c r="E248" s="13"/>
      <c r="F248" s="13"/>
      <c r="G248" s="13"/>
      <c r="H248" s="13"/>
      <c r="I248" s="13"/>
      <c r="J248" s="13"/>
      <c r="K248" s="13"/>
    </row>
    <row r="249" spans="2:11" ht="16" customHeight="1" x14ac:dyDescent="0.45">
      <c r="B249" s="13"/>
      <c r="C249" s="9"/>
      <c r="D249" s="9"/>
      <c r="E249" s="13"/>
      <c r="F249" s="13"/>
      <c r="G249" s="13"/>
      <c r="H249" s="13"/>
      <c r="I249" s="13"/>
      <c r="J249" s="13"/>
      <c r="K249" s="13"/>
    </row>
    <row r="250" spans="2:11" ht="16" customHeight="1" x14ac:dyDescent="0.45">
      <c r="B250" s="13"/>
      <c r="C250" s="9"/>
      <c r="D250" s="9"/>
      <c r="E250" s="13"/>
      <c r="F250" s="13"/>
      <c r="G250" s="13"/>
      <c r="H250" s="13"/>
      <c r="I250" s="13"/>
      <c r="J250" s="13"/>
      <c r="K250" s="13"/>
    </row>
    <row r="251" spans="2:11" ht="16" customHeight="1" x14ac:dyDescent="0.45">
      <c r="B251" s="13"/>
      <c r="C251" s="9"/>
      <c r="D251" s="9"/>
      <c r="E251" s="13"/>
      <c r="F251" s="13"/>
      <c r="G251" s="13"/>
      <c r="H251" s="13"/>
      <c r="I251" s="13"/>
      <c r="J251" s="13"/>
      <c r="K251" s="13"/>
    </row>
    <row r="252" spans="2:11" ht="16" customHeight="1" x14ac:dyDescent="0.45">
      <c r="B252" s="13"/>
      <c r="C252" s="9"/>
      <c r="D252" s="9"/>
      <c r="E252" s="13"/>
      <c r="F252" s="13"/>
      <c r="G252" s="13"/>
      <c r="H252" s="13"/>
      <c r="I252" s="13"/>
      <c r="J252" s="13"/>
      <c r="K252" s="13"/>
    </row>
    <row r="253" spans="2:11" ht="16" customHeight="1" x14ac:dyDescent="0.45">
      <c r="B253" s="13"/>
      <c r="C253" s="9"/>
      <c r="D253" s="9"/>
      <c r="E253" s="13"/>
      <c r="F253" s="13"/>
      <c r="G253" s="13"/>
      <c r="H253" s="13"/>
      <c r="I253" s="13"/>
      <c r="J253" s="13"/>
      <c r="K253" s="13"/>
    </row>
    <row r="254" spans="2:11" ht="16" customHeight="1" x14ac:dyDescent="0.45">
      <c r="B254" s="13"/>
      <c r="C254" s="9"/>
      <c r="D254" s="9"/>
      <c r="E254" s="13"/>
      <c r="F254" s="13"/>
      <c r="G254" s="13"/>
      <c r="H254" s="13"/>
      <c r="I254" s="13"/>
      <c r="J254" s="13"/>
      <c r="K254" s="13"/>
    </row>
    <row r="255" spans="2:11" ht="16" customHeight="1" x14ac:dyDescent="0.45">
      <c r="B255" s="13"/>
      <c r="C255" s="9"/>
      <c r="D255" s="9"/>
      <c r="E255" s="13"/>
      <c r="F255" s="13"/>
      <c r="G255" s="13"/>
      <c r="H255" s="13"/>
      <c r="I255" s="13"/>
      <c r="J255" s="13"/>
      <c r="K255" s="13"/>
    </row>
    <row r="256" spans="2:11" ht="16" customHeight="1" x14ac:dyDescent="0.45">
      <c r="B256" s="13"/>
      <c r="C256" s="9"/>
      <c r="D256" s="9"/>
      <c r="E256" s="13"/>
      <c r="F256" s="13"/>
      <c r="G256" s="13"/>
      <c r="H256" s="13"/>
      <c r="I256" s="13"/>
      <c r="J256" s="13"/>
      <c r="K256" s="13"/>
    </row>
    <row r="257" spans="2:11" ht="16" customHeight="1" x14ac:dyDescent="0.45">
      <c r="B257" s="13"/>
      <c r="C257" s="9"/>
      <c r="D257" s="9"/>
      <c r="E257" s="13"/>
      <c r="F257" s="13"/>
      <c r="G257" s="13"/>
      <c r="H257" s="13"/>
      <c r="I257" s="13"/>
      <c r="J257" s="13"/>
      <c r="K257" s="13"/>
    </row>
    <row r="258" spans="2:11" ht="16" customHeight="1" x14ac:dyDescent="0.45">
      <c r="B258" s="13"/>
      <c r="C258" s="9"/>
      <c r="D258" s="9"/>
      <c r="E258" s="13"/>
      <c r="F258" s="13"/>
      <c r="G258" s="13"/>
      <c r="H258" s="13"/>
      <c r="I258" s="13"/>
      <c r="J258" s="13"/>
      <c r="K258" s="13"/>
    </row>
    <row r="259" spans="2:11" ht="16" customHeight="1" x14ac:dyDescent="0.45">
      <c r="B259" s="13"/>
      <c r="C259" s="9"/>
      <c r="D259" s="9"/>
      <c r="E259" s="13"/>
      <c r="F259" s="13"/>
      <c r="G259" s="13"/>
      <c r="H259" s="13"/>
      <c r="I259" s="13"/>
      <c r="J259" s="13"/>
      <c r="K259" s="13"/>
    </row>
    <row r="260" spans="2:11" ht="16" customHeight="1" x14ac:dyDescent="0.45">
      <c r="B260" s="13"/>
      <c r="C260" s="9"/>
      <c r="D260" s="9"/>
      <c r="E260" s="13"/>
      <c r="F260" s="13"/>
      <c r="G260" s="13"/>
      <c r="H260" s="13"/>
      <c r="I260" s="13"/>
      <c r="J260" s="13"/>
      <c r="K260" s="13"/>
    </row>
    <row r="261" spans="2:11" ht="16" customHeight="1" x14ac:dyDescent="0.45">
      <c r="B261" s="13"/>
      <c r="C261" s="9"/>
      <c r="D261" s="9"/>
      <c r="E261" s="13"/>
      <c r="F261" s="13"/>
      <c r="G261" s="13"/>
      <c r="H261" s="13"/>
      <c r="I261" s="13"/>
      <c r="J261" s="13"/>
      <c r="K261" s="13"/>
    </row>
    <row r="262" spans="2:11" ht="16" customHeight="1" x14ac:dyDescent="0.45">
      <c r="B262" s="13"/>
      <c r="C262" s="9"/>
      <c r="D262" s="9"/>
      <c r="E262" s="13"/>
      <c r="F262" s="13"/>
      <c r="G262" s="13"/>
      <c r="H262" s="13"/>
      <c r="I262" s="13"/>
      <c r="J262" s="13"/>
      <c r="K262" s="13"/>
    </row>
    <row r="263" spans="2:11" ht="16" customHeight="1" x14ac:dyDescent="0.45">
      <c r="B263" s="13"/>
      <c r="C263" s="9"/>
      <c r="D263" s="9"/>
      <c r="E263" s="13"/>
      <c r="F263" s="13"/>
      <c r="G263" s="13"/>
      <c r="H263" s="13"/>
      <c r="I263" s="13"/>
      <c r="J263" s="13"/>
      <c r="K263" s="13"/>
    </row>
    <row r="264" spans="2:11" ht="16" customHeight="1" x14ac:dyDescent="0.45">
      <c r="B264" s="13"/>
      <c r="C264" s="9"/>
      <c r="D264" s="9"/>
      <c r="E264" s="13"/>
      <c r="F264" s="13"/>
      <c r="G264" s="13"/>
      <c r="H264" s="13"/>
      <c r="I264" s="13"/>
      <c r="J264" s="13"/>
      <c r="K264" s="13"/>
    </row>
    <row r="265" spans="2:11" ht="16" customHeight="1" x14ac:dyDescent="0.45">
      <c r="B265" s="13"/>
      <c r="C265" s="9"/>
      <c r="D265" s="9"/>
      <c r="E265" s="13"/>
      <c r="F265" s="13"/>
      <c r="G265" s="13"/>
      <c r="H265" s="13"/>
      <c r="I265" s="13"/>
      <c r="J265" s="13"/>
      <c r="K265" s="13"/>
    </row>
    <row r="266" spans="2:11" ht="16" customHeight="1" x14ac:dyDescent="0.45">
      <c r="B266" s="13"/>
      <c r="C266" s="9"/>
      <c r="D266" s="9"/>
      <c r="E266" s="13"/>
      <c r="F266" s="13"/>
      <c r="G266" s="13"/>
      <c r="H266" s="13"/>
      <c r="I266" s="13"/>
      <c r="J266" s="13"/>
      <c r="K266" s="13"/>
    </row>
    <row r="267" spans="2:11" ht="16" customHeight="1" x14ac:dyDescent="0.45">
      <c r="B267" s="13"/>
      <c r="C267" s="9"/>
      <c r="D267" s="9"/>
      <c r="E267" s="13"/>
      <c r="F267" s="13"/>
      <c r="G267" s="13"/>
      <c r="H267" s="13"/>
      <c r="I267" s="13"/>
      <c r="J267" s="13"/>
      <c r="K267" s="13"/>
    </row>
    <row r="268" spans="2:11" ht="16" customHeight="1" x14ac:dyDescent="0.45">
      <c r="B268" s="13"/>
      <c r="C268" s="9"/>
      <c r="D268" s="9"/>
      <c r="E268" s="13"/>
      <c r="F268" s="13"/>
      <c r="G268" s="13"/>
      <c r="H268" s="13"/>
      <c r="I268" s="13"/>
      <c r="J268" s="13"/>
      <c r="K268" s="13"/>
    </row>
    <row r="269" spans="2:11" ht="16" customHeight="1" x14ac:dyDescent="0.45">
      <c r="B269" s="13"/>
      <c r="C269" s="9"/>
      <c r="D269" s="9"/>
      <c r="E269" s="13"/>
      <c r="F269" s="13"/>
      <c r="G269" s="13"/>
      <c r="H269" s="13"/>
      <c r="I269" s="13"/>
      <c r="J269" s="13"/>
      <c r="K269" s="13"/>
    </row>
    <row r="270" spans="2:11" ht="16" customHeight="1" x14ac:dyDescent="0.45">
      <c r="B270" s="13"/>
      <c r="C270" s="9"/>
      <c r="D270" s="9"/>
      <c r="E270" s="13"/>
      <c r="F270" s="13"/>
      <c r="G270" s="13"/>
      <c r="H270" s="13"/>
      <c r="I270" s="13"/>
      <c r="J270" s="13"/>
      <c r="K270" s="13"/>
    </row>
    <row r="271" spans="2:11" ht="16" customHeight="1" x14ac:dyDescent="0.45">
      <c r="B271" s="13"/>
      <c r="C271" s="9"/>
      <c r="D271" s="9"/>
      <c r="E271" s="13"/>
      <c r="F271" s="13"/>
      <c r="G271" s="13"/>
      <c r="H271" s="13"/>
      <c r="I271" s="13"/>
      <c r="J271" s="13"/>
      <c r="K271" s="13"/>
    </row>
    <row r="272" spans="2:11" ht="16" customHeight="1" x14ac:dyDescent="0.45">
      <c r="B272" s="13"/>
      <c r="C272" s="9"/>
      <c r="D272" s="9"/>
      <c r="E272" s="13"/>
      <c r="F272" s="13"/>
      <c r="G272" s="13"/>
      <c r="H272" s="13"/>
      <c r="I272" s="13"/>
      <c r="J272" s="13"/>
      <c r="K272" s="13"/>
    </row>
    <row r="273" spans="2:11" ht="16" customHeight="1" x14ac:dyDescent="0.45">
      <c r="B273" s="13"/>
      <c r="C273" s="9"/>
      <c r="D273" s="9"/>
      <c r="E273" s="13"/>
      <c r="F273" s="13"/>
      <c r="G273" s="13"/>
      <c r="H273" s="13"/>
      <c r="I273" s="13"/>
      <c r="J273" s="13"/>
      <c r="K273" s="13"/>
    </row>
    <row r="274" spans="2:11" ht="16" customHeight="1" x14ac:dyDescent="0.45">
      <c r="B274" s="13"/>
      <c r="C274" s="9"/>
      <c r="D274" s="9"/>
      <c r="E274" s="13"/>
      <c r="F274" s="13"/>
      <c r="G274" s="13"/>
      <c r="H274" s="13"/>
      <c r="I274" s="13"/>
      <c r="J274" s="13"/>
      <c r="K274" s="13"/>
    </row>
    <row r="275" spans="2:11" ht="16" customHeight="1" x14ac:dyDescent="0.45">
      <c r="B275" s="13"/>
      <c r="C275" s="9"/>
      <c r="D275" s="9"/>
      <c r="E275" s="13"/>
      <c r="F275" s="13"/>
      <c r="G275" s="13"/>
      <c r="H275" s="13"/>
      <c r="I275" s="13"/>
      <c r="J275" s="13"/>
      <c r="K275" s="13"/>
    </row>
    <row r="276" spans="2:11" ht="16" customHeight="1" x14ac:dyDescent="0.45">
      <c r="B276" s="13"/>
      <c r="C276" s="9"/>
      <c r="D276" s="9"/>
      <c r="E276" s="13"/>
      <c r="F276" s="13"/>
      <c r="G276" s="13"/>
      <c r="H276" s="13"/>
      <c r="I276" s="13"/>
      <c r="J276" s="13"/>
      <c r="K276" s="13"/>
    </row>
    <row r="277" spans="2:11" ht="16" customHeight="1" x14ac:dyDescent="0.45">
      <c r="B277" s="13"/>
      <c r="C277" s="9"/>
      <c r="D277" s="9"/>
      <c r="E277" s="13"/>
      <c r="F277" s="13"/>
      <c r="G277" s="13"/>
      <c r="H277" s="13"/>
      <c r="I277" s="13"/>
      <c r="J277" s="13"/>
      <c r="K277" s="13"/>
    </row>
    <row r="278" spans="2:11" ht="16" customHeight="1" x14ac:dyDescent="0.45">
      <c r="B278" s="13"/>
      <c r="C278" s="9"/>
      <c r="D278" s="9"/>
      <c r="E278" s="13"/>
      <c r="F278" s="13"/>
      <c r="G278" s="13"/>
      <c r="H278" s="13"/>
      <c r="I278" s="13"/>
      <c r="J278" s="13"/>
      <c r="K278" s="13"/>
    </row>
    <row r="279" spans="2:11" ht="16" customHeight="1" x14ac:dyDescent="0.45">
      <c r="B279" s="13"/>
      <c r="C279" s="9"/>
      <c r="D279" s="9"/>
      <c r="E279" s="13"/>
      <c r="F279" s="13"/>
      <c r="G279" s="13"/>
      <c r="H279" s="13"/>
      <c r="I279" s="13"/>
      <c r="J279" s="13"/>
      <c r="K279" s="13"/>
    </row>
    <row r="280" spans="2:11" ht="16" customHeight="1" x14ac:dyDescent="0.45">
      <c r="B280" s="13"/>
      <c r="C280" s="9"/>
      <c r="D280" s="9"/>
      <c r="E280" s="13"/>
      <c r="F280" s="13"/>
      <c r="G280" s="13"/>
      <c r="H280" s="13"/>
      <c r="I280" s="13"/>
      <c r="J280" s="13"/>
      <c r="K280" s="13"/>
    </row>
    <row r="281" spans="2:11" ht="16" customHeight="1" x14ac:dyDescent="0.45">
      <c r="B281" s="13"/>
      <c r="C281" s="9"/>
      <c r="D281" s="9"/>
      <c r="E281" s="13"/>
      <c r="F281" s="13"/>
      <c r="G281" s="13"/>
      <c r="H281" s="13"/>
      <c r="I281" s="13"/>
      <c r="J281" s="13"/>
      <c r="K281" s="13"/>
    </row>
    <row r="282" spans="2:11" ht="16" customHeight="1" x14ac:dyDescent="0.45">
      <c r="B282" s="13"/>
      <c r="C282" s="9"/>
      <c r="D282" s="9"/>
      <c r="E282" s="13"/>
      <c r="F282" s="13"/>
      <c r="G282" s="13"/>
      <c r="H282" s="13"/>
      <c r="I282" s="13"/>
      <c r="J282" s="13"/>
      <c r="K282" s="13"/>
    </row>
    <row r="283" spans="2:11" ht="16" customHeight="1" x14ac:dyDescent="0.45">
      <c r="B283" s="13"/>
      <c r="C283" s="9"/>
      <c r="D283" s="9"/>
      <c r="E283" s="13"/>
      <c r="F283" s="13"/>
      <c r="G283" s="13"/>
      <c r="H283" s="13"/>
      <c r="I283" s="13"/>
      <c r="J283" s="13"/>
      <c r="K283" s="13"/>
    </row>
    <row r="284" spans="2:11" ht="16" customHeight="1" x14ac:dyDescent="0.45">
      <c r="B284" s="13"/>
      <c r="C284" s="9"/>
      <c r="D284" s="9"/>
      <c r="E284" s="13"/>
      <c r="F284" s="13"/>
      <c r="G284" s="13"/>
      <c r="H284" s="13"/>
      <c r="I284" s="13"/>
      <c r="J284" s="13"/>
      <c r="K284" s="13"/>
    </row>
    <row r="285" spans="2:11" ht="16" customHeight="1" x14ac:dyDescent="0.45">
      <c r="B285" s="13"/>
      <c r="C285" s="9"/>
      <c r="D285" s="9"/>
      <c r="E285" s="13"/>
      <c r="F285" s="13"/>
      <c r="G285" s="13"/>
      <c r="H285" s="13"/>
      <c r="I285" s="13"/>
      <c r="J285" s="13"/>
      <c r="K285" s="13"/>
    </row>
    <row r="286" spans="2:11" ht="16" customHeight="1" x14ac:dyDescent="0.45">
      <c r="B286" s="13"/>
      <c r="C286" s="9"/>
      <c r="D286" s="9"/>
      <c r="E286" s="13"/>
      <c r="F286" s="13"/>
      <c r="G286" s="13"/>
      <c r="H286" s="13"/>
      <c r="I286" s="13"/>
      <c r="J286" s="13"/>
      <c r="K286" s="13"/>
    </row>
    <row r="287" spans="2:11" ht="16" customHeight="1" x14ac:dyDescent="0.45">
      <c r="B287" s="13"/>
      <c r="C287" s="9"/>
      <c r="D287" s="9"/>
      <c r="E287" s="13"/>
      <c r="F287" s="13"/>
      <c r="G287" s="13"/>
      <c r="H287" s="13"/>
      <c r="I287" s="13"/>
      <c r="J287" s="13"/>
      <c r="K287" s="13"/>
    </row>
    <row r="288" spans="2:11" ht="16" customHeight="1" x14ac:dyDescent="0.45">
      <c r="B288" s="13"/>
      <c r="C288" s="9"/>
      <c r="D288" s="9"/>
      <c r="E288" s="13"/>
      <c r="F288" s="13"/>
      <c r="G288" s="13"/>
      <c r="H288" s="13"/>
      <c r="I288" s="13"/>
      <c r="J288" s="13"/>
      <c r="K288" s="13"/>
    </row>
    <row r="289" spans="2:11" ht="16" customHeight="1" x14ac:dyDescent="0.45">
      <c r="B289" s="13"/>
      <c r="C289" s="9"/>
      <c r="D289" s="9"/>
      <c r="E289" s="13"/>
      <c r="F289" s="13"/>
      <c r="G289" s="13"/>
      <c r="H289" s="13"/>
      <c r="I289" s="13"/>
      <c r="J289" s="13"/>
      <c r="K289" s="13"/>
    </row>
    <row r="290" spans="2:11" ht="16" customHeight="1" x14ac:dyDescent="0.45">
      <c r="B290" s="13"/>
      <c r="C290" s="9"/>
      <c r="D290" s="9"/>
      <c r="E290" s="13"/>
      <c r="F290" s="13"/>
      <c r="G290" s="13"/>
      <c r="H290" s="13"/>
      <c r="I290" s="13"/>
      <c r="J290" s="13"/>
      <c r="K290" s="13"/>
    </row>
    <row r="291" spans="2:11" ht="16" customHeight="1" x14ac:dyDescent="0.45">
      <c r="B291" s="13"/>
      <c r="C291" s="9"/>
      <c r="D291" s="9"/>
      <c r="E291" s="13"/>
      <c r="F291" s="13"/>
      <c r="G291" s="13"/>
      <c r="H291" s="13"/>
      <c r="I291" s="13"/>
      <c r="J291" s="13"/>
      <c r="K291" s="13"/>
    </row>
    <row r="292" spans="2:11" ht="16" customHeight="1" x14ac:dyDescent="0.45">
      <c r="B292" s="13"/>
      <c r="C292" s="9"/>
      <c r="D292" s="9"/>
      <c r="E292" s="13"/>
      <c r="F292" s="13"/>
      <c r="G292" s="13"/>
      <c r="H292" s="13"/>
      <c r="I292" s="13"/>
      <c r="J292" s="13"/>
      <c r="K292" s="13"/>
    </row>
    <row r="293" spans="2:11" ht="16" customHeight="1" x14ac:dyDescent="0.45">
      <c r="B293" s="13"/>
      <c r="C293" s="9"/>
      <c r="D293" s="9"/>
      <c r="E293" s="13"/>
      <c r="F293" s="13"/>
      <c r="G293" s="13"/>
      <c r="H293" s="13"/>
      <c r="I293" s="13"/>
      <c r="J293" s="13"/>
      <c r="K293" s="13"/>
    </row>
    <row r="294" spans="2:11" ht="16" customHeight="1" x14ac:dyDescent="0.45">
      <c r="B294" s="13"/>
      <c r="C294" s="9"/>
      <c r="D294" s="9"/>
      <c r="E294" s="13"/>
      <c r="F294" s="13"/>
      <c r="G294" s="13"/>
      <c r="H294" s="13"/>
      <c r="I294" s="13"/>
      <c r="J294" s="13"/>
      <c r="K294" s="13"/>
    </row>
    <row r="295" spans="2:11" ht="16" customHeight="1" x14ac:dyDescent="0.45">
      <c r="B295" s="13"/>
      <c r="C295" s="9"/>
      <c r="D295" s="9"/>
      <c r="E295" s="13"/>
      <c r="F295" s="13"/>
      <c r="G295" s="13"/>
      <c r="H295" s="13"/>
      <c r="I295" s="13"/>
      <c r="J295" s="13"/>
      <c r="K295" s="13"/>
    </row>
    <row r="296" spans="2:11" ht="16" customHeight="1" x14ac:dyDescent="0.45">
      <c r="B296" s="13"/>
      <c r="C296" s="9"/>
      <c r="D296" s="9"/>
      <c r="E296" s="13"/>
      <c r="F296" s="13"/>
      <c r="G296" s="13"/>
      <c r="H296" s="13"/>
      <c r="I296" s="13"/>
      <c r="J296" s="13"/>
      <c r="K296" s="13"/>
    </row>
    <row r="297" spans="2:11" ht="16" customHeight="1" x14ac:dyDescent="0.45">
      <c r="B297" s="13"/>
      <c r="C297" s="9"/>
      <c r="D297" s="9"/>
      <c r="E297" s="13"/>
      <c r="F297" s="13"/>
      <c r="G297" s="13"/>
      <c r="H297" s="13"/>
      <c r="I297" s="13"/>
      <c r="J297" s="13"/>
      <c r="K297" s="13"/>
    </row>
    <row r="298" spans="2:11" ht="16" customHeight="1" x14ac:dyDescent="0.45">
      <c r="B298" s="13"/>
      <c r="C298" s="9"/>
      <c r="D298" s="9"/>
      <c r="E298" s="13"/>
      <c r="F298" s="13"/>
      <c r="G298" s="13"/>
      <c r="H298" s="13"/>
      <c r="I298" s="13"/>
      <c r="J298" s="13"/>
      <c r="K298" s="13"/>
    </row>
    <row r="299" spans="2:11" ht="16" customHeight="1" x14ac:dyDescent="0.45">
      <c r="B299" s="13"/>
      <c r="C299" s="9"/>
      <c r="D299" s="9"/>
      <c r="E299" s="13"/>
      <c r="F299" s="13"/>
      <c r="G299" s="13"/>
      <c r="H299" s="13"/>
      <c r="I299" s="13"/>
      <c r="J299" s="13"/>
      <c r="K299" s="13"/>
    </row>
    <row r="300" spans="2:11" ht="16" customHeight="1" x14ac:dyDescent="0.45">
      <c r="B300" s="13"/>
      <c r="C300" s="9"/>
      <c r="D300" s="9"/>
      <c r="E300" s="13"/>
      <c r="F300" s="13"/>
      <c r="G300" s="13"/>
      <c r="H300" s="13"/>
      <c r="I300" s="13"/>
      <c r="J300" s="13"/>
      <c r="K300" s="13"/>
    </row>
    <row r="301" spans="2:11" ht="16" customHeight="1" x14ac:dyDescent="0.45">
      <c r="B301" s="13"/>
      <c r="C301" s="9"/>
      <c r="D301" s="9"/>
      <c r="E301" s="13"/>
      <c r="F301" s="13"/>
      <c r="G301" s="13"/>
      <c r="H301" s="13"/>
      <c r="I301" s="13"/>
      <c r="J301" s="13"/>
      <c r="K301" s="13"/>
    </row>
    <row r="302" spans="2:11" ht="16" customHeight="1" x14ac:dyDescent="0.45">
      <c r="B302" s="13"/>
      <c r="C302" s="9"/>
      <c r="D302" s="9"/>
      <c r="E302" s="13"/>
      <c r="F302" s="13"/>
      <c r="G302" s="13"/>
      <c r="H302" s="13"/>
      <c r="I302" s="13"/>
      <c r="J302" s="13"/>
      <c r="K302" s="13"/>
    </row>
    <row r="303" spans="2:11" ht="16" customHeight="1" x14ac:dyDescent="0.45">
      <c r="B303" s="13"/>
      <c r="C303" s="9"/>
      <c r="D303" s="9"/>
      <c r="E303" s="13"/>
      <c r="F303" s="13"/>
      <c r="G303" s="13"/>
      <c r="H303" s="13"/>
      <c r="I303" s="13"/>
      <c r="J303" s="13"/>
      <c r="K303" s="13"/>
    </row>
    <row r="304" spans="2:11" ht="16" customHeight="1" x14ac:dyDescent="0.45">
      <c r="B304" s="13"/>
      <c r="C304" s="9"/>
      <c r="D304" s="9"/>
      <c r="E304" s="13"/>
      <c r="F304" s="13"/>
      <c r="G304" s="13"/>
      <c r="H304" s="13"/>
      <c r="I304" s="13"/>
      <c r="J304" s="13"/>
      <c r="K304" s="13"/>
    </row>
    <row r="305" spans="2:11" ht="16" customHeight="1" x14ac:dyDescent="0.45">
      <c r="B305" s="13"/>
      <c r="C305" s="9"/>
      <c r="D305" s="9"/>
      <c r="E305" s="13"/>
      <c r="F305" s="13"/>
      <c r="G305" s="13"/>
      <c r="H305" s="13"/>
      <c r="I305" s="13"/>
      <c r="J305" s="13"/>
      <c r="K305" s="13"/>
    </row>
    <row r="306" spans="2:11" ht="16" customHeight="1" x14ac:dyDescent="0.45">
      <c r="B306" s="13"/>
      <c r="C306" s="9"/>
      <c r="D306" s="9"/>
      <c r="E306" s="13"/>
      <c r="F306" s="13"/>
      <c r="G306" s="13"/>
      <c r="H306" s="13"/>
      <c r="I306" s="13"/>
      <c r="J306" s="13"/>
      <c r="K306" s="13"/>
    </row>
    <row r="307" spans="2:11" ht="16" customHeight="1" x14ac:dyDescent="0.45">
      <c r="B307" s="13"/>
      <c r="C307" s="9"/>
      <c r="D307" s="9"/>
      <c r="E307" s="13"/>
      <c r="F307" s="13"/>
      <c r="G307" s="13"/>
      <c r="H307" s="13"/>
      <c r="I307" s="13"/>
      <c r="J307" s="13"/>
      <c r="K307" s="13"/>
    </row>
    <row r="308" spans="2:11" ht="16" customHeight="1" x14ac:dyDescent="0.45">
      <c r="B308" s="13"/>
      <c r="C308" s="9"/>
      <c r="D308" s="9"/>
      <c r="E308" s="13"/>
      <c r="F308" s="13"/>
      <c r="G308" s="13"/>
      <c r="H308" s="13"/>
      <c r="I308" s="13"/>
      <c r="J308" s="13"/>
      <c r="K308" s="13"/>
    </row>
    <row r="309" spans="2:11" ht="16" customHeight="1" x14ac:dyDescent="0.45">
      <c r="B309" s="13"/>
      <c r="C309" s="9"/>
      <c r="D309" s="9"/>
      <c r="E309" s="13"/>
      <c r="F309" s="13"/>
      <c r="G309" s="13"/>
      <c r="H309" s="13"/>
      <c r="I309" s="13"/>
      <c r="J309" s="13"/>
      <c r="K309" s="13"/>
    </row>
    <row r="310" spans="2:11" ht="16" customHeight="1" x14ac:dyDescent="0.45">
      <c r="B310" s="13"/>
      <c r="C310" s="9"/>
      <c r="D310" s="9"/>
      <c r="E310" s="13"/>
      <c r="F310" s="13"/>
      <c r="G310" s="13"/>
      <c r="H310" s="13"/>
      <c r="I310" s="13"/>
      <c r="J310" s="13"/>
      <c r="K310" s="13"/>
    </row>
    <row r="311" spans="2:11" ht="16" customHeight="1" x14ac:dyDescent="0.45">
      <c r="B311" s="13"/>
      <c r="C311" s="9"/>
      <c r="D311" s="9"/>
      <c r="E311" s="13"/>
      <c r="F311" s="13"/>
      <c r="G311" s="13"/>
      <c r="H311" s="13"/>
      <c r="I311" s="13"/>
      <c r="J311" s="13"/>
      <c r="K311" s="13"/>
    </row>
    <row r="312" spans="2:11" ht="16" customHeight="1" x14ac:dyDescent="0.45">
      <c r="B312" s="13"/>
      <c r="C312" s="9"/>
      <c r="D312" s="9"/>
      <c r="E312" s="13"/>
      <c r="F312" s="13"/>
      <c r="G312" s="13"/>
      <c r="H312" s="13"/>
      <c r="I312" s="13"/>
      <c r="J312" s="13"/>
      <c r="K312" s="13"/>
    </row>
    <row r="313" spans="2:11" ht="16" customHeight="1" x14ac:dyDescent="0.45">
      <c r="B313" s="13"/>
      <c r="C313" s="9"/>
      <c r="D313" s="9"/>
      <c r="E313" s="13"/>
      <c r="F313" s="13"/>
      <c r="G313" s="13"/>
      <c r="H313" s="13"/>
      <c r="I313" s="13"/>
      <c r="J313" s="13"/>
      <c r="K313" s="13"/>
    </row>
    <row r="314" spans="2:11" ht="16" customHeight="1" x14ac:dyDescent="0.45">
      <c r="B314" s="13"/>
      <c r="C314" s="9"/>
      <c r="D314" s="9"/>
      <c r="E314" s="13"/>
      <c r="F314" s="13"/>
      <c r="G314" s="13"/>
      <c r="H314" s="13"/>
      <c r="I314" s="13"/>
      <c r="J314" s="13"/>
      <c r="K314" s="13"/>
    </row>
    <row r="315" spans="2:11" ht="16" customHeight="1" x14ac:dyDescent="0.45">
      <c r="B315" s="13"/>
      <c r="C315" s="9"/>
      <c r="D315" s="9"/>
      <c r="E315" s="13"/>
      <c r="F315" s="13"/>
      <c r="G315" s="13"/>
      <c r="H315" s="13"/>
      <c r="I315" s="13"/>
      <c r="J315" s="13"/>
      <c r="K315" s="13"/>
    </row>
    <row r="316" spans="2:11" ht="16" customHeight="1" x14ac:dyDescent="0.45">
      <c r="B316" s="13"/>
      <c r="C316" s="9"/>
      <c r="D316" s="9"/>
      <c r="E316" s="13"/>
      <c r="F316" s="13"/>
      <c r="G316" s="13"/>
      <c r="H316" s="13"/>
      <c r="I316" s="13"/>
      <c r="J316" s="13"/>
      <c r="K316" s="13"/>
    </row>
    <row r="317" spans="2:11" ht="16" customHeight="1" x14ac:dyDescent="0.45">
      <c r="B317" s="13"/>
      <c r="C317" s="9"/>
      <c r="D317" s="9"/>
      <c r="E317" s="13"/>
      <c r="F317" s="13"/>
      <c r="G317" s="13"/>
      <c r="H317" s="13"/>
      <c r="I317" s="13"/>
      <c r="J317" s="13"/>
      <c r="K317" s="13"/>
    </row>
    <row r="318" spans="2:11" ht="16" customHeight="1" x14ac:dyDescent="0.45">
      <c r="B318" s="13"/>
      <c r="C318" s="9"/>
      <c r="D318" s="9"/>
      <c r="E318" s="13"/>
      <c r="F318" s="13"/>
      <c r="G318" s="13"/>
      <c r="H318" s="13"/>
      <c r="I318" s="13"/>
      <c r="J318" s="13"/>
      <c r="K318" s="13"/>
    </row>
    <row r="319" spans="2:11" ht="16" customHeight="1" x14ac:dyDescent="0.45">
      <c r="B319" s="13"/>
      <c r="C319" s="9"/>
      <c r="D319" s="9"/>
      <c r="E319" s="13"/>
      <c r="F319" s="13"/>
      <c r="G319" s="13"/>
      <c r="H319" s="13"/>
      <c r="I319" s="13"/>
      <c r="J319" s="13"/>
      <c r="K319" s="13"/>
    </row>
    <row r="320" spans="2:11" ht="16" customHeight="1" x14ac:dyDescent="0.45">
      <c r="B320" s="13"/>
      <c r="C320" s="9"/>
      <c r="D320" s="9"/>
      <c r="E320" s="13"/>
      <c r="F320" s="13"/>
      <c r="G320" s="13"/>
      <c r="H320" s="13"/>
      <c r="I320" s="13"/>
      <c r="J320" s="13"/>
      <c r="K320" s="13"/>
    </row>
    <row r="321" spans="2:11" ht="16" customHeight="1" x14ac:dyDescent="0.45">
      <c r="B321" s="13"/>
      <c r="C321" s="9"/>
      <c r="D321" s="9"/>
      <c r="E321" s="13"/>
      <c r="F321" s="13"/>
      <c r="G321" s="13"/>
      <c r="H321" s="13"/>
      <c r="I321" s="13"/>
      <c r="J321" s="13"/>
      <c r="K321" s="13"/>
    </row>
    <row r="322" spans="2:11" ht="16" customHeight="1" x14ac:dyDescent="0.45">
      <c r="B322" s="13"/>
      <c r="C322" s="9"/>
      <c r="D322" s="9"/>
      <c r="E322" s="13"/>
      <c r="F322" s="13"/>
      <c r="G322" s="13"/>
      <c r="H322" s="13"/>
      <c r="I322" s="13"/>
      <c r="J322" s="13"/>
      <c r="K322" s="13"/>
    </row>
    <row r="323" spans="2:11" ht="16" customHeight="1" x14ac:dyDescent="0.45">
      <c r="B323" s="13"/>
      <c r="C323" s="9"/>
      <c r="D323" s="9"/>
      <c r="E323" s="13"/>
      <c r="F323" s="13"/>
      <c r="G323" s="13"/>
      <c r="H323" s="13"/>
      <c r="I323" s="13"/>
      <c r="J323" s="13"/>
      <c r="K323" s="13"/>
    </row>
    <row r="324" spans="2:11" ht="16" customHeight="1" x14ac:dyDescent="0.45">
      <c r="B324" s="13"/>
      <c r="C324" s="9"/>
      <c r="D324" s="9"/>
      <c r="E324" s="13"/>
      <c r="F324" s="13"/>
      <c r="G324" s="13"/>
      <c r="H324" s="13"/>
      <c r="I324" s="13"/>
      <c r="J324" s="13"/>
      <c r="K324" s="13"/>
    </row>
    <row r="325" spans="2:11" ht="16" customHeight="1" x14ac:dyDescent="0.45">
      <c r="B325" s="13"/>
      <c r="C325" s="9"/>
      <c r="D325" s="9"/>
      <c r="E325" s="13"/>
      <c r="F325" s="13"/>
      <c r="G325" s="13"/>
      <c r="H325" s="13"/>
      <c r="I325" s="13"/>
      <c r="J325" s="13"/>
      <c r="K325" s="13"/>
    </row>
    <row r="326" spans="2:11" ht="16" customHeight="1" x14ac:dyDescent="0.45">
      <c r="B326" s="13"/>
      <c r="C326" s="9"/>
      <c r="D326" s="9"/>
      <c r="E326" s="13"/>
      <c r="F326" s="13"/>
      <c r="G326" s="13"/>
      <c r="H326" s="13"/>
      <c r="I326" s="13"/>
      <c r="J326" s="13"/>
      <c r="K326" s="13"/>
    </row>
    <row r="327" spans="2:11" ht="16" customHeight="1" x14ac:dyDescent="0.45">
      <c r="B327" s="13"/>
      <c r="C327" s="9"/>
      <c r="D327" s="9"/>
      <c r="E327" s="13"/>
      <c r="F327" s="13"/>
      <c r="G327" s="13"/>
      <c r="H327" s="13"/>
      <c r="I327" s="13"/>
      <c r="J327" s="13"/>
      <c r="K327" s="13"/>
    </row>
    <row r="328" spans="2:11" ht="16" customHeight="1" x14ac:dyDescent="0.45">
      <c r="B328" s="13"/>
      <c r="C328" s="9"/>
      <c r="D328" s="9"/>
      <c r="E328" s="13"/>
      <c r="F328" s="13"/>
      <c r="G328" s="13"/>
      <c r="H328" s="13"/>
      <c r="I328" s="13"/>
      <c r="J328" s="13"/>
      <c r="K328" s="13"/>
    </row>
    <row r="329" spans="2:11" ht="16" customHeight="1" x14ac:dyDescent="0.45">
      <c r="B329" s="13"/>
      <c r="C329" s="9"/>
      <c r="D329" s="9"/>
      <c r="E329" s="13"/>
      <c r="F329" s="13"/>
      <c r="G329" s="13"/>
      <c r="H329" s="13"/>
      <c r="I329" s="13"/>
      <c r="J329" s="13"/>
      <c r="K329" s="13"/>
    </row>
    <row r="330" spans="2:11" ht="16" customHeight="1" x14ac:dyDescent="0.45">
      <c r="B330" s="13"/>
      <c r="C330" s="9"/>
      <c r="D330" s="9"/>
      <c r="E330" s="13"/>
      <c r="F330" s="13"/>
      <c r="G330" s="13"/>
      <c r="H330" s="13"/>
      <c r="I330" s="13"/>
      <c r="J330" s="13"/>
      <c r="K330" s="13"/>
    </row>
    <row r="331" spans="2:11" ht="16" customHeight="1" x14ac:dyDescent="0.45">
      <c r="B331" s="13"/>
      <c r="C331" s="9"/>
      <c r="D331" s="9"/>
      <c r="E331" s="13"/>
      <c r="F331" s="13"/>
      <c r="G331" s="13"/>
      <c r="H331" s="13"/>
      <c r="I331" s="13"/>
      <c r="J331" s="13"/>
      <c r="K331" s="13"/>
    </row>
    <row r="332" spans="2:11" ht="16" customHeight="1" x14ac:dyDescent="0.45">
      <c r="B332" s="13"/>
      <c r="C332" s="9"/>
      <c r="D332" s="9"/>
      <c r="E332" s="13"/>
      <c r="F332" s="13"/>
      <c r="G332" s="13"/>
      <c r="H332" s="13"/>
      <c r="I332" s="13"/>
      <c r="J332" s="13"/>
      <c r="K332" s="13"/>
    </row>
    <row r="333" spans="2:11" ht="16" customHeight="1" x14ac:dyDescent="0.45">
      <c r="B333" s="13"/>
      <c r="C333" s="9"/>
      <c r="D333" s="9"/>
      <c r="E333" s="13"/>
      <c r="F333" s="13"/>
      <c r="G333" s="13"/>
      <c r="H333" s="13"/>
      <c r="I333" s="13"/>
      <c r="J333" s="13"/>
      <c r="K333" s="13"/>
    </row>
    <row r="334" spans="2:11" ht="16" customHeight="1" x14ac:dyDescent="0.45">
      <c r="B334" s="13"/>
      <c r="C334" s="9"/>
      <c r="D334" s="9"/>
      <c r="E334" s="13"/>
      <c r="F334" s="13"/>
      <c r="G334" s="13"/>
      <c r="H334" s="13"/>
      <c r="I334" s="13"/>
      <c r="J334" s="13"/>
      <c r="K334" s="13"/>
    </row>
    <row r="335" spans="2:11" ht="16" customHeight="1" x14ac:dyDescent="0.45">
      <c r="B335" s="13"/>
      <c r="C335" s="9"/>
      <c r="D335" s="9"/>
      <c r="E335" s="13"/>
      <c r="F335" s="13"/>
      <c r="G335" s="13"/>
      <c r="H335" s="13"/>
      <c r="I335" s="13"/>
      <c r="J335" s="13"/>
      <c r="K335" s="13"/>
    </row>
    <row r="336" spans="2:11" ht="16" customHeight="1" x14ac:dyDescent="0.45">
      <c r="B336" s="13"/>
      <c r="C336" s="9"/>
      <c r="D336" s="9"/>
      <c r="E336" s="13"/>
      <c r="F336" s="13"/>
      <c r="G336" s="13"/>
      <c r="H336" s="13"/>
      <c r="I336" s="13"/>
      <c r="J336" s="13"/>
      <c r="K336" s="13"/>
    </row>
    <row r="337" spans="2:11" ht="16" customHeight="1" x14ac:dyDescent="0.45">
      <c r="B337" s="13"/>
      <c r="C337" s="9"/>
      <c r="D337" s="9"/>
      <c r="E337" s="13"/>
      <c r="F337" s="13"/>
      <c r="G337" s="13"/>
      <c r="H337" s="13"/>
      <c r="I337" s="13"/>
      <c r="J337" s="13"/>
      <c r="K337" s="13"/>
    </row>
    <row r="338" spans="2:11" ht="16" customHeight="1" x14ac:dyDescent="0.45">
      <c r="B338" s="13"/>
      <c r="C338" s="9"/>
      <c r="D338" s="9"/>
      <c r="E338" s="13"/>
      <c r="F338" s="13"/>
      <c r="G338" s="13"/>
      <c r="H338" s="13"/>
      <c r="I338" s="13"/>
      <c r="J338" s="13"/>
      <c r="K338" s="13"/>
    </row>
    <row r="339" spans="2:11" ht="16" customHeight="1" x14ac:dyDescent="0.45">
      <c r="B339" s="13"/>
      <c r="C339" s="9"/>
      <c r="D339" s="9"/>
      <c r="E339" s="13"/>
      <c r="F339" s="13"/>
      <c r="G339" s="13"/>
      <c r="H339" s="13"/>
      <c r="I339" s="13"/>
      <c r="J339" s="13"/>
      <c r="K339" s="13"/>
    </row>
    <row r="340" spans="2:11" ht="16" customHeight="1" x14ac:dyDescent="0.45">
      <c r="B340" s="13"/>
      <c r="C340" s="9"/>
      <c r="D340" s="9"/>
      <c r="E340" s="13"/>
      <c r="F340" s="13"/>
      <c r="G340" s="13"/>
      <c r="H340" s="13"/>
      <c r="I340" s="13"/>
      <c r="J340" s="13"/>
      <c r="K340" s="13"/>
    </row>
    <row r="341" spans="2:11" ht="16" customHeight="1" x14ac:dyDescent="0.45">
      <c r="B341" s="13"/>
      <c r="C341" s="9"/>
      <c r="D341" s="9"/>
      <c r="E341" s="13"/>
      <c r="F341" s="13"/>
      <c r="G341" s="13"/>
      <c r="H341" s="13"/>
      <c r="I341" s="13"/>
      <c r="J341" s="13"/>
      <c r="K341" s="13"/>
    </row>
    <row r="342" spans="2:11" ht="16" customHeight="1" x14ac:dyDescent="0.45">
      <c r="B342" s="13"/>
      <c r="C342" s="9"/>
      <c r="D342" s="9"/>
      <c r="E342" s="13"/>
      <c r="F342" s="13"/>
      <c r="G342" s="13"/>
      <c r="H342" s="13"/>
      <c r="I342" s="13"/>
      <c r="J342" s="13"/>
      <c r="K342" s="13"/>
    </row>
    <row r="343" spans="2:11" ht="16" customHeight="1" x14ac:dyDescent="0.45">
      <c r="B343" s="13"/>
      <c r="C343" s="9"/>
      <c r="D343" s="9"/>
      <c r="E343" s="13"/>
      <c r="F343" s="13"/>
      <c r="G343" s="13"/>
      <c r="H343" s="13"/>
      <c r="I343" s="13"/>
      <c r="J343" s="13"/>
      <c r="K343" s="13"/>
    </row>
    <row r="344" spans="2:11" ht="16" customHeight="1" x14ac:dyDescent="0.45">
      <c r="B344" s="13"/>
      <c r="C344" s="9"/>
      <c r="D344" s="9"/>
      <c r="E344" s="13"/>
      <c r="F344" s="13"/>
      <c r="G344" s="13"/>
      <c r="H344" s="13"/>
      <c r="I344" s="13"/>
      <c r="J344" s="13"/>
      <c r="K344" s="13"/>
    </row>
    <row r="345" spans="2:11" ht="16" customHeight="1" x14ac:dyDescent="0.45">
      <c r="B345" s="13"/>
      <c r="C345" s="9"/>
      <c r="D345" s="9"/>
      <c r="E345" s="13"/>
      <c r="F345" s="13"/>
      <c r="G345" s="13"/>
      <c r="H345" s="13"/>
      <c r="I345" s="13"/>
      <c r="J345" s="13"/>
      <c r="K345" s="13"/>
    </row>
    <row r="346" spans="2:11" ht="16" customHeight="1" x14ac:dyDescent="0.45">
      <c r="B346" s="13"/>
      <c r="C346" s="9"/>
      <c r="D346" s="9"/>
      <c r="E346" s="13"/>
      <c r="F346" s="13"/>
      <c r="G346" s="13"/>
      <c r="H346" s="13"/>
      <c r="I346" s="13"/>
      <c r="J346" s="13"/>
      <c r="K346" s="13"/>
    </row>
    <row r="347" spans="2:11" ht="16" customHeight="1" x14ac:dyDescent="0.45">
      <c r="B347" s="13"/>
      <c r="C347" s="9"/>
      <c r="D347" s="9"/>
      <c r="E347" s="13"/>
      <c r="F347" s="13"/>
      <c r="G347" s="13"/>
      <c r="H347" s="13"/>
      <c r="I347" s="13"/>
      <c r="J347" s="13"/>
      <c r="K347" s="13"/>
    </row>
    <row r="348" spans="2:11" ht="16" customHeight="1" x14ac:dyDescent="0.45">
      <c r="B348" s="13"/>
      <c r="C348" s="9"/>
      <c r="D348" s="9"/>
      <c r="E348" s="13"/>
      <c r="F348" s="13"/>
      <c r="G348" s="13"/>
      <c r="H348" s="13"/>
      <c r="I348" s="13"/>
      <c r="J348" s="13"/>
      <c r="K348" s="13"/>
    </row>
    <row r="349" spans="2:11" ht="16" customHeight="1" x14ac:dyDescent="0.45">
      <c r="B349" s="13"/>
      <c r="C349" s="9"/>
      <c r="D349" s="9"/>
      <c r="E349" s="13"/>
      <c r="F349" s="13"/>
      <c r="G349" s="13"/>
      <c r="H349" s="13"/>
      <c r="I349" s="13"/>
      <c r="J349" s="13"/>
      <c r="K349" s="13"/>
    </row>
    <row r="350" spans="2:11" ht="16" customHeight="1" x14ac:dyDescent="0.45">
      <c r="B350" s="13"/>
      <c r="C350" s="9"/>
      <c r="D350" s="9"/>
      <c r="E350" s="13"/>
      <c r="F350" s="13"/>
      <c r="G350" s="13"/>
      <c r="H350" s="13"/>
      <c r="I350" s="13"/>
      <c r="J350" s="13"/>
      <c r="K350" s="13"/>
    </row>
    <row r="351" spans="2:11" ht="16" customHeight="1" x14ac:dyDescent="0.45">
      <c r="B351" s="13"/>
      <c r="C351" s="9"/>
      <c r="D351" s="9"/>
      <c r="E351" s="13"/>
      <c r="F351" s="13"/>
      <c r="G351" s="13"/>
      <c r="H351" s="13"/>
      <c r="I351" s="13"/>
      <c r="J351" s="13"/>
      <c r="K351" s="13"/>
    </row>
    <row r="352" spans="2:11" ht="16" customHeight="1" x14ac:dyDescent="0.45">
      <c r="B352" s="13"/>
      <c r="C352" s="9"/>
      <c r="D352" s="9"/>
      <c r="E352" s="13"/>
      <c r="F352" s="13"/>
      <c r="G352" s="13"/>
      <c r="H352" s="13"/>
      <c r="I352" s="13"/>
      <c r="J352" s="13"/>
      <c r="K352" s="13"/>
    </row>
    <row r="353" spans="2:11" ht="16" customHeight="1" x14ac:dyDescent="0.45">
      <c r="B353" s="13"/>
      <c r="C353" s="9"/>
      <c r="D353" s="9"/>
      <c r="E353" s="13"/>
      <c r="F353" s="13"/>
      <c r="G353" s="13"/>
      <c r="H353" s="13"/>
      <c r="I353" s="13"/>
      <c r="J353" s="13"/>
      <c r="K353" s="13"/>
    </row>
    <row r="354" spans="2:11" ht="16" customHeight="1" x14ac:dyDescent="0.45">
      <c r="B354" s="13"/>
      <c r="C354" s="9"/>
      <c r="D354" s="9"/>
      <c r="E354" s="13"/>
      <c r="F354" s="13"/>
      <c r="G354" s="13"/>
      <c r="H354" s="13"/>
      <c r="I354" s="13"/>
      <c r="J354" s="13"/>
      <c r="K354" s="13"/>
    </row>
    <row r="355" spans="2:11" ht="16" customHeight="1" x14ac:dyDescent="0.45">
      <c r="B355" s="13"/>
      <c r="C355" s="9"/>
      <c r="D355" s="9"/>
      <c r="E355" s="13"/>
      <c r="F355" s="13"/>
      <c r="G355" s="13"/>
      <c r="H355" s="13"/>
      <c r="I355" s="13"/>
      <c r="J355" s="13"/>
      <c r="K355" s="13"/>
    </row>
    <row r="356" spans="2:11" ht="16" customHeight="1" x14ac:dyDescent="0.45">
      <c r="B356" s="13"/>
      <c r="C356" s="9"/>
      <c r="D356" s="9"/>
      <c r="E356" s="13"/>
      <c r="F356" s="13"/>
      <c r="G356" s="13"/>
      <c r="H356" s="13"/>
      <c r="I356" s="13"/>
      <c r="J356" s="13"/>
      <c r="K356" s="13"/>
    </row>
    <row r="357" spans="2:11" ht="16" customHeight="1" x14ac:dyDescent="0.45">
      <c r="B357" s="13"/>
      <c r="C357" s="9"/>
      <c r="D357" s="9"/>
      <c r="E357" s="13"/>
      <c r="F357" s="13"/>
      <c r="G357" s="13"/>
      <c r="H357" s="13"/>
      <c r="I357" s="13"/>
      <c r="J357" s="13"/>
      <c r="K357" s="13"/>
    </row>
    <row r="358" spans="2:11" ht="16" customHeight="1" x14ac:dyDescent="0.45">
      <c r="B358" s="13"/>
      <c r="C358" s="9"/>
      <c r="D358" s="9"/>
      <c r="E358" s="13"/>
      <c r="F358" s="13"/>
      <c r="G358" s="13"/>
      <c r="H358" s="13"/>
      <c r="I358" s="13"/>
      <c r="J358" s="13"/>
      <c r="K358" s="13"/>
    </row>
    <row r="359" spans="2:11" ht="16" customHeight="1" x14ac:dyDescent="0.45">
      <c r="B359" s="13"/>
      <c r="C359" s="9"/>
      <c r="D359" s="9"/>
      <c r="E359" s="13"/>
      <c r="F359" s="13"/>
      <c r="G359" s="13"/>
      <c r="H359" s="13"/>
      <c r="I359" s="13"/>
      <c r="J359" s="13"/>
      <c r="K359" s="13"/>
    </row>
    <row r="360" spans="2:11" ht="16" customHeight="1" x14ac:dyDescent="0.45">
      <c r="B360" s="13"/>
      <c r="C360" s="9"/>
      <c r="D360" s="9"/>
      <c r="E360" s="13"/>
      <c r="F360" s="13"/>
      <c r="G360" s="13"/>
      <c r="H360" s="13"/>
      <c r="I360" s="13"/>
      <c r="J360" s="13"/>
      <c r="K360" s="13"/>
    </row>
    <row r="361" spans="2:11" ht="16" customHeight="1" x14ac:dyDescent="0.45">
      <c r="B361" s="13"/>
      <c r="C361" s="9"/>
      <c r="D361" s="9"/>
      <c r="E361" s="13"/>
      <c r="F361" s="13"/>
      <c r="G361" s="13"/>
      <c r="H361" s="13"/>
      <c r="I361" s="13"/>
      <c r="J361" s="13"/>
      <c r="K361" s="13"/>
    </row>
    <row r="362" spans="2:11" ht="16" customHeight="1" x14ac:dyDescent="0.45">
      <c r="B362" s="13"/>
      <c r="C362" s="9"/>
      <c r="D362" s="9"/>
      <c r="E362" s="13"/>
      <c r="F362" s="13"/>
      <c r="G362" s="13"/>
      <c r="H362" s="13"/>
      <c r="I362" s="13"/>
      <c r="J362" s="13"/>
      <c r="K362" s="13"/>
    </row>
    <row r="363" spans="2:11" ht="16" customHeight="1" x14ac:dyDescent="0.45">
      <c r="B363" s="13"/>
      <c r="C363" s="9"/>
      <c r="D363" s="9"/>
      <c r="E363" s="13"/>
      <c r="F363" s="13"/>
      <c r="G363" s="13"/>
      <c r="H363" s="13"/>
      <c r="I363" s="13"/>
      <c r="J363" s="13"/>
      <c r="K363" s="13"/>
    </row>
    <row r="364" spans="2:11" ht="16" customHeight="1" x14ac:dyDescent="0.45">
      <c r="B364" s="13"/>
      <c r="C364" s="9"/>
      <c r="D364" s="9"/>
      <c r="E364" s="13"/>
      <c r="F364" s="13"/>
      <c r="G364" s="13"/>
      <c r="H364" s="13"/>
      <c r="I364" s="13"/>
      <c r="J364" s="13"/>
      <c r="K364" s="13"/>
    </row>
    <row r="365" spans="2:11" ht="16" customHeight="1" x14ac:dyDescent="0.45">
      <c r="B365" s="13"/>
      <c r="C365" s="9"/>
      <c r="D365" s="9"/>
      <c r="E365" s="13"/>
      <c r="F365" s="13"/>
      <c r="G365" s="13"/>
      <c r="H365" s="13"/>
      <c r="I365" s="13"/>
      <c r="J365" s="13"/>
      <c r="K365" s="13"/>
    </row>
    <row r="366" spans="2:11" ht="16" customHeight="1" x14ac:dyDescent="0.45">
      <c r="B366" s="13"/>
      <c r="C366" s="9"/>
      <c r="D366" s="9"/>
      <c r="E366" s="13"/>
      <c r="F366" s="13"/>
      <c r="G366" s="13"/>
      <c r="H366" s="13"/>
      <c r="I366" s="13"/>
      <c r="J366" s="13"/>
      <c r="K366" s="13"/>
    </row>
    <row r="367" spans="2:11" ht="16" customHeight="1" x14ac:dyDescent="0.45">
      <c r="B367" s="13"/>
      <c r="C367" s="9"/>
      <c r="D367" s="9"/>
      <c r="E367" s="13"/>
      <c r="F367" s="13"/>
      <c r="G367" s="13"/>
      <c r="H367" s="13"/>
      <c r="I367" s="13"/>
      <c r="J367" s="13"/>
      <c r="K367" s="13"/>
    </row>
    <row r="368" spans="2:11" ht="16" customHeight="1" x14ac:dyDescent="0.45">
      <c r="B368" s="13"/>
      <c r="C368" s="9"/>
      <c r="D368" s="9"/>
      <c r="E368" s="13"/>
      <c r="F368" s="13"/>
      <c r="G368" s="13"/>
      <c r="H368" s="13"/>
      <c r="I368" s="13"/>
      <c r="J368" s="13"/>
      <c r="K368" s="13"/>
    </row>
    <row r="369" spans="2:11" ht="16" customHeight="1" x14ac:dyDescent="0.45">
      <c r="B369" s="13"/>
      <c r="C369" s="9"/>
      <c r="D369" s="9"/>
      <c r="E369" s="13"/>
      <c r="F369" s="13"/>
      <c r="G369" s="13"/>
      <c r="H369" s="13"/>
      <c r="I369" s="13"/>
      <c r="J369" s="13"/>
      <c r="K369" s="13"/>
    </row>
    <row r="370" spans="2:11" ht="16" customHeight="1" x14ac:dyDescent="0.45">
      <c r="B370" s="13"/>
      <c r="C370" s="9"/>
      <c r="D370" s="9"/>
      <c r="E370" s="13"/>
      <c r="F370" s="13"/>
      <c r="G370" s="13"/>
      <c r="H370" s="13"/>
      <c r="I370" s="13"/>
      <c r="J370" s="13"/>
      <c r="K370" s="13"/>
    </row>
    <row r="371" spans="2:11" ht="16" customHeight="1" x14ac:dyDescent="0.45">
      <c r="B371" s="13"/>
      <c r="C371" s="9"/>
      <c r="D371" s="9"/>
      <c r="E371" s="13"/>
      <c r="F371" s="13"/>
      <c r="G371" s="13"/>
      <c r="H371" s="13"/>
      <c r="I371" s="13"/>
      <c r="J371" s="13"/>
      <c r="K371" s="13"/>
    </row>
    <row r="372" spans="2:11" ht="16" customHeight="1" x14ac:dyDescent="0.45">
      <c r="B372" s="13"/>
      <c r="C372" s="9"/>
      <c r="D372" s="9"/>
      <c r="E372" s="13"/>
      <c r="F372" s="13"/>
      <c r="G372" s="13"/>
      <c r="H372" s="13"/>
      <c r="I372" s="13"/>
      <c r="J372" s="13"/>
      <c r="K372" s="13"/>
    </row>
    <row r="373" spans="2:11" ht="16" customHeight="1" x14ac:dyDescent="0.45">
      <c r="B373" s="13"/>
      <c r="C373" s="9"/>
      <c r="D373" s="9"/>
      <c r="E373" s="13"/>
      <c r="F373" s="13"/>
      <c r="G373" s="13"/>
      <c r="H373" s="13"/>
      <c r="I373" s="13"/>
      <c r="J373" s="13"/>
      <c r="K373" s="13"/>
    </row>
    <row r="374" spans="2:11" ht="16" customHeight="1" x14ac:dyDescent="0.45">
      <c r="B374" s="13"/>
      <c r="C374" s="9"/>
      <c r="D374" s="9"/>
      <c r="E374" s="13"/>
      <c r="F374" s="13"/>
      <c r="G374" s="13"/>
      <c r="H374" s="13"/>
      <c r="I374" s="13"/>
      <c r="J374" s="13"/>
      <c r="K374" s="13"/>
    </row>
    <row r="375" spans="2:11" ht="16" customHeight="1" x14ac:dyDescent="0.45">
      <c r="B375" s="13"/>
      <c r="C375" s="9"/>
      <c r="D375" s="9"/>
      <c r="E375" s="13"/>
      <c r="F375" s="13"/>
      <c r="G375" s="13"/>
      <c r="H375" s="13"/>
      <c r="I375" s="13"/>
      <c r="J375" s="13"/>
      <c r="K375" s="13"/>
    </row>
    <row r="376" spans="2:11" ht="16" customHeight="1" x14ac:dyDescent="0.45">
      <c r="B376" s="13"/>
      <c r="C376" s="9"/>
      <c r="D376" s="9"/>
      <c r="E376" s="13"/>
      <c r="F376" s="13"/>
      <c r="G376" s="13"/>
      <c r="H376" s="13"/>
      <c r="I376" s="13"/>
      <c r="J376" s="13"/>
      <c r="K376" s="13"/>
    </row>
    <row r="377" spans="2:11" ht="16" customHeight="1" x14ac:dyDescent="0.45">
      <c r="B377" s="13"/>
      <c r="C377" s="9"/>
      <c r="D377" s="9"/>
      <c r="E377" s="13"/>
      <c r="F377" s="13"/>
      <c r="G377" s="13"/>
      <c r="H377" s="13"/>
      <c r="I377" s="13"/>
      <c r="J377" s="13"/>
      <c r="K377" s="13"/>
    </row>
    <row r="378" spans="2:11" ht="16" customHeight="1" x14ac:dyDescent="0.45">
      <c r="B378" s="13"/>
      <c r="C378" s="9"/>
      <c r="D378" s="9"/>
      <c r="E378" s="13"/>
      <c r="F378" s="13"/>
      <c r="G378" s="13"/>
      <c r="H378" s="13"/>
      <c r="I378" s="13"/>
      <c r="J378" s="13"/>
      <c r="K378" s="13"/>
    </row>
  </sheetData>
  <mergeCells count="1">
    <mergeCell ref="B6:C6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309F5-CDC9-4C50-B7FF-154F116F8B51}">
  <dimension ref="A3:S274"/>
  <sheetViews>
    <sheetView showGridLines="0" workbookViewId="0">
      <pane xSplit="4" topLeftCell="E1" activePane="topRight" state="frozen"/>
      <selection pane="topRight" activeCell="B4" sqref="B4:C4"/>
    </sheetView>
  </sheetViews>
  <sheetFormatPr defaultColWidth="9.1796875" defaultRowHeight="16" customHeight="1" x14ac:dyDescent="0.35"/>
  <cols>
    <col min="1" max="1" width="2.26953125" style="1" customWidth="1"/>
    <col min="2" max="2" width="10.7265625" style="1" customWidth="1"/>
    <col min="3" max="3" width="55.7265625" style="1" customWidth="1"/>
    <col min="4" max="4" width="17" style="1" customWidth="1"/>
    <col min="5" max="5" width="20.453125" style="1" customWidth="1"/>
    <col min="6" max="26" width="14.7265625" style="1" customWidth="1"/>
    <col min="27" max="16384" width="9.1796875" style="1"/>
  </cols>
  <sheetData>
    <row r="3" spans="1:19" ht="16" customHeight="1" x14ac:dyDescent="0.35">
      <c r="B3" s="2" t="s">
        <v>1043</v>
      </c>
      <c r="G3" s="3"/>
    </row>
    <row r="4" spans="1:19" ht="16" customHeight="1" x14ac:dyDescent="0.35">
      <c r="B4" s="33" t="s">
        <v>270</v>
      </c>
      <c r="C4" s="33"/>
    </row>
    <row r="5" spans="1:19" ht="16" customHeight="1" x14ac:dyDescent="0.35">
      <c r="B5" s="4" t="s">
        <v>271</v>
      </c>
    </row>
    <row r="6" spans="1:19" ht="16" customHeight="1" x14ac:dyDescent="0.35">
      <c r="B6" s="4" t="s">
        <v>1044</v>
      </c>
    </row>
    <row r="7" spans="1:19" ht="16" customHeight="1" x14ac:dyDescent="0.35">
      <c r="A7" s="5"/>
      <c r="B7" s="4" t="s">
        <v>272</v>
      </c>
    </row>
    <row r="8" spans="1:19" ht="16" customHeight="1" x14ac:dyDescent="0.35">
      <c r="A8" s="5"/>
      <c r="B8" s="6">
        <v>46189.340193564814</v>
      </c>
      <c r="C8" s="6"/>
    </row>
    <row r="9" spans="1:19" ht="69.75" customHeight="1" thickBot="1" x14ac:dyDescent="0.5">
      <c r="B9" s="7"/>
      <c r="C9" s="7"/>
      <c r="D9" s="8" t="s">
        <v>268</v>
      </c>
      <c r="E9" s="8" t="s">
        <v>1018</v>
      </c>
      <c r="F9" s="8" t="s">
        <v>1019</v>
      </c>
      <c r="G9" s="8" t="s">
        <v>1020</v>
      </c>
      <c r="H9" s="8" t="s">
        <v>1023</v>
      </c>
      <c r="I9" s="8" t="s">
        <v>1030</v>
      </c>
      <c r="J9" s="8" t="s">
        <v>1032</v>
      </c>
      <c r="K9" s="8" t="s">
        <v>1033</v>
      </c>
      <c r="L9" s="8" t="s">
        <v>1042</v>
      </c>
      <c r="M9" s="9"/>
      <c r="N9" s="9"/>
      <c r="O9" s="9"/>
      <c r="P9" s="9"/>
      <c r="Q9" s="9"/>
      <c r="R9" s="9"/>
      <c r="S9" s="9"/>
    </row>
    <row r="10" spans="1:19" ht="16" customHeight="1" x14ac:dyDescent="0.45">
      <c r="B10" s="10"/>
      <c r="C10" s="11"/>
      <c r="D10" s="29"/>
      <c r="E10" s="29"/>
      <c r="F10" s="29"/>
      <c r="G10" s="29"/>
      <c r="H10" s="29"/>
      <c r="I10" s="29"/>
      <c r="J10" s="29"/>
      <c r="K10" s="29"/>
      <c r="L10" s="29"/>
      <c r="M10" s="9"/>
      <c r="N10" s="9"/>
      <c r="O10" s="13"/>
      <c r="P10" s="13"/>
      <c r="Q10" s="13"/>
      <c r="R10" s="13"/>
      <c r="S10" s="13"/>
    </row>
    <row r="11" spans="1:19" ht="16" customHeight="1" x14ac:dyDescent="0.45">
      <c r="B11" s="14" t="s">
        <v>285</v>
      </c>
      <c r="C11" s="14" t="s">
        <v>286</v>
      </c>
      <c r="D11" s="30">
        <f>E11+F11+G11+H11+I11+J11+K11+L11</f>
        <v>2829.2055599999999</v>
      </c>
      <c r="E11" s="30"/>
      <c r="F11" s="30"/>
      <c r="G11" s="30"/>
      <c r="H11" s="30"/>
      <c r="I11" s="30"/>
      <c r="J11" s="30"/>
      <c r="K11" s="30"/>
      <c r="L11" s="30">
        <v>2829.2055599999999</v>
      </c>
      <c r="M11" s="13"/>
      <c r="N11" s="13"/>
      <c r="O11" s="13"/>
      <c r="P11" s="13"/>
      <c r="Q11" s="13"/>
      <c r="R11" s="13"/>
      <c r="S11" s="13"/>
    </row>
    <row r="12" spans="1:19" ht="16" customHeight="1" x14ac:dyDescent="0.45">
      <c r="B12" s="14" t="s">
        <v>287</v>
      </c>
      <c r="C12" s="14" t="s">
        <v>288</v>
      </c>
      <c r="D12" s="30">
        <f>E12+F12+G12+H12+I12+J12+K12+L12</f>
        <v>0</v>
      </c>
      <c r="E12" s="30"/>
      <c r="F12" s="30"/>
      <c r="G12" s="30"/>
      <c r="H12" s="30"/>
      <c r="I12" s="30"/>
      <c r="J12" s="30"/>
      <c r="K12" s="30"/>
      <c r="L12" s="30"/>
      <c r="M12" s="13"/>
      <c r="N12" s="13"/>
    </row>
    <row r="13" spans="1:19" ht="16" customHeight="1" x14ac:dyDescent="0.35">
      <c r="B13" s="16" t="s">
        <v>289</v>
      </c>
      <c r="C13" s="16" t="s">
        <v>290</v>
      </c>
      <c r="D13" s="31">
        <f t="shared" ref="D13:L13" si="0">D11+D12</f>
        <v>2829.2055599999999</v>
      </c>
      <c r="E13" s="31">
        <f t="shared" si="0"/>
        <v>0</v>
      </c>
      <c r="F13" s="31">
        <f t="shared" si="0"/>
        <v>0</v>
      </c>
      <c r="G13" s="31">
        <f t="shared" si="0"/>
        <v>0</v>
      </c>
      <c r="H13" s="31">
        <f t="shared" si="0"/>
        <v>0</v>
      </c>
      <c r="I13" s="31">
        <f t="shared" si="0"/>
        <v>0</v>
      </c>
      <c r="J13" s="31">
        <f t="shared" si="0"/>
        <v>0</v>
      </c>
      <c r="K13" s="31">
        <f t="shared" si="0"/>
        <v>0</v>
      </c>
      <c r="L13" s="31">
        <f t="shared" si="0"/>
        <v>2829.2055599999999</v>
      </c>
    </row>
    <row r="14" spans="1:19" ht="16" customHeight="1" x14ac:dyDescent="0.35">
      <c r="B14" s="11" t="s">
        <v>21</v>
      </c>
      <c r="C14" s="11" t="s">
        <v>22</v>
      </c>
      <c r="D14" s="29"/>
      <c r="E14" s="29"/>
      <c r="F14" s="29"/>
      <c r="G14" s="29"/>
      <c r="H14" s="29"/>
      <c r="I14" s="29"/>
      <c r="J14" s="29"/>
      <c r="K14" s="29"/>
      <c r="L14" s="29"/>
    </row>
    <row r="15" spans="1:19" ht="16" customHeight="1" x14ac:dyDescent="0.35">
      <c r="B15" s="14" t="s">
        <v>291</v>
      </c>
      <c r="C15" s="14" t="s">
        <v>292</v>
      </c>
      <c r="D15" s="30">
        <f>E15+F15+G15+H15+I15+J15+K15+L15</f>
        <v>0</v>
      </c>
      <c r="E15" s="30"/>
      <c r="F15" s="30"/>
      <c r="G15" s="30"/>
      <c r="H15" s="30"/>
      <c r="I15" s="30"/>
      <c r="J15" s="30"/>
      <c r="K15" s="30"/>
      <c r="L15" s="30"/>
    </row>
    <row r="16" spans="1:19" ht="16" customHeight="1" x14ac:dyDescent="0.35">
      <c r="B16" s="14" t="s">
        <v>293</v>
      </c>
      <c r="C16" s="14" t="s">
        <v>294</v>
      </c>
      <c r="D16" s="30">
        <f>E16+F16+G16+H16+I16+J16+K16+L16</f>
        <v>0</v>
      </c>
      <c r="E16" s="30"/>
      <c r="F16" s="30"/>
      <c r="G16" s="30"/>
      <c r="H16" s="30"/>
      <c r="I16" s="30"/>
      <c r="J16" s="30"/>
      <c r="K16" s="30"/>
      <c r="L16" s="30"/>
    </row>
    <row r="17" spans="2:12" ht="16" customHeight="1" x14ac:dyDescent="0.35">
      <c r="B17" s="16" t="s">
        <v>295</v>
      </c>
      <c r="C17" s="16" t="s">
        <v>296</v>
      </c>
      <c r="D17" s="31">
        <f t="shared" ref="D17:L17" si="1">D15+D16</f>
        <v>0</v>
      </c>
      <c r="E17" s="31">
        <f t="shared" si="1"/>
        <v>0</v>
      </c>
      <c r="F17" s="31">
        <f t="shared" si="1"/>
        <v>0</v>
      </c>
      <c r="G17" s="31">
        <f t="shared" si="1"/>
        <v>0</v>
      </c>
      <c r="H17" s="31">
        <f t="shared" si="1"/>
        <v>0</v>
      </c>
      <c r="I17" s="31">
        <f t="shared" si="1"/>
        <v>0</v>
      </c>
      <c r="J17" s="31">
        <f t="shared" si="1"/>
        <v>0</v>
      </c>
      <c r="K17" s="31">
        <f t="shared" si="1"/>
        <v>0</v>
      </c>
      <c r="L17" s="31">
        <f t="shared" si="1"/>
        <v>0</v>
      </c>
    </row>
    <row r="18" spans="2:12" ht="16" customHeight="1" x14ac:dyDescent="0.35">
      <c r="B18" s="11" t="s">
        <v>297</v>
      </c>
      <c r="C18" s="11" t="s">
        <v>22</v>
      </c>
      <c r="D18" s="29"/>
      <c r="E18" s="29"/>
      <c r="F18" s="29"/>
      <c r="G18" s="29"/>
      <c r="H18" s="29"/>
      <c r="I18" s="29"/>
      <c r="J18" s="29"/>
      <c r="K18" s="29"/>
      <c r="L18" s="29"/>
    </row>
    <row r="19" spans="2:12" ht="16" customHeight="1" x14ac:dyDescent="0.35">
      <c r="B19" s="14" t="s">
        <v>298</v>
      </c>
      <c r="C19" s="14" t="s">
        <v>299</v>
      </c>
      <c r="D19" s="30">
        <f>E19+F19+G19+H19+I19+J19+K19+L19</f>
        <v>1826177.92937</v>
      </c>
      <c r="E19" s="30"/>
      <c r="F19" s="30"/>
      <c r="G19" s="30"/>
      <c r="H19" s="30"/>
      <c r="I19" s="30"/>
      <c r="J19" s="30"/>
      <c r="K19" s="30"/>
      <c r="L19" s="30">
        <v>1826177.92937</v>
      </c>
    </row>
    <row r="20" spans="2:12" ht="16" customHeight="1" x14ac:dyDescent="0.35">
      <c r="B20" s="14" t="s">
        <v>300</v>
      </c>
      <c r="C20" s="14" t="s">
        <v>301</v>
      </c>
      <c r="D20" s="30">
        <f>E20+F20+G20+H20+I20+J20+K20+L20</f>
        <v>0</v>
      </c>
      <c r="E20" s="30"/>
      <c r="F20" s="30"/>
      <c r="G20" s="30"/>
      <c r="H20" s="30"/>
      <c r="I20" s="30"/>
      <c r="J20" s="30"/>
      <c r="K20" s="30"/>
      <c r="L20" s="30"/>
    </row>
    <row r="21" spans="2:12" ht="16" customHeight="1" x14ac:dyDescent="0.35">
      <c r="B21" s="14" t="s">
        <v>302</v>
      </c>
      <c r="C21" s="14" t="s">
        <v>303</v>
      </c>
      <c r="D21" s="30">
        <f>E21+F21+G21+H21+I21+J21+K21+L21</f>
        <v>0</v>
      </c>
      <c r="E21" s="30"/>
      <c r="F21" s="30"/>
      <c r="G21" s="30"/>
      <c r="H21" s="30"/>
      <c r="I21" s="30"/>
      <c r="J21" s="30"/>
      <c r="K21" s="30"/>
      <c r="L21" s="30"/>
    </row>
    <row r="22" spans="2:12" ht="16" customHeight="1" x14ac:dyDescent="0.35">
      <c r="B22" s="14" t="s">
        <v>304</v>
      </c>
      <c r="C22" s="14" t="s">
        <v>305</v>
      </c>
      <c r="D22" s="30">
        <f>E22+F22+G22+H22+I22+J22+K22+L22</f>
        <v>0</v>
      </c>
      <c r="E22" s="30"/>
      <c r="F22" s="30"/>
      <c r="G22" s="30"/>
      <c r="H22" s="30"/>
      <c r="I22" s="30"/>
      <c r="J22" s="30"/>
      <c r="K22" s="30"/>
      <c r="L22" s="30"/>
    </row>
    <row r="23" spans="2:12" ht="16" customHeight="1" x14ac:dyDescent="0.35">
      <c r="B23" s="14" t="s">
        <v>306</v>
      </c>
      <c r="C23" s="14" t="s">
        <v>307</v>
      </c>
      <c r="D23" s="30">
        <f>E23+F23+G23+H23+I23+J23+K23+L23</f>
        <v>0</v>
      </c>
      <c r="E23" s="30"/>
      <c r="F23" s="30"/>
      <c r="G23" s="30"/>
      <c r="H23" s="30"/>
      <c r="I23" s="30"/>
      <c r="J23" s="30"/>
      <c r="K23" s="30"/>
      <c r="L23" s="30"/>
    </row>
    <row r="24" spans="2:12" ht="16" customHeight="1" x14ac:dyDescent="0.35">
      <c r="B24" s="16" t="s">
        <v>308</v>
      </c>
      <c r="C24" s="16" t="s">
        <v>309</v>
      </c>
      <c r="D24" s="31">
        <f t="shared" ref="D24:L24" si="2">D19+D20+D21+D22+D23</f>
        <v>1826177.92937</v>
      </c>
      <c r="E24" s="31">
        <f t="shared" si="2"/>
        <v>0</v>
      </c>
      <c r="F24" s="31">
        <f t="shared" si="2"/>
        <v>0</v>
      </c>
      <c r="G24" s="31">
        <f t="shared" si="2"/>
        <v>0</v>
      </c>
      <c r="H24" s="31">
        <f t="shared" si="2"/>
        <v>0</v>
      </c>
      <c r="I24" s="31">
        <f t="shared" si="2"/>
        <v>0</v>
      </c>
      <c r="J24" s="31">
        <f t="shared" si="2"/>
        <v>0</v>
      </c>
      <c r="K24" s="31">
        <f t="shared" si="2"/>
        <v>0</v>
      </c>
      <c r="L24" s="31">
        <f t="shared" si="2"/>
        <v>1826177.92937</v>
      </c>
    </row>
    <row r="25" spans="2:12" ht="16" customHeight="1" x14ac:dyDescent="0.35">
      <c r="B25" s="11" t="s">
        <v>310</v>
      </c>
      <c r="C25" s="11" t="s">
        <v>22</v>
      </c>
      <c r="D25" s="29"/>
      <c r="E25" s="29"/>
      <c r="F25" s="29"/>
      <c r="G25" s="29"/>
      <c r="H25" s="29"/>
      <c r="I25" s="29"/>
      <c r="J25" s="29"/>
      <c r="K25" s="29"/>
      <c r="L25" s="29"/>
    </row>
    <row r="26" spans="2:12" ht="16" customHeight="1" x14ac:dyDescent="0.35">
      <c r="B26" s="14" t="s">
        <v>311</v>
      </c>
      <c r="C26" s="14" t="s">
        <v>312</v>
      </c>
      <c r="D26" s="30">
        <f>E26+F26+G26+H26+I26+J26+K26+L26</f>
        <v>2951.72606</v>
      </c>
      <c r="E26" s="30"/>
      <c r="F26" s="30"/>
      <c r="G26" s="30"/>
      <c r="H26" s="30"/>
      <c r="I26" s="30"/>
      <c r="J26" s="30"/>
      <c r="K26" s="30"/>
      <c r="L26" s="30">
        <v>2951.72606</v>
      </c>
    </row>
    <row r="27" spans="2:12" ht="16" customHeight="1" x14ac:dyDescent="0.35">
      <c r="B27" s="11" t="s">
        <v>313</v>
      </c>
      <c r="C27" s="11" t="s">
        <v>22</v>
      </c>
      <c r="D27" s="29"/>
      <c r="E27" s="29"/>
      <c r="F27" s="29"/>
      <c r="G27" s="29"/>
      <c r="H27" s="29"/>
      <c r="I27" s="29"/>
      <c r="J27" s="29"/>
      <c r="K27" s="29"/>
      <c r="L27" s="29"/>
    </row>
    <row r="28" spans="2:12" ht="16" customHeight="1" x14ac:dyDescent="0.35">
      <c r="B28" s="14" t="s">
        <v>314</v>
      </c>
      <c r="C28" s="14" t="s">
        <v>315</v>
      </c>
      <c r="D28" s="30">
        <f t="shared" ref="D28:D33" si="3">E28+F28+G28+H28+I28+J28+K28+L28</f>
        <v>28358.191350000001</v>
      </c>
      <c r="E28" s="30">
        <v>17468.459920000001</v>
      </c>
      <c r="F28" s="30">
        <v>4208.92904</v>
      </c>
      <c r="G28" s="30">
        <v>5683.8637200000003</v>
      </c>
      <c r="H28" s="30"/>
      <c r="I28" s="30"/>
      <c r="J28" s="30"/>
      <c r="K28" s="30"/>
      <c r="L28" s="30">
        <v>996.93867</v>
      </c>
    </row>
    <row r="29" spans="2:12" ht="16" customHeight="1" x14ac:dyDescent="0.35">
      <c r="B29" s="14" t="s">
        <v>316</v>
      </c>
      <c r="C29" s="14" t="s">
        <v>317</v>
      </c>
      <c r="D29" s="30">
        <f t="shared" si="3"/>
        <v>0</v>
      </c>
      <c r="E29" s="30"/>
      <c r="F29" s="30"/>
      <c r="G29" s="30"/>
      <c r="H29" s="30"/>
      <c r="I29" s="30"/>
      <c r="J29" s="30"/>
      <c r="K29" s="30"/>
      <c r="L29" s="30"/>
    </row>
    <row r="30" spans="2:12" ht="16" customHeight="1" x14ac:dyDescent="0.35">
      <c r="B30" s="14" t="s">
        <v>318</v>
      </c>
      <c r="C30" s="14" t="s">
        <v>319</v>
      </c>
      <c r="D30" s="30">
        <f t="shared" si="3"/>
        <v>433358.47532999999</v>
      </c>
      <c r="E30" s="30">
        <v>306338.27539999998</v>
      </c>
      <c r="F30" s="30">
        <v>23598.073820000001</v>
      </c>
      <c r="G30" s="30">
        <v>12251.452649999999</v>
      </c>
      <c r="H30" s="30"/>
      <c r="I30" s="30"/>
      <c r="J30" s="30"/>
      <c r="K30" s="30"/>
      <c r="L30" s="30">
        <v>91170.673460000005</v>
      </c>
    </row>
    <row r="31" spans="2:12" ht="16" customHeight="1" x14ac:dyDescent="0.35">
      <c r="B31" s="14" t="s">
        <v>320</v>
      </c>
      <c r="C31" s="14" t="s">
        <v>321</v>
      </c>
      <c r="D31" s="30">
        <f t="shared" si="3"/>
        <v>0</v>
      </c>
      <c r="E31" s="30"/>
      <c r="F31" s="30"/>
      <c r="G31" s="30"/>
      <c r="H31" s="30"/>
      <c r="I31" s="30"/>
      <c r="J31" s="30"/>
      <c r="K31" s="30"/>
      <c r="L31" s="30"/>
    </row>
    <row r="32" spans="2:12" ht="16" customHeight="1" x14ac:dyDescent="0.35">
      <c r="B32" s="14" t="s">
        <v>322</v>
      </c>
      <c r="C32" s="14" t="s">
        <v>323</v>
      </c>
      <c r="D32" s="30">
        <f t="shared" si="3"/>
        <v>-5328.4569000000001</v>
      </c>
      <c r="E32" s="30">
        <v>-4833.2961500000001</v>
      </c>
      <c r="F32" s="30">
        <v>-495.16072000000003</v>
      </c>
      <c r="G32" s="30"/>
      <c r="H32" s="30"/>
      <c r="I32" s="30"/>
      <c r="J32" s="30"/>
      <c r="K32" s="30"/>
      <c r="L32" s="30">
        <v>-3.0000000000000001E-5</v>
      </c>
    </row>
    <row r="33" spans="2:12" ht="16" customHeight="1" x14ac:dyDescent="0.35">
      <c r="B33" s="14" t="s">
        <v>324</v>
      </c>
      <c r="C33" s="14" t="s">
        <v>325</v>
      </c>
      <c r="D33" s="30">
        <f t="shared" si="3"/>
        <v>555.31349999999998</v>
      </c>
      <c r="E33" s="30">
        <v>-622.21168</v>
      </c>
      <c r="F33" s="30">
        <v>106.40736</v>
      </c>
      <c r="G33" s="30"/>
      <c r="H33" s="30"/>
      <c r="I33" s="30"/>
      <c r="J33" s="30"/>
      <c r="K33" s="30"/>
      <c r="L33" s="30">
        <v>1071.1178199999999</v>
      </c>
    </row>
    <row r="34" spans="2:12" ht="16" customHeight="1" x14ac:dyDescent="0.35">
      <c r="B34" s="16" t="s">
        <v>326</v>
      </c>
      <c r="C34" s="16" t="s">
        <v>327</v>
      </c>
      <c r="D34" s="31">
        <f t="shared" ref="D34:L34" si="4">D28+D29+D30+D31+D32+D33</f>
        <v>456943.52327999996</v>
      </c>
      <c r="E34" s="31">
        <f t="shared" si="4"/>
        <v>318351.22748999996</v>
      </c>
      <c r="F34" s="31">
        <f t="shared" si="4"/>
        <v>27418.249500000002</v>
      </c>
      <c r="G34" s="31">
        <f t="shared" si="4"/>
        <v>17935.31637</v>
      </c>
      <c r="H34" s="31">
        <f t="shared" si="4"/>
        <v>0</v>
      </c>
      <c r="I34" s="31">
        <f t="shared" si="4"/>
        <v>0</v>
      </c>
      <c r="J34" s="31">
        <f t="shared" si="4"/>
        <v>0</v>
      </c>
      <c r="K34" s="31">
        <f t="shared" si="4"/>
        <v>0</v>
      </c>
      <c r="L34" s="31">
        <f t="shared" si="4"/>
        <v>93238.729920000012</v>
      </c>
    </row>
    <row r="35" spans="2:12" ht="16" customHeight="1" x14ac:dyDescent="0.35">
      <c r="B35" s="11" t="s">
        <v>328</v>
      </c>
      <c r="C35" s="11" t="s">
        <v>22</v>
      </c>
      <c r="D35" s="29"/>
      <c r="E35" s="29"/>
      <c r="F35" s="29"/>
      <c r="G35" s="29"/>
      <c r="H35" s="29"/>
      <c r="I35" s="29"/>
      <c r="J35" s="29"/>
      <c r="K35" s="29"/>
      <c r="L35" s="29"/>
    </row>
    <row r="36" spans="2:12" ht="16" customHeight="1" x14ac:dyDescent="0.35">
      <c r="B36" s="14" t="s">
        <v>329</v>
      </c>
      <c r="C36" s="14" t="s">
        <v>330</v>
      </c>
      <c r="D36" s="30">
        <f t="shared" ref="D36:D41" si="5">E36+F36+G36+H36+I36+J36+K36+L36</f>
        <v>71864.971239999999</v>
      </c>
      <c r="E36" s="30">
        <v>32478.08409</v>
      </c>
      <c r="F36" s="30">
        <v>39386.888590000002</v>
      </c>
      <c r="G36" s="30"/>
      <c r="H36" s="30"/>
      <c r="I36" s="30"/>
      <c r="J36" s="30"/>
      <c r="K36" s="30">
        <v>-3.6000000000000002E-4</v>
      </c>
      <c r="L36" s="30">
        <v>-1.08E-3</v>
      </c>
    </row>
    <row r="37" spans="2:12" ht="16" customHeight="1" x14ac:dyDescent="0.35">
      <c r="B37" s="14" t="s">
        <v>331</v>
      </c>
      <c r="C37" s="14" t="s">
        <v>332</v>
      </c>
      <c r="D37" s="30">
        <f t="shared" si="5"/>
        <v>0</v>
      </c>
      <c r="E37" s="30"/>
      <c r="F37" s="30"/>
      <c r="G37" s="30"/>
      <c r="H37" s="30"/>
      <c r="I37" s="30"/>
      <c r="J37" s="30"/>
      <c r="K37" s="30"/>
      <c r="L37" s="30"/>
    </row>
    <row r="38" spans="2:12" ht="16" customHeight="1" x14ac:dyDescent="0.35">
      <c r="B38" s="14" t="s">
        <v>333</v>
      </c>
      <c r="C38" s="14" t="s">
        <v>334</v>
      </c>
      <c r="D38" s="30">
        <f t="shared" si="5"/>
        <v>269889.33258000005</v>
      </c>
      <c r="E38" s="30">
        <v>253151.89613000001</v>
      </c>
      <c r="F38" s="30">
        <v>16737.436150000001</v>
      </c>
      <c r="G38" s="30"/>
      <c r="H38" s="30"/>
      <c r="I38" s="30"/>
      <c r="J38" s="30"/>
      <c r="K38" s="30"/>
      <c r="L38" s="30">
        <v>2.9999999999999997E-4</v>
      </c>
    </row>
    <row r="39" spans="2:12" ht="16" customHeight="1" x14ac:dyDescent="0.35">
      <c r="B39" s="14" t="s">
        <v>335</v>
      </c>
      <c r="C39" s="14" t="s">
        <v>336</v>
      </c>
      <c r="D39" s="30">
        <f t="shared" si="5"/>
        <v>22271.24958</v>
      </c>
      <c r="E39" s="30">
        <v>22271.24958</v>
      </c>
      <c r="F39" s="30"/>
      <c r="G39" s="30"/>
      <c r="H39" s="30"/>
      <c r="I39" s="30"/>
      <c r="J39" s="30"/>
      <c r="K39" s="30"/>
      <c r="L39" s="30"/>
    </row>
    <row r="40" spans="2:12" ht="16" customHeight="1" x14ac:dyDescent="0.35">
      <c r="B40" s="14" t="s">
        <v>337</v>
      </c>
      <c r="C40" s="14" t="s">
        <v>338</v>
      </c>
      <c r="D40" s="30">
        <f t="shared" si="5"/>
        <v>153565.52843999999</v>
      </c>
      <c r="E40" s="30">
        <v>149958.10652</v>
      </c>
      <c r="F40" s="30">
        <v>3607.4222799999998</v>
      </c>
      <c r="G40" s="30"/>
      <c r="H40" s="30"/>
      <c r="I40" s="30"/>
      <c r="J40" s="30"/>
      <c r="K40" s="30"/>
      <c r="L40" s="30">
        <v>-3.6000000000000002E-4</v>
      </c>
    </row>
    <row r="41" spans="2:12" ht="16" customHeight="1" x14ac:dyDescent="0.35">
      <c r="B41" s="14" t="s">
        <v>339</v>
      </c>
      <c r="C41" s="14" t="s">
        <v>340</v>
      </c>
      <c r="D41" s="30">
        <f t="shared" si="5"/>
        <v>0</v>
      </c>
      <c r="E41" s="30"/>
      <c r="F41" s="30"/>
      <c r="G41" s="30"/>
      <c r="H41" s="30"/>
      <c r="I41" s="30"/>
      <c r="J41" s="30"/>
      <c r="K41" s="30"/>
      <c r="L41" s="30"/>
    </row>
    <row r="42" spans="2:12" ht="16" customHeight="1" x14ac:dyDescent="0.35">
      <c r="B42" s="16" t="s">
        <v>341</v>
      </c>
      <c r="C42" s="16" t="s">
        <v>342</v>
      </c>
      <c r="D42" s="31">
        <f t="shared" ref="D42:L42" si="6">D36+D37+D38+D39+D40+D41</f>
        <v>517591.08184</v>
      </c>
      <c r="E42" s="31">
        <f t="shared" si="6"/>
        <v>457859.33632</v>
      </c>
      <c r="F42" s="31">
        <f t="shared" si="6"/>
        <v>59731.747020000003</v>
      </c>
      <c r="G42" s="31">
        <f t="shared" si="6"/>
        <v>0</v>
      </c>
      <c r="H42" s="31">
        <f t="shared" si="6"/>
        <v>0</v>
      </c>
      <c r="I42" s="31">
        <f t="shared" si="6"/>
        <v>0</v>
      </c>
      <c r="J42" s="31">
        <f t="shared" si="6"/>
        <v>0</v>
      </c>
      <c r="K42" s="31">
        <f t="shared" si="6"/>
        <v>-3.6000000000000002E-4</v>
      </c>
      <c r="L42" s="31">
        <f t="shared" si="6"/>
        <v>-1.1400000000000002E-3</v>
      </c>
    </row>
    <row r="43" spans="2:12" ht="16" customHeight="1" x14ac:dyDescent="0.35">
      <c r="B43" s="11" t="s">
        <v>71</v>
      </c>
      <c r="C43" s="11" t="s">
        <v>22</v>
      </c>
      <c r="D43" s="29"/>
      <c r="E43" s="29"/>
      <c r="F43" s="29"/>
      <c r="G43" s="29"/>
      <c r="H43" s="29"/>
      <c r="I43" s="29"/>
      <c r="J43" s="29"/>
      <c r="K43" s="29"/>
      <c r="L43" s="29"/>
    </row>
    <row r="44" spans="2:12" ht="16" customHeight="1" x14ac:dyDescent="0.35">
      <c r="B44" s="14" t="s">
        <v>343</v>
      </c>
      <c r="C44" s="14" t="s">
        <v>344</v>
      </c>
      <c r="D44" s="30">
        <f t="shared" ref="D44:D54" si="7">E44+F44+G44+H44+I44+J44+K44+L44</f>
        <v>74889.687460000001</v>
      </c>
      <c r="E44" s="30">
        <v>63163.887289999999</v>
      </c>
      <c r="F44" s="30">
        <v>3213.5657000000001</v>
      </c>
      <c r="G44" s="30"/>
      <c r="H44" s="30"/>
      <c r="I44" s="30"/>
      <c r="J44" s="30"/>
      <c r="K44" s="30">
        <v>6631.3435799999997</v>
      </c>
      <c r="L44" s="30">
        <v>1880.8908899999999</v>
      </c>
    </row>
    <row r="45" spans="2:12" ht="16" customHeight="1" x14ac:dyDescent="0.35">
      <c r="B45" s="14" t="s">
        <v>345</v>
      </c>
      <c r="C45" s="14" t="s">
        <v>346</v>
      </c>
      <c r="D45" s="30">
        <f t="shared" si="7"/>
        <v>0</v>
      </c>
      <c r="E45" s="30"/>
      <c r="F45" s="30"/>
      <c r="G45" s="30"/>
      <c r="H45" s="30"/>
      <c r="I45" s="30"/>
      <c r="J45" s="30"/>
      <c r="K45" s="30"/>
      <c r="L45" s="30"/>
    </row>
    <row r="46" spans="2:12" ht="16" customHeight="1" x14ac:dyDescent="0.35">
      <c r="B46" s="14" t="s">
        <v>347</v>
      </c>
      <c r="C46" s="14" t="s">
        <v>348</v>
      </c>
      <c r="D46" s="30">
        <f t="shared" si="7"/>
        <v>14026.896289999999</v>
      </c>
      <c r="E46" s="30">
        <v>15889.65137</v>
      </c>
      <c r="F46" s="30">
        <v>235.63524000000001</v>
      </c>
      <c r="G46" s="30">
        <v>-2004.03216</v>
      </c>
      <c r="H46" s="30"/>
      <c r="I46" s="30"/>
      <c r="J46" s="30"/>
      <c r="K46" s="30"/>
      <c r="L46" s="30">
        <v>-94.358159999999998</v>
      </c>
    </row>
    <row r="47" spans="2:12" ht="16" customHeight="1" x14ac:dyDescent="0.35">
      <c r="B47" s="14" t="s">
        <v>349</v>
      </c>
      <c r="C47" s="14" t="s">
        <v>350</v>
      </c>
      <c r="D47" s="30">
        <f t="shared" si="7"/>
        <v>0</v>
      </c>
      <c r="E47" s="30"/>
      <c r="F47" s="30"/>
      <c r="G47" s="30"/>
      <c r="H47" s="30"/>
      <c r="I47" s="30"/>
      <c r="J47" s="30"/>
      <c r="K47" s="30"/>
      <c r="L47" s="30"/>
    </row>
    <row r="48" spans="2:12" ht="16" customHeight="1" x14ac:dyDescent="0.35">
      <c r="B48" s="14" t="s">
        <v>351</v>
      </c>
      <c r="C48" s="14" t="s">
        <v>352</v>
      </c>
      <c r="D48" s="30">
        <f t="shared" si="7"/>
        <v>0</v>
      </c>
      <c r="E48" s="30"/>
      <c r="F48" s="30"/>
      <c r="G48" s="30"/>
      <c r="H48" s="30"/>
      <c r="I48" s="30"/>
      <c r="J48" s="30"/>
      <c r="K48" s="30"/>
      <c r="L48" s="30"/>
    </row>
    <row r="49" spans="2:12" ht="16" customHeight="1" x14ac:dyDescent="0.35">
      <c r="B49" s="14" t="s">
        <v>353</v>
      </c>
      <c r="C49" s="14" t="s">
        <v>354</v>
      </c>
      <c r="D49" s="30">
        <f t="shared" si="7"/>
        <v>0</v>
      </c>
      <c r="E49" s="30"/>
      <c r="F49" s="30"/>
      <c r="G49" s="30"/>
      <c r="H49" s="30"/>
      <c r="I49" s="30"/>
      <c r="J49" s="30"/>
      <c r="K49" s="30"/>
      <c r="L49" s="30"/>
    </row>
    <row r="50" spans="2:12" ht="16" customHeight="1" x14ac:dyDescent="0.35">
      <c r="B50" s="14" t="s">
        <v>355</v>
      </c>
      <c r="C50" s="14" t="s">
        <v>356</v>
      </c>
      <c r="D50" s="30">
        <f t="shared" si="7"/>
        <v>0</v>
      </c>
      <c r="E50" s="30"/>
      <c r="F50" s="30"/>
      <c r="G50" s="30"/>
      <c r="H50" s="30"/>
      <c r="I50" s="30"/>
      <c r="J50" s="30"/>
      <c r="K50" s="30"/>
      <c r="L50" s="30"/>
    </row>
    <row r="51" spans="2:12" ht="16" customHeight="1" x14ac:dyDescent="0.35">
      <c r="B51" s="14" t="s">
        <v>357</v>
      </c>
      <c r="C51" s="14" t="s">
        <v>358</v>
      </c>
      <c r="D51" s="30">
        <f t="shared" si="7"/>
        <v>0</v>
      </c>
      <c r="E51" s="30"/>
      <c r="F51" s="30"/>
      <c r="G51" s="30"/>
      <c r="H51" s="30"/>
      <c r="I51" s="30"/>
      <c r="J51" s="30"/>
      <c r="K51" s="30"/>
      <c r="L51" s="30"/>
    </row>
    <row r="52" spans="2:12" ht="16" customHeight="1" x14ac:dyDescent="0.35">
      <c r="B52" s="14" t="s">
        <v>359</v>
      </c>
      <c r="C52" s="14" t="s">
        <v>360</v>
      </c>
      <c r="D52" s="30">
        <f t="shared" si="7"/>
        <v>39556.490229999996</v>
      </c>
      <c r="E52" s="30">
        <v>30206.398809999999</v>
      </c>
      <c r="F52" s="30">
        <v>2999.8092700000002</v>
      </c>
      <c r="G52" s="30">
        <v>97.761309999999995</v>
      </c>
      <c r="H52" s="30"/>
      <c r="I52" s="30"/>
      <c r="J52" s="30"/>
      <c r="K52" s="30">
        <v>6252.5198600000003</v>
      </c>
      <c r="L52" s="30">
        <v>9.7999999999999997E-4</v>
      </c>
    </row>
    <row r="53" spans="2:12" ht="16" customHeight="1" x14ac:dyDescent="0.35">
      <c r="B53" s="14" t="s">
        <v>361</v>
      </c>
      <c r="C53" s="14" t="s">
        <v>362</v>
      </c>
      <c r="D53" s="30">
        <f t="shared" si="7"/>
        <v>102881.78434</v>
      </c>
      <c r="E53" s="30"/>
      <c r="F53" s="30"/>
      <c r="G53" s="30"/>
      <c r="H53" s="30"/>
      <c r="I53" s="30"/>
      <c r="J53" s="30"/>
      <c r="K53" s="30"/>
      <c r="L53" s="30">
        <v>102881.78434</v>
      </c>
    </row>
    <row r="54" spans="2:12" ht="16" customHeight="1" x14ac:dyDescent="0.35">
      <c r="B54" s="14" t="s">
        <v>363</v>
      </c>
      <c r="C54" s="14" t="s">
        <v>364</v>
      </c>
      <c r="D54" s="30">
        <f t="shared" si="7"/>
        <v>1.4000000000002953E-4</v>
      </c>
      <c r="E54" s="30">
        <v>-52.52628</v>
      </c>
      <c r="F54" s="30">
        <v>52.52581</v>
      </c>
      <c r="G54" s="30"/>
      <c r="H54" s="30"/>
      <c r="I54" s="30"/>
      <c r="J54" s="30"/>
      <c r="K54" s="30"/>
      <c r="L54" s="30">
        <v>6.0999999999999997E-4</v>
      </c>
    </row>
    <row r="55" spans="2:12" ht="16" customHeight="1" x14ac:dyDescent="0.35">
      <c r="B55" s="16" t="s">
        <v>365</v>
      </c>
      <c r="C55" s="16" t="s">
        <v>366</v>
      </c>
      <c r="D55" s="31">
        <f t="shared" ref="D55:L55" si="8">D44+D45+D46+D47+D48+D49+D50+D51+D52+D53+D54</f>
        <v>231354.85845999999</v>
      </c>
      <c r="E55" s="31">
        <f t="shared" si="8"/>
        <v>109207.41118999998</v>
      </c>
      <c r="F55" s="31">
        <f t="shared" si="8"/>
        <v>6501.5360200000005</v>
      </c>
      <c r="G55" s="31">
        <f t="shared" si="8"/>
        <v>-1906.2708499999999</v>
      </c>
      <c r="H55" s="31">
        <f t="shared" si="8"/>
        <v>0</v>
      </c>
      <c r="I55" s="31">
        <f t="shared" si="8"/>
        <v>0</v>
      </c>
      <c r="J55" s="31">
        <f t="shared" si="8"/>
        <v>0</v>
      </c>
      <c r="K55" s="31">
        <f t="shared" si="8"/>
        <v>12883.863440000001</v>
      </c>
      <c r="L55" s="31">
        <f t="shared" si="8"/>
        <v>104668.31866</v>
      </c>
    </row>
    <row r="56" spans="2:12" ht="16" customHeight="1" x14ac:dyDescent="0.35">
      <c r="B56" s="11" t="s">
        <v>367</v>
      </c>
      <c r="C56" s="11" t="s">
        <v>22</v>
      </c>
      <c r="D56" s="29"/>
      <c r="E56" s="29"/>
      <c r="F56" s="29"/>
      <c r="G56" s="29"/>
      <c r="H56" s="29"/>
      <c r="I56" s="29"/>
      <c r="J56" s="29"/>
      <c r="K56" s="29"/>
      <c r="L56" s="29"/>
    </row>
    <row r="57" spans="2:12" ht="16" customHeight="1" x14ac:dyDescent="0.35">
      <c r="B57" s="14" t="s">
        <v>368</v>
      </c>
      <c r="C57" s="14" t="s">
        <v>369</v>
      </c>
      <c r="D57" s="30">
        <f>E57+F57+G57+H57+I57+J57+K57+L57</f>
        <v>0</v>
      </c>
      <c r="E57" s="30"/>
      <c r="F57" s="30"/>
      <c r="G57" s="30"/>
      <c r="H57" s="30"/>
      <c r="I57" s="30"/>
      <c r="J57" s="30"/>
      <c r="K57" s="30"/>
      <c r="L57" s="30"/>
    </row>
    <row r="58" spans="2:12" ht="16" customHeight="1" thickBot="1" x14ac:dyDescent="0.4">
      <c r="B58" s="11" t="s">
        <v>370</v>
      </c>
      <c r="C58" s="11" t="s">
        <v>22</v>
      </c>
      <c r="D58" s="29"/>
      <c r="E58" s="29"/>
      <c r="F58" s="29"/>
      <c r="G58" s="29"/>
      <c r="H58" s="29"/>
      <c r="I58" s="29"/>
      <c r="J58" s="29"/>
      <c r="K58" s="29"/>
      <c r="L58" s="29"/>
    </row>
    <row r="59" spans="2:12" ht="16" customHeight="1" thickBot="1" x14ac:dyDescent="0.4">
      <c r="B59" s="18" t="s">
        <v>371</v>
      </c>
      <c r="C59" s="18" t="s">
        <v>372</v>
      </c>
      <c r="D59" s="32">
        <f t="shared" ref="D59:L59" si="9">D13+D17+D24+D26+D34+D42+D55+D57</f>
        <v>3037848.3245699997</v>
      </c>
      <c r="E59" s="32">
        <f t="shared" si="9"/>
        <v>885417.97499999998</v>
      </c>
      <c r="F59" s="32">
        <f t="shared" si="9"/>
        <v>93651.53254</v>
      </c>
      <c r="G59" s="32">
        <f t="shared" si="9"/>
        <v>16029.04552</v>
      </c>
      <c r="H59" s="32">
        <f t="shared" si="9"/>
        <v>0</v>
      </c>
      <c r="I59" s="32">
        <f t="shared" si="9"/>
        <v>0</v>
      </c>
      <c r="J59" s="32">
        <f t="shared" si="9"/>
        <v>0</v>
      </c>
      <c r="K59" s="32">
        <f t="shared" si="9"/>
        <v>12883.863080000001</v>
      </c>
      <c r="L59" s="32">
        <f t="shared" si="9"/>
        <v>2029865.9084300001</v>
      </c>
    </row>
    <row r="60" spans="2:12" ht="16" customHeight="1" x14ac:dyDescent="0.35">
      <c r="B60" s="11" t="s">
        <v>373</v>
      </c>
      <c r="C60" s="11" t="s">
        <v>22</v>
      </c>
      <c r="D60" s="29"/>
      <c r="E60" s="29"/>
      <c r="F60" s="29"/>
      <c r="G60" s="29"/>
      <c r="H60" s="29"/>
      <c r="I60" s="29"/>
      <c r="J60" s="29"/>
      <c r="K60" s="29"/>
      <c r="L60" s="29"/>
    </row>
    <row r="61" spans="2:12" ht="16" customHeight="1" x14ac:dyDescent="0.35">
      <c r="B61" s="14" t="s">
        <v>374</v>
      </c>
      <c r="C61" s="14" t="s">
        <v>375</v>
      </c>
      <c r="D61" s="30">
        <f t="shared" ref="D61:D67" si="10">E61+F61+G61+H61+I61+J61+K61+L61</f>
        <v>-5.7099999999999998E-3</v>
      </c>
      <c r="E61" s="30"/>
      <c r="F61" s="30"/>
      <c r="G61" s="30"/>
      <c r="H61" s="30"/>
      <c r="I61" s="30"/>
      <c r="J61" s="30"/>
      <c r="K61" s="30"/>
      <c r="L61" s="30">
        <v>-5.7099999999999998E-3</v>
      </c>
    </row>
    <row r="62" spans="2:12" ht="16" customHeight="1" x14ac:dyDescent="0.35">
      <c r="B62" s="14" t="s">
        <v>376</v>
      </c>
      <c r="C62" s="14" t="s">
        <v>377</v>
      </c>
      <c r="D62" s="30">
        <f t="shared" si="10"/>
        <v>0</v>
      </c>
      <c r="E62" s="30"/>
      <c r="F62" s="30"/>
      <c r="G62" s="30"/>
      <c r="H62" s="30"/>
      <c r="I62" s="30"/>
      <c r="J62" s="30"/>
      <c r="K62" s="30"/>
      <c r="L62" s="30"/>
    </row>
    <row r="63" spans="2:12" ht="16" customHeight="1" x14ac:dyDescent="0.35">
      <c r="B63" s="14" t="s">
        <v>378</v>
      </c>
      <c r="C63" s="14" t="s">
        <v>379</v>
      </c>
      <c r="D63" s="30">
        <f t="shared" si="10"/>
        <v>1097931.3343</v>
      </c>
      <c r="E63" s="30"/>
      <c r="F63" s="30"/>
      <c r="G63" s="30"/>
      <c r="H63" s="30"/>
      <c r="I63" s="30"/>
      <c r="J63" s="30"/>
      <c r="K63" s="30"/>
      <c r="L63" s="30">
        <v>1097931.3343</v>
      </c>
    </row>
    <row r="64" spans="2:12" ht="16" customHeight="1" x14ac:dyDescent="0.35">
      <c r="B64" s="14" t="s">
        <v>380</v>
      </c>
      <c r="C64" s="14" t="s">
        <v>381</v>
      </c>
      <c r="D64" s="30">
        <f t="shared" si="10"/>
        <v>0</v>
      </c>
      <c r="E64" s="30"/>
      <c r="F64" s="30"/>
      <c r="G64" s="30"/>
      <c r="H64" s="30"/>
      <c r="I64" s="30"/>
      <c r="J64" s="30"/>
      <c r="K64" s="30"/>
      <c r="L64" s="30"/>
    </row>
    <row r="65" spans="2:12" ht="16" customHeight="1" x14ac:dyDescent="0.35">
      <c r="B65" s="14" t="s">
        <v>382</v>
      </c>
      <c r="C65" s="14" t="s">
        <v>383</v>
      </c>
      <c r="D65" s="30">
        <f t="shared" si="10"/>
        <v>123.71153</v>
      </c>
      <c r="E65" s="30"/>
      <c r="F65" s="30"/>
      <c r="G65" s="30"/>
      <c r="H65" s="30"/>
      <c r="I65" s="30"/>
      <c r="J65" s="30"/>
      <c r="K65" s="30"/>
      <c r="L65" s="30">
        <v>123.71153</v>
      </c>
    </row>
    <row r="66" spans="2:12" ht="16" customHeight="1" x14ac:dyDescent="0.35">
      <c r="B66" s="14" t="s">
        <v>384</v>
      </c>
      <c r="C66" s="14" t="s">
        <v>385</v>
      </c>
      <c r="D66" s="30">
        <f t="shared" si="10"/>
        <v>182.98911999999999</v>
      </c>
      <c r="E66" s="30">
        <v>-152.68117000000001</v>
      </c>
      <c r="F66" s="30">
        <v>335.67052999999999</v>
      </c>
      <c r="G66" s="30"/>
      <c r="H66" s="30"/>
      <c r="I66" s="30"/>
      <c r="J66" s="30"/>
      <c r="K66" s="30"/>
      <c r="L66" s="30">
        <v>-2.4000000000000001E-4</v>
      </c>
    </row>
    <row r="67" spans="2:12" ht="16" customHeight="1" x14ac:dyDescent="0.35">
      <c r="B67" s="14" t="s">
        <v>386</v>
      </c>
      <c r="C67" s="14" t="s">
        <v>387</v>
      </c>
      <c r="D67" s="30">
        <f t="shared" si="10"/>
        <v>71055.432990000001</v>
      </c>
      <c r="E67" s="30">
        <v>73852.295379999996</v>
      </c>
      <c r="F67" s="30">
        <v>-4935.0814799999998</v>
      </c>
      <c r="G67" s="30"/>
      <c r="H67" s="30"/>
      <c r="I67" s="30"/>
      <c r="J67" s="30"/>
      <c r="K67" s="30"/>
      <c r="L67" s="30">
        <v>2138.2190900000001</v>
      </c>
    </row>
    <row r="68" spans="2:12" ht="16" customHeight="1" x14ac:dyDescent="0.35">
      <c r="B68" s="16" t="s">
        <v>388</v>
      </c>
      <c r="C68" s="16" t="s">
        <v>389</v>
      </c>
      <c r="D68" s="31">
        <f t="shared" ref="D68:L68" si="11">D61+D62+D63+D64+D65+D66+D67</f>
        <v>1169293.4622300002</v>
      </c>
      <c r="E68" s="31">
        <f t="shared" si="11"/>
        <v>73699.61421</v>
      </c>
      <c r="F68" s="31">
        <f t="shared" si="11"/>
        <v>-4599.4109499999995</v>
      </c>
      <c r="G68" s="31">
        <f t="shared" si="11"/>
        <v>0</v>
      </c>
      <c r="H68" s="31">
        <f t="shared" si="11"/>
        <v>0</v>
      </c>
      <c r="I68" s="31">
        <f t="shared" si="11"/>
        <v>0</v>
      </c>
      <c r="J68" s="31">
        <f t="shared" si="11"/>
        <v>0</v>
      </c>
      <c r="K68" s="31">
        <f t="shared" si="11"/>
        <v>0</v>
      </c>
      <c r="L68" s="31">
        <f t="shared" si="11"/>
        <v>1100193.2589700001</v>
      </c>
    </row>
    <row r="69" spans="2:12" ht="16" customHeight="1" x14ac:dyDescent="0.35">
      <c r="B69" s="11" t="s">
        <v>390</v>
      </c>
      <c r="C69" s="11" t="s">
        <v>22</v>
      </c>
      <c r="D69" s="29"/>
      <c r="E69" s="29"/>
      <c r="F69" s="29"/>
      <c r="G69" s="29"/>
      <c r="H69" s="29"/>
      <c r="I69" s="29"/>
      <c r="J69" s="29"/>
      <c r="K69" s="29"/>
      <c r="L69" s="29"/>
    </row>
    <row r="70" spans="2:12" ht="16" customHeight="1" x14ac:dyDescent="0.35">
      <c r="B70" s="14" t="s">
        <v>391</v>
      </c>
      <c r="C70" s="14" t="s">
        <v>392</v>
      </c>
      <c r="D70" s="30">
        <f>E70+F70+G70+H70+I70+J70+K70+L70</f>
        <v>0</v>
      </c>
      <c r="E70" s="30"/>
      <c r="F70" s="30"/>
      <c r="G70" s="30"/>
      <c r="H70" s="30"/>
      <c r="I70" s="30"/>
      <c r="J70" s="30"/>
      <c r="K70" s="30"/>
      <c r="L70" s="30"/>
    </row>
    <row r="71" spans="2:12" ht="16" customHeight="1" x14ac:dyDescent="0.35">
      <c r="B71" s="14" t="s">
        <v>393</v>
      </c>
      <c r="C71" s="14" t="s">
        <v>394</v>
      </c>
      <c r="D71" s="30">
        <f>E71+F71+G71+H71+I71+J71+K71+L71</f>
        <v>0</v>
      </c>
      <c r="E71" s="30"/>
      <c r="F71" s="30"/>
      <c r="G71" s="30"/>
      <c r="H71" s="30"/>
      <c r="I71" s="30"/>
      <c r="J71" s="30"/>
      <c r="K71" s="30"/>
      <c r="L71" s="30"/>
    </row>
    <row r="72" spans="2:12" ht="16" customHeight="1" x14ac:dyDescent="0.35">
      <c r="B72" s="16" t="s">
        <v>395</v>
      </c>
      <c r="C72" s="16" t="s">
        <v>396</v>
      </c>
      <c r="D72" s="31">
        <f t="shared" ref="D72:L72" si="12">D70+D71</f>
        <v>0</v>
      </c>
      <c r="E72" s="31">
        <f t="shared" si="12"/>
        <v>0</v>
      </c>
      <c r="F72" s="31">
        <f t="shared" si="12"/>
        <v>0</v>
      </c>
      <c r="G72" s="31">
        <f t="shared" si="12"/>
        <v>0</v>
      </c>
      <c r="H72" s="31">
        <f t="shared" si="12"/>
        <v>0</v>
      </c>
      <c r="I72" s="31">
        <f t="shared" si="12"/>
        <v>0</v>
      </c>
      <c r="J72" s="31">
        <f t="shared" si="12"/>
        <v>0</v>
      </c>
      <c r="K72" s="31">
        <f t="shared" si="12"/>
        <v>0</v>
      </c>
      <c r="L72" s="31">
        <f t="shared" si="12"/>
        <v>0</v>
      </c>
    </row>
    <row r="73" spans="2:12" ht="16" customHeight="1" x14ac:dyDescent="0.35">
      <c r="B73" s="11" t="s">
        <v>77</v>
      </c>
      <c r="C73" s="11" t="s">
        <v>22</v>
      </c>
      <c r="D73" s="29"/>
      <c r="E73" s="29"/>
      <c r="F73" s="29"/>
      <c r="G73" s="29"/>
      <c r="H73" s="29"/>
      <c r="I73" s="29"/>
      <c r="J73" s="29"/>
      <c r="K73" s="29"/>
      <c r="L73" s="29"/>
    </row>
    <row r="74" spans="2:12" ht="16" customHeight="1" x14ac:dyDescent="0.35">
      <c r="B74" s="14" t="s">
        <v>397</v>
      </c>
      <c r="C74" s="14" t="s">
        <v>398</v>
      </c>
      <c r="D74" s="30">
        <f>E74+F74+G74+H74+I74+J74+K74+L74</f>
        <v>749.22055999999998</v>
      </c>
      <c r="E74" s="30"/>
      <c r="F74" s="30"/>
      <c r="G74" s="30"/>
      <c r="H74" s="30"/>
      <c r="I74" s="30"/>
      <c r="J74" s="30"/>
      <c r="K74" s="30"/>
      <c r="L74" s="30">
        <v>749.22055999999998</v>
      </c>
    </row>
    <row r="75" spans="2:12" ht="16" customHeight="1" x14ac:dyDescent="0.35">
      <c r="B75" s="11" t="s">
        <v>399</v>
      </c>
      <c r="C75" s="11" t="s">
        <v>22</v>
      </c>
      <c r="D75" s="29"/>
      <c r="E75" s="29"/>
      <c r="F75" s="29"/>
      <c r="G75" s="29"/>
      <c r="H75" s="29"/>
      <c r="I75" s="29"/>
      <c r="J75" s="29"/>
      <c r="K75" s="29"/>
      <c r="L75" s="29"/>
    </row>
    <row r="76" spans="2:12" ht="16" customHeight="1" x14ac:dyDescent="0.35">
      <c r="B76" s="14" t="s">
        <v>400</v>
      </c>
      <c r="C76" s="14" t="s">
        <v>401</v>
      </c>
      <c r="D76" s="30">
        <f>E76+F76+G76+H76+I76+J76+K76+L76</f>
        <v>316453.20688999997</v>
      </c>
      <c r="E76" s="30">
        <v>300955.82235999999</v>
      </c>
      <c r="F76" s="30">
        <v>10927.224910000001</v>
      </c>
      <c r="G76" s="30"/>
      <c r="H76" s="30"/>
      <c r="I76" s="30"/>
      <c r="J76" s="30"/>
      <c r="K76" s="30"/>
      <c r="L76" s="30">
        <v>4570.1596200000004</v>
      </c>
    </row>
    <row r="77" spans="2:12" ht="16" customHeight="1" x14ac:dyDescent="0.35">
      <c r="B77" s="14" t="s">
        <v>402</v>
      </c>
      <c r="C77" s="14" t="s">
        <v>403</v>
      </c>
      <c r="D77" s="30">
        <f>E77+F77+G77+H77+I77+J77+K77+L77</f>
        <v>-126044.46914999999</v>
      </c>
      <c r="E77" s="30">
        <v>-122023.97653</v>
      </c>
      <c r="F77" s="30">
        <v>-2422.7442299999998</v>
      </c>
      <c r="G77" s="30"/>
      <c r="H77" s="30"/>
      <c r="I77" s="30"/>
      <c r="J77" s="30"/>
      <c r="K77" s="30"/>
      <c r="L77" s="30">
        <v>-1597.74839</v>
      </c>
    </row>
    <row r="78" spans="2:12" ht="16" customHeight="1" x14ac:dyDescent="0.35">
      <c r="B78" s="34" t="s">
        <v>404</v>
      </c>
      <c r="C78" s="34" t="s">
        <v>405</v>
      </c>
      <c r="D78" s="52">
        <f t="shared" ref="D78:L78" si="13">D76+D77</f>
        <v>190408.73773999998</v>
      </c>
      <c r="E78" s="52">
        <f t="shared" si="13"/>
        <v>178931.84583000001</v>
      </c>
      <c r="F78" s="52">
        <f t="shared" si="13"/>
        <v>8504.4806800000006</v>
      </c>
      <c r="G78" s="52">
        <f t="shared" si="13"/>
        <v>0</v>
      </c>
      <c r="H78" s="52">
        <f t="shared" si="13"/>
        <v>0</v>
      </c>
      <c r="I78" s="52">
        <f t="shared" si="13"/>
        <v>0</v>
      </c>
      <c r="J78" s="52">
        <f t="shared" si="13"/>
        <v>0</v>
      </c>
      <c r="K78" s="52">
        <f t="shared" si="13"/>
        <v>0</v>
      </c>
      <c r="L78" s="52">
        <f t="shared" si="13"/>
        <v>2972.4112300000006</v>
      </c>
    </row>
    <row r="79" spans="2:12" ht="16" customHeight="1" x14ac:dyDescent="0.35">
      <c r="B79" s="14" t="s">
        <v>406</v>
      </c>
      <c r="C79" s="14" t="s">
        <v>407</v>
      </c>
      <c r="D79" s="30">
        <f>E79+F79+G79+H79+I79+J79+K79+L79</f>
        <v>2212550.1204600004</v>
      </c>
      <c r="E79" s="30">
        <v>2118468.5899700001</v>
      </c>
      <c r="F79" s="30">
        <v>81931.066000000006</v>
      </c>
      <c r="G79" s="30"/>
      <c r="H79" s="30"/>
      <c r="I79" s="30"/>
      <c r="J79" s="30"/>
      <c r="K79" s="30"/>
      <c r="L79" s="30">
        <v>12150.46449</v>
      </c>
    </row>
    <row r="80" spans="2:12" ht="16" customHeight="1" x14ac:dyDescent="0.35">
      <c r="B80" s="14" t="s">
        <v>408</v>
      </c>
      <c r="C80" s="14" t="s">
        <v>409</v>
      </c>
      <c r="D80" s="30">
        <f>E80+F80+G80+H80+I80+J80+K80+L80</f>
        <v>-1252353.9518600001</v>
      </c>
      <c r="E80" s="30">
        <v>-1177746.0475300001</v>
      </c>
      <c r="F80" s="30">
        <v>-62457.437160000001</v>
      </c>
      <c r="G80" s="30"/>
      <c r="H80" s="30"/>
      <c r="I80" s="30"/>
      <c r="J80" s="30"/>
      <c r="K80" s="30"/>
      <c r="L80" s="30">
        <v>-12150.46717</v>
      </c>
    </row>
    <row r="81" spans="2:12" ht="16" customHeight="1" x14ac:dyDescent="0.35">
      <c r="B81" s="34" t="s">
        <v>410</v>
      </c>
      <c r="C81" s="34" t="s">
        <v>411</v>
      </c>
      <c r="D81" s="52">
        <f t="shared" ref="D81:L81" si="14">D79+D80</f>
        <v>960196.16860000021</v>
      </c>
      <c r="E81" s="52">
        <f t="shared" si="14"/>
        <v>940722.54243999999</v>
      </c>
      <c r="F81" s="52">
        <f t="shared" si="14"/>
        <v>19473.628840000005</v>
      </c>
      <c r="G81" s="52">
        <f t="shared" si="14"/>
        <v>0</v>
      </c>
      <c r="H81" s="52">
        <f t="shared" si="14"/>
        <v>0</v>
      </c>
      <c r="I81" s="52">
        <f t="shared" si="14"/>
        <v>0</v>
      </c>
      <c r="J81" s="52">
        <f t="shared" si="14"/>
        <v>0</v>
      </c>
      <c r="K81" s="52">
        <f t="shared" si="14"/>
        <v>0</v>
      </c>
      <c r="L81" s="52">
        <f t="shared" si="14"/>
        <v>-2.6799999996001134E-3</v>
      </c>
    </row>
    <row r="82" spans="2:12" ht="16" customHeight="1" x14ac:dyDescent="0.35">
      <c r="B82" s="14" t="s">
        <v>412</v>
      </c>
      <c r="C82" s="14" t="s">
        <v>413</v>
      </c>
      <c r="D82" s="30">
        <f>E82+F82+G82+H82+I82+J82+K82+L82</f>
        <v>5379937.7546800002</v>
      </c>
      <c r="E82" s="30">
        <v>5117653.5847300002</v>
      </c>
      <c r="F82" s="30">
        <v>249681.18101999999</v>
      </c>
      <c r="G82" s="30"/>
      <c r="H82" s="30"/>
      <c r="I82" s="30"/>
      <c r="J82" s="30"/>
      <c r="K82" s="30"/>
      <c r="L82" s="30">
        <v>12602.98893</v>
      </c>
    </row>
    <row r="83" spans="2:12" ht="16" customHeight="1" x14ac:dyDescent="0.35">
      <c r="B83" s="14" t="s">
        <v>414</v>
      </c>
      <c r="C83" s="14" t="s">
        <v>415</v>
      </c>
      <c r="D83" s="30">
        <f>E83+F83+G83+H83+I83+J83+K83+L83</f>
        <v>-3615209.9793700003</v>
      </c>
      <c r="E83" s="30">
        <v>-3402100.8188700001</v>
      </c>
      <c r="F83" s="30">
        <v>-200506.17197</v>
      </c>
      <c r="G83" s="30"/>
      <c r="H83" s="30"/>
      <c r="I83" s="30"/>
      <c r="J83" s="30"/>
      <c r="K83" s="30"/>
      <c r="L83" s="30">
        <v>-12602.988530000001</v>
      </c>
    </row>
    <row r="84" spans="2:12" ht="16" customHeight="1" x14ac:dyDescent="0.35">
      <c r="B84" s="34" t="s">
        <v>416</v>
      </c>
      <c r="C84" s="34" t="s">
        <v>417</v>
      </c>
      <c r="D84" s="52">
        <f t="shared" ref="D84:L84" si="15">D82+D83</f>
        <v>1764727.7753099999</v>
      </c>
      <c r="E84" s="52">
        <f t="shared" si="15"/>
        <v>1715552.7658600002</v>
      </c>
      <c r="F84" s="52">
        <f t="shared" si="15"/>
        <v>49175.009049999993</v>
      </c>
      <c r="G84" s="52">
        <f t="shared" si="15"/>
        <v>0</v>
      </c>
      <c r="H84" s="52">
        <f t="shared" si="15"/>
        <v>0</v>
      </c>
      <c r="I84" s="52">
        <f t="shared" si="15"/>
        <v>0</v>
      </c>
      <c r="J84" s="52">
        <f t="shared" si="15"/>
        <v>0</v>
      </c>
      <c r="K84" s="52">
        <f t="shared" si="15"/>
        <v>0</v>
      </c>
      <c r="L84" s="52">
        <f t="shared" si="15"/>
        <v>3.9999999899009708E-4</v>
      </c>
    </row>
    <row r="85" spans="2:12" ht="16" customHeight="1" x14ac:dyDescent="0.35">
      <c r="B85" s="14" t="s">
        <v>418</v>
      </c>
      <c r="C85" s="14" t="s">
        <v>419</v>
      </c>
      <c r="D85" s="30">
        <f>E85+F85+G85+H85+I85+J85+K85+L85</f>
        <v>455392.18517999997</v>
      </c>
      <c r="E85" s="30">
        <v>420159.36790999997</v>
      </c>
      <c r="F85" s="30">
        <v>18830.957920000001</v>
      </c>
      <c r="G85" s="30"/>
      <c r="H85" s="30"/>
      <c r="I85" s="30"/>
      <c r="J85" s="30"/>
      <c r="K85" s="30">
        <v>1587.61662</v>
      </c>
      <c r="L85" s="30">
        <v>14814.24273</v>
      </c>
    </row>
    <row r="86" spans="2:12" ht="16" customHeight="1" x14ac:dyDescent="0.35">
      <c r="B86" s="14" t="s">
        <v>420</v>
      </c>
      <c r="C86" s="14" t="s">
        <v>421</v>
      </c>
      <c r="D86" s="30">
        <f>E86+F86+G86+H86+I86+J86+K86+L86</f>
        <v>-340337.68947000004</v>
      </c>
      <c r="E86" s="30">
        <v>-310576.93686000002</v>
      </c>
      <c r="F86" s="30">
        <v>-13358.893309999999</v>
      </c>
      <c r="G86" s="30"/>
      <c r="H86" s="30"/>
      <c r="I86" s="30"/>
      <c r="J86" s="30"/>
      <c r="K86" s="30">
        <v>-1587.61662</v>
      </c>
      <c r="L86" s="30">
        <v>-14814.242679999999</v>
      </c>
    </row>
    <row r="87" spans="2:12" ht="16" customHeight="1" x14ac:dyDescent="0.35">
      <c r="B87" s="34" t="s">
        <v>422</v>
      </c>
      <c r="C87" s="34" t="s">
        <v>423</v>
      </c>
      <c r="D87" s="52">
        <f t="shared" ref="D87:L87" si="16">D85+D86</f>
        <v>115054.49570999993</v>
      </c>
      <c r="E87" s="52">
        <f t="shared" si="16"/>
        <v>109582.43104999996</v>
      </c>
      <c r="F87" s="52">
        <f t="shared" si="16"/>
        <v>5472.0646100000013</v>
      </c>
      <c r="G87" s="52">
        <f t="shared" si="16"/>
        <v>0</v>
      </c>
      <c r="H87" s="52">
        <f t="shared" si="16"/>
        <v>0</v>
      </c>
      <c r="I87" s="52">
        <f t="shared" si="16"/>
        <v>0</v>
      </c>
      <c r="J87" s="52">
        <f t="shared" si="16"/>
        <v>0</v>
      </c>
      <c r="K87" s="52">
        <f t="shared" si="16"/>
        <v>0</v>
      </c>
      <c r="L87" s="52">
        <f t="shared" si="16"/>
        <v>5.0000000555883162E-5</v>
      </c>
    </row>
    <row r="88" spans="2:12" ht="16" customHeight="1" x14ac:dyDescent="0.35">
      <c r="B88" s="14" t="s">
        <v>424</v>
      </c>
      <c r="C88" s="14" t="s">
        <v>425</v>
      </c>
      <c r="D88" s="30">
        <f>E88+F88+G88+H88+I88+J88+K88+L88</f>
        <v>263357.25829999999</v>
      </c>
      <c r="E88" s="30">
        <v>134648.22054000001</v>
      </c>
      <c r="F88" s="30">
        <v>114760.76271</v>
      </c>
      <c r="G88" s="30"/>
      <c r="H88" s="30"/>
      <c r="I88" s="30"/>
      <c r="J88" s="30"/>
      <c r="K88" s="30"/>
      <c r="L88" s="30">
        <v>13948.27505</v>
      </c>
    </row>
    <row r="89" spans="2:12" ht="16" customHeight="1" x14ac:dyDescent="0.35">
      <c r="B89" s="14" t="s">
        <v>426</v>
      </c>
      <c r="C89" s="14" t="s">
        <v>427</v>
      </c>
      <c r="D89" s="30">
        <f>E89+F89+G89+H89+I89+J89+K89+L89</f>
        <v>0</v>
      </c>
      <c r="E89" s="30"/>
      <c r="F89" s="30"/>
      <c r="G89" s="30"/>
      <c r="H89" s="30"/>
      <c r="I89" s="30"/>
      <c r="J89" s="30"/>
      <c r="K89" s="30"/>
      <c r="L89" s="30"/>
    </row>
    <row r="90" spans="2:12" ht="16" customHeight="1" x14ac:dyDescent="0.35">
      <c r="B90" s="34" t="s">
        <v>428</v>
      </c>
      <c r="C90" s="34" t="s">
        <v>429</v>
      </c>
      <c r="D90" s="52">
        <f t="shared" ref="D90:L90" si="17">D88+D89</f>
        <v>263357.25829999999</v>
      </c>
      <c r="E90" s="52">
        <f t="shared" si="17"/>
        <v>134648.22054000001</v>
      </c>
      <c r="F90" s="52">
        <f t="shared" si="17"/>
        <v>114760.76271</v>
      </c>
      <c r="G90" s="52">
        <f t="shared" si="17"/>
        <v>0</v>
      </c>
      <c r="H90" s="52">
        <f t="shared" si="17"/>
        <v>0</v>
      </c>
      <c r="I90" s="52">
        <f t="shared" si="17"/>
        <v>0</v>
      </c>
      <c r="J90" s="52">
        <f t="shared" si="17"/>
        <v>0</v>
      </c>
      <c r="K90" s="52">
        <f t="shared" si="17"/>
        <v>0</v>
      </c>
      <c r="L90" s="52">
        <f t="shared" si="17"/>
        <v>13948.27505</v>
      </c>
    </row>
    <row r="91" spans="2:12" ht="16" customHeight="1" x14ac:dyDescent="0.35">
      <c r="B91" s="11" t="s">
        <v>430</v>
      </c>
      <c r="C91" s="11" t="s">
        <v>22</v>
      </c>
      <c r="D91" s="29"/>
      <c r="E91" s="29"/>
      <c r="F91" s="29"/>
      <c r="G91" s="29"/>
      <c r="H91" s="29"/>
      <c r="I91" s="29"/>
      <c r="J91" s="29"/>
      <c r="K91" s="29"/>
      <c r="L91" s="29"/>
    </row>
    <row r="92" spans="2:12" ht="16" customHeight="1" x14ac:dyDescent="0.35">
      <c r="B92" s="16" t="s">
        <v>431</v>
      </c>
      <c r="C92" s="16" t="s">
        <v>432</v>
      </c>
      <c r="D92" s="31">
        <f t="shared" ref="D92:L94" si="18">D76+D79+D82+D85+D88</f>
        <v>8627690.5255100001</v>
      </c>
      <c r="E92" s="31">
        <f t="shared" si="18"/>
        <v>8091885.5855100006</v>
      </c>
      <c r="F92" s="31">
        <f t="shared" si="18"/>
        <v>476131.19256</v>
      </c>
      <c r="G92" s="31">
        <f t="shared" si="18"/>
        <v>0</v>
      </c>
      <c r="H92" s="31">
        <f t="shared" si="18"/>
        <v>0</v>
      </c>
      <c r="I92" s="31">
        <f t="shared" si="18"/>
        <v>0</v>
      </c>
      <c r="J92" s="31">
        <f t="shared" si="18"/>
        <v>0</v>
      </c>
      <c r="K92" s="31">
        <f t="shared" si="18"/>
        <v>1587.61662</v>
      </c>
      <c r="L92" s="31">
        <f t="shared" si="18"/>
        <v>58086.130820000006</v>
      </c>
    </row>
    <row r="93" spans="2:12" ht="16" customHeight="1" thickBot="1" x14ac:dyDescent="0.4">
      <c r="B93" s="16" t="s">
        <v>433</v>
      </c>
      <c r="C93" s="16" t="s">
        <v>434</v>
      </c>
      <c r="D93" s="31">
        <f t="shared" si="18"/>
        <v>-5333946.0898500001</v>
      </c>
      <c r="E93" s="31">
        <f t="shared" si="18"/>
        <v>-5012447.7797900001</v>
      </c>
      <c r="F93" s="31">
        <f t="shared" si="18"/>
        <v>-278745.24667000002</v>
      </c>
      <c r="G93" s="31">
        <f t="shared" si="18"/>
        <v>0</v>
      </c>
      <c r="H93" s="31">
        <f t="shared" si="18"/>
        <v>0</v>
      </c>
      <c r="I93" s="31">
        <f t="shared" si="18"/>
        <v>0</v>
      </c>
      <c r="J93" s="31">
        <f t="shared" si="18"/>
        <v>0</v>
      </c>
      <c r="K93" s="31">
        <f t="shared" si="18"/>
        <v>-1587.61662</v>
      </c>
      <c r="L93" s="31">
        <f t="shared" si="18"/>
        <v>-41165.446769999995</v>
      </c>
    </row>
    <row r="94" spans="2:12" ht="16" customHeight="1" thickBot="1" x14ac:dyDescent="0.4">
      <c r="B94" s="18" t="s">
        <v>435</v>
      </c>
      <c r="C94" s="18" t="s">
        <v>436</v>
      </c>
      <c r="D94" s="32">
        <f t="shared" si="18"/>
        <v>3293744.43566</v>
      </c>
      <c r="E94" s="32">
        <f t="shared" si="18"/>
        <v>3079437.8057200001</v>
      </c>
      <c r="F94" s="32">
        <f t="shared" si="18"/>
        <v>197385.94588999997</v>
      </c>
      <c r="G94" s="32">
        <f t="shared" si="18"/>
        <v>0</v>
      </c>
      <c r="H94" s="32">
        <f t="shared" si="18"/>
        <v>0</v>
      </c>
      <c r="I94" s="32">
        <f t="shared" si="18"/>
        <v>0</v>
      </c>
      <c r="J94" s="32">
        <f t="shared" si="18"/>
        <v>0</v>
      </c>
      <c r="K94" s="32">
        <f t="shared" si="18"/>
        <v>0</v>
      </c>
      <c r="L94" s="32">
        <f t="shared" si="18"/>
        <v>16920.68405</v>
      </c>
    </row>
    <row r="95" spans="2:12" ht="16" customHeight="1" x14ac:dyDescent="0.35">
      <c r="B95" s="11" t="s">
        <v>437</v>
      </c>
      <c r="C95" s="11" t="s">
        <v>22</v>
      </c>
      <c r="D95" s="29"/>
      <c r="E95" s="29"/>
      <c r="F95" s="29"/>
      <c r="G95" s="29"/>
      <c r="H95" s="29"/>
      <c r="I95" s="29"/>
      <c r="J95" s="29"/>
      <c r="K95" s="29"/>
      <c r="L95" s="29"/>
    </row>
    <row r="96" spans="2:12" ht="16" customHeight="1" x14ac:dyDescent="0.35">
      <c r="B96" s="14" t="s">
        <v>438</v>
      </c>
      <c r="C96" s="14" t="s">
        <v>439</v>
      </c>
      <c r="D96" s="30">
        <f>E96+F96+G96+H96+I96+J96+K96+L96</f>
        <v>27708.20062</v>
      </c>
      <c r="E96" s="30">
        <v>27708.20062</v>
      </c>
      <c r="F96" s="30">
        <v>0</v>
      </c>
      <c r="G96" s="30"/>
      <c r="H96" s="30"/>
      <c r="I96" s="30"/>
      <c r="J96" s="30"/>
      <c r="K96" s="30"/>
      <c r="L96" s="30">
        <v>0</v>
      </c>
    </row>
    <row r="97" spans="2:12" ht="16" customHeight="1" x14ac:dyDescent="0.35">
      <c r="B97" s="14" t="s">
        <v>440</v>
      </c>
      <c r="C97" s="14" t="s">
        <v>441</v>
      </c>
      <c r="D97" s="30">
        <f>E97+F97+G97+H97+I97+J97+K97+L97</f>
        <v>-3291.2001399999999</v>
      </c>
      <c r="E97" s="30">
        <v>-3291.2361999999998</v>
      </c>
      <c r="F97" s="30">
        <v>3.6060000000000002E-2</v>
      </c>
      <c r="G97" s="30"/>
      <c r="H97" s="30"/>
      <c r="I97" s="30"/>
      <c r="J97" s="30"/>
      <c r="K97" s="30"/>
      <c r="L97" s="30">
        <v>0</v>
      </c>
    </row>
    <row r="98" spans="2:12" ht="16" customHeight="1" x14ac:dyDescent="0.35">
      <c r="B98" s="34" t="s">
        <v>442</v>
      </c>
      <c r="C98" s="34" t="s">
        <v>443</v>
      </c>
      <c r="D98" s="52">
        <f t="shared" ref="D98:L98" si="19">D96+D97</f>
        <v>24417.000479999999</v>
      </c>
      <c r="E98" s="52">
        <f t="shared" si="19"/>
        <v>24416.96442</v>
      </c>
      <c r="F98" s="52">
        <f t="shared" si="19"/>
        <v>3.6060000000000002E-2</v>
      </c>
      <c r="G98" s="52">
        <f t="shared" si="19"/>
        <v>0</v>
      </c>
      <c r="H98" s="52">
        <f t="shared" si="19"/>
        <v>0</v>
      </c>
      <c r="I98" s="52">
        <f t="shared" si="19"/>
        <v>0</v>
      </c>
      <c r="J98" s="52">
        <f t="shared" si="19"/>
        <v>0</v>
      </c>
      <c r="K98" s="52">
        <f t="shared" si="19"/>
        <v>0</v>
      </c>
      <c r="L98" s="52">
        <f t="shared" si="19"/>
        <v>0</v>
      </c>
    </row>
    <row r="99" spans="2:12" ht="16" customHeight="1" x14ac:dyDescent="0.35">
      <c r="B99" s="14" t="s">
        <v>444</v>
      </c>
      <c r="C99" s="14" t="s">
        <v>445</v>
      </c>
      <c r="D99" s="30">
        <f>E99+F99+G99+H99+I99+J99+K99+L99</f>
        <v>25069.32372</v>
      </c>
      <c r="E99" s="30">
        <v>24773.15468</v>
      </c>
      <c r="F99" s="30">
        <v>28.334790000000002</v>
      </c>
      <c r="G99" s="30">
        <v>267.83425</v>
      </c>
      <c r="H99" s="30"/>
      <c r="I99" s="30"/>
      <c r="J99" s="30"/>
      <c r="K99" s="30"/>
      <c r="L99" s="30">
        <v>0</v>
      </c>
    </row>
    <row r="100" spans="2:12" ht="16" customHeight="1" x14ac:dyDescent="0.35">
      <c r="B100" s="14" t="s">
        <v>446</v>
      </c>
      <c r="C100" s="14" t="s">
        <v>447</v>
      </c>
      <c r="D100" s="30">
        <f>E100+F100+G100+H100+I100+J100+K100+L100</f>
        <v>-16467.272990000001</v>
      </c>
      <c r="E100" s="30">
        <v>-16402.175289999999</v>
      </c>
      <c r="F100" s="30">
        <v>-28.334769999999999</v>
      </c>
      <c r="G100" s="30">
        <v>-49.674799999999998</v>
      </c>
      <c r="H100" s="30"/>
      <c r="I100" s="30"/>
      <c r="J100" s="30"/>
      <c r="K100" s="30">
        <v>12.91187</v>
      </c>
      <c r="L100" s="30">
        <v>0</v>
      </c>
    </row>
    <row r="101" spans="2:12" ht="16" customHeight="1" x14ac:dyDescent="0.35">
      <c r="B101" s="34" t="s">
        <v>448</v>
      </c>
      <c r="C101" s="34" t="s">
        <v>449</v>
      </c>
      <c r="D101" s="52">
        <f t="shared" ref="D101:L101" si="20">D99+D100</f>
        <v>8602.050729999999</v>
      </c>
      <c r="E101" s="52">
        <f t="shared" si="20"/>
        <v>8370.9793900000004</v>
      </c>
      <c r="F101" s="52">
        <f t="shared" si="20"/>
        <v>2.0000000002795559E-5</v>
      </c>
      <c r="G101" s="52">
        <f t="shared" si="20"/>
        <v>218.15944999999999</v>
      </c>
      <c r="H101" s="52">
        <f t="shared" si="20"/>
        <v>0</v>
      </c>
      <c r="I101" s="52">
        <f t="shared" si="20"/>
        <v>0</v>
      </c>
      <c r="J101" s="52">
        <f t="shared" si="20"/>
        <v>0</v>
      </c>
      <c r="K101" s="52">
        <f t="shared" si="20"/>
        <v>12.91187</v>
      </c>
      <c r="L101" s="52">
        <f t="shared" si="20"/>
        <v>0</v>
      </c>
    </row>
    <row r="102" spans="2:12" ht="16" customHeight="1" x14ac:dyDescent="0.35">
      <c r="B102" s="14" t="s">
        <v>450</v>
      </c>
      <c r="C102" s="14" t="s">
        <v>451</v>
      </c>
      <c r="D102" s="30">
        <f>E102+F102+G102+H102+I102+J102+K102+L102</f>
        <v>34567.395909999999</v>
      </c>
      <c r="E102" s="30">
        <v>34564.597110000002</v>
      </c>
      <c r="F102" s="30">
        <v>2.7988</v>
      </c>
      <c r="G102" s="30"/>
      <c r="H102" s="30"/>
      <c r="I102" s="30"/>
      <c r="J102" s="30"/>
      <c r="K102" s="30"/>
      <c r="L102" s="30"/>
    </row>
    <row r="103" spans="2:12" ht="16" customHeight="1" x14ac:dyDescent="0.35">
      <c r="B103" s="14" t="s">
        <v>452</v>
      </c>
      <c r="C103" s="14" t="s">
        <v>453</v>
      </c>
      <c r="D103" s="30">
        <f>E103+F103+G103+H103+I103+J103+K103+L103</f>
        <v>-24536.28702</v>
      </c>
      <c r="E103" s="30">
        <v>-24553.779109999999</v>
      </c>
      <c r="F103" s="30">
        <v>-2.7988</v>
      </c>
      <c r="G103" s="30"/>
      <c r="H103" s="30"/>
      <c r="I103" s="30"/>
      <c r="J103" s="30"/>
      <c r="K103" s="30">
        <v>20.290890000000001</v>
      </c>
      <c r="L103" s="30"/>
    </row>
    <row r="104" spans="2:12" ht="16" customHeight="1" x14ac:dyDescent="0.35">
      <c r="B104" s="34" t="s">
        <v>454</v>
      </c>
      <c r="C104" s="34" t="s">
        <v>455</v>
      </c>
      <c r="D104" s="52">
        <f t="shared" ref="D104:L104" si="21">D102+D103</f>
        <v>10031.10889</v>
      </c>
      <c r="E104" s="52">
        <f t="shared" si="21"/>
        <v>10010.818000000003</v>
      </c>
      <c r="F104" s="52">
        <f t="shared" si="21"/>
        <v>0</v>
      </c>
      <c r="G104" s="52">
        <f t="shared" si="21"/>
        <v>0</v>
      </c>
      <c r="H104" s="52">
        <f t="shared" si="21"/>
        <v>0</v>
      </c>
      <c r="I104" s="52">
        <f t="shared" si="21"/>
        <v>0</v>
      </c>
      <c r="J104" s="52">
        <f t="shared" si="21"/>
        <v>0</v>
      </c>
      <c r="K104" s="52">
        <f t="shared" si="21"/>
        <v>20.290890000000001</v>
      </c>
      <c r="L104" s="52">
        <f t="shared" si="21"/>
        <v>0</v>
      </c>
    </row>
    <row r="105" spans="2:12" ht="16" customHeight="1" x14ac:dyDescent="0.35">
      <c r="B105" s="14" t="s">
        <v>456</v>
      </c>
      <c r="C105" s="14" t="s">
        <v>457</v>
      </c>
      <c r="D105" s="30">
        <f>E105+F105+G105+H105+I105+J105+K105+L105</f>
        <v>65404.1535</v>
      </c>
      <c r="E105" s="30">
        <v>62894.688979999999</v>
      </c>
      <c r="F105" s="30">
        <v>857.93008999999995</v>
      </c>
      <c r="G105" s="30"/>
      <c r="H105" s="30"/>
      <c r="I105" s="30"/>
      <c r="J105" s="30"/>
      <c r="K105" s="30"/>
      <c r="L105" s="30">
        <v>1651.5344299999999</v>
      </c>
    </row>
    <row r="106" spans="2:12" ht="16" customHeight="1" x14ac:dyDescent="0.35">
      <c r="B106" s="14" t="s">
        <v>458</v>
      </c>
      <c r="C106" s="14" t="s">
        <v>459</v>
      </c>
      <c r="D106" s="30">
        <f>E106+F106+G106+H106+I106+J106+K106+L106</f>
        <v>-33630.94829</v>
      </c>
      <c r="E106" s="30">
        <v>-32602.580679999999</v>
      </c>
      <c r="F106" s="30">
        <v>-1028.36761</v>
      </c>
      <c r="G106" s="30"/>
      <c r="H106" s="30"/>
      <c r="I106" s="30"/>
      <c r="J106" s="30"/>
      <c r="K106" s="30"/>
      <c r="L106" s="30">
        <v>0</v>
      </c>
    </row>
    <row r="107" spans="2:12" ht="16" customHeight="1" x14ac:dyDescent="0.35">
      <c r="B107" s="34" t="s">
        <v>460</v>
      </c>
      <c r="C107" s="34" t="s">
        <v>461</v>
      </c>
      <c r="D107" s="52">
        <f t="shared" ref="D107:L107" si="22">D105+D106</f>
        <v>31773.20521</v>
      </c>
      <c r="E107" s="52">
        <f t="shared" si="22"/>
        <v>30292.1083</v>
      </c>
      <c r="F107" s="52">
        <f t="shared" si="22"/>
        <v>-170.43752000000006</v>
      </c>
      <c r="G107" s="52">
        <f t="shared" si="22"/>
        <v>0</v>
      </c>
      <c r="H107" s="52">
        <f t="shared" si="22"/>
        <v>0</v>
      </c>
      <c r="I107" s="52">
        <f t="shared" si="22"/>
        <v>0</v>
      </c>
      <c r="J107" s="52">
        <f t="shared" si="22"/>
        <v>0</v>
      </c>
      <c r="K107" s="52">
        <f t="shared" si="22"/>
        <v>0</v>
      </c>
      <c r="L107" s="52">
        <f t="shared" si="22"/>
        <v>1651.5344299999999</v>
      </c>
    </row>
    <row r="108" spans="2:12" ht="16" customHeight="1" x14ac:dyDescent="0.35">
      <c r="B108" s="14" t="s">
        <v>462</v>
      </c>
      <c r="C108" s="14" t="s">
        <v>463</v>
      </c>
      <c r="D108" s="30">
        <f>E108+F108+G108+H108+I108+J108+K108+L108</f>
        <v>0</v>
      </c>
      <c r="E108" s="30"/>
      <c r="F108" s="30"/>
      <c r="G108" s="30"/>
      <c r="H108" s="30"/>
      <c r="I108" s="30"/>
      <c r="J108" s="30"/>
      <c r="K108" s="30"/>
      <c r="L108" s="30"/>
    </row>
    <row r="109" spans="2:12" ht="16" customHeight="1" x14ac:dyDescent="0.35">
      <c r="B109" s="14" t="s">
        <v>464</v>
      </c>
      <c r="C109" s="14" t="s">
        <v>465</v>
      </c>
      <c r="D109" s="30">
        <f>E109+F109+G109+H109+I109+J109+K109+L109</f>
        <v>0</v>
      </c>
      <c r="E109" s="30"/>
      <c r="F109" s="30"/>
      <c r="G109" s="30"/>
      <c r="H109" s="30"/>
      <c r="I109" s="30"/>
      <c r="J109" s="30"/>
      <c r="K109" s="30"/>
      <c r="L109" s="30"/>
    </row>
    <row r="110" spans="2:12" ht="16" customHeight="1" x14ac:dyDescent="0.35">
      <c r="B110" s="34" t="s">
        <v>466</v>
      </c>
      <c r="C110" s="34" t="s">
        <v>467</v>
      </c>
      <c r="D110" s="52">
        <f t="shared" ref="D110:L110" si="23">D108+D109</f>
        <v>0</v>
      </c>
      <c r="E110" s="52">
        <f t="shared" si="23"/>
        <v>0</v>
      </c>
      <c r="F110" s="52">
        <f t="shared" si="23"/>
        <v>0</v>
      </c>
      <c r="G110" s="52">
        <f t="shared" si="23"/>
        <v>0</v>
      </c>
      <c r="H110" s="52">
        <f t="shared" si="23"/>
        <v>0</v>
      </c>
      <c r="I110" s="52">
        <f t="shared" si="23"/>
        <v>0</v>
      </c>
      <c r="J110" s="52">
        <f t="shared" si="23"/>
        <v>0</v>
      </c>
      <c r="K110" s="52">
        <f t="shared" si="23"/>
        <v>0</v>
      </c>
      <c r="L110" s="52">
        <f t="shared" si="23"/>
        <v>0</v>
      </c>
    </row>
    <row r="111" spans="2:12" ht="16" customHeight="1" x14ac:dyDescent="0.35">
      <c r="B111" s="11" t="s">
        <v>468</v>
      </c>
      <c r="C111" s="11" t="s">
        <v>22</v>
      </c>
      <c r="D111" s="29"/>
      <c r="E111" s="29"/>
      <c r="F111" s="29"/>
      <c r="G111" s="29"/>
      <c r="H111" s="29"/>
      <c r="I111" s="29"/>
      <c r="J111" s="29"/>
      <c r="K111" s="29"/>
      <c r="L111" s="29"/>
    </row>
    <row r="112" spans="2:12" ht="16" customHeight="1" x14ac:dyDescent="0.35">
      <c r="B112" s="16" t="s">
        <v>469</v>
      </c>
      <c r="C112" s="16" t="s">
        <v>470</v>
      </c>
      <c r="D112" s="31">
        <f t="shared" ref="D112:L114" si="24">D96+D99+D102+D105+D108</f>
        <v>152749.07374999998</v>
      </c>
      <c r="E112" s="31">
        <f t="shared" si="24"/>
        <v>149940.64139</v>
      </c>
      <c r="F112" s="31">
        <f t="shared" si="24"/>
        <v>889.06367999999998</v>
      </c>
      <c r="G112" s="31">
        <f t="shared" si="24"/>
        <v>267.83425</v>
      </c>
      <c r="H112" s="31">
        <f t="shared" si="24"/>
        <v>0</v>
      </c>
      <c r="I112" s="31">
        <f t="shared" si="24"/>
        <v>0</v>
      </c>
      <c r="J112" s="31">
        <f t="shared" si="24"/>
        <v>0</v>
      </c>
      <c r="K112" s="31">
        <f t="shared" si="24"/>
        <v>0</v>
      </c>
      <c r="L112" s="31">
        <f t="shared" si="24"/>
        <v>1651.5344299999999</v>
      </c>
    </row>
    <row r="113" spans="2:12" ht="16" customHeight="1" thickBot="1" x14ac:dyDescent="0.4">
      <c r="B113" s="16" t="s">
        <v>471</v>
      </c>
      <c r="C113" s="16" t="s">
        <v>472</v>
      </c>
      <c r="D113" s="31">
        <f t="shared" si="24"/>
        <v>-77925.708440000002</v>
      </c>
      <c r="E113" s="31">
        <f t="shared" si="24"/>
        <v>-76849.771280000001</v>
      </c>
      <c r="F113" s="31">
        <f t="shared" si="24"/>
        <v>-1059.4651200000001</v>
      </c>
      <c r="G113" s="31">
        <f t="shared" si="24"/>
        <v>-49.674799999999998</v>
      </c>
      <c r="H113" s="31">
        <f t="shared" si="24"/>
        <v>0</v>
      </c>
      <c r="I113" s="31">
        <f t="shared" si="24"/>
        <v>0</v>
      </c>
      <c r="J113" s="31">
        <f t="shared" si="24"/>
        <v>0</v>
      </c>
      <c r="K113" s="31">
        <f t="shared" si="24"/>
        <v>33.202759999999998</v>
      </c>
      <c r="L113" s="31">
        <f t="shared" si="24"/>
        <v>0</v>
      </c>
    </row>
    <row r="114" spans="2:12" ht="16" customHeight="1" thickBot="1" x14ac:dyDescent="0.4">
      <c r="B114" s="18" t="s">
        <v>473</v>
      </c>
      <c r="C114" s="18" t="s">
        <v>474</v>
      </c>
      <c r="D114" s="32">
        <f t="shared" si="24"/>
        <v>74823.365309999994</v>
      </c>
      <c r="E114" s="32">
        <f t="shared" si="24"/>
        <v>73090.870109999989</v>
      </c>
      <c r="F114" s="32">
        <f t="shared" si="24"/>
        <v>-170.40144000000006</v>
      </c>
      <c r="G114" s="32">
        <f t="shared" si="24"/>
        <v>218.15944999999999</v>
      </c>
      <c r="H114" s="32">
        <f t="shared" si="24"/>
        <v>0</v>
      </c>
      <c r="I114" s="32">
        <f t="shared" si="24"/>
        <v>0</v>
      </c>
      <c r="J114" s="32">
        <f t="shared" si="24"/>
        <v>0</v>
      </c>
      <c r="K114" s="32">
        <f t="shared" si="24"/>
        <v>33.202759999999998</v>
      </c>
      <c r="L114" s="32">
        <f t="shared" si="24"/>
        <v>1651.5344299999999</v>
      </c>
    </row>
    <row r="115" spans="2:12" ht="16" customHeight="1" x14ac:dyDescent="0.35">
      <c r="B115" s="11" t="s">
        <v>93</v>
      </c>
      <c r="C115" s="11" t="s">
        <v>475</v>
      </c>
      <c r="D115" s="29"/>
      <c r="E115" s="29"/>
      <c r="F115" s="29"/>
      <c r="G115" s="29"/>
      <c r="H115" s="29"/>
      <c r="I115" s="29"/>
      <c r="J115" s="29"/>
      <c r="K115" s="29"/>
      <c r="L115" s="29"/>
    </row>
    <row r="116" spans="2:12" ht="16" customHeight="1" x14ac:dyDescent="0.35">
      <c r="B116" s="16" t="s">
        <v>476</v>
      </c>
      <c r="C116" s="16" t="s">
        <v>477</v>
      </c>
      <c r="D116" s="31">
        <f t="shared" ref="D116:L118" si="25">D92+D112</f>
        <v>8780439.5992600005</v>
      </c>
      <c r="E116" s="31">
        <f t="shared" si="25"/>
        <v>8241826.2269000001</v>
      </c>
      <c r="F116" s="31">
        <f t="shared" si="25"/>
        <v>477020.25624000002</v>
      </c>
      <c r="G116" s="31">
        <f t="shared" si="25"/>
        <v>267.83425</v>
      </c>
      <c r="H116" s="31">
        <f t="shared" si="25"/>
        <v>0</v>
      </c>
      <c r="I116" s="31">
        <f t="shared" si="25"/>
        <v>0</v>
      </c>
      <c r="J116" s="31">
        <f t="shared" si="25"/>
        <v>0</v>
      </c>
      <c r="K116" s="31">
        <f t="shared" si="25"/>
        <v>1587.61662</v>
      </c>
      <c r="L116" s="31">
        <f t="shared" si="25"/>
        <v>59737.665250000005</v>
      </c>
    </row>
    <row r="117" spans="2:12" ht="16" customHeight="1" thickBot="1" x14ac:dyDescent="0.4">
      <c r="B117" s="16" t="s">
        <v>478</v>
      </c>
      <c r="C117" s="16" t="s">
        <v>479</v>
      </c>
      <c r="D117" s="31">
        <f t="shared" si="25"/>
        <v>-5411871.7982900003</v>
      </c>
      <c r="E117" s="31">
        <f t="shared" si="25"/>
        <v>-5089297.55107</v>
      </c>
      <c r="F117" s="31">
        <f t="shared" si="25"/>
        <v>-279804.71179000003</v>
      </c>
      <c r="G117" s="31">
        <f t="shared" si="25"/>
        <v>-49.674799999999998</v>
      </c>
      <c r="H117" s="31">
        <f t="shared" si="25"/>
        <v>0</v>
      </c>
      <c r="I117" s="31">
        <f t="shared" si="25"/>
        <v>0</v>
      </c>
      <c r="J117" s="31">
        <f t="shared" si="25"/>
        <v>0</v>
      </c>
      <c r="K117" s="31">
        <f t="shared" si="25"/>
        <v>-1554.4138600000001</v>
      </c>
      <c r="L117" s="31">
        <f t="shared" si="25"/>
        <v>-41165.446769999995</v>
      </c>
    </row>
    <row r="118" spans="2:12" ht="16" customHeight="1" thickBot="1" x14ac:dyDescent="0.4">
      <c r="B118" s="18" t="s">
        <v>480</v>
      </c>
      <c r="C118" s="18" t="s">
        <v>481</v>
      </c>
      <c r="D118" s="32">
        <f t="shared" si="25"/>
        <v>3368567.8009699997</v>
      </c>
      <c r="E118" s="32">
        <f t="shared" si="25"/>
        <v>3152528.6758300001</v>
      </c>
      <c r="F118" s="32">
        <f t="shared" si="25"/>
        <v>197215.54444999999</v>
      </c>
      <c r="G118" s="32">
        <f t="shared" si="25"/>
        <v>218.15944999999999</v>
      </c>
      <c r="H118" s="32">
        <f t="shared" si="25"/>
        <v>0</v>
      </c>
      <c r="I118" s="32">
        <f t="shared" si="25"/>
        <v>0</v>
      </c>
      <c r="J118" s="32">
        <f t="shared" si="25"/>
        <v>0</v>
      </c>
      <c r="K118" s="32">
        <f t="shared" si="25"/>
        <v>33.202759999999998</v>
      </c>
      <c r="L118" s="32">
        <f t="shared" si="25"/>
        <v>18572.21848</v>
      </c>
    </row>
    <row r="119" spans="2:12" ht="16" customHeight="1" x14ac:dyDescent="0.35">
      <c r="B119" s="11" t="s">
        <v>482</v>
      </c>
      <c r="C119" s="11" t="s">
        <v>22</v>
      </c>
      <c r="D119" s="29"/>
      <c r="E119" s="29"/>
      <c r="F119" s="29"/>
      <c r="G119" s="29"/>
      <c r="H119" s="29"/>
      <c r="I119" s="29"/>
      <c r="J119" s="29"/>
      <c r="K119" s="29"/>
      <c r="L119" s="29"/>
    </row>
    <row r="120" spans="2:12" ht="16" customHeight="1" x14ac:dyDescent="0.35">
      <c r="B120" s="14" t="s">
        <v>483</v>
      </c>
      <c r="C120" s="14" t="s">
        <v>484</v>
      </c>
      <c r="D120" s="30">
        <f>E120+F120+G120+H120+I120+J120+K120+L120</f>
        <v>0</v>
      </c>
      <c r="E120" s="30"/>
      <c r="F120" s="30"/>
      <c r="G120" s="30"/>
      <c r="H120" s="30"/>
      <c r="I120" s="30"/>
      <c r="J120" s="30"/>
      <c r="K120" s="30"/>
      <c r="L120" s="30"/>
    </row>
    <row r="121" spans="2:12" ht="16" customHeight="1" x14ac:dyDescent="0.35">
      <c r="B121" s="14" t="s">
        <v>485</v>
      </c>
      <c r="C121" s="14" t="s">
        <v>486</v>
      </c>
      <c r="D121" s="30">
        <f>E121+F121+G121+H121+I121+J121+K121+L121</f>
        <v>0</v>
      </c>
      <c r="E121" s="30"/>
      <c r="F121" s="30"/>
      <c r="G121" s="30"/>
      <c r="H121" s="30"/>
      <c r="I121" s="30"/>
      <c r="J121" s="30"/>
      <c r="K121" s="30"/>
      <c r="L121" s="30"/>
    </row>
    <row r="122" spans="2:12" ht="16" customHeight="1" x14ac:dyDescent="0.35">
      <c r="B122" s="34" t="s">
        <v>487</v>
      </c>
      <c r="C122" s="34" t="s">
        <v>488</v>
      </c>
      <c r="D122" s="52">
        <f t="shared" ref="D122:L122" si="26">D120+D121</f>
        <v>0</v>
      </c>
      <c r="E122" s="52">
        <f t="shared" si="26"/>
        <v>0</v>
      </c>
      <c r="F122" s="52">
        <f t="shared" si="26"/>
        <v>0</v>
      </c>
      <c r="G122" s="52">
        <f t="shared" si="26"/>
        <v>0</v>
      </c>
      <c r="H122" s="52">
        <f t="shared" si="26"/>
        <v>0</v>
      </c>
      <c r="I122" s="52">
        <f t="shared" si="26"/>
        <v>0</v>
      </c>
      <c r="J122" s="52">
        <f t="shared" si="26"/>
        <v>0</v>
      </c>
      <c r="K122" s="52">
        <f t="shared" si="26"/>
        <v>0</v>
      </c>
      <c r="L122" s="52">
        <f t="shared" si="26"/>
        <v>0</v>
      </c>
    </row>
    <row r="123" spans="2:12" ht="16" customHeight="1" x14ac:dyDescent="0.35">
      <c r="B123" s="14" t="s">
        <v>489</v>
      </c>
      <c r="C123" s="14" t="s">
        <v>490</v>
      </c>
      <c r="D123" s="30">
        <f>E123+F123+G123+H123+I123+J123+K123+L123</f>
        <v>2836.7139200000001</v>
      </c>
      <c r="E123" s="30"/>
      <c r="F123" s="30">
        <v>2836.7139200000001</v>
      </c>
      <c r="G123" s="30"/>
      <c r="H123" s="30"/>
      <c r="I123" s="30"/>
      <c r="J123" s="30"/>
      <c r="K123" s="30"/>
      <c r="L123" s="30"/>
    </row>
    <row r="124" spans="2:12" ht="16" customHeight="1" x14ac:dyDescent="0.35">
      <c r="B124" s="14" t="s">
        <v>491</v>
      </c>
      <c r="C124" s="14" t="s">
        <v>492</v>
      </c>
      <c r="D124" s="30">
        <f>E124+F124+G124+H124+I124+J124+K124+L124</f>
        <v>-2836.7139200000001</v>
      </c>
      <c r="E124" s="30"/>
      <c r="F124" s="30">
        <v>-2836.7139200000001</v>
      </c>
      <c r="G124" s="30"/>
      <c r="H124" s="30"/>
      <c r="I124" s="30"/>
      <c r="J124" s="30"/>
      <c r="K124" s="30"/>
      <c r="L124" s="30"/>
    </row>
    <row r="125" spans="2:12" ht="16" customHeight="1" x14ac:dyDescent="0.35">
      <c r="B125" s="34" t="s">
        <v>493</v>
      </c>
      <c r="C125" s="34" t="s">
        <v>494</v>
      </c>
      <c r="D125" s="52">
        <f t="shared" ref="D125:L125" si="27">D123+D124</f>
        <v>0</v>
      </c>
      <c r="E125" s="52">
        <f t="shared" si="27"/>
        <v>0</v>
      </c>
      <c r="F125" s="52">
        <f t="shared" si="27"/>
        <v>0</v>
      </c>
      <c r="G125" s="52">
        <f t="shared" si="27"/>
        <v>0</v>
      </c>
      <c r="H125" s="52">
        <f t="shared" si="27"/>
        <v>0</v>
      </c>
      <c r="I125" s="52">
        <f t="shared" si="27"/>
        <v>0</v>
      </c>
      <c r="J125" s="52">
        <f t="shared" si="27"/>
        <v>0</v>
      </c>
      <c r="K125" s="52">
        <f t="shared" si="27"/>
        <v>0</v>
      </c>
      <c r="L125" s="52">
        <f t="shared" si="27"/>
        <v>0</v>
      </c>
    </row>
    <row r="126" spans="2:12" ht="16" customHeight="1" x14ac:dyDescent="0.35">
      <c r="B126" s="14" t="s">
        <v>495</v>
      </c>
      <c r="C126" s="14" t="s">
        <v>496</v>
      </c>
      <c r="D126" s="30">
        <f>E126+F126+G126+H126+I126+J126+K126+L126</f>
        <v>60067.568070000001</v>
      </c>
      <c r="E126" s="30">
        <v>1211.8929900000001</v>
      </c>
      <c r="F126" s="30">
        <v>66.46499</v>
      </c>
      <c r="G126" s="30"/>
      <c r="H126" s="30"/>
      <c r="I126" s="30"/>
      <c r="J126" s="30"/>
      <c r="K126" s="30">
        <v>9341.7478499999997</v>
      </c>
      <c r="L126" s="30">
        <v>49447.462240000001</v>
      </c>
    </row>
    <row r="127" spans="2:12" ht="16" customHeight="1" x14ac:dyDescent="0.35">
      <c r="B127" s="14" t="s">
        <v>497</v>
      </c>
      <c r="C127" s="14" t="s">
        <v>498</v>
      </c>
      <c r="D127" s="30">
        <f>E127+F127+G127+H127+I127+J127+K127+L127</f>
        <v>-58791.737739999997</v>
      </c>
      <c r="E127" s="30">
        <v>-1211.8914299999999</v>
      </c>
      <c r="F127" s="30">
        <v>-66.46499</v>
      </c>
      <c r="G127" s="30"/>
      <c r="H127" s="30"/>
      <c r="I127" s="30"/>
      <c r="J127" s="30"/>
      <c r="K127" s="30">
        <v>-9341.7478499999997</v>
      </c>
      <c r="L127" s="30">
        <v>-48171.633470000001</v>
      </c>
    </row>
    <row r="128" spans="2:12" ht="16" customHeight="1" x14ac:dyDescent="0.35">
      <c r="B128" s="34" t="s">
        <v>499</v>
      </c>
      <c r="C128" s="34" t="s">
        <v>500</v>
      </c>
      <c r="D128" s="52">
        <f t="shared" ref="D128:L128" si="28">D126+D127</f>
        <v>1275.8303300000043</v>
      </c>
      <c r="E128" s="52">
        <f t="shared" si="28"/>
        <v>1.5600000001541048E-3</v>
      </c>
      <c r="F128" s="52">
        <f t="shared" si="28"/>
        <v>0</v>
      </c>
      <c r="G128" s="52">
        <f t="shared" si="28"/>
        <v>0</v>
      </c>
      <c r="H128" s="52">
        <f t="shared" si="28"/>
        <v>0</v>
      </c>
      <c r="I128" s="52">
        <f t="shared" si="28"/>
        <v>0</v>
      </c>
      <c r="J128" s="52">
        <f t="shared" si="28"/>
        <v>0</v>
      </c>
      <c r="K128" s="52">
        <f t="shared" si="28"/>
        <v>0</v>
      </c>
      <c r="L128" s="52">
        <f t="shared" si="28"/>
        <v>1275.8287700000001</v>
      </c>
    </row>
    <row r="129" spans="2:12" ht="16" customHeight="1" x14ac:dyDescent="0.35">
      <c r="B129" s="14" t="s">
        <v>501</v>
      </c>
      <c r="C129" s="14" t="s">
        <v>502</v>
      </c>
      <c r="D129" s="30">
        <f>E129+F129+G129+H129+I129+J129+K129+L129</f>
        <v>0</v>
      </c>
      <c r="E129" s="30"/>
      <c r="F129" s="30"/>
      <c r="G129" s="30"/>
      <c r="H129" s="30"/>
      <c r="I129" s="30"/>
      <c r="J129" s="30"/>
      <c r="K129" s="30"/>
      <c r="L129" s="30"/>
    </row>
    <row r="130" spans="2:12" ht="16" customHeight="1" x14ac:dyDescent="0.35">
      <c r="B130" s="14" t="s">
        <v>503</v>
      </c>
      <c r="C130" s="14" t="s">
        <v>504</v>
      </c>
      <c r="D130" s="30">
        <f>E130+F130+G130+H130+I130+J130+K130+L130</f>
        <v>0</v>
      </c>
      <c r="E130" s="30"/>
      <c r="F130" s="30"/>
      <c r="G130" s="30"/>
      <c r="H130" s="30"/>
      <c r="I130" s="30"/>
      <c r="J130" s="30"/>
      <c r="K130" s="30"/>
      <c r="L130" s="30"/>
    </row>
    <row r="131" spans="2:12" ht="16" customHeight="1" x14ac:dyDescent="0.35">
      <c r="B131" s="34" t="s">
        <v>505</v>
      </c>
      <c r="C131" s="34" t="s">
        <v>506</v>
      </c>
      <c r="D131" s="52">
        <f t="shared" ref="D131:L131" si="29">D129+D130</f>
        <v>0</v>
      </c>
      <c r="E131" s="52">
        <f t="shared" si="29"/>
        <v>0</v>
      </c>
      <c r="F131" s="52">
        <f t="shared" si="29"/>
        <v>0</v>
      </c>
      <c r="G131" s="52">
        <f t="shared" si="29"/>
        <v>0</v>
      </c>
      <c r="H131" s="52">
        <f t="shared" si="29"/>
        <v>0</v>
      </c>
      <c r="I131" s="52">
        <f t="shared" si="29"/>
        <v>0</v>
      </c>
      <c r="J131" s="52">
        <f t="shared" si="29"/>
        <v>0</v>
      </c>
      <c r="K131" s="52">
        <f t="shared" si="29"/>
        <v>0</v>
      </c>
      <c r="L131" s="52">
        <f t="shared" si="29"/>
        <v>0</v>
      </c>
    </row>
    <row r="132" spans="2:12" ht="16" customHeight="1" x14ac:dyDescent="0.35">
      <c r="B132" s="14" t="s">
        <v>507</v>
      </c>
      <c r="C132" s="14" t="s">
        <v>508</v>
      </c>
      <c r="D132" s="30">
        <f>E132+F132+G132+H132+I132+J132+K132+L132</f>
        <v>4264.5429999999997</v>
      </c>
      <c r="E132" s="30"/>
      <c r="F132" s="30"/>
      <c r="G132" s="30"/>
      <c r="H132" s="30"/>
      <c r="I132" s="30"/>
      <c r="J132" s="30"/>
      <c r="K132" s="30"/>
      <c r="L132" s="30">
        <v>4264.5429999999997</v>
      </c>
    </row>
    <row r="133" spans="2:12" ht="16" customHeight="1" x14ac:dyDescent="0.35">
      <c r="B133" s="14" t="s">
        <v>509</v>
      </c>
      <c r="C133" s="14" t="s">
        <v>510</v>
      </c>
      <c r="D133" s="30">
        <f>E133+F133+G133+H133+I133+J133+K133+L133</f>
        <v>-4264.5429999999997</v>
      </c>
      <c r="E133" s="30"/>
      <c r="F133" s="30"/>
      <c r="G133" s="30"/>
      <c r="H133" s="30"/>
      <c r="I133" s="30"/>
      <c r="J133" s="30"/>
      <c r="K133" s="30"/>
      <c r="L133" s="30">
        <v>-4264.5429999999997</v>
      </c>
    </row>
    <row r="134" spans="2:12" ht="16" customHeight="1" x14ac:dyDescent="0.35">
      <c r="B134" s="34" t="s">
        <v>511</v>
      </c>
      <c r="C134" s="34" t="s">
        <v>512</v>
      </c>
      <c r="D134" s="52">
        <f t="shared" ref="D134:L134" si="30">D132+D133</f>
        <v>0</v>
      </c>
      <c r="E134" s="52">
        <f t="shared" si="30"/>
        <v>0</v>
      </c>
      <c r="F134" s="52">
        <f t="shared" si="30"/>
        <v>0</v>
      </c>
      <c r="G134" s="52">
        <f t="shared" si="30"/>
        <v>0</v>
      </c>
      <c r="H134" s="52">
        <f t="shared" si="30"/>
        <v>0</v>
      </c>
      <c r="I134" s="52">
        <f t="shared" si="30"/>
        <v>0</v>
      </c>
      <c r="J134" s="52">
        <f t="shared" si="30"/>
        <v>0</v>
      </c>
      <c r="K134" s="52">
        <f t="shared" si="30"/>
        <v>0</v>
      </c>
      <c r="L134" s="52">
        <f t="shared" si="30"/>
        <v>0</v>
      </c>
    </row>
    <row r="135" spans="2:12" ht="16" customHeight="1" x14ac:dyDescent="0.35">
      <c r="B135" s="14" t="s">
        <v>513</v>
      </c>
      <c r="C135" s="14" t="s">
        <v>514</v>
      </c>
      <c r="D135" s="30">
        <f>E135+F135+G135+H135+I135+J135+K135+L135</f>
        <v>5422.7634100000068</v>
      </c>
      <c r="E135" s="30">
        <v>7399.9767099999999</v>
      </c>
      <c r="F135" s="30">
        <v>51970.903050000001</v>
      </c>
      <c r="G135" s="30"/>
      <c r="H135" s="30"/>
      <c r="I135" s="30"/>
      <c r="J135" s="30"/>
      <c r="K135" s="30"/>
      <c r="L135" s="30">
        <v>-53948.116349999997</v>
      </c>
    </row>
    <row r="136" spans="2:12" ht="16" customHeight="1" x14ac:dyDescent="0.35">
      <c r="B136" s="14" t="s">
        <v>515</v>
      </c>
      <c r="C136" s="14" t="s">
        <v>516</v>
      </c>
      <c r="D136" s="30">
        <f>E136+F136+G136+H136+I136+J136+K136+L136</f>
        <v>-5417.727770000005</v>
      </c>
      <c r="E136" s="30">
        <v>-6217.1350000000002</v>
      </c>
      <c r="F136" s="30">
        <v>-51872.880290000001</v>
      </c>
      <c r="G136" s="30"/>
      <c r="H136" s="30"/>
      <c r="I136" s="30"/>
      <c r="J136" s="30"/>
      <c r="K136" s="30"/>
      <c r="L136" s="30">
        <v>52672.287519999998</v>
      </c>
    </row>
    <row r="137" spans="2:12" ht="16" customHeight="1" x14ac:dyDescent="0.35">
      <c r="B137" s="34" t="s">
        <v>517</v>
      </c>
      <c r="C137" s="34" t="s">
        <v>518</v>
      </c>
      <c r="D137" s="52">
        <f t="shared" ref="D137:L137" si="31">D135+D136</f>
        <v>5.0356400000018766</v>
      </c>
      <c r="E137" s="52">
        <f t="shared" si="31"/>
        <v>1182.8417099999997</v>
      </c>
      <c r="F137" s="52">
        <f t="shared" si="31"/>
        <v>98.022759999999835</v>
      </c>
      <c r="G137" s="52">
        <f t="shared" si="31"/>
        <v>0</v>
      </c>
      <c r="H137" s="52">
        <f t="shared" si="31"/>
        <v>0</v>
      </c>
      <c r="I137" s="52">
        <f t="shared" si="31"/>
        <v>0</v>
      </c>
      <c r="J137" s="52">
        <f t="shared" si="31"/>
        <v>0</v>
      </c>
      <c r="K137" s="52">
        <f t="shared" si="31"/>
        <v>0</v>
      </c>
      <c r="L137" s="52">
        <f t="shared" si="31"/>
        <v>-1275.8288299999986</v>
      </c>
    </row>
    <row r="138" spans="2:12" ht="16" customHeight="1" x14ac:dyDescent="0.35">
      <c r="B138" s="14" t="s">
        <v>519</v>
      </c>
      <c r="C138" s="14" t="s">
        <v>520</v>
      </c>
      <c r="D138" s="30">
        <f>E138+F138+G138+H138+I138+J138+K138+L138</f>
        <v>0</v>
      </c>
      <c r="E138" s="30"/>
      <c r="F138" s="30"/>
      <c r="G138" s="30"/>
      <c r="H138" s="30"/>
      <c r="I138" s="30"/>
      <c r="J138" s="30"/>
      <c r="K138" s="30"/>
      <c r="L138" s="30"/>
    </row>
    <row r="139" spans="2:12" ht="16" customHeight="1" x14ac:dyDescent="0.35">
      <c r="B139" s="14" t="s">
        <v>521</v>
      </c>
      <c r="C139" s="14" t="s">
        <v>522</v>
      </c>
      <c r="D139" s="30">
        <f>E139+F139+G139+H139+I139+J139+K139+L139</f>
        <v>0</v>
      </c>
      <c r="E139" s="30"/>
      <c r="F139" s="30"/>
      <c r="G139" s="30"/>
      <c r="H139" s="30"/>
      <c r="I139" s="30"/>
      <c r="J139" s="30"/>
      <c r="K139" s="30"/>
      <c r="L139" s="30"/>
    </row>
    <row r="140" spans="2:12" ht="16" customHeight="1" x14ac:dyDescent="0.35">
      <c r="B140" s="34" t="s">
        <v>523</v>
      </c>
      <c r="C140" s="34" t="s">
        <v>524</v>
      </c>
      <c r="D140" s="52">
        <f t="shared" ref="D140:L140" si="32">D138+D139</f>
        <v>0</v>
      </c>
      <c r="E140" s="52">
        <f t="shared" si="32"/>
        <v>0</v>
      </c>
      <c r="F140" s="52">
        <f t="shared" si="32"/>
        <v>0</v>
      </c>
      <c r="G140" s="52">
        <f t="shared" si="32"/>
        <v>0</v>
      </c>
      <c r="H140" s="52">
        <f t="shared" si="32"/>
        <v>0</v>
      </c>
      <c r="I140" s="52">
        <f t="shared" si="32"/>
        <v>0</v>
      </c>
      <c r="J140" s="52">
        <f t="shared" si="32"/>
        <v>0</v>
      </c>
      <c r="K140" s="52">
        <f t="shared" si="32"/>
        <v>0</v>
      </c>
      <c r="L140" s="52">
        <f t="shared" si="32"/>
        <v>0</v>
      </c>
    </row>
    <row r="141" spans="2:12" ht="16" customHeight="1" x14ac:dyDescent="0.35">
      <c r="B141" s="11" t="s">
        <v>525</v>
      </c>
      <c r="C141" s="11" t="s">
        <v>475</v>
      </c>
      <c r="D141" s="29"/>
      <c r="E141" s="29"/>
      <c r="F141" s="29"/>
      <c r="G141" s="29"/>
      <c r="H141" s="29"/>
      <c r="I141" s="29"/>
      <c r="J141" s="29"/>
      <c r="K141" s="29"/>
      <c r="L141" s="29"/>
    </row>
    <row r="142" spans="2:12" ht="16" customHeight="1" x14ac:dyDescent="0.35">
      <c r="B142" s="16" t="s">
        <v>526</v>
      </c>
      <c r="C142" s="16" t="s">
        <v>527</v>
      </c>
      <c r="D142" s="31">
        <f t="shared" ref="D142:L144" si="33">D120+D123+D126+D129+D132+D135+D138</f>
        <v>72591.588400000008</v>
      </c>
      <c r="E142" s="31">
        <f t="shared" si="33"/>
        <v>8611.8696999999993</v>
      </c>
      <c r="F142" s="31">
        <f t="shared" si="33"/>
        <v>54874.081960000003</v>
      </c>
      <c r="G142" s="31">
        <f t="shared" si="33"/>
        <v>0</v>
      </c>
      <c r="H142" s="31">
        <f t="shared" si="33"/>
        <v>0</v>
      </c>
      <c r="I142" s="31">
        <f t="shared" si="33"/>
        <v>0</v>
      </c>
      <c r="J142" s="31">
        <f t="shared" si="33"/>
        <v>0</v>
      </c>
      <c r="K142" s="31">
        <f t="shared" si="33"/>
        <v>9341.7478499999997</v>
      </c>
      <c r="L142" s="31">
        <f t="shared" si="33"/>
        <v>-236.11110999999801</v>
      </c>
    </row>
    <row r="143" spans="2:12" ht="16" customHeight="1" thickBot="1" x14ac:dyDescent="0.4">
      <c r="B143" s="16" t="s">
        <v>528</v>
      </c>
      <c r="C143" s="16" t="s">
        <v>529</v>
      </c>
      <c r="D143" s="31">
        <f t="shared" si="33"/>
        <v>-71310.722429999994</v>
      </c>
      <c r="E143" s="31">
        <f t="shared" si="33"/>
        <v>-7429.0264299999999</v>
      </c>
      <c r="F143" s="31">
        <f t="shared" si="33"/>
        <v>-54776.059200000003</v>
      </c>
      <c r="G143" s="31">
        <f t="shared" si="33"/>
        <v>0</v>
      </c>
      <c r="H143" s="31">
        <f t="shared" si="33"/>
        <v>0</v>
      </c>
      <c r="I143" s="31">
        <f t="shared" si="33"/>
        <v>0</v>
      </c>
      <c r="J143" s="31">
        <f t="shared" si="33"/>
        <v>0</v>
      </c>
      <c r="K143" s="31">
        <f t="shared" si="33"/>
        <v>-9341.7478499999997</v>
      </c>
      <c r="L143" s="31">
        <f t="shared" si="33"/>
        <v>236.11104999999952</v>
      </c>
    </row>
    <row r="144" spans="2:12" ht="16" customHeight="1" thickBot="1" x14ac:dyDescent="0.4">
      <c r="B144" s="18" t="s">
        <v>530</v>
      </c>
      <c r="C144" s="18" t="s">
        <v>531</v>
      </c>
      <c r="D144" s="32">
        <f t="shared" si="33"/>
        <v>1280.8659700000062</v>
      </c>
      <c r="E144" s="32">
        <f t="shared" si="33"/>
        <v>1182.8432699999998</v>
      </c>
      <c r="F144" s="32">
        <f t="shared" si="33"/>
        <v>98.022759999999835</v>
      </c>
      <c r="G144" s="32">
        <f t="shared" si="33"/>
        <v>0</v>
      </c>
      <c r="H144" s="32">
        <f t="shared" si="33"/>
        <v>0</v>
      </c>
      <c r="I144" s="32">
        <f t="shared" si="33"/>
        <v>0</v>
      </c>
      <c r="J144" s="32">
        <f t="shared" si="33"/>
        <v>0</v>
      </c>
      <c r="K144" s="32">
        <f t="shared" si="33"/>
        <v>0</v>
      </c>
      <c r="L144" s="32">
        <f t="shared" si="33"/>
        <v>-5.999999848427251E-5</v>
      </c>
    </row>
    <row r="145" spans="2:12" ht="16" customHeight="1" x14ac:dyDescent="0.35">
      <c r="B145" s="11" t="s">
        <v>532</v>
      </c>
      <c r="C145" s="11" t="s">
        <v>22</v>
      </c>
      <c r="D145" s="29"/>
      <c r="E145" s="29"/>
      <c r="F145" s="29"/>
      <c r="G145" s="29"/>
      <c r="H145" s="29"/>
      <c r="I145" s="29"/>
      <c r="J145" s="29"/>
      <c r="K145" s="29"/>
      <c r="L145" s="29"/>
    </row>
    <row r="146" spans="2:12" ht="16" customHeight="1" x14ac:dyDescent="0.35">
      <c r="B146" s="14" t="s">
        <v>533</v>
      </c>
      <c r="C146" s="14" t="s">
        <v>534</v>
      </c>
      <c r="D146" s="30">
        <f>E146+F146+G146+H146+I146+J146+K146+L146</f>
        <v>82815.630990000005</v>
      </c>
      <c r="E146" s="30">
        <v>72904.33498</v>
      </c>
      <c r="F146" s="30">
        <v>9911.2960000000003</v>
      </c>
      <c r="G146" s="30">
        <v>-7573.0590000000002</v>
      </c>
      <c r="H146" s="30">
        <v>0</v>
      </c>
      <c r="I146" s="30"/>
      <c r="J146" s="30"/>
      <c r="K146" s="30"/>
      <c r="L146" s="30">
        <v>7573.0590099999999</v>
      </c>
    </row>
    <row r="147" spans="2:12" ht="16" customHeight="1" x14ac:dyDescent="0.35">
      <c r="B147" s="14" t="s">
        <v>535</v>
      </c>
      <c r="C147" s="14" t="s">
        <v>536</v>
      </c>
      <c r="D147" s="30">
        <f>E147+F147+G147+H147+I147+J147+K147+L147</f>
        <v>-2.0000000000000002E-5</v>
      </c>
      <c r="E147" s="30"/>
      <c r="F147" s="30"/>
      <c r="G147" s="30"/>
      <c r="H147" s="30"/>
      <c r="I147" s="30"/>
      <c r="J147" s="30"/>
      <c r="K147" s="30"/>
      <c r="L147" s="30">
        <v>-2.0000000000000002E-5</v>
      </c>
    </row>
    <row r="148" spans="2:12" ht="16" customHeight="1" x14ac:dyDescent="0.35">
      <c r="B148" s="14" t="s">
        <v>537</v>
      </c>
      <c r="C148" s="14" t="s">
        <v>538</v>
      </c>
      <c r="D148" s="30">
        <f>E148+F148+G148+H148+I148+J148+K148+L148</f>
        <v>1052539.90766</v>
      </c>
      <c r="E148" s="30">
        <v>1044966.84866</v>
      </c>
      <c r="F148" s="30"/>
      <c r="G148" s="30">
        <v>7573.0590000000002</v>
      </c>
      <c r="H148" s="30"/>
      <c r="I148" s="30">
        <v>0</v>
      </c>
      <c r="J148" s="30"/>
      <c r="K148" s="30"/>
      <c r="L148" s="30"/>
    </row>
    <row r="149" spans="2:12" ht="16" customHeight="1" x14ac:dyDescent="0.35">
      <c r="B149" s="14" t="s">
        <v>539</v>
      </c>
      <c r="C149" s="14" t="s">
        <v>540</v>
      </c>
      <c r="D149" s="30">
        <f>E149+F149+G149+H149+I149+J149+K149+L149</f>
        <v>0</v>
      </c>
      <c r="E149" s="30"/>
      <c r="F149" s="30"/>
      <c r="G149" s="30"/>
      <c r="H149" s="30"/>
      <c r="I149" s="30"/>
      <c r="J149" s="30"/>
      <c r="K149" s="30"/>
      <c r="L149" s="30"/>
    </row>
    <row r="150" spans="2:12" ht="16" customHeight="1" x14ac:dyDescent="0.35">
      <c r="B150" s="16" t="s">
        <v>541</v>
      </c>
      <c r="C150" s="16" t="s">
        <v>542</v>
      </c>
      <c r="D150" s="31">
        <f t="shared" ref="D150:L150" si="34">D146+D147+D148+D149</f>
        <v>1135355.5386300001</v>
      </c>
      <c r="E150" s="31">
        <f t="shared" si="34"/>
        <v>1117871.1836399999</v>
      </c>
      <c r="F150" s="31">
        <f t="shared" si="34"/>
        <v>9911.2960000000003</v>
      </c>
      <c r="G150" s="31">
        <f t="shared" si="34"/>
        <v>0</v>
      </c>
      <c r="H150" s="31">
        <f t="shared" si="34"/>
        <v>0</v>
      </c>
      <c r="I150" s="31">
        <f t="shared" si="34"/>
        <v>0</v>
      </c>
      <c r="J150" s="31">
        <f t="shared" si="34"/>
        <v>0</v>
      </c>
      <c r="K150" s="31">
        <f t="shared" si="34"/>
        <v>0</v>
      </c>
      <c r="L150" s="31">
        <f t="shared" si="34"/>
        <v>7573.0589899999995</v>
      </c>
    </row>
    <row r="151" spans="2:12" ht="16" customHeight="1" x14ac:dyDescent="0.35">
      <c r="B151" s="11" t="s">
        <v>543</v>
      </c>
      <c r="C151" s="11" t="s">
        <v>22</v>
      </c>
      <c r="D151" s="29"/>
      <c r="E151" s="29"/>
      <c r="F151" s="29"/>
      <c r="G151" s="29"/>
      <c r="H151" s="29"/>
      <c r="I151" s="29"/>
      <c r="J151" s="29"/>
      <c r="K151" s="29"/>
      <c r="L151" s="29"/>
    </row>
    <row r="152" spans="2:12" ht="16" customHeight="1" x14ac:dyDescent="0.35">
      <c r="B152" s="14" t="s">
        <v>544</v>
      </c>
      <c r="C152" s="14" t="s">
        <v>545</v>
      </c>
      <c r="D152" s="30">
        <f>E152+F152+G152+H152+I152+J152+K152+L152</f>
        <v>37957.170509999996</v>
      </c>
      <c r="E152" s="30">
        <v>28953.78498</v>
      </c>
      <c r="F152" s="30">
        <v>3822.05926</v>
      </c>
      <c r="G152" s="30"/>
      <c r="H152" s="30"/>
      <c r="I152" s="30"/>
      <c r="J152" s="30"/>
      <c r="K152" s="30"/>
      <c r="L152" s="30">
        <v>5181.3262699999996</v>
      </c>
    </row>
    <row r="153" spans="2:12" ht="16" customHeight="1" x14ac:dyDescent="0.35">
      <c r="B153" s="14" t="s">
        <v>546</v>
      </c>
      <c r="C153" s="14" t="s">
        <v>547</v>
      </c>
      <c r="D153" s="30">
        <f>E153+F153+G153+H153+I153+J153+K153+L153</f>
        <v>10459.439569999999</v>
      </c>
      <c r="E153" s="30">
        <v>8172.7887499999997</v>
      </c>
      <c r="F153" s="30">
        <v>2100.8155299999999</v>
      </c>
      <c r="G153" s="30">
        <v>139.01070999999999</v>
      </c>
      <c r="H153" s="30"/>
      <c r="I153" s="30"/>
      <c r="J153" s="30"/>
      <c r="K153" s="30">
        <v>-15.48391</v>
      </c>
      <c r="L153" s="30">
        <v>62.308489999999999</v>
      </c>
    </row>
    <row r="154" spans="2:12" ht="16" customHeight="1" x14ac:dyDescent="0.35">
      <c r="B154" s="14" t="s">
        <v>548</v>
      </c>
      <c r="C154" s="14" t="s">
        <v>549</v>
      </c>
      <c r="D154" s="30">
        <f>E154+F154+G154+H154+I154+J154+K154+L154</f>
        <v>3850.5226000000002</v>
      </c>
      <c r="E154" s="30">
        <v>3887.7679400000002</v>
      </c>
      <c r="F154" s="30">
        <v>0</v>
      </c>
      <c r="G154" s="30"/>
      <c r="H154" s="30"/>
      <c r="I154" s="30"/>
      <c r="J154" s="30"/>
      <c r="K154" s="30">
        <v>-37.245339999999999</v>
      </c>
      <c r="L154" s="30"/>
    </row>
    <row r="155" spans="2:12" ht="16" customHeight="1" x14ac:dyDescent="0.35">
      <c r="B155" s="14" t="s">
        <v>550</v>
      </c>
      <c r="C155" s="14" t="s">
        <v>551</v>
      </c>
      <c r="D155" s="30">
        <f>E155+F155+G155+H155+I155+J155+K155+L155</f>
        <v>115507.72745000001</v>
      </c>
      <c r="E155" s="30">
        <v>91977.104659999997</v>
      </c>
      <c r="F155" s="30">
        <v>1785.9079300000001</v>
      </c>
      <c r="G155" s="30"/>
      <c r="H155" s="30"/>
      <c r="I155" s="30"/>
      <c r="J155" s="30"/>
      <c r="K155" s="30"/>
      <c r="L155" s="30">
        <v>21744.71486</v>
      </c>
    </row>
    <row r="156" spans="2:12" ht="16" customHeight="1" x14ac:dyDescent="0.35">
      <c r="B156" s="16" t="s">
        <v>552</v>
      </c>
      <c r="C156" s="16" t="s">
        <v>553</v>
      </c>
      <c r="D156" s="31">
        <f t="shared" ref="D156:L156" si="35">D152+D153+D154+D155</f>
        <v>167774.86012999999</v>
      </c>
      <c r="E156" s="31">
        <f t="shared" si="35"/>
        <v>132991.44633000001</v>
      </c>
      <c r="F156" s="31">
        <f t="shared" si="35"/>
        <v>7708.7827200000002</v>
      </c>
      <c r="G156" s="31">
        <f t="shared" si="35"/>
        <v>139.01070999999999</v>
      </c>
      <c r="H156" s="31">
        <f t="shared" si="35"/>
        <v>0</v>
      </c>
      <c r="I156" s="31">
        <f t="shared" si="35"/>
        <v>0</v>
      </c>
      <c r="J156" s="31">
        <f t="shared" si="35"/>
        <v>0</v>
      </c>
      <c r="K156" s="31">
        <f t="shared" si="35"/>
        <v>-52.72925</v>
      </c>
      <c r="L156" s="31">
        <f t="shared" si="35"/>
        <v>26988.349620000001</v>
      </c>
    </row>
    <row r="157" spans="2:12" ht="16" customHeight="1" x14ac:dyDescent="0.35">
      <c r="B157" s="11" t="s">
        <v>105</v>
      </c>
      <c r="C157" s="11" t="s">
        <v>22</v>
      </c>
      <c r="D157" s="29"/>
      <c r="E157" s="29"/>
      <c r="F157" s="29"/>
      <c r="G157" s="29"/>
      <c r="H157" s="29"/>
      <c r="I157" s="29"/>
      <c r="J157" s="29"/>
      <c r="K157" s="29"/>
      <c r="L157" s="29"/>
    </row>
    <row r="158" spans="2:12" ht="16" customHeight="1" x14ac:dyDescent="0.35">
      <c r="B158" s="14" t="s">
        <v>554</v>
      </c>
      <c r="C158" s="14" t="s">
        <v>555</v>
      </c>
      <c r="D158" s="30">
        <f>E158+F158+G158+H158+I158+J158+K158+L158</f>
        <v>0</v>
      </c>
      <c r="E158" s="30"/>
      <c r="F158" s="30"/>
      <c r="G158" s="30"/>
      <c r="H158" s="30"/>
      <c r="I158" s="30"/>
      <c r="J158" s="30"/>
      <c r="K158" s="30"/>
      <c r="L158" s="30">
        <v>0</v>
      </c>
    </row>
    <row r="159" spans="2:12" ht="16" customHeight="1" x14ac:dyDescent="0.35">
      <c r="B159" s="11" t="s">
        <v>556</v>
      </c>
      <c r="C159" s="11" t="s">
        <v>22</v>
      </c>
      <c r="D159" s="29"/>
      <c r="E159" s="29"/>
      <c r="F159" s="29"/>
      <c r="G159" s="29"/>
      <c r="H159" s="29"/>
      <c r="I159" s="29"/>
      <c r="J159" s="29"/>
      <c r="K159" s="29"/>
      <c r="L159" s="29"/>
    </row>
    <row r="160" spans="2:12" ht="16" customHeight="1" x14ac:dyDescent="0.35">
      <c r="B160" s="14" t="s">
        <v>557</v>
      </c>
      <c r="C160" s="14" t="s">
        <v>558</v>
      </c>
      <c r="D160" s="30">
        <f>E160+F160+G160+H160+I160+J160+K160+L160</f>
        <v>0</v>
      </c>
      <c r="E160" s="30"/>
      <c r="F160" s="30"/>
      <c r="G160" s="30"/>
      <c r="H160" s="30"/>
      <c r="I160" s="30"/>
      <c r="J160" s="30"/>
      <c r="K160" s="30"/>
      <c r="L160" s="30"/>
    </row>
    <row r="161" spans="2:12" ht="16" customHeight="1" thickBot="1" x14ac:dyDescent="0.4">
      <c r="B161" s="11" t="s">
        <v>559</v>
      </c>
      <c r="C161" s="11" t="s">
        <v>22</v>
      </c>
      <c r="D161" s="29"/>
      <c r="E161" s="29"/>
      <c r="F161" s="29"/>
      <c r="G161" s="29"/>
      <c r="H161" s="29"/>
      <c r="I161" s="29"/>
      <c r="J161" s="29"/>
      <c r="K161" s="29"/>
      <c r="L161" s="29"/>
    </row>
    <row r="162" spans="2:12" ht="16" customHeight="1" thickBot="1" x14ac:dyDescent="0.4">
      <c r="B162" s="18" t="s">
        <v>560</v>
      </c>
      <c r="C162" s="18" t="s">
        <v>561</v>
      </c>
      <c r="D162" s="32">
        <f t="shared" ref="D162:L162" si="36">D68+D72+D74+D118+D150+D144+D158+D160+D156</f>
        <v>5843021.7484900001</v>
      </c>
      <c r="E162" s="32">
        <f t="shared" si="36"/>
        <v>4478273.7632799996</v>
      </c>
      <c r="F162" s="32">
        <f t="shared" si="36"/>
        <v>210334.23497999998</v>
      </c>
      <c r="G162" s="32">
        <f t="shared" si="36"/>
        <v>357.17016000000001</v>
      </c>
      <c r="H162" s="32">
        <f t="shared" si="36"/>
        <v>0</v>
      </c>
      <c r="I162" s="32">
        <f t="shared" si="36"/>
        <v>0</v>
      </c>
      <c r="J162" s="32">
        <f t="shared" si="36"/>
        <v>0</v>
      </c>
      <c r="K162" s="32">
        <f t="shared" si="36"/>
        <v>-19.526490000000003</v>
      </c>
      <c r="L162" s="32">
        <f t="shared" si="36"/>
        <v>1154076.1065600002</v>
      </c>
    </row>
    <row r="163" spans="2:12" ht="16" customHeight="1" thickBot="1" x14ac:dyDescent="0.4">
      <c r="B163" s="11" t="s">
        <v>562</v>
      </c>
      <c r="C163" s="11" t="s">
        <v>22</v>
      </c>
      <c r="D163" s="29"/>
      <c r="E163" s="29"/>
      <c r="F163" s="29"/>
      <c r="G163" s="29"/>
      <c r="H163" s="29"/>
      <c r="I163" s="29"/>
      <c r="J163" s="29"/>
      <c r="K163" s="29"/>
      <c r="L163" s="29"/>
    </row>
    <row r="164" spans="2:12" ht="16" customHeight="1" thickBot="1" x14ac:dyDescent="0.4">
      <c r="B164" s="18" t="s">
        <v>563</v>
      </c>
      <c r="C164" s="18" t="s">
        <v>564</v>
      </c>
      <c r="D164" s="32">
        <f t="shared" ref="D164:L164" si="37">D59+D162</f>
        <v>8880870.0730600003</v>
      </c>
      <c r="E164" s="32">
        <f t="shared" si="37"/>
        <v>5363691.7382799992</v>
      </c>
      <c r="F164" s="32">
        <f t="shared" si="37"/>
        <v>303985.76751999999</v>
      </c>
      <c r="G164" s="32">
        <f t="shared" si="37"/>
        <v>16386.215680000001</v>
      </c>
      <c r="H164" s="32">
        <f t="shared" si="37"/>
        <v>0</v>
      </c>
      <c r="I164" s="32">
        <f t="shared" si="37"/>
        <v>0</v>
      </c>
      <c r="J164" s="32">
        <f t="shared" si="37"/>
        <v>0</v>
      </c>
      <c r="K164" s="32">
        <f t="shared" si="37"/>
        <v>12864.336590000001</v>
      </c>
      <c r="L164" s="32">
        <f t="shared" si="37"/>
        <v>3183942.0149900001</v>
      </c>
    </row>
    <row r="165" spans="2:12" ht="16" customHeight="1" x14ac:dyDescent="0.35">
      <c r="B165" s="11" t="s">
        <v>565</v>
      </c>
      <c r="C165" s="11" t="s">
        <v>22</v>
      </c>
      <c r="D165" s="29"/>
      <c r="E165" s="29"/>
      <c r="F165" s="29"/>
      <c r="G165" s="29"/>
      <c r="H165" s="29"/>
      <c r="I165" s="29"/>
      <c r="J165" s="29"/>
      <c r="K165" s="29"/>
      <c r="L165" s="29"/>
    </row>
    <row r="166" spans="2:12" ht="16" customHeight="1" x14ac:dyDescent="0.35">
      <c r="B166" s="14" t="s">
        <v>566</v>
      </c>
      <c r="C166" s="14" t="s">
        <v>567</v>
      </c>
      <c r="D166" s="30">
        <f>E166+F166+G166+H166+I166+J166+K166+L166</f>
        <v>15743.256020000001</v>
      </c>
      <c r="E166" s="30">
        <v>13035.45354</v>
      </c>
      <c r="F166" s="30">
        <v>1625.6052199999999</v>
      </c>
      <c r="G166" s="30">
        <v>209.39178000000001</v>
      </c>
      <c r="H166" s="30"/>
      <c r="I166" s="30"/>
      <c r="J166" s="30"/>
      <c r="K166" s="30"/>
      <c r="L166" s="30">
        <v>872.80547999999999</v>
      </c>
    </row>
    <row r="167" spans="2:12" ht="16" customHeight="1" x14ac:dyDescent="0.35">
      <c r="B167" s="14" t="s">
        <v>568</v>
      </c>
      <c r="C167" s="14" t="s">
        <v>569</v>
      </c>
      <c r="D167" s="30">
        <f>E167+F167+G167+H167+I167+J167+K167+L167</f>
        <v>0</v>
      </c>
      <c r="E167" s="30"/>
      <c r="F167" s="30"/>
      <c r="G167" s="30"/>
      <c r="H167" s="30"/>
      <c r="I167" s="30"/>
      <c r="J167" s="30"/>
      <c r="K167" s="30"/>
      <c r="L167" s="30"/>
    </row>
    <row r="168" spans="2:12" ht="16" customHeight="1" x14ac:dyDescent="0.35">
      <c r="B168" s="14" t="s">
        <v>570</v>
      </c>
      <c r="C168" s="14" t="s">
        <v>571</v>
      </c>
      <c r="D168" s="30">
        <f>E168+F168+G168+H168+I168+J168+K168+L168</f>
        <v>334182.90157000005</v>
      </c>
      <c r="E168" s="30">
        <v>313260.40522000002</v>
      </c>
      <c r="F168" s="30">
        <v>21937.48387</v>
      </c>
      <c r="G168" s="30">
        <v>10202.688609999999</v>
      </c>
      <c r="H168" s="30"/>
      <c r="I168" s="30"/>
      <c r="J168" s="30"/>
      <c r="K168" s="30">
        <v>5420.2084299999997</v>
      </c>
      <c r="L168" s="30">
        <v>-16637.884559999999</v>
      </c>
    </row>
    <row r="169" spans="2:12" ht="16" customHeight="1" x14ac:dyDescent="0.35">
      <c r="B169" s="14" t="s">
        <v>572</v>
      </c>
      <c r="C169" s="14" t="s">
        <v>573</v>
      </c>
      <c r="D169" s="30">
        <f>E169+F169+G169+H169+I169+J169+K169+L169</f>
        <v>3157.8740899999975</v>
      </c>
      <c r="E169" s="30">
        <v>-16598.096870000001</v>
      </c>
      <c r="F169" s="30">
        <v>-1760.6677299999999</v>
      </c>
      <c r="G169" s="30">
        <v>-15.85027</v>
      </c>
      <c r="H169" s="30"/>
      <c r="I169" s="30"/>
      <c r="J169" s="30"/>
      <c r="K169" s="30"/>
      <c r="L169" s="30">
        <v>21532.488959999999</v>
      </c>
    </row>
    <row r="170" spans="2:12" ht="16" customHeight="1" x14ac:dyDescent="0.35">
      <c r="B170" s="16" t="s">
        <v>574</v>
      </c>
      <c r="C170" s="16" t="s">
        <v>575</v>
      </c>
      <c r="D170" s="31">
        <f t="shared" ref="D170:L170" si="38">-(-(D166+D167)-D168-D169)</f>
        <v>353084.03168000007</v>
      </c>
      <c r="E170" s="31">
        <f t="shared" si="38"/>
        <v>309697.76189000002</v>
      </c>
      <c r="F170" s="31">
        <f t="shared" si="38"/>
        <v>21802.42136</v>
      </c>
      <c r="G170" s="31">
        <f t="shared" si="38"/>
        <v>10396.230119999998</v>
      </c>
      <c r="H170" s="31">
        <f t="shared" si="38"/>
        <v>0</v>
      </c>
      <c r="I170" s="31">
        <f t="shared" si="38"/>
        <v>0</v>
      </c>
      <c r="J170" s="31">
        <f t="shared" si="38"/>
        <v>0</v>
      </c>
      <c r="K170" s="31">
        <f t="shared" si="38"/>
        <v>5420.2084299999997</v>
      </c>
      <c r="L170" s="31">
        <f t="shared" si="38"/>
        <v>5767.4098799999992</v>
      </c>
    </row>
    <row r="171" spans="2:12" ht="16" customHeight="1" x14ac:dyDescent="0.35">
      <c r="B171" s="11" t="s">
        <v>576</v>
      </c>
      <c r="C171" s="11" t="s">
        <v>22</v>
      </c>
      <c r="D171" s="29"/>
      <c r="E171" s="29"/>
      <c r="F171" s="29"/>
      <c r="G171" s="29"/>
      <c r="H171" s="29"/>
      <c r="I171" s="29"/>
      <c r="J171" s="29"/>
      <c r="K171" s="29"/>
      <c r="L171" s="29"/>
    </row>
    <row r="172" spans="2:12" ht="16" customHeight="1" x14ac:dyDescent="0.35">
      <c r="B172" s="14" t="s">
        <v>577</v>
      </c>
      <c r="C172" s="14" t="s">
        <v>578</v>
      </c>
      <c r="D172" s="30">
        <f t="shared" ref="D172:D181" si="39">E172+F172+G172+H172+I172+J172+K172+L172</f>
        <v>-3.0000000000000001E-3</v>
      </c>
      <c r="E172" s="30"/>
      <c r="F172" s="30"/>
      <c r="G172" s="30"/>
      <c r="H172" s="30"/>
      <c r="I172" s="30"/>
      <c r="J172" s="30"/>
      <c r="K172" s="30"/>
      <c r="L172" s="30">
        <v>-3.0000000000000001E-3</v>
      </c>
    </row>
    <row r="173" spans="2:12" ht="16" customHeight="1" x14ac:dyDescent="0.35">
      <c r="B173" s="14" t="s">
        <v>579</v>
      </c>
      <c r="C173" s="14" t="s">
        <v>580</v>
      </c>
      <c r="D173" s="30">
        <f t="shared" si="39"/>
        <v>0</v>
      </c>
      <c r="E173" s="30"/>
      <c r="F173" s="30"/>
      <c r="G173" s="30"/>
      <c r="H173" s="30"/>
      <c r="I173" s="30"/>
      <c r="J173" s="30"/>
      <c r="K173" s="30"/>
      <c r="L173" s="30"/>
    </row>
    <row r="174" spans="2:12" ht="16" customHeight="1" x14ac:dyDescent="0.35">
      <c r="B174" s="14" t="s">
        <v>581</v>
      </c>
      <c r="C174" s="14" t="s">
        <v>582</v>
      </c>
      <c r="D174" s="30">
        <f t="shared" si="39"/>
        <v>0</v>
      </c>
      <c r="E174" s="30"/>
      <c r="F174" s="30"/>
      <c r="G174" s="30"/>
      <c r="H174" s="30"/>
      <c r="I174" s="30"/>
      <c r="J174" s="30"/>
      <c r="K174" s="30"/>
      <c r="L174" s="30"/>
    </row>
    <row r="175" spans="2:12" ht="16" customHeight="1" x14ac:dyDescent="0.35">
      <c r="B175" s="14" t="s">
        <v>583</v>
      </c>
      <c r="C175" s="14" t="s">
        <v>584</v>
      </c>
      <c r="D175" s="30">
        <f t="shared" si="39"/>
        <v>0</v>
      </c>
      <c r="E175" s="30"/>
      <c r="F175" s="30"/>
      <c r="G175" s="30"/>
      <c r="H175" s="30"/>
      <c r="I175" s="30"/>
      <c r="J175" s="30"/>
      <c r="K175" s="30"/>
      <c r="L175" s="30"/>
    </row>
    <row r="176" spans="2:12" ht="16" customHeight="1" x14ac:dyDescent="0.35">
      <c r="B176" s="14" t="s">
        <v>585</v>
      </c>
      <c r="C176" s="14" t="s">
        <v>586</v>
      </c>
      <c r="D176" s="30">
        <f t="shared" si="39"/>
        <v>0</v>
      </c>
      <c r="E176" s="30"/>
      <c r="F176" s="30"/>
      <c r="G176" s="30"/>
      <c r="H176" s="30"/>
      <c r="I176" s="30"/>
      <c r="J176" s="30"/>
      <c r="K176" s="30"/>
      <c r="L176" s="30"/>
    </row>
    <row r="177" spans="2:12" ht="16" customHeight="1" x14ac:dyDescent="0.35">
      <c r="B177" s="14" t="s">
        <v>587</v>
      </c>
      <c r="C177" s="14" t="s">
        <v>588</v>
      </c>
      <c r="D177" s="30">
        <f t="shared" si="39"/>
        <v>0</v>
      </c>
      <c r="E177" s="30"/>
      <c r="F177" s="30"/>
      <c r="G177" s="30"/>
      <c r="H177" s="30"/>
      <c r="I177" s="30"/>
      <c r="J177" s="30"/>
      <c r="K177" s="30"/>
      <c r="L177" s="30"/>
    </row>
    <row r="178" spans="2:12" ht="16" customHeight="1" x14ac:dyDescent="0.35">
      <c r="B178" s="14" t="s">
        <v>589</v>
      </c>
      <c r="C178" s="14" t="s">
        <v>590</v>
      </c>
      <c r="D178" s="30">
        <f t="shared" si="39"/>
        <v>0</v>
      </c>
      <c r="E178" s="30"/>
      <c r="F178" s="30"/>
      <c r="G178" s="30"/>
      <c r="H178" s="30"/>
      <c r="I178" s="30"/>
      <c r="J178" s="30"/>
      <c r="K178" s="30"/>
      <c r="L178" s="30"/>
    </row>
    <row r="179" spans="2:12" ht="16" customHeight="1" x14ac:dyDescent="0.35">
      <c r="B179" s="14" t="s">
        <v>591</v>
      </c>
      <c r="C179" s="14" t="s">
        <v>592</v>
      </c>
      <c r="D179" s="30">
        <f t="shared" si="39"/>
        <v>0</v>
      </c>
      <c r="E179" s="30"/>
      <c r="F179" s="30"/>
      <c r="G179" s="30"/>
      <c r="H179" s="30"/>
      <c r="I179" s="30"/>
      <c r="J179" s="30"/>
      <c r="K179" s="30"/>
      <c r="L179" s="30"/>
    </row>
    <row r="180" spans="2:12" ht="16" customHeight="1" x14ac:dyDescent="0.35">
      <c r="B180" s="14" t="s">
        <v>593</v>
      </c>
      <c r="C180" s="14" t="s">
        <v>594</v>
      </c>
      <c r="D180" s="30">
        <f t="shared" si="39"/>
        <v>16698.55186</v>
      </c>
      <c r="E180" s="30"/>
      <c r="F180" s="30"/>
      <c r="G180" s="30"/>
      <c r="H180" s="30"/>
      <c r="I180" s="30"/>
      <c r="J180" s="30"/>
      <c r="K180" s="30"/>
      <c r="L180" s="30">
        <v>16698.55186</v>
      </c>
    </row>
    <row r="181" spans="2:12" ht="16" customHeight="1" x14ac:dyDescent="0.35">
      <c r="B181" s="14" t="s">
        <v>595</v>
      </c>
      <c r="C181" s="14" t="s">
        <v>596</v>
      </c>
      <c r="D181" s="30">
        <f t="shared" si="39"/>
        <v>3.0000000000000001E-3</v>
      </c>
      <c r="E181" s="30"/>
      <c r="F181" s="30"/>
      <c r="G181" s="30"/>
      <c r="H181" s="30"/>
      <c r="I181" s="30"/>
      <c r="J181" s="30"/>
      <c r="K181" s="30"/>
      <c r="L181" s="30">
        <v>3.0000000000000001E-3</v>
      </c>
    </row>
    <row r="182" spans="2:12" ht="16" customHeight="1" x14ac:dyDescent="0.35">
      <c r="B182" s="16" t="s">
        <v>597</v>
      </c>
      <c r="C182" s="16" t="s">
        <v>598</v>
      </c>
      <c r="D182" s="31">
        <f t="shared" ref="D182:L182" si="40">-(-(D172+D173)-D174-D175-D176-D177-D178-D179-D180-D181)</f>
        <v>16698.55186</v>
      </c>
      <c r="E182" s="31">
        <f t="shared" si="40"/>
        <v>0</v>
      </c>
      <c r="F182" s="31">
        <f t="shared" si="40"/>
        <v>0</v>
      </c>
      <c r="G182" s="31">
        <f t="shared" si="40"/>
        <v>0</v>
      </c>
      <c r="H182" s="31">
        <f t="shared" si="40"/>
        <v>0</v>
      </c>
      <c r="I182" s="31">
        <f t="shared" si="40"/>
        <v>0</v>
      </c>
      <c r="J182" s="31">
        <f t="shared" si="40"/>
        <v>0</v>
      </c>
      <c r="K182" s="31">
        <f t="shared" si="40"/>
        <v>0</v>
      </c>
      <c r="L182" s="31">
        <f t="shared" si="40"/>
        <v>16698.55186</v>
      </c>
    </row>
    <row r="183" spans="2:12" ht="16" customHeight="1" x14ac:dyDescent="0.35">
      <c r="B183" s="11" t="s">
        <v>115</v>
      </c>
      <c r="C183" s="11" t="s">
        <v>22</v>
      </c>
      <c r="D183" s="29"/>
      <c r="E183" s="29"/>
      <c r="F183" s="29"/>
      <c r="G183" s="29"/>
      <c r="H183" s="29"/>
      <c r="I183" s="29"/>
      <c r="J183" s="29"/>
      <c r="K183" s="29"/>
      <c r="L183" s="29"/>
    </row>
    <row r="184" spans="2:12" ht="16" customHeight="1" x14ac:dyDescent="0.35">
      <c r="B184" s="14" t="s">
        <v>599</v>
      </c>
      <c r="C184" s="14" t="s">
        <v>600</v>
      </c>
      <c r="D184" s="30">
        <f>E184+F184+G184+H184+I184+J184+K184+L184</f>
        <v>552.51444000000004</v>
      </c>
      <c r="E184" s="30"/>
      <c r="F184" s="30"/>
      <c r="G184" s="30"/>
      <c r="H184" s="30"/>
      <c r="I184" s="30"/>
      <c r="J184" s="30"/>
      <c r="K184" s="30"/>
      <c r="L184" s="30">
        <v>552.51444000000004</v>
      </c>
    </row>
    <row r="185" spans="2:12" ht="16" customHeight="1" x14ac:dyDescent="0.35">
      <c r="B185" s="11" t="s">
        <v>601</v>
      </c>
      <c r="C185" s="11" t="s">
        <v>22</v>
      </c>
      <c r="D185" s="29"/>
      <c r="E185" s="29"/>
      <c r="F185" s="29"/>
      <c r="G185" s="29"/>
      <c r="H185" s="29"/>
      <c r="I185" s="29"/>
      <c r="J185" s="29"/>
      <c r="K185" s="29"/>
      <c r="L185" s="29"/>
    </row>
    <row r="186" spans="2:12" ht="16" customHeight="1" x14ac:dyDescent="0.35">
      <c r="B186" s="14" t="s">
        <v>602</v>
      </c>
      <c r="C186" s="14" t="s">
        <v>603</v>
      </c>
      <c r="D186" s="30">
        <f>E186+F186+G186+H186+I186+J186+K186+L186</f>
        <v>13.629860000000001</v>
      </c>
      <c r="E186" s="30"/>
      <c r="F186" s="30"/>
      <c r="G186" s="30"/>
      <c r="H186" s="30"/>
      <c r="I186" s="30"/>
      <c r="J186" s="30"/>
      <c r="K186" s="30"/>
      <c r="L186" s="30">
        <v>13.629860000000001</v>
      </c>
    </row>
    <row r="187" spans="2:12" ht="16" customHeight="1" x14ac:dyDescent="0.35">
      <c r="B187" s="14" t="s">
        <v>604</v>
      </c>
      <c r="C187" s="14" t="s">
        <v>605</v>
      </c>
      <c r="D187" s="30">
        <f>E187+F187+G187+H187+I187+J187+K187+L187</f>
        <v>0</v>
      </c>
      <c r="E187" s="30"/>
      <c r="F187" s="30"/>
      <c r="G187" s="30"/>
      <c r="H187" s="30"/>
      <c r="I187" s="30"/>
      <c r="J187" s="30"/>
      <c r="K187" s="30"/>
      <c r="L187" s="30">
        <v>0</v>
      </c>
    </row>
    <row r="188" spans="2:12" ht="16" customHeight="1" x14ac:dyDescent="0.35">
      <c r="B188" s="16" t="s">
        <v>606</v>
      </c>
      <c r="C188" s="16" t="s">
        <v>607</v>
      </c>
      <c r="D188" s="31">
        <f t="shared" ref="D188:L188" si="41">D186+D187</f>
        <v>13.629860000000001</v>
      </c>
      <c r="E188" s="31">
        <f t="shared" si="41"/>
        <v>0</v>
      </c>
      <c r="F188" s="31">
        <f t="shared" si="41"/>
        <v>0</v>
      </c>
      <c r="G188" s="31">
        <f t="shared" si="41"/>
        <v>0</v>
      </c>
      <c r="H188" s="31">
        <f t="shared" si="41"/>
        <v>0</v>
      </c>
      <c r="I188" s="31">
        <f t="shared" si="41"/>
        <v>0</v>
      </c>
      <c r="J188" s="31">
        <f t="shared" si="41"/>
        <v>0</v>
      </c>
      <c r="K188" s="31">
        <f t="shared" si="41"/>
        <v>0</v>
      </c>
      <c r="L188" s="31">
        <f t="shared" si="41"/>
        <v>13.629860000000001</v>
      </c>
    </row>
    <row r="189" spans="2:12" ht="16" customHeight="1" x14ac:dyDescent="0.35">
      <c r="B189" s="11" t="s">
        <v>608</v>
      </c>
      <c r="C189" s="11" t="s">
        <v>22</v>
      </c>
      <c r="D189" s="29"/>
      <c r="E189" s="29"/>
      <c r="F189" s="29"/>
      <c r="G189" s="29"/>
      <c r="H189" s="29"/>
      <c r="I189" s="29"/>
      <c r="J189" s="29"/>
      <c r="K189" s="29"/>
      <c r="L189" s="29"/>
    </row>
    <row r="190" spans="2:12" ht="16" customHeight="1" x14ac:dyDescent="0.35">
      <c r="B190" s="14" t="s">
        <v>609</v>
      </c>
      <c r="C190" s="14" t="s">
        <v>610</v>
      </c>
      <c r="D190" s="30">
        <f t="shared" ref="D190:D203" si="42">E190+F190+G190+H190+I190+J190+K190+L190</f>
        <v>0</v>
      </c>
      <c r="E190" s="30"/>
      <c r="F190" s="30"/>
      <c r="G190" s="30"/>
      <c r="H190" s="30"/>
      <c r="I190" s="30"/>
      <c r="J190" s="30"/>
      <c r="K190" s="30"/>
      <c r="L190" s="30"/>
    </row>
    <row r="191" spans="2:12" ht="16" customHeight="1" x14ac:dyDescent="0.35">
      <c r="B191" s="14" t="s">
        <v>611</v>
      </c>
      <c r="C191" s="14" t="s">
        <v>612</v>
      </c>
      <c r="D191" s="30">
        <f t="shared" si="42"/>
        <v>0</v>
      </c>
      <c r="E191" s="30"/>
      <c r="F191" s="30"/>
      <c r="G191" s="30"/>
      <c r="H191" s="30"/>
      <c r="I191" s="30"/>
      <c r="J191" s="30"/>
      <c r="K191" s="30"/>
      <c r="L191" s="30"/>
    </row>
    <row r="192" spans="2:12" ht="16" customHeight="1" x14ac:dyDescent="0.35">
      <c r="B192" s="14" t="s">
        <v>613</v>
      </c>
      <c r="C192" s="14" t="s">
        <v>614</v>
      </c>
      <c r="D192" s="30">
        <f t="shared" si="42"/>
        <v>61.400289999999998</v>
      </c>
      <c r="E192" s="30"/>
      <c r="F192" s="30"/>
      <c r="G192" s="30"/>
      <c r="H192" s="30"/>
      <c r="I192" s="30"/>
      <c r="J192" s="30"/>
      <c r="K192" s="30"/>
      <c r="L192" s="30">
        <v>61.400289999999998</v>
      </c>
    </row>
    <row r="193" spans="2:12" ht="16" customHeight="1" x14ac:dyDescent="0.35">
      <c r="B193" s="14" t="s">
        <v>615</v>
      </c>
      <c r="C193" s="14" t="s">
        <v>616</v>
      </c>
      <c r="D193" s="30">
        <f t="shared" si="42"/>
        <v>15191.34895</v>
      </c>
      <c r="E193" s="30">
        <v>8679.2100300000002</v>
      </c>
      <c r="F193" s="30">
        <v>2234.57701</v>
      </c>
      <c r="G193" s="30">
        <v>5.0000000000000001E-4</v>
      </c>
      <c r="H193" s="30"/>
      <c r="I193" s="30"/>
      <c r="J193" s="30">
        <v>1E-3</v>
      </c>
      <c r="K193" s="30">
        <v>1691.89192</v>
      </c>
      <c r="L193" s="30">
        <v>2585.66849</v>
      </c>
    </row>
    <row r="194" spans="2:12" ht="16" customHeight="1" x14ac:dyDescent="0.35">
      <c r="B194" s="14" t="s">
        <v>617</v>
      </c>
      <c r="C194" s="14" t="s">
        <v>618</v>
      </c>
      <c r="D194" s="30">
        <f t="shared" si="42"/>
        <v>0</v>
      </c>
      <c r="E194" s="30"/>
      <c r="F194" s="30"/>
      <c r="G194" s="30"/>
      <c r="H194" s="30"/>
      <c r="I194" s="30"/>
      <c r="J194" s="30"/>
      <c r="K194" s="30"/>
      <c r="L194" s="30"/>
    </row>
    <row r="195" spans="2:12" ht="16" customHeight="1" x14ac:dyDescent="0.35">
      <c r="B195" s="14" t="s">
        <v>619</v>
      </c>
      <c r="C195" s="14" t="s">
        <v>620</v>
      </c>
      <c r="D195" s="30">
        <f t="shared" si="42"/>
        <v>44020.872629999998</v>
      </c>
      <c r="E195" s="30">
        <v>49233.177380000001</v>
      </c>
      <c r="F195" s="30">
        <v>-5879.5658000000003</v>
      </c>
      <c r="G195" s="30">
        <v>94.335359999999994</v>
      </c>
      <c r="H195" s="30"/>
      <c r="I195" s="30"/>
      <c r="J195" s="30"/>
      <c r="K195" s="30">
        <v>670.07779000000005</v>
      </c>
      <c r="L195" s="30">
        <v>-97.152100000000004</v>
      </c>
    </row>
    <row r="196" spans="2:12" ht="16" customHeight="1" x14ac:dyDescent="0.35">
      <c r="B196" s="14" t="s">
        <v>621</v>
      </c>
      <c r="C196" s="14" t="s">
        <v>622</v>
      </c>
      <c r="D196" s="30">
        <f t="shared" si="42"/>
        <v>20295.965250000001</v>
      </c>
      <c r="E196" s="30">
        <v>19283.710210000001</v>
      </c>
      <c r="F196" s="30">
        <v>1139.66353</v>
      </c>
      <c r="G196" s="30"/>
      <c r="H196" s="30"/>
      <c r="I196" s="30"/>
      <c r="J196" s="30"/>
      <c r="K196" s="30"/>
      <c r="L196" s="30">
        <v>-127.40849</v>
      </c>
    </row>
    <row r="197" spans="2:12" ht="16" customHeight="1" x14ac:dyDescent="0.35">
      <c r="B197" s="14" t="s">
        <v>623</v>
      </c>
      <c r="C197" s="14" t="s">
        <v>624</v>
      </c>
      <c r="D197" s="30">
        <f t="shared" si="42"/>
        <v>0</v>
      </c>
      <c r="E197" s="30"/>
      <c r="F197" s="30"/>
      <c r="G197" s="30"/>
      <c r="H197" s="30"/>
      <c r="I197" s="30"/>
      <c r="J197" s="30"/>
      <c r="K197" s="30"/>
      <c r="L197" s="30"/>
    </row>
    <row r="198" spans="2:12" ht="16" customHeight="1" x14ac:dyDescent="0.35">
      <c r="B198" s="14" t="s">
        <v>625</v>
      </c>
      <c r="C198" s="14" t="s">
        <v>626</v>
      </c>
      <c r="D198" s="30">
        <f t="shared" si="42"/>
        <v>12871.554960000001</v>
      </c>
      <c r="E198" s="30">
        <v>10833.533890000001</v>
      </c>
      <c r="F198" s="30">
        <v>14.4871</v>
      </c>
      <c r="G198" s="30">
        <v>11.779820000000001</v>
      </c>
      <c r="H198" s="30"/>
      <c r="I198" s="30"/>
      <c r="J198" s="30"/>
      <c r="K198" s="30">
        <v>2011.75415</v>
      </c>
      <c r="L198" s="30"/>
    </row>
    <row r="199" spans="2:12" ht="16" customHeight="1" x14ac:dyDescent="0.35">
      <c r="B199" s="14" t="s">
        <v>627</v>
      </c>
      <c r="C199" s="14" t="s">
        <v>628</v>
      </c>
      <c r="D199" s="30">
        <f t="shared" si="42"/>
        <v>34724.782500000001</v>
      </c>
      <c r="E199" s="30"/>
      <c r="F199" s="30"/>
      <c r="G199" s="30"/>
      <c r="H199" s="30"/>
      <c r="I199" s="30"/>
      <c r="J199" s="30"/>
      <c r="K199" s="30"/>
      <c r="L199" s="30">
        <v>34724.782500000001</v>
      </c>
    </row>
    <row r="200" spans="2:12" ht="16" customHeight="1" x14ac:dyDescent="0.35">
      <c r="B200" s="14" t="s">
        <v>629</v>
      </c>
      <c r="C200" s="14" t="s">
        <v>630</v>
      </c>
      <c r="D200" s="30">
        <f t="shared" si="42"/>
        <v>0</v>
      </c>
      <c r="E200" s="30"/>
      <c r="F200" s="30"/>
      <c r="G200" s="30"/>
      <c r="H200" s="30"/>
      <c r="I200" s="30"/>
      <c r="J200" s="30"/>
      <c r="K200" s="30"/>
      <c r="L200" s="30"/>
    </row>
    <row r="201" spans="2:12" ht="16" customHeight="1" x14ac:dyDescent="0.35">
      <c r="B201" s="14" t="s">
        <v>631</v>
      </c>
      <c r="C201" s="14" t="s">
        <v>632</v>
      </c>
      <c r="D201" s="30">
        <f t="shared" si="42"/>
        <v>0</v>
      </c>
      <c r="E201" s="30"/>
      <c r="F201" s="30"/>
      <c r="G201" s="30"/>
      <c r="H201" s="30"/>
      <c r="I201" s="30"/>
      <c r="J201" s="30"/>
      <c r="K201" s="30"/>
      <c r="L201" s="30"/>
    </row>
    <row r="202" spans="2:12" ht="16" customHeight="1" x14ac:dyDescent="0.35">
      <c r="B202" s="14" t="s">
        <v>633</v>
      </c>
      <c r="C202" s="14" t="s">
        <v>634</v>
      </c>
      <c r="D202" s="30">
        <f t="shared" si="42"/>
        <v>0</v>
      </c>
      <c r="E202" s="30"/>
      <c r="F202" s="30"/>
      <c r="G202" s="30"/>
      <c r="H202" s="30"/>
      <c r="I202" s="30"/>
      <c r="J202" s="30"/>
      <c r="K202" s="30"/>
      <c r="L202" s="30"/>
    </row>
    <row r="203" spans="2:12" ht="16" customHeight="1" x14ac:dyDescent="0.35">
      <c r="B203" s="14" t="s">
        <v>635</v>
      </c>
      <c r="C203" s="14" t="s">
        <v>636</v>
      </c>
      <c r="D203" s="30">
        <f t="shared" si="42"/>
        <v>5.3100000000000023</v>
      </c>
      <c r="E203" s="30">
        <v>187.27199999999999</v>
      </c>
      <c r="F203" s="30">
        <v>0.44700000000000001</v>
      </c>
      <c r="G203" s="30">
        <v>5.1529999999999996</v>
      </c>
      <c r="H203" s="30"/>
      <c r="I203" s="30"/>
      <c r="J203" s="30">
        <v>-1E-3</v>
      </c>
      <c r="K203" s="30">
        <v>1.3540000000000001</v>
      </c>
      <c r="L203" s="30">
        <v>-188.91499999999999</v>
      </c>
    </row>
    <row r="204" spans="2:12" ht="16" customHeight="1" x14ac:dyDescent="0.35">
      <c r="B204" s="16" t="s">
        <v>637</v>
      </c>
      <c r="C204" s="16" t="s">
        <v>638</v>
      </c>
      <c r="D204" s="31">
        <f t="shared" ref="D204:L204" si="43">-(-(D190+D191)-D192-D193-D194-D195-D196-D197-D198-D200-D202-D201-D203-D199)</f>
        <v>127171.23457999999</v>
      </c>
      <c r="E204" s="31">
        <f t="shared" si="43"/>
        <v>88216.903510000004</v>
      </c>
      <c r="F204" s="31">
        <f t="shared" si="43"/>
        <v>-2490.3911600000006</v>
      </c>
      <c r="G204" s="31">
        <f t="shared" si="43"/>
        <v>111.26868</v>
      </c>
      <c r="H204" s="31">
        <f t="shared" si="43"/>
        <v>0</v>
      </c>
      <c r="I204" s="31">
        <f t="shared" si="43"/>
        <v>0</v>
      </c>
      <c r="J204" s="31">
        <f t="shared" si="43"/>
        <v>0</v>
      </c>
      <c r="K204" s="31">
        <f t="shared" si="43"/>
        <v>4375.0778600000003</v>
      </c>
      <c r="L204" s="31">
        <f t="shared" si="43"/>
        <v>36958.375690000001</v>
      </c>
    </row>
    <row r="205" spans="2:12" ht="16" customHeight="1" x14ac:dyDescent="0.35">
      <c r="B205" s="11" t="s">
        <v>639</v>
      </c>
      <c r="C205" s="11" t="s">
        <v>22</v>
      </c>
      <c r="D205" s="29"/>
      <c r="E205" s="29"/>
      <c r="F205" s="29"/>
      <c r="G205" s="29"/>
      <c r="H205" s="29"/>
      <c r="I205" s="29"/>
      <c r="J205" s="29"/>
      <c r="K205" s="29"/>
      <c r="L205" s="29"/>
    </row>
    <row r="206" spans="2:12" ht="16" customHeight="1" x14ac:dyDescent="0.35">
      <c r="B206" s="14" t="s">
        <v>640</v>
      </c>
      <c r="C206" s="14" t="s">
        <v>641</v>
      </c>
      <c r="D206" s="30">
        <f>E206+F206+G206+H206+I206+J206+K206+L206</f>
        <v>49321.275569999998</v>
      </c>
      <c r="E206" s="30">
        <v>31221.222829999999</v>
      </c>
      <c r="F206" s="30">
        <v>17317.58338</v>
      </c>
      <c r="G206" s="30"/>
      <c r="H206" s="30"/>
      <c r="I206" s="30"/>
      <c r="J206" s="30"/>
      <c r="K206" s="30">
        <v>782.46936000000005</v>
      </c>
      <c r="L206" s="30">
        <v>0</v>
      </c>
    </row>
    <row r="207" spans="2:12" ht="16" customHeight="1" x14ac:dyDescent="0.35">
      <c r="B207" s="11" t="s">
        <v>642</v>
      </c>
      <c r="C207" s="11" t="s">
        <v>22</v>
      </c>
      <c r="D207" s="29"/>
      <c r="E207" s="29"/>
      <c r="F207" s="29"/>
      <c r="G207" s="29"/>
      <c r="H207" s="29"/>
      <c r="I207" s="29"/>
      <c r="J207" s="29"/>
      <c r="K207" s="29"/>
      <c r="L207" s="29"/>
    </row>
    <row r="208" spans="2:12" ht="16" customHeight="1" x14ac:dyDescent="0.35">
      <c r="B208" s="14" t="s">
        <v>643</v>
      </c>
      <c r="C208" s="14" t="s">
        <v>644</v>
      </c>
      <c r="D208" s="30">
        <f>E208+F208+G208+H208+I208+J208+K208+L208</f>
        <v>0</v>
      </c>
      <c r="E208" s="30"/>
      <c r="F208" s="30"/>
      <c r="G208" s="30"/>
      <c r="H208" s="30"/>
      <c r="I208" s="30"/>
      <c r="J208" s="30"/>
      <c r="K208" s="30"/>
      <c r="L208" s="30"/>
    </row>
    <row r="209" spans="2:12" ht="16" customHeight="1" thickBot="1" x14ac:dyDescent="0.4">
      <c r="B209" s="11" t="s">
        <v>124</v>
      </c>
      <c r="C209" s="11" t="s">
        <v>22</v>
      </c>
      <c r="D209" s="29"/>
      <c r="E209" s="29"/>
      <c r="F209" s="29"/>
      <c r="G209" s="29"/>
      <c r="H209" s="29"/>
      <c r="I209" s="29"/>
      <c r="J209" s="29"/>
      <c r="K209" s="29"/>
      <c r="L209" s="29"/>
    </row>
    <row r="210" spans="2:12" ht="16" customHeight="1" thickBot="1" x14ac:dyDescent="0.4">
      <c r="B210" s="18" t="s">
        <v>645</v>
      </c>
      <c r="C210" s="18" t="s">
        <v>646</v>
      </c>
      <c r="D210" s="32">
        <f t="shared" ref="D210:L210" si="44">-(-(D170+D182)-D184-D188-D204-D206-D208)</f>
        <v>546841.23799000005</v>
      </c>
      <c r="E210" s="32">
        <f t="shared" si="44"/>
        <v>429135.88823000004</v>
      </c>
      <c r="F210" s="32">
        <f t="shared" si="44"/>
        <v>36629.613580000005</v>
      </c>
      <c r="G210" s="32">
        <f t="shared" si="44"/>
        <v>10507.498799999998</v>
      </c>
      <c r="H210" s="32">
        <f t="shared" si="44"/>
        <v>0</v>
      </c>
      <c r="I210" s="32">
        <f t="shared" si="44"/>
        <v>0</v>
      </c>
      <c r="J210" s="32">
        <f t="shared" si="44"/>
        <v>0</v>
      </c>
      <c r="K210" s="32">
        <f t="shared" si="44"/>
        <v>10577.755649999999</v>
      </c>
      <c r="L210" s="32">
        <f t="shared" si="44"/>
        <v>59990.48173</v>
      </c>
    </row>
    <row r="211" spans="2:12" ht="16" customHeight="1" x14ac:dyDescent="0.35">
      <c r="B211" s="11" t="s">
        <v>647</v>
      </c>
      <c r="C211" s="11" t="s">
        <v>22</v>
      </c>
      <c r="D211" s="29"/>
      <c r="E211" s="29"/>
      <c r="F211" s="29"/>
      <c r="G211" s="29"/>
      <c r="H211" s="29"/>
      <c r="I211" s="29"/>
      <c r="J211" s="29"/>
      <c r="K211" s="29"/>
      <c r="L211" s="29"/>
    </row>
    <row r="212" spans="2:12" ht="16" customHeight="1" x14ac:dyDescent="0.35">
      <c r="B212" s="14" t="s">
        <v>648</v>
      </c>
      <c r="C212" s="14" t="s">
        <v>649</v>
      </c>
      <c r="D212" s="30">
        <f t="shared" ref="D212:D217" si="45">E212+F212+G212+H212+I212+J212+K212+L212</f>
        <v>1046637.09841</v>
      </c>
      <c r="E212" s="30"/>
      <c r="F212" s="30"/>
      <c r="G212" s="30"/>
      <c r="H212" s="30"/>
      <c r="I212" s="30"/>
      <c r="J212" s="30"/>
      <c r="K212" s="30"/>
      <c r="L212" s="30">
        <v>1046637.09841</v>
      </c>
    </row>
    <row r="213" spans="2:12" ht="16" customHeight="1" x14ac:dyDescent="0.35">
      <c r="B213" s="14" t="s">
        <v>650</v>
      </c>
      <c r="C213" s="14" t="s">
        <v>651</v>
      </c>
      <c r="D213" s="30">
        <f t="shared" si="45"/>
        <v>0</v>
      </c>
      <c r="E213" s="30"/>
      <c r="F213" s="30"/>
      <c r="G213" s="30"/>
      <c r="H213" s="30"/>
      <c r="I213" s="30"/>
      <c r="J213" s="30"/>
      <c r="K213" s="30"/>
      <c r="L213" s="30"/>
    </row>
    <row r="214" spans="2:12" ht="16" customHeight="1" x14ac:dyDescent="0.35">
      <c r="B214" s="14" t="s">
        <v>652</v>
      </c>
      <c r="C214" s="14" t="s">
        <v>653</v>
      </c>
      <c r="D214" s="30">
        <f t="shared" si="45"/>
        <v>0</v>
      </c>
      <c r="E214" s="30"/>
      <c r="F214" s="30"/>
      <c r="G214" s="30"/>
      <c r="H214" s="30"/>
      <c r="I214" s="30"/>
      <c r="J214" s="30"/>
      <c r="K214" s="30"/>
      <c r="L214" s="30"/>
    </row>
    <row r="215" spans="2:12" ht="16" customHeight="1" x14ac:dyDescent="0.35">
      <c r="B215" s="14" t="s">
        <v>654</v>
      </c>
      <c r="C215" s="14" t="s">
        <v>655</v>
      </c>
      <c r="D215" s="30">
        <f t="shared" si="45"/>
        <v>0</v>
      </c>
      <c r="E215" s="30"/>
      <c r="F215" s="30"/>
      <c r="G215" s="30"/>
      <c r="H215" s="30"/>
      <c r="I215" s="30"/>
      <c r="J215" s="30"/>
      <c r="K215" s="30"/>
      <c r="L215" s="30">
        <v>0</v>
      </c>
    </row>
    <row r="216" spans="2:12" ht="16" customHeight="1" x14ac:dyDescent="0.35">
      <c r="B216" s="14" t="s">
        <v>656</v>
      </c>
      <c r="C216" s="14" t="s">
        <v>657</v>
      </c>
      <c r="D216" s="30">
        <f t="shared" si="45"/>
        <v>71959.299050000001</v>
      </c>
      <c r="E216" s="30"/>
      <c r="F216" s="30"/>
      <c r="G216" s="30"/>
      <c r="H216" s="30"/>
      <c r="I216" s="30"/>
      <c r="J216" s="30"/>
      <c r="K216" s="30"/>
      <c r="L216" s="30">
        <v>71959.299050000001</v>
      </c>
    </row>
    <row r="217" spans="2:12" ht="16" customHeight="1" x14ac:dyDescent="0.35">
      <c r="B217" s="14" t="s">
        <v>658</v>
      </c>
      <c r="C217" s="14" t="s">
        <v>659</v>
      </c>
      <c r="D217" s="30">
        <f t="shared" si="45"/>
        <v>-78.828999999999994</v>
      </c>
      <c r="E217" s="30"/>
      <c r="F217" s="30"/>
      <c r="G217" s="30"/>
      <c r="H217" s="30"/>
      <c r="I217" s="30"/>
      <c r="J217" s="30"/>
      <c r="K217" s="30"/>
      <c r="L217" s="30">
        <v>-78.828999999999994</v>
      </c>
    </row>
    <row r="218" spans="2:12" ht="16" customHeight="1" x14ac:dyDescent="0.35">
      <c r="B218" s="16" t="s">
        <v>660</v>
      </c>
      <c r="C218" s="16" t="s">
        <v>661</v>
      </c>
      <c r="D218" s="31">
        <f t="shared" ref="D218:L218" si="46">-(-(D212+D213)-D214-D215-D216-D217)</f>
        <v>1118517.56846</v>
      </c>
      <c r="E218" s="31">
        <f t="shared" si="46"/>
        <v>0</v>
      </c>
      <c r="F218" s="31">
        <f t="shared" si="46"/>
        <v>0</v>
      </c>
      <c r="G218" s="31">
        <f t="shared" si="46"/>
        <v>0</v>
      </c>
      <c r="H218" s="31">
        <f t="shared" si="46"/>
        <v>0</v>
      </c>
      <c r="I218" s="31">
        <f t="shared" si="46"/>
        <v>0</v>
      </c>
      <c r="J218" s="31">
        <f t="shared" si="46"/>
        <v>0</v>
      </c>
      <c r="K218" s="31">
        <f t="shared" si="46"/>
        <v>0</v>
      </c>
      <c r="L218" s="31">
        <f t="shared" si="46"/>
        <v>1118517.56846</v>
      </c>
    </row>
    <row r="219" spans="2:12" ht="16" customHeight="1" x14ac:dyDescent="0.35">
      <c r="B219" s="11" t="s">
        <v>662</v>
      </c>
      <c r="C219" s="11" t="s">
        <v>22</v>
      </c>
      <c r="D219" s="29"/>
      <c r="E219" s="29"/>
      <c r="F219" s="29"/>
      <c r="G219" s="29"/>
      <c r="H219" s="29"/>
      <c r="I219" s="29"/>
      <c r="J219" s="29"/>
      <c r="K219" s="29"/>
      <c r="L219" s="29"/>
    </row>
    <row r="220" spans="2:12" ht="16" customHeight="1" x14ac:dyDescent="0.35">
      <c r="B220" s="14" t="s">
        <v>663</v>
      </c>
      <c r="C220" s="14" t="s">
        <v>664</v>
      </c>
      <c r="D220" s="30">
        <f>E220+F220+G220+H220+I220+J220+K220+L220</f>
        <v>8.7067599999999992</v>
      </c>
      <c r="E220" s="30"/>
      <c r="F220" s="30"/>
      <c r="G220" s="30"/>
      <c r="H220" s="30"/>
      <c r="I220" s="30"/>
      <c r="J220" s="30"/>
      <c r="K220" s="30"/>
      <c r="L220" s="30">
        <v>8.7067599999999992</v>
      </c>
    </row>
    <row r="221" spans="2:12" ht="16" customHeight="1" x14ac:dyDescent="0.35">
      <c r="B221" s="11" t="s">
        <v>665</v>
      </c>
      <c r="C221" s="11" t="s">
        <v>22</v>
      </c>
      <c r="D221" s="29"/>
      <c r="E221" s="29"/>
      <c r="F221" s="29"/>
      <c r="G221" s="29"/>
      <c r="H221" s="29"/>
      <c r="I221" s="29"/>
      <c r="J221" s="29"/>
      <c r="K221" s="29"/>
      <c r="L221" s="29"/>
    </row>
    <row r="222" spans="2:12" ht="16" customHeight="1" x14ac:dyDescent="0.35">
      <c r="B222" s="14" t="s">
        <v>666</v>
      </c>
      <c r="C222" s="14" t="s">
        <v>667</v>
      </c>
      <c r="D222" s="30">
        <f>E222+F222+G222+H222+I222+J222+K222+L222</f>
        <v>95764.741189999986</v>
      </c>
      <c r="E222" s="30">
        <v>-71376.184299999994</v>
      </c>
      <c r="F222" s="30">
        <v>167140.92567999999</v>
      </c>
      <c r="G222" s="30"/>
      <c r="H222" s="30"/>
      <c r="I222" s="30"/>
      <c r="J222" s="30"/>
      <c r="K222" s="30"/>
      <c r="L222" s="30">
        <v>-1.9000000000000001E-4</v>
      </c>
    </row>
    <row r="223" spans="2:12" ht="16" customHeight="1" x14ac:dyDescent="0.35">
      <c r="B223" s="11" t="s">
        <v>668</v>
      </c>
      <c r="C223" s="11" t="s">
        <v>22</v>
      </c>
      <c r="D223" s="29"/>
      <c r="E223" s="29"/>
      <c r="F223" s="29"/>
      <c r="G223" s="29"/>
      <c r="H223" s="29"/>
      <c r="I223" s="29"/>
      <c r="J223" s="29"/>
      <c r="K223" s="29"/>
      <c r="L223" s="29"/>
    </row>
    <row r="224" spans="2:12" ht="16" customHeight="1" x14ac:dyDescent="0.35">
      <c r="B224" s="14" t="s">
        <v>669</v>
      </c>
      <c r="C224" s="14" t="s">
        <v>670</v>
      </c>
      <c r="D224" s="30">
        <f>E224+F224+G224+H224+I224+J224+K224+L224</f>
        <v>431455.56251999998</v>
      </c>
      <c r="E224" s="30"/>
      <c r="F224" s="30"/>
      <c r="G224" s="30"/>
      <c r="H224" s="30"/>
      <c r="I224" s="30"/>
      <c r="J224" s="30"/>
      <c r="K224" s="30"/>
      <c r="L224" s="30">
        <v>431455.56251999998</v>
      </c>
    </row>
    <row r="225" spans="2:12" ht="16" customHeight="1" x14ac:dyDescent="0.35">
      <c r="B225" s="11" t="s">
        <v>136</v>
      </c>
      <c r="C225" s="11" t="s">
        <v>22</v>
      </c>
      <c r="D225" s="29"/>
      <c r="E225" s="29"/>
      <c r="F225" s="29"/>
      <c r="G225" s="29"/>
      <c r="H225" s="29"/>
      <c r="I225" s="29"/>
      <c r="J225" s="29"/>
      <c r="K225" s="29"/>
      <c r="L225" s="29"/>
    </row>
    <row r="226" spans="2:12" ht="16" customHeight="1" x14ac:dyDescent="0.35">
      <c r="B226" s="14" t="s">
        <v>671</v>
      </c>
      <c r="C226" s="14" t="s">
        <v>672</v>
      </c>
      <c r="D226" s="30">
        <f>E226+F226+G226+H226+I226+J226+K226+L226</f>
        <v>151330.62209000002</v>
      </c>
      <c r="E226" s="30">
        <v>103795.48677</v>
      </c>
      <c r="F226" s="30">
        <v>47540.782140000003</v>
      </c>
      <c r="G226" s="30">
        <v>-2.9129999999999998</v>
      </c>
      <c r="H226" s="30"/>
      <c r="I226" s="30"/>
      <c r="J226" s="30"/>
      <c r="K226" s="30">
        <v>-2.73387</v>
      </c>
      <c r="L226" s="30">
        <v>5.0000000000000002E-5</v>
      </c>
    </row>
    <row r="227" spans="2:12" ht="16" customHeight="1" x14ac:dyDescent="0.35">
      <c r="B227" s="11" t="s">
        <v>673</v>
      </c>
      <c r="C227" s="11" t="s">
        <v>22</v>
      </c>
      <c r="D227" s="29"/>
      <c r="E227" s="29"/>
      <c r="F227" s="29"/>
      <c r="G227" s="29"/>
      <c r="H227" s="29"/>
      <c r="I227" s="29"/>
      <c r="J227" s="29"/>
      <c r="K227" s="29"/>
      <c r="L227" s="29"/>
    </row>
    <row r="228" spans="2:12" ht="16" customHeight="1" x14ac:dyDescent="0.35">
      <c r="B228" s="14" t="s">
        <v>674</v>
      </c>
      <c r="C228" s="14" t="s">
        <v>675</v>
      </c>
      <c r="D228" s="30">
        <f>E228+F228+G228+H228+I228+J228+K228+L228</f>
        <v>133131.45379</v>
      </c>
      <c r="E228" s="30"/>
      <c r="F228" s="30"/>
      <c r="G228" s="30"/>
      <c r="H228" s="30"/>
      <c r="I228" s="30"/>
      <c r="J228" s="30"/>
      <c r="K228" s="30"/>
      <c r="L228" s="30">
        <v>133131.45379</v>
      </c>
    </row>
    <row r="229" spans="2:12" ht="16" customHeight="1" x14ac:dyDescent="0.35">
      <c r="B229" s="11" t="s">
        <v>676</v>
      </c>
      <c r="C229" s="11" t="s">
        <v>22</v>
      </c>
      <c r="D229" s="29"/>
      <c r="E229" s="29"/>
      <c r="F229" s="29"/>
      <c r="G229" s="29"/>
      <c r="H229" s="29"/>
      <c r="I229" s="29"/>
      <c r="J229" s="29"/>
      <c r="K229" s="29"/>
      <c r="L229" s="29"/>
    </row>
    <row r="230" spans="2:12" ht="16" customHeight="1" x14ac:dyDescent="0.35">
      <c r="B230" s="14" t="s">
        <v>677</v>
      </c>
      <c r="C230" s="14" t="s">
        <v>678</v>
      </c>
      <c r="D230" s="30">
        <f>E230+F230+G230+H230+I230+J230+K230+L230</f>
        <v>11291.107</v>
      </c>
      <c r="E230" s="30"/>
      <c r="F230" s="30"/>
      <c r="G230" s="30"/>
      <c r="H230" s="30"/>
      <c r="I230" s="30"/>
      <c r="J230" s="30"/>
      <c r="K230" s="30"/>
      <c r="L230" s="30">
        <v>11291.107</v>
      </c>
    </row>
    <row r="231" spans="2:12" ht="16" customHeight="1" thickBot="1" x14ac:dyDescent="0.4">
      <c r="B231" s="11" t="s">
        <v>679</v>
      </c>
      <c r="C231" s="11" t="s">
        <v>22</v>
      </c>
      <c r="D231" s="29"/>
      <c r="E231" s="29"/>
      <c r="F231" s="29"/>
      <c r="G231" s="29"/>
      <c r="H231" s="29"/>
      <c r="I231" s="29"/>
      <c r="J231" s="29"/>
      <c r="K231" s="29"/>
      <c r="L231" s="29"/>
    </row>
    <row r="232" spans="2:12" ht="16" customHeight="1" thickBot="1" x14ac:dyDescent="0.4">
      <c r="B232" s="18" t="s">
        <v>680</v>
      </c>
      <c r="C232" s="18" t="s">
        <v>681</v>
      </c>
      <c r="D232" s="32">
        <f t="shared" ref="D232:L232" si="47">-(-(D218+D220)-D222-D224-D226-D200-D228-D230)</f>
        <v>1941499.7618099998</v>
      </c>
      <c r="E232" s="32">
        <f t="shared" si="47"/>
        <v>32419.30247000001</v>
      </c>
      <c r="F232" s="32">
        <f t="shared" si="47"/>
        <v>214681.70781999998</v>
      </c>
      <c r="G232" s="32">
        <f t="shared" si="47"/>
        <v>-2.9129999999999998</v>
      </c>
      <c r="H232" s="32">
        <f t="shared" si="47"/>
        <v>0</v>
      </c>
      <c r="I232" s="32">
        <f t="shared" si="47"/>
        <v>0</v>
      </c>
      <c r="J232" s="32">
        <f t="shared" si="47"/>
        <v>0</v>
      </c>
      <c r="K232" s="32">
        <f t="shared" si="47"/>
        <v>-2.73387</v>
      </c>
      <c r="L232" s="32">
        <f t="shared" si="47"/>
        <v>1694404.3983899998</v>
      </c>
    </row>
    <row r="233" spans="2:12" ht="16" customHeight="1" thickBot="1" x14ac:dyDescent="0.4">
      <c r="B233" s="11" t="s">
        <v>682</v>
      </c>
      <c r="C233" s="11" t="s">
        <v>22</v>
      </c>
      <c r="D233" s="29"/>
      <c r="E233" s="29"/>
      <c r="F233" s="29"/>
      <c r="G233" s="29"/>
      <c r="H233" s="29"/>
      <c r="I233" s="29"/>
      <c r="J233" s="29"/>
      <c r="K233" s="29"/>
      <c r="L233" s="29"/>
    </row>
    <row r="234" spans="2:12" ht="16" customHeight="1" thickBot="1" x14ac:dyDescent="0.4">
      <c r="B234" s="18" t="s">
        <v>683</v>
      </c>
      <c r="C234" s="18" t="s">
        <v>684</v>
      </c>
      <c r="D234" s="32">
        <f t="shared" ref="D234:L234" si="48">D210+D232</f>
        <v>2488340.9997999999</v>
      </c>
      <c r="E234" s="32">
        <f t="shared" si="48"/>
        <v>461555.19070000004</v>
      </c>
      <c r="F234" s="32">
        <f t="shared" si="48"/>
        <v>251311.32139999999</v>
      </c>
      <c r="G234" s="32">
        <f t="shared" si="48"/>
        <v>10504.585799999997</v>
      </c>
      <c r="H234" s="32">
        <f t="shared" si="48"/>
        <v>0</v>
      </c>
      <c r="I234" s="32">
        <f t="shared" si="48"/>
        <v>0</v>
      </c>
      <c r="J234" s="32">
        <f t="shared" si="48"/>
        <v>0</v>
      </c>
      <c r="K234" s="32">
        <f t="shared" si="48"/>
        <v>10575.021779999999</v>
      </c>
      <c r="L234" s="32">
        <f t="shared" si="48"/>
        <v>1754394.8801199999</v>
      </c>
    </row>
    <row r="235" spans="2:12" ht="16" customHeight="1" x14ac:dyDescent="0.35">
      <c r="B235" s="11" t="s">
        <v>685</v>
      </c>
      <c r="C235" s="11" t="s">
        <v>22</v>
      </c>
      <c r="D235" s="29"/>
      <c r="E235" s="29"/>
      <c r="F235" s="29"/>
      <c r="G235" s="29"/>
      <c r="H235" s="29"/>
      <c r="I235" s="29"/>
      <c r="J235" s="29"/>
      <c r="K235" s="29"/>
      <c r="L235" s="29"/>
    </row>
    <row r="236" spans="2:12" ht="16" customHeight="1" x14ac:dyDescent="0.35">
      <c r="B236" s="14" t="s">
        <v>686</v>
      </c>
      <c r="C236" s="14" t="s">
        <v>687</v>
      </c>
      <c r="D236" s="30">
        <f>E236+F236+G236+H236+I236+J236+K236+L236</f>
        <v>-5331.7996400000002</v>
      </c>
      <c r="E236" s="30"/>
      <c r="F236" s="30"/>
      <c r="G236" s="30"/>
      <c r="H236" s="30"/>
      <c r="I236" s="30"/>
      <c r="J236" s="30"/>
      <c r="K236" s="30"/>
      <c r="L236" s="30">
        <v>-5331.7996400000002</v>
      </c>
    </row>
    <row r="237" spans="2:12" ht="16" customHeight="1" x14ac:dyDescent="0.35">
      <c r="B237" s="11" t="s">
        <v>152</v>
      </c>
      <c r="C237" s="11" t="s">
        <v>22</v>
      </c>
      <c r="D237" s="29"/>
      <c r="E237" s="29"/>
      <c r="F237" s="29"/>
      <c r="G237" s="29"/>
      <c r="H237" s="29"/>
      <c r="I237" s="29"/>
      <c r="J237" s="29"/>
      <c r="K237" s="29"/>
      <c r="L237" s="29"/>
    </row>
    <row r="238" spans="2:12" ht="16" customHeight="1" x14ac:dyDescent="0.35">
      <c r="B238" s="14" t="s">
        <v>688</v>
      </c>
      <c r="C238" s="14" t="s">
        <v>689</v>
      </c>
      <c r="D238" s="30">
        <f>E238+F238+G238+H238+I238+J238+K238+L238</f>
        <v>10032657.489019999</v>
      </c>
      <c r="E238" s="30"/>
      <c r="F238" s="30"/>
      <c r="G238" s="30"/>
      <c r="H238" s="30"/>
      <c r="I238" s="30"/>
      <c r="J238" s="30"/>
      <c r="K238" s="30"/>
      <c r="L238" s="30">
        <v>10032657.489019999</v>
      </c>
    </row>
    <row r="239" spans="2:12" ht="16" customHeight="1" x14ac:dyDescent="0.35">
      <c r="B239" s="11" t="s">
        <v>690</v>
      </c>
      <c r="C239" s="11" t="s">
        <v>22</v>
      </c>
      <c r="D239" s="29"/>
      <c r="E239" s="29"/>
      <c r="F239" s="29"/>
      <c r="G239" s="29"/>
      <c r="H239" s="29"/>
      <c r="I239" s="29"/>
      <c r="J239" s="29"/>
      <c r="K239" s="29"/>
      <c r="L239" s="29"/>
    </row>
    <row r="240" spans="2:12" ht="16" customHeight="1" x14ac:dyDescent="0.35">
      <c r="B240" s="14" t="s">
        <v>691</v>
      </c>
      <c r="C240" s="14" t="s">
        <v>692</v>
      </c>
      <c r="D240" s="30">
        <f>E240+F240+G240+H240+I240+J240+K240+L240</f>
        <v>0</v>
      </c>
      <c r="E240" s="30"/>
      <c r="F240" s="30"/>
      <c r="G240" s="30"/>
      <c r="H240" s="30"/>
      <c r="I240" s="30"/>
      <c r="J240" s="30"/>
      <c r="K240" s="30"/>
      <c r="L240" s="30"/>
    </row>
    <row r="241" spans="2:12" ht="16" customHeight="1" x14ac:dyDescent="0.35">
      <c r="B241" s="11" t="s">
        <v>693</v>
      </c>
      <c r="C241" s="11" t="s">
        <v>22</v>
      </c>
      <c r="D241" s="29"/>
      <c r="E241" s="29"/>
      <c r="F241" s="29"/>
      <c r="G241" s="29"/>
      <c r="H241" s="29"/>
      <c r="I241" s="29"/>
      <c r="J241" s="29"/>
      <c r="K241" s="29"/>
      <c r="L241" s="29"/>
    </row>
    <row r="242" spans="2:12" ht="16" customHeight="1" x14ac:dyDescent="0.35">
      <c r="B242" s="14" t="s">
        <v>694</v>
      </c>
      <c r="C242" s="14" t="s">
        <v>695</v>
      </c>
      <c r="D242" s="30">
        <f t="shared" ref="D242:D263" si="49">E242+F242+G242+H242+I242+J242+K242+L242</f>
        <v>-0.30901000000000001</v>
      </c>
      <c r="E242" s="30"/>
      <c r="F242" s="30"/>
      <c r="G242" s="30"/>
      <c r="H242" s="30"/>
      <c r="I242" s="30"/>
      <c r="J242" s="30"/>
      <c r="K242" s="30"/>
      <c r="L242" s="30">
        <v>-0.30901000000000001</v>
      </c>
    </row>
    <row r="243" spans="2:12" ht="16" customHeight="1" x14ac:dyDescent="0.35">
      <c r="B243" s="14" t="s">
        <v>696</v>
      </c>
      <c r="C243" s="14" t="s">
        <v>697</v>
      </c>
      <c r="D243" s="30">
        <f t="shared" si="49"/>
        <v>-4701793.52575</v>
      </c>
      <c r="E243" s="30"/>
      <c r="F243" s="30"/>
      <c r="G243" s="30"/>
      <c r="H243" s="30"/>
      <c r="I243" s="30"/>
      <c r="J243" s="30"/>
      <c r="K243" s="30"/>
      <c r="L243" s="30">
        <v>-4701793.52575</v>
      </c>
    </row>
    <row r="244" spans="2:12" ht="16" customHeight="1" x14ac:dyDescent="0.35">
      <c r="B244" s="14" t="s">
        <v>698</v>
      </c>
      <c r="C244" s="14" t="s">
        <v>699</v>
      </c>
      <c r="D244" s="30">
        <f t="shared" si="49"/>
        <v>195961.07592</v>
      </c>
      <c r="E244" s="30"/>
      <c r="F244" s="30"/>
      <c r="G244" s="30"/>
      <c r="H244" s="30"/>
      <c r="I244" s="30"/>
      <c r="J244" s="30"/>
      <c r="K244" s="30"/>
      <c r="L244" s="30">
        <v>195961.07592</v>
      </c>
    </row>
    <row r="245" spans="2:12" ht="16" customHeight="1" x14ac:dyDescent="0.35">
      <c r="B245" s="14" t="s">
        <v>700</v>
      </c>
      <c r="C245" s="14" t="s">
        <v>701</v>
      </c>
      <c r="D245" s="30">
        <f t="shared" si="49"/>
        <v>1052539.90766</v>
      </c>
      <c r="E245" s="30"/>
      <c r="F245" s="30"/>
      <c r="G245" s="30"/>
      <c r="H245" s="30"/>
      <c r="I245" s="30"/>
      <c r="J245" s="30"/>
      <c r="K245" s="30"/>
      <c r="L245" s="30">
        <v>1052539.90766</v>
      </c>
    </row>
    <row r="246" spans="2:12" ht="16" customHeight="1" x14ac:dyDescent="0.35">
      <c r="B246" s="14" t="s">
        <v>702</v>
      </c>
      <c r="C246" s="14" t="s">
        <v>703</v>
      </c>
      <c r="D246" s="30">
        <f t="shared" si="49"/>
        <v>36239.577120000002</v>
      </c>
      <c r="E246" s="30"/>
      <c r="F246" s="30"/>
      <c r="G246" s="30"/>
      <c r="H246" s="30"/>
      <c r="I246" s="30"/>
      <c r="J246" s="30"/>
      <c r="K246" s="30"/>
      <c r="L246" s="30">
        <v>36239.577120000002</v>
      </c>
    </row>
    <row r="247" spans="2:12" ht="16" customHeight="1" x14ac:dyDescent="0.35">
      <c r="B247" s="14" t="s">
        <v>704</v>
      </c>
      <c r="C247" s="14" t="s">
        <v>705</v>
      </c>
      <c r="D247" s="30">
        <f t="shared" si="49"/>
        <v>0</v>
      </c>
      <c r="E247" s="30"/>
      <c r="F247" s="30"/>
      <c r="G247" s="30"/>
      <c r="H247" s="30"/>
      <c r="I247" s="30"/>
      <c r="J247" s="30"/>
      <c r="K247" s="30"/>
      <c r="L247" s="30"/>
    </row>
    <row r="248" spans="2:12" ht="16" customHeight="1" x14ac:dyDescent="0.35">
      <c r="B248" s="14" t="s">
        <v>706</v>
      </c>
      <c r="C248" s="14" t="s">
        <v>707</v>
      </c>
      <c r="D248" s="30">
        <f t="shared" si="49"/>
        <v>0</v>
      </c>
      <c r="E248" s="30"/>
      <c r="F248" s="30"/>
      <c r="G248" s="30"/>
      <c r="H248" s="30"/>
      <c r="I248" s="30"/>
      <c r="J248" s="30"/>
      <c r="K248" s="30"/>
      <c r="L248" s="30"/>
    </row>
    <row r="249" spans="2:12" ht="16" customHeight="1" x14ac:dyDescent="0.35">
      <c r="B249" s="14" t="s">
        <v>708</v>
      </c>
      <c r="C249" s="14" t="s">
        <v>709</v>
      </c>
      <c r="D249" s="30">
        <f t="shared" si="49"/>
        <v>0</v>
      </c>
      <c r="E249" s="30"/>
      <c r="F249" s="30"/>
      <c r="G249" s="30"/>
      <c r="H249" s="30"/>
      <c r="I249" s="30"/>
      <c r="J249" s="30"/>
      <c r="K249" s="30"/>
      <c r="L249" s="30"/>
    </row>
    <row r="250" spans="2:12" ht="16" customHeight="1" x14ac:dyDescent="0.35">
      <c r="B250" s="14" t="s">
        <v>710</v>
      </c>
      <c r="C250" s="14" t="s">
        <v>711</v>
      </c>
      <c r="D250" s="30">
        <f t="shared" si="49"/>
        <v>0</v>
      </c>
      <c r="E250" s="30"/>
      <c r="F250" s="30"/>
      <c r="G250" s="30"/>
      <c r="H250" s="30"/>
      <c r="I250" s="30"/>
      <c r="J250" s="30"/>
      <c r="K250" s="30"/>
      <c r="L250" s="30"/>
    </row>
    <row r="251" spans="2:12" ht="16" customHeight="1" x14ac:dyDescent="0.35">
      <c r="B251" s="14" t="s">
        <v>712</v>
      </c>
      <c r="C251" s="14" t="s">
        <v>713</v>
      </c>
      <c r="D251" s="30">
        <f t="shared" si="49"/>
        <v>0</v>
      </c>
      <c r="E251" s="30"/>
      <c r="F251" s="30"/>
      <c r="G251" s="30"/>
      <c r="H251" s="30"/>
      <c r="I251" s="30"/>
      <c r="J251" s="30"/>
      <c r="K251" s="30"/>
      <c r="L251" s="30"/>
    </row>
    <row r="252" spans="2:12" ht="16" customHeight="1" x14ac:dyDescent="0.35">
      <c r="B252" s="14" t="s">
        <v>714</v>
      </c>
      <c r="C252" s="14" t="s">
        <v>715</v>
      </c>
      <c r="D252" s="30">
        <f t="shared" si="49"/>
        <v>0</v>
      </c>
      <c r="E252" s="30"/>
      <c r="F252" s="30"/>
      <c r="G252" s="30"/>
      <c r="H252" s="30"/>
      <c r="I252" s="30"/>
      <c r="J252" s="30"/>
      <c r="K252" s="30"/>
      <c r="L252" s="30">
        <v>0</v>
      </c>
    </row>
    <row r="253" spans="2:12" ht="16" customHeight="1" x14ac:dyDescent="0.35">
      <c r="B253" s="14" t="s">
        <v>716</v>
      </c>
      <c r="C253" s="14" t="s">
        <v>717</v>
      </c>
      <c r="D253" s="30">
        <f t="shared" si="49"/>
        <v>0</v>
      </c>
      <c r="E253" s="30"/>
      <c r="F253" s="30"/>
      <c r="G253" s="30"/>
      <c r="H253" s="30"/>
      <c r="I253" s="30"/>
      <c r="J253" s="30"/>
      <c r="K253" s="30"/>
      <c r="L253" s="30"/>
    </row>
    <row r="254" spans="2:12" ht="16" customHeight="1" x14ac:dyDescent="0.35">
      <c r="B254" s="14" t="s">
        <v>718</v>
      </c>
      <c r="C254" s="14" t="s">
        <v>719</v>
      </c>
      <c r="D254" s="30">
        <f t="shared" si="49"/>
        <v>0</v>
      </c>
      <c r="E254" s="30"/>
      <c r="F254" s="30"/>
      <c r="G254" s="30"/>
      <c r="H254" s="30"/>
      <c r="I254" s="30"/>
      <c r="J254" s="30"/>
      <c r="K254" s="30"/>
      <c r="L254" s="30"/>
    </row>
    <row r="255" spans="2:12" ht="16" customHeight="1" x14ac:dyDescent="0.35">
      <c r="B255" s="14" t="s">
        <v>720</v>
      </c>
      <c r="C255" s="14" t="s">
        <v>721</v>
      </c>
      <c r="D255" s="30">
        <f t="shared" si="49"/>
        <v>1634.6095299999999</v>
      </c>
      <c r="E255" s="30"/>
      <c r="F255" s="30"/>
      <c r="G255" s="30"/>
      <c r="H255" s="30"/>
      <c r="I255" s="30"/>
      <c r="J255" s="30"/>
      <c r="K255" s="30"/>
      <c r="L255" s="30">
        <v>1634.6095299999999</v>
      </c>
    </row>
    <row r="256" spans="2:12" ht="16" customHeight="1" x14ac:dyDescent="0.35">
      <c r="B256" s="14" t="s">
        <v>722</v>
      </c>
      <c r="C256" s="14" t="s">
        <v>723</v>
      </c>
      <c r="D256" s="30">
        <f t="shared" si="49"/>
        <v>-382.74698000000001</v>
      </c>
      <c r="E256" s="30"/>
      <c r="F256" s="30"/>
      <c r="G256" s="30"/>
      <c r="H256" s="30"/>
      <c r="I256" s="30"/>
      <c r="J256" s="30"/>
      <c r="K256" s="30"/>
      <c r="L256" s="30">
        <v>-382.74698000000001</v>
      </c>
    </row>
    <row r="257" spans="2:12" ht="16" customHeight="1" x14ac:dyDescent="0.35">
      <c r="B257" s="14" t="s">
        <v>724</v>
      </c>
      <c r="C257" s="14" t="s">
        <v>725</v>
      </c>
      <c r="D257" s="30">
        <f t="shared" si="49"/>
        <v>33053.66461</v>
      </c>
      <c r="E257" s="30"/>
      <c r="F257" s="30"/>
      <c r="G257" s="30"/>
      <c r="H257" s="30"/>
      <c r="I257" s="30"/>
      <c r="J257" s="30"/>
      <c r="K257" s="30"/>
      <c r="L257" s="30">
        <v>33053.66461</v>
      </c>
    </row>
    <row r="258" spans="2:12" ht="16" customHeight="1" x14ac:dyDescent="0.35">
      <c r="B258" s="14" t="s">
        <v>726</v>
      </c>
      <c r="C258" s="14" t="s">
        <v>727</v>
      </c>
      <c r="D258" s="30">
        <f t="shared" si="49"/>
        <v>6.165</v>
      </c>
      <c r="E258" s="30"/>
      <c r="F258" s="30"/>
      <c r="G258" s="30"/>
      <c r="H258" s="30"/>
      <c r="I258" s="30"/>
      <c r="J258" s="30"/>
      <c r="K258" s="30"/>
      <c r="L258" s="30">
        <v>6.165</v>
      </c>
    </row>
    <row r="259" spans="2:12" ht="16" customHeight="1" x14ac:dyDescent="0.35">
      <c r="B259" s="14" t="s">
        <v>728</v>
      </c>
      <c r="C259" s="14" t="s">
        <v>729</v>
      </c>
      <c r="D259" s="30">
        <f t="shared" si="49"/>
        <v>0</v>
      </c>
      <c r="E259" s="30"/>
      <c r="F259" s="30"/>
      <c r="G259" s="30"/>
      <c r="H259" s="30"/>
      <c r="I259" s="30"/>
      <c r="J259" s="30"/>
      <c r="K259" s="30"/>
      <c r="L259" s="30"/>
    </row>
    <row r="260" spans="2:12" ht="16" customHeight="1" x14ac:dyDescent="0.35">
      <c r="B260" s="14" t="s">
        <v>730</v>
      </c>
      <c r="C260" s="14" t="s">
        <v>731</v>
      </c>
      <c r="D260" s="30">
        <f t="shared" si="49"/>
        <v>-8841.5616200000004</v>
      </c>
      <c r="E260" s="30"/>
      <c r="F260" s="30"/>
      <c r="G260" s="30"/>
      <c r="H260" s="30"/>
      <c r="I260" s="30"/>
      <c r="J260" s="30"/>
      <c r="K260" s="30"/>
      <c r="L260" s="30">
        <v>-8841.5616200000004</v>
      </c>
    </row>
    <row r="261" spans="2:12" ht="16" customHeight="1" x14ac:dyDescent="0.35">
      <c r="B261" s="14" t="s">
        <v>732</v>
      </c>
      <c r="C261" s="14" t="s">
        <v>733</v>
      </c>
      <c r="D261" s="30">
        <f t="shared" si="49"/>
        <v>-243213.44787</v>
      </c>
      <c r="E261" s="30"/>
      <c r="F261" s="30"/>
      <c r="G261" s="30"/>
      <c r="H261" s="30"/>
      <c r="I261" s="30"/>
      <c r="J261" s="30"/>
      <c r="K261" s="30"/>
      <c r="L261" s="30">
        <v>-243213.44787</v>
      </c>
    </row>
    <row r="262" spans="2:12" ht="16" customHeight="1" x14ac:dyDescent="0.35">
      <c r="B262" s="14" t="s">
        <v>734</v>
      </c>
      <c r="C262" s="14" t="s">
        <v>735</v>
      </c>
      <c r="D262" s="30">
        <f t="shared" si="49"/>
        <v>0</v>
      </c>
      <c r="E262" s="30"/>
      <c r="F262" s="30"/>
      <c r="G262" s="30"/>
      <c r="H262" s="30"/>
      <c r="I262" s="30"/>
      <c r="J262" s="30"/>
      <c r="K262" s="30"/>
      <c r="L262" s="30"/>
    </row>
    <row r="263" spans="2:12" ht="16" customHeight="1" x14ac:dyDescent="0.35">
      <c r="B263" s="14" t="s">
        <v>736</v>
      </c>
      <c r="C263" s="14" t="s">
        <v>737</v>
      </c>
      <c r="D263" s="30">
        <f t="shared" si="49"/>
        <v>0</v>
      </c>
      <c r="E263" s="30"/>
      <c r="F263" s="30"/>
      <c r="G263" s="30"/>
      <c r="H263" s="30"/>
      <c r="I263" s="30"/>
      <c r="J263" s="30"/>
      <c r="K263" s="30"/>
      <c r="L263" s="30"/>
    </row>
    <row r="264" spans="2:12" ht="16" customHeight="1" x14ac:dyDescent="0.35">
      <c r="B264" s="16" t="s">
        <v>738</v>
      </c>
      <c r="C264" s="16" t="s">
        <v>739</v>
      </c>
      <c r="D264" s="31">
        <f t="shared" ref="D264:L264" si="50">-(-(D242+D243)-D244-D245-D246-D247-D248-D249-D250-D251-D252-D253-D254-D255-D256-D257-D258-D259-D260-D261-D262-D263)</f>
        <v>-3634796.5913899997</v>
      </c>
      <c r="E264" s="31">
        <f t="shared" si="50"/>
        <v>0</v>
      </c>
      <c r="F264" s="31">
        <f t="shared" si="50"/>
        <v>0</v>
      </c>
      <c r="G264" s="31">
        <f t="shared" si="50"/>
        <v>0</v>
      </c>
      <c r="H264" s="31">
        <f t="shared" si="50"/>
        <v>0</v>
      </c>
      <c r="I264" s="31">
        <f t="shared" si="50"/>
        <v>0</v>
      </c>
      <c r="J264" s="31">
        <f t="shared" si="50"/>
        <v>0</v>
      </c>
      <c r="K264" s="31">
        <f t="shared" si="50"/>
        <v>0</v>
      </c>
      <c r="L264" s="31">
        <f t="shared" si="50"/>
        <v>-3634796.5913899997</v>
      </c>
    </row>
    <row r="265" spans="2:12" ht="16" customHeight="1" x14ac:dyDescent="0.35">
      <c r="B265" s="11" t="s">
        <v>740</v>
      </c>
      <c r="C265" s="11" t="s">
        <v>22</v>
      </c>
      <c r="D265" s="29"/>
      <c r="E265" s="29"/>
      <c r="F265" s="29"/>
      <c r="G265" s="29"/>
      <c r="H265" s="29"/>
      <c r="I265" s="29"/>
      <c r="J265" s="29"/>
      <c r="K265" s="29"/>
      <c r="L265" s="29"/>
    </row>
    <row r="266" spans="2:12" ht="16" customHeight="1" x14ac:dyDescent="0.35">
      <c r="B266" s="16" t="s">
        <v>741</v>
      </c>
      <c r="C266" s="16" t="s">
        <v>742</v>
      </c>
      <c r="D266" s="31">
        <f>E266+F266+G266+H266+I266+J266+K266+L266</f>
        <v>0</v>
      </c>
      <c r="E266" s="31"/>
      <c r="F266" s="31"/>
      <c r="G266" s="31"/>
      <c r="H266" s="31"/>
      <c r="I266" s="31"/>
      <c r="J266" s="31"/>
      <c r="K266" s="31"/>
      <c r="L266" s="31"/>
    </row>
    <row r="267" spans="2:12" ht="16" customHeight="1" thickBot="1" x14ac:dyDescent="0.4">
      <c r="B267" s="11" t="s">
        <v>743</v>
      </c>
      <c r="C267" s="11" t="s">
        <v>22</v>
      </c>
      <c r="D267" s="29"/>
      <c r="E267" s="29"/>
      <c r="F267" s="29"/>
      <c r="G267" s="29"/>
      <c r="H267" s="29"/>
      <c r="I267" s="29"/>
      <c r="J267" s="29"/>
      <c r="K267" s="29"/>
      <c r="L267" s="29"/>
    </row>
    <row r="268" spans="2:12" ht="16" customHeight="1" thickBot="1" x14ac:dyDescent="0.4">
      <c r="B268" s="18" t="s">
        <v>744</v>
      </c>
      <c r="C268" s="18" t="s">
        <v>745</v>
      </c>
      <c r="D268" s="32">
        <f t="shared" ref="D268:L268" si="51">-(-(D236+D238)-D240-D264-D266)</f>
        <v>6392529.0979899997</v>
      </c>
      <c r="E268" s="32">
        <f t="shared" si="51"/>
        <v>0</v>
      </c>
      <c r="F268" s="32">
        <f t="shared" si="51"/>
        <v>0</v>
      </c>
      <c r="G268" s="32">
        <f t="shared" si="51"/>
        <v>0</v>
      </c>
      <c r="H268" s="32">
        <f t="shared" si="51"/>
        <v>0</v>
      </c>
      <c r="I268" s="32">
        <f t="shared" si="51"/>
        <v>0</v>
      </c>
      <c r="J268" s="32">
        <f t="shared" si="51"/>
        <v>0</v>
      </c>
      <c r="K268" s="32">
        <f t="shared" si="51"/>
        <v>0</v>
      </c>
      <c r="L268" s="32">
        <f t="shared" si="51"/>
        <v>6392529.0979899997</v>
      </c>
    </row>
    <row r="269" spans="2:12" ht="16" customHeight="1" thickBot="1" x14ac:dyDescent="0.4">
      <c r="B269" s="11" t="s">
        <v>171</v>
      </c>
      <c r="C269" s="11" t="s">
        <v>22</v>
      </c>
      <c r="D269" s="29"/>
      <c r="E269" s="29"/>
      <c r="F269" s="29"/>
      <c r="G269" s="29"/>
      <c r="H269" s="29"/>
      <c r="I269" s="29"/>
      <c r="J269" s="29"/>
      <c r="K269" s="29"/>
      <c r="L269" s="29"/>
    </row>
    <row r="270" spans="2:12" ht="16" customHeight="1" thickBot="1" x14ac:dyDescent="0.4">
      <c r="B270" s="18" t="s">
        <v>746</v>
      </c>
      <c r="C270" s="18" t="s">
        <v>747</v>
      </c>
      <c r="D270" s="32">
        <f t="shared" ref="D270:L270" si="52">D234+D268</f>
        <v>8880870.0977899991</v>
      </c>
      <c r="E270" s="32">
        <f t="shared" si="52"/>
        <v>461555.19070000004</v>
      </c>
      <c r="F270" s="32">
        <f t="shared" si="52"/>
        <v>251311.32139999999</v>
      </c>
      <c r="G270" s="32">
        <f t="shared" si="52"/>
        <v>10504.585799999997</v>
      </c>
      <c r="H270" s="32">
        <f t="shared" si="52"/>
        <v>0</v>
      </c>
      <c r="I270" s="32">
        <f t="shared" si="52"/>
        <v>0</v>
      </c>
      <c r="J270" s="32">
        <f t="shared" si="52"/>
        <v>0</v>
      </c>
      <c r="K270" s="32">
        <f t="shared" si="52"/>
        <v>10575.021779999999</v>
      </c>
      <c r="L270" s="32">
        <f t="shared" si="52"/>
        <v>8146923.9781099996</v>
      </c>
    </row>
    <row r="271" spans="2:12" ht="16" customHeight="1" x14ac:dyDescent="0.35">
      <c r="B271" s="11" t="s">
        <v>748</v>
      </c>
      <c r="C271" s="11" t="s">
        <v>22</v>
      </c>
      <c r="D271" s="29"/>
      <c r="E271" s="29"/>
      <c r="F271" s="29"/>
      <c r="G271" s="29"/>
      <c r="H271" s="29"/>
      <c r="I271" s="29"/>
      <c r="J271" s="29"/>
      <c r="K271" s="29"/>
      <c r="L271" s="29"/>
    </row>
    <row r="272" spans="2:12" ht="16" customHeight="1" x14ac:dyDescent="0.35">
      <c r="B272" s="11" t="s">
        <v>749</v>
      </c>
      <c r="C272" s="11" t="s">
        <v>22</v>
      </c>
      <c r="D272" s="29"/>
      <c r="E272" s="29"/>
      <c r="F272" s="29"/>
      <c r="G272" s="29"/>
      <c r="H272" s="29"/>
      <c r="I272" s="29"/>
      <c r="J272" s="29"/>
      <c r="K272" s="29"/>
      <c r="L272" s="29"/>
    </row>
    <row r="273" spans="2:12" ht="16" customHeight="1" x14ac:dyDescent="0.35">
      <c r="B273" s="36" t="s">
        <v>750</v>
      </c>
      <c r="C273" s="36" t="s">
        <v>751</v>
      </c>
      <c r="D273" s="37">
        <f t="shared" ref="D273:L273" si="53">D164-D270</f>
        <v>-2.4729998782277107E-2</v>
      </c>
      <c r="E273" s="37">
        <f t="shared" si="53"/>
        <v>4902136.5475799991</v>
      </c>
      <c r="F273" s="37">
        <f t="shared" si="53"/>
        <v>52674.446120000008</v>
      </c>
      <c r="G273" s="37">
        <f t="shared" si="53"/>
        <v>5881.6298800000041</v>
      </c>
      <c r="H273" s="37">
        <f t="shared" si="53"/>
        <v>0</v>
      </c>
      <c r="I273" s="37">
        <f t="shared" si="53"/>
        <v>0</v>
      </c>
      <c r="J273" s="37">
        <f t="shared" si="53"/>
        <v>0</v>
      </c>
      <c r="K273" s="37">
        <f t="shared" si="53"/>
        <v>2289.3148100000017</v>
      </c>
      <c r="L273" s="37">
        <f t="shared" si="53"/>
        <v>-4962981.9631199995</v>
      </c>
    </row>
    <row r="274" spans="2:12" ht="16" customHeight="1" x14ac:dyDescent="0.45">
      <c r="B274" s="13"/>
      <c r="C274" s="9"/>
      <c r="D274" s="13"/>
      <c r="E274" s="13"/>
      <c r="F274" s="13"/>
      <c r="G274" s="13"/>
      <c r="H274" s="13"/>
      <c r="I274" s="13"/>
      <c r="J274" s="13"/>
      <c r="K274" s="13"/>
      <c r="L274" s="13"/>
    </row>
  </sheetData>
  <mergeCells count="2">
    <mergeCell ref="B4:C4"/>
    <mergeCell ref="B8:C8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C514F-161F-4496-9B2E-23473DCC8282}">
  <dimension ref="A3:AB285"/>
  <sheetViews>
    <sheetView showGridLines="0" zoomScale="90" zoomScaleNormal="90" workbookViewId="0">
      <pane xSplit="6" ySplit="9" topLeftCell="G10" activePane="bottomRight" state="frozen"/>
      <selection pane="topRight" activeCell="G1" sqref="G1"/>
      <selection pane="bottomLeft" activeCell="A7" sqref="A7"/>
      <selection pane="bottomRight" activeCell="B4" sqref="B4:C4"/>
    </sheetView>
  </sheetViews>
  <sheetFormatPr defaultColWidth="9.1796875" defaultRowHeight="16" customHeight="1" x14ac:dyDescent="0.35"/>
  <cols>
    <col min="1" max="1" width="5.7265625" style="1" customWidth="1"/>
    <col min="2" max="2" width="10.7265625" style="1" customWidth="1"/>
    <col min="3" max="3" width="60.7265625" style="1" customWidth="1"/>
    <col min="4" max="4" width="2.7265625" style="1" customWidth="1"/>
    <col min="5" max="5" width="14.7265625" style="1" customWidth="1"/>
    <col min="6" max="6" width="2.7265625" style="1" customWidth="1"/>
    <col min="7" max="80" width="14.7265625" style="1" customWidth="1"/>
    <col min="81" max="130" width="15.7265625" style="1" customWidth="1"/>
    <col min="131" max="16384" width="9.1796875" style="1"/>
  </cols>
  <sheetData>
    <row r="3" spans="1:28" ht="16" customHeight="1" x14ac:dyDescent="0.35">
      <c r="B3" s="2" t="s">
        <v>1045</v>
      </c>
    </row>
    <row r="4" spans="1:28" ht="16" customHeight="1" x14ac:dyDescent="0.35">
      <c r="B4" s="33" t="s">
        <v>270</v>
      </c>
      <c r="C4" s="33"/>
    </row>
    <row r="5" spans="1:28" ht="16" customHeight="1" x14ac:dyDescent="0.35">
      <c r="B5" s="4" t="s">
        <v>1046</v>
      </c>
    </row>
    <row r="6" spans="1:28" ht="16" customHeight="1" x14ac:dyDescent="0.35">
      <c r="B6" s="4" t="s">
        <v>1016</v>
      </c>
      <c r="C6" s="75"/>
      <c r="E6" s="76"/>
    </row>
    <row r="7" spans="1:28" ht="16" customHeight="1" x14ac:dyDescent="0.35">
      <c r="A7" s="20"/>
      <c r="B7" s="56">
        <v>46189.341116493059</v>
      </c>
      <c r="C7" s="56"/>
    </row>
    <row r="9" spans="1:28" ht="26.5" thickBot="1" x14ac:dyDescent="0.5">
      <c r="B9" s="7"/>
      <c r="C9" s="28"/>
      <c r="D9" s="59"/>
      <c r="E9" s="21" t="s">
        <v>1017</v>
      </c>
      <c r="F9" s="59"/>
      <c r="G9" s="8" t="s">
        <v>1047</v>
      </c>
      <c r="H9" s="8" t="s">
        <v>1048</v>
      </c>
      <c r="I9" s="8" t="s">
        <v>1049</v>
      </c>
      <c r="J9" s="8" t="s">
        <v>1050</v>
      </c>
      <c r="K9" s="8" t="s">
        <v>1051</v>
      </c>
      <c r="L9" s="8" t="s">
        <v>1052</v>
      </c>
      <c r="M9" s="8" t="s">
        <v>1053</v>
      </c>
      <c r="N9" s="8" t="s">
        <v>1054</v>
      </c>
      <c r="O9" s="8" t="s">
        <v>1055</v>
      </c>
      <c r="P9" s="8" t="s">
        <v>1056</v>
      </c>
      <c r="Q9" s="9"/>
      <c r="R9" s="9"/>
      <c r="S9" s="9"/>
      <c r="T9" s="9"/>
      <c r="U9" s="9"/>
      <c r="V9" s="9"/>
      <c r="W9" s="9"/>
      <c r="X9" s="9"/>
      <c r="Y9" s="9"/>
      <c r="Z9" s="9"/>
      <c r="AA9" s="13"/>
      <c r="AB9" s="9"/>
    </row>
    <row r="10" spans="1:28" ht="15" customHeight="1" x14ac:dyDescent="0.45">
      <c r="B10" s="11"/>
      <c r="C10" s="11"/>
      <c r="D10" s="29"/>
      <c r="E10" s="60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12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spans="1:28" ht="16" customHeight="1" x14ac:dyDescent="0.45">
      <c r="B11" s="14" t="s">
        <v>13</v>
      </c>
      <c r="C11" s="14" t="s">
        <v>14</v>
      </c>
      <c r="D11" s="61"/>
      <c r="E11" s="62">
        <v>684562.23311999999</v>
      </c>
      <c r="F11" s="61"/>
      <c r="G11" s="30"/>
      <c r="H11" s="30">
        <v>237652.25</v>
      </c>
      <c r="I11" s="30"/>
      <c r="J11" s="30">
        <v>110589.98628</v>
      </c>
      <c r="K11" s="30">
        <v>103070.61992</v>
      </c>
      <c r="L11" s="30">
        <v>208007.36436000001</v>
      </c>
      <c r="M11" s="30"/>
      <c r="N11" s="30"/>
      <c r="O11" s="30"/>
      <c r="P11" s="15">
        <v>25242.012559999999</v>
      </c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spans="1:28" ht="16" customHeight="1" x14ac:dyDescent="0.45">
      <c r="B12" s="14" t="s">
        <v>15</v>
      </c>
      <c r="C12" s="14" t="s">
        <v>16</v>
      </c>
      <c r="D12" s="61"/>
      <c r="E12" s="62"/>
      <c r="F12" s="61"/>
      <c r="G12" s="30"/>
      <c r="H12" s="30"/>
      <c r="I12" s="30"/>
      <c r="J12" s="30"/>
      <c r="K12" s="30"/>
      <c r="L12" s="30"/>
      <c r="M12" s="30"/>
      <c r="N12" s="30"/>
      <c r="O12" s="30"/>
      <c r="P12" s="15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spans="1:28" ht="16" customHeight="1" x14ac:dyDescent="0.45">
      <c r="B13" s="14" t="s">
        <v>17</v>
      </c>
      <c r="C13" s="14" t="s">
        <v>18</v>
      </c>
      <c r="D13" s="61"/>
      <c r="E13" s="62">
        <v>1213658.8098899999</v>
      </c>
      <c r="F13" s="61"/>
      <c r="G13" s="30">
        <v>1505.66454</v>
      </c>
      <c r="H13" s="30">
        <v>1146611.05</v>
      </c>
      <c r="I13" s="30">
        <v>10281.8959</v>
      </c>
      <c r="J13" s="30"/>
      <c r="K13" s="30"/>
      <c r="L13" s="30"/>
      <c r="M13" s="30"/>
      <c r="N13" s="30">
        <v>11.31077</v>
      </c>
      <c r="O13" s="30">
        <v>9100.9194800000005</v>
      </c>
      <c r="P13" s="15">
        <v>46147.9692</v>
      </c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spans="1:28" ht="16" customHeight="1" x14ac:dyDescent="0.45">
      <c r="B14" s="14" t="s">
        <v>1057</v>
      </c>
      <c r="C14" s="14" t="s">
        <v>330</v>
      </c>
      <c r="D14" s="61"/>
      <c r="E14" s="62">
        <v>-49418.514329999998</v>
      </c>
      <c r="F14" s="61"/>
      <c r="G14" s="30">
        <v>-597.52480000000003</v>
      </c>
      <c r="H14" s="30">
        <v>-24228.508989999998</v>
      </c>
      <c r="I14" s="30">
        <v>-307.08605999999997</v>
      </c>
      <c r="J14" s="30">
        <v>-7965.7524299999995</v>
      </c>
      <c r="K14" s="30">
        <v>-13379.68921</v>
      </c>
      <c r="L14" s="30">
        <v>-2934.31549</v>
      </c>
      <c r="M14" s="30"/>
      <c r="N14" s="30"/>
      <c r="O14" s="30">
        <v>-5.6373499999999996</v>
      </c>
      <c r="P14" s="15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spans="1:28" ht="16" customHeight="1" x14ac:dyDescent="0.45">
      <c r="B15" s="14" t="s">
        <v>1058</v>
      </c>
      <c r="C15" s="14" t="s">
        <v>1059</v>
      </c>
      <c r="D15" s="61"/>
      <c r="E15" s="62">
        <v>-53154.369030000002</v>
      </c>
      <c r="F15" s="61"/>
      <c r="G15" s="30">
        <v>181.61278999999999</v>
      </c>
      <c r="H15" s="30">
        <v>-35057.405500000001</v>
      </c>
      <c r="I15" s="30">
        <v>1862.51387</v>
      </c>
      <c r="J15" s="30">
        <v>-10304.659509999999</v>
      </c>
      <c r="K15" s="30">
        <v>-7962.3052600000001</v>
      </c>
      <c r="L15" s="30">
        <v>-723.29864999999995</v>
      </c>
      <c r="M15" s="30"/>
      <c r="N15" s="30"/>
      <c r="O15" s="30">
        <v>-1150.8267699999999</v>
      </c>
      <c r="P15" s="15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spans="1:28" ht="16" customHeight="1" x14ac:dyDescent="0.45">
      <c r="B16" s="14" t="s">
        <v>1060</v>
      </c>
      <c r="C16" s="14" t="s">
        <v>1061</v>
      </c>
      <c r="D16" s="61"/>
      <c r="E16" s="62"/>
      <c r="F16" s="61"/>
      <c r="G16" s="30"/>
      <c r="H16" s="30"/>
      <c r="I16" s="30"/>
      <c r="J16" s="30"/>
      <c r="K16" s="30"/>
      <c r="L16" s="30"/>
      <c r="M16" s="30"/>
      <c r="N16" s="30"/>
      <c r="O16" s="30"/>
      <c r="P16" s="15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spans="2:28" ht="16" customHeight="1" x14ac:dyDescent="0.45">
      <c r="B17" s="14" t="s">
        <v>1062</v>
      </c>
      <c r="C17" s="14" t="s">
        <v>1063</v>
      </c>
      <c r="D17" s="61"/>
      <c r="E17" s="62"/>
      <c r="F17" s="61"/>
      <c r="G17" s="30"/>
      <c r="H17" s="30"/>
      <c r="I17" s="30"/>
      <c r="J17" s="30"/>
      <c r="K17" s="30"/>
      <c r="L17" s="30"/>
      <c r="M17" s="30"/>
      <c r="N17" s="30"/>
      <c r="O17" s="30"/>
      <c r="P17" s="15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spans="2:28" ht="16" customHeight="1" x14ac:dyDescent="0.45">
      <c r="B18" s="14" t="s">
        <v>1064</v>
      </c>
      <c r="C18" s="14" t="s">
        <v>1065</v>
      </c>
      <c r="D18" s="61"/>
      <c r="E18" s="62"/>
      <c r="F18" s="61"/>
      <c r="G18" s="30"/>
      <c r="H18" s="30"/>
      <c r="I18" s="30"/>
      <c r="J18" s="30"/>
      <c r="K18" s="30"/>
      <c r="L18" s="30"/>
      <c r="M18" s="30"/>
      <c r="N18" s="30"/>
      <c r="O18" s="30"/>
      <c r="P18" s="15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spans="2:28" ht="16" customHeight="1" x14ac:dyDescent="0.45">
      <c r="B19" s="14" t="s">
        <v>1066</v>
      </c>
      <c r="C19" s="14" t="s">
        <v>30</v>
      </c>
      <c r="D19" s="61"/>
      <c r="E19" s="62">
        <v>-12915.694450000001</v>
      </c>
      <c r="F19" s="61"/>
      <c r="G19" s="30"/>
      <c r="H19" s="30">
        <v>-4449.8033100000002</v>
      </c>
      <c r="I19" s="30">
        <v>-206.84616</v>
      </c>
      <c r="J19" s="30">
        <v>-1394.7067199999999</v>
      </c>
      <c r="K19" s="30">
        <v>-3003.7305299999998</v>
      </c>
      <c r="L19" s="30">
        <v>-3329.1607100000001</v>
      </c>
      <c r="M19" s="30"/>
      <c r="N19" s="30">
        <v>-528.02972999999997</v>
      </c>
      <c r="O19" s="30">
        <v>-3.4172899999999999</v>
      </c>
      <c r="P19" s="15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spans="2:28" ht="16" customHeight="1" x14ac:dyDescent="0.45">
      <c r="B20" s="14" t="s">
        <v>1067</v>
      </c>
      <c r="C20" s="14" t="s">
        <v>1068</v>
      </c>
      <c r="D20" s="61"/>
      <c r="E20" s="62">
        <v>-55213.308369999999</v>
      </c>
      <c r="F20" s="61"/>
      <c r="G20" s="30">
        <v>-86.719769999999997</v>
      </c>
      <c r="H20" s="30">
        <v>-35145.294730000001</v>
      </c>
      <c r="I20" s="30">
        <v>-59.828740000000003</v>
      </c>
      <c r="J20" s="30">
        <v>-6559.9134000000004</v>
      </c>
      <c r="K20" s="30">
        <v>-9742.9038</v>
      </c>
      <c r="L20" s="30">
        <v>-3612.5131200000001</v>
      </c>
      <c r="M20" s="30"/>
      <c r="N20" s="30">
        <v>-6.1348099999999999</v>
      </c>
      <c r="O20" s="30"/>
      <c r="P20" s="15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spans="2:28" ht="16" customHeight="1" x14ac:dyDescent="0.45">
      <c r="B21" s="14" t="s">
        <v>1069</v>
      </c>
      <c r="C21" s="14" t="s">
        <v>1070</v>
      </c>
      <c r="D21" s="61"/>
      <c r="E21" s="62">
        <v>-22226.933550000002</v>
      </c>
      <c r="F21" s="61"/>
      <c r="G21" s="30">
        <v>-2.5850300000000002</v>
      </c>
      <c r="H21" s="30">
        <v>-11835.37523</v>
      </c>
      <c r="I21" s="30">
        <v>-451.94601</v>
      </c>
      <c r="J21" s="30">
        <v>-5778.9063399999995</v>
      </c>
      <c r="K21" s="30">
        <v>-3071.8789200000001</v>
      </c>
      <c r="L21" s="30">
        <v>-928.92819999999995</v>
      </c>
      <c r="M21" s="30"/>
      <c r="N21" s="30">
        <v>-2.3077399999999999</v>
      </c>
      <c r="O21" s="30">
        <v>-155.00608</v>
      </c>
      <c r="P21" s="15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spans="2:28" ht="16" customHeight="1" x14ac:dyDescent="0.45">
      <c r="B22" s="14" t="s">
        <v>1071</v>
      </c>
      <c r="C22" s="14" t="s">
        <v>1072</v>
      </c>
      <c r="D22" s="61"/>
      <c r="E22" s="62">
        <v>-2312.0261700000001</v>
      </c>
      <c r="F22" s="61"/>
      <c r="G22" s="30"/>
      <c r="H22" s="30">
        <v>-1638.08087</v>
      </c>
      <c r="I22" s="30"/>
      <c r="J22" s="30">
        <v>-334.60232999999999</v>
      </c>
      <c r="K22" s="30"/>
      <c r="L22" s="30">
        <v>-339.34296999999998</v>
      </c>
      <c r="M22" s="30"/>
      <c r="N22" s="30"/>
      <c r="O22" s="30"/>
      <c r="P22" s="15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spans="2:28" ht="16" customHeight="1" x14ac:dyDescent="0.45">
      <c r="B23" s="14" t="s">
        <v>1073</v>
      </c>
      <c r="C23" s="14" t="s">
        <v>1074</v>
      </c>
      <c r="D23" s="61"/>
      <c r="E23" s="62">
        <v>-30075.936740000001</v>
      </c>
      <c r="F23" s="61"/>
      <c r="G23" s="30"/>
      <c r="H23" s="30">
        <v>-18849.326130000001</v>
      </c>
      <c r="I23" s="30">
        <v>-0.3548</v>
      </c>
      <c r="J23" s="30">
        <v>-7613.0975600000002</v>
      </c>
      <c r="K23" s="30">
        <v>-1516.7038</v>
      </c>
      <c r="L23" s="30">
        <v>-2096.4544500000002</v>
      </c>
      <c r="M23" s="30"/>
      <c r="N23" s="30"/>
      <c r="O23" s="30"/>
      <c r="P23" s="15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spans="2:28" ht="16" customHeight="1" x14ac:dyDescent="0.45">
      <c r="B24" s="14" t="s">
        <v>1075</v>
      </c>
      <c r="C24" s="14" t="s">
        <v>1076</v>
      </c>
      <c r="D24" s="61"/>
      <c r="E24" s="62"/>
      <c r="F24" s="61"/>
      <c r="G24" s="30"/>
      <c r="H24" s="30"/>
      <c r="I24" s="30"/>
      <c r="J24" s="30"/>
      <c r="K24" s="30"/>
      <c r="L24" s="30"/>
      <c r="M24" s="30"/>
      <c r="N24" s="30"/>
      <c r="O24" s="30"/>
      <c r="P24" s="15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spans="2:28" ht="16" customHeight="1" x14ac:dyDescent="0.45">
      <c r="B25" s="14" t="s">
        <v>1077</v>
      </c>
      <c r="C25" s="14" t="s">
        <v>1078</v>
      </c>
      <c r="D25" s="61"/>
      <c r="E25" s="62">
        <v>-570.98311999999999</v>
      </c>
      <c r="F25" s="61"/>
      <c r="G25" s="30"/>
      <c r="H25" s="30">
        <v>-206.36949999999999</v>
      </c>
      <c r="I25" s="30">
        <v>-208.63068999999999</v>
      </c>
      <c r="J25" s="30"/>
      <c r="K25" s="30">
        <v>-31.05162</v>
      </c>
      <c r="L25" s="30">
        <v>-124.93131</v>
      </c>
      <c r="M25" s="30"/>
      <c r="N25" s="30"/>
      <c r="O25" s="30"/>
      <c r="P25" s="15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spans="2:28" ht="16" customHeight="1" x14ac:dyDescent="0.45">
      <c r="B26" s="14" t="s">
        <v>1079</v>
      </c>
      <c r="C26" s="14" t="s">
        <v>1080</v>
      </c>
      <c r="D26" s="61"/>
      <c r="E26" s="62"/>
      <c r="F26" s="61"/>
      <c r="G26" s="30"/>
      <c r="H26" s="30"/>
      <c r="I26" s="30"/>
      <c r="J26" s="30"/>
      <c r="K26" s="30"/>
      <c r="L26" s="30"/>
      <c r="M26" s="30"/>
      <c r="N26" s="30"/>
      <c r="O26" s="30"/>
      <c r="P26" s="15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spans="2:28" ht="16" customHeight="1" x14ac:dyDescent="0.45">
      <c r="B27" s="14" t="s">
        <v>1081</v>
      </c>
      <c r="C27" s="14" t="s">
        <v>1082</v>
      </c>
      <c r="D27" s="61"/>
      <c r="E27" s="62">
        <v>-29.556940000000001</v>
      </c>
      <c r="F27" s="61"/>
      <c r="G27" s="30"/>
      <c r="H27" s="30"/>
      <c r="I27" s="30"/>
      <c r="J27" s="30"/>
      <c r="K27" s="30"/>
      <c r="L27" s="30"/>
      <c r="M27" s="30"/>
      <c r="N27" s="30"/>
      <c r="O27" s="30">
        <v>-29.556940000000001</v>
      </c>
      <c r="P27" s="15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spans="2:28" ht="16" customHeight="1" x14ac:dyDescent="0.45">
      <c r="B28" s="14" t="s">
        <v>1083</v>
      </c>
      <c r="C28" s="14" t="s">
        <v>1084</v>
      </c>
      <c r="D28" s="61"/>
      <c r="E28" s="62">
        <v>-138573.78228000001</v>
      </c>
      <c r="F28" s="61"/>
      <c r="G28" s="30"/>
      <c r="H28" s="30">
        <v>-112121.63791999999</v>
      </c>
      <c r="I28" s="30">
        <v>-892.46892000000003</v>
      </c>
      <c r="J28" s="30">
        <v>-12522.686949999999</v>
      </c>
      <c r="K28" s="30">
        <v>-5686.0299400000004</v>
      </c>
      <c r="L28" s="30">
        <v>-5409.4859900000001</v>
      </c>
      <c r="M28" s="30">
        <v>-1681.575</v>
      </c>
      <c r="N28" s="30">
        <v>-145.37843000000001</v>
      </c>
      <c r="O28" s="30">
        <v>-114.51913</v>
      </c>
      <c r="P28" s="15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spans="2:28" ht="16" customHeight="1" x14ac:dyDescent="0.45">
      <c r="B29" s="14" t="s">
        <v>1085</v>
      </c>
      <c r="C29" s="14" t="s">
        <v>1086</v>
      </c>
      <c r="D29" s="61"/>
      <c r="E29" s="62">
        <v>-23454.106220000001</v>
      </c>
      <c r="F29" s="61"/>
      <c r="G29" s="30"/>
      <c r="H29" s="30">
        <v>-16888.988079999999</v>
      </c>
      <c r="I29" s="30"/>
      <c r="J29" s="30">
        <v>-3402.2057799999998</v>
      </c>
      <c r="K29" s="30">
        <v>-1323.8547699999999</v>
      </c>
      <c r="L29" s="30">
        <v>-1839.0575899999999</v>
      </c>
      <c r="M29" s="30"/>
      <c r="N29" s="30"/>
      <c r="O29" s="30"/>
      <c r="P29" s="15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spans="2:28" ht="16" customHeight="1" x14ac:dyDescent="0.45">
      <c r="B30" s="14" t="s">
        <v>1087</v>
      </c>
      <c r="C30" s="14" t="s">
        <v>1088</v>
      </c>
      <c r="D30" s="61"/>
      <c r="E30" s="62">
        <v>-3003.4913299999998</v>
      </c>
      <c r="F30" s="61"/>
      <c r="G30" s="30"/>
      <c r="H30" s="30">
        <v>-122.28379</v>
      </c>
      <c r="I30" s="30"/>
      <c r="J30" s="30"/>
      <c r="K30" s="30"/>
      <c r="L30" s="30">
        <v>-2881.2075399999999</v>
      </c>
      <c r="M30" s="30"/>
      <c r="N30" s="30"/>
      <c r="O30" s="30"/>
      <c r="P30" s="15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spans="2:28" ht="16" customHeight="1" x14ac:dyDescent="0.45">
      <c r="B31" s="14" t="s">
        <v>1089</v>
      </c>
      <c r="C31" s="14" t="s">
        <v>1090</v>
      </c>
      <c r="D31" s="61"/>
      <c r="E31" s="62">
        <v>-380.97149999999999</v>
      </c>
      <c r="F31" s="61"/>
      <c r="G31" s="30">
        <v>-127.16808</v>
      </c>
      <c r="H31" s="30">
        <v>-251.50565</v>
      </c>
      <c r="I31" s="30">
        <v>-71.223110000000005</v>
      </c>
      <c r="J31" s="30"/>
      <c r="K31" s="30"/>
      <c r="L31" s="30"/>
      <c r="M31" s="30"/>
      <c r="N31" s="30"/>
      <c r="O31" s="30">
        <v>68.925340000000006</v>
      </c>
      <c r="P31" s="15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spans="2:28" ht="16" customHeight="1" x14ac:dyDescent="0.45">
      <c r="B32" s="14" t="s">
        <v>1091</v>
      </c>
      <c r="C32" s="14" t="s">
        <v>1092</v>
      </c>
      <c r="D32" s="61"/>
      <c r="E32" s="62">
        <v>-6764.2046799999998</v>
      </c>
      <c r="F32" s="61"/>
      <c r="G32" s="30"/>
      <c r="H32" s="30">
        <v>-5914.2139399999996</v>
      </c>
      <c r="I32" s="30"/>
      <c r="J32" s="30">
        <v>-559.42600000000004</v>
      </c>
      <c r="K32" s="30">
        <v>-43.0351</v>
      </c>
      <c r="L32" s="30">
        <v>-247.52964</v>
      </c>
      <c r="M32" s="30"/>
      <c r="N32" s="30"/>
      <c r="O32" s="30"/>
      <c r="P32" s="15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spans="2:28" ht="16" customHeight="1" x14ac:dyDescent="0.45">
      <c r="B33" s="14" t="s">
        <v>1093</v>
      </c>
      <c r="C33" s="14" t="s">
        <v>1094</v>
      </c>
      <c r="D33" s="61"/>
      <c r="E33" s="62">
        <v>-56087.369659999997</v>
      </c>
      <c r="F33" s="61"/>
      <c r="G33" s="30">
        <v>-4.9764999999999997</v>
      </c>
      <c r="H33" s="30">
        <v>-33975.909390000001</v>
      </c>
      <c r="I33" s="30">
        <v>-746.41440999999998</v>
      </c>
      <c r="J33" s="30">
        <v>-11893.445239999999</v>
      </c>
      <c r="K33" s="30">
        <v>-4695.0745399999996</v>
      </c>
      <c r="L33" s="30">
        <v>-4264.8875900000003</v>
      </c>
      <c r="M33" s="30"/>
      <c r="N33" s="30">
        <v>-152.78506999999999</v>
      </c>
      <c r="O33" s="30">
        <v>-353.87691999999998</v>
      </c>
      <c r="P33" s="15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spans="2:28" ht="16" customHeight="1" x14ac:dyDescent="0.45">
      <c r="B34" s="14" t="s">
        <v>1095</v>
      </c>
      <c r="C34" s="14" t="s">
        <v>1096</v>
      </c>
      <c r="D34" s="61"/>
      <c r="E34" s="62">
        <v>-151853.14335999999</v>
      </c>
      <c r="F34" s="61"/>
      <c r="G34" s="30">
        <v>-1089.32852</v>
      </c>
      <c r="H34" s="30">
        <v>-99268.869000000006</v>
      </c>
      <c r="I34" s="30">
        <v>-7284.5195199999998</v>
      </c>
      <c r="J34" s="30">
        <v>-15545.983990000001</v>
      </c>
      <c r="K34" s="30">
        <v>-10430.63271</v>
      </c>
      <c r="L34" s="30">
        <v>-13475.99575</v>
      </c>
      <c r="M34" s="30"/>
      <c r="N34" s="30">
        <v>-1009.0473500000001</v>
      </c>
      <c r="O34" s="30">
        <v>-2706.21929</v>
      </c>
      <c r="P34" s="15">
        <v>-1042.5472299999999</v>
      </c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spans="2:28" ht="16" customHeight="1" x14ac:dyDescent="0.45">
      <c r="B35" s="14" t="s">
        <v>1097</v>
      </c>
      <c r="C35" s="14" t="s">
        <v>1098</v>
      </c>
      <c r="D35" s="61"/>
      <c r="E35" s="62">
        <v>-42047.728819999997</v>
      </c>
      <c r="F35" s="61"/>
      <c r="G35" s="30">
        <v>-76.690449999999998</v>
      </c>
      <c r="H35" s="30">
        <v>-1028.0494200000001</v>
      </c>
      <c r="I35" s="30">
        <v>-40942.627</v>
      </c>
      <c r="J35" s="30">
        <v>-0.36194999999999999</v>
      </c>
      <c r="K35" s="30"/>
      <c r="L35" s="30"/>
      <c r="M35" s="30"/>
      <c r="N35" s="30"/>
      <c r="O35" s="30"/>
      <c r="P35" s="15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spans="2:28" ht="16" customHeight="1" x14ac:dyDescent="0.45">
      <c r="B36" s="14" t="s">
        <v>1099</v>
      </c>
      <c r="C36" s="14" t="s">
        <v>1100</v>
      </c>
      <c r="D36" s="61"/>
      <c r="E36" s="62">
        <v>-38664.331409999999</v>
      </c>
      <c r="F36" s="61"/>
      <c r="G36" s="30"/>
      <c r="H36" s="30">
        <v>-22334.25518</v>
      </c>
      <c r="I36" s="30"/>
      <c r="J36" s="30">
        <v>-8010.93462</v>
      </c>
      <c r="K36" s="30">
        <v>-4705.1877400000003</v>
      </c>
      <c r="L36" s="30">
        <v>-3613.9538699999998</v>
      </c>
      <c r="M36" s="30"/>
      <c r="N36" s="30"/>
      <c r="O36" s="30"/>
      <c r="P36" s="15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spans="2:28" ht="16" customHeight="1" x14ac:dyDescent="0.45">
      <c r="B37" s="14" t="s">
        <v>1101</v>
      </c>
      <c r="C37" s="14" t="s">
        <v>1102</v>
      </c>
      <c r="D37" s="61"/>
      <c r="E37" s="62">
        <v>-185.38821999999999</v>
      </c>
      <c r="F37" s="61"/>
      <c r="G37" s="30"/>
      <c r="H37" s="30">
        <v>-147.30985999999999</v>
      </c>
      <c r="I37" s="30">
        <v>-38.078360000000004</v>
      </c>
      <c r="J37" s="30"/>
      <c r="K37" s="30"/>
      <c r="L37" s="30"/>
      <c r="M37" s="30"/>
      <c r="N37" s="30"/>
      <c r="O37" s="30"/>
      <c r="P37" s="15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spans="2:28" ht="16" customHeight="1" x14ac:dyDescent="0.45">
      <c r="B38" s="14" t="s">
        <v>1103</v>
      </c>
      <c r="C38" s="14" t="s">
        <v>1104</v>
      </c>
      <c r="D38" s="61"/>
      <c r="E38" s="62">
        <v>-8578.5577799999992</v>
      </c>
      <c r="F38" s="61"/>
      <c r="G38" s="30">
        <v>-81.107550000000003</v>
      </c>
      <c r="H38" s="30">
        <v>-6556.6179400000001</v>
      </c>
      <c r="I38" s="30">
        <v>-382.97928000000002</v>
      </c>
      <c r="J38" s="30">
        <v>-468.67147</v>
      </c>
      <c r="K38" s="30">
        <v>-437.80455999999998</v>
      </c>
      <c r="L38" s="30">
        <v>-411.57619999999997</v>
      </c>
      <c r="M38" s="30"/>
      <c r="N38" s="30">
        <v>-47.917940000000002</v>
      </c>
      <c r="O38" s="30">
        <v>-85.159469999999999</v>
      </c>
      <c r="P38" s="15">
        <v>-106.72337</v>
      </c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spans="2:28" ht="16" customHeight="1" x14ac:dyDescent="0.45">
      <c r="B39" s="14" t="s">
        <v>1105</v>
      </c>
      <c r="C39" s="14" t="s">
        <v>80</v>
      </c>
      <c r="D39" s="61"/>
      <c r="E39" s="62">
        <v>-76222.577059999996</v>
      </c>
      <c r="F39" s="61"/>
      <c r="G39" s="30">
        <v>-126.22216</v>
      </c>
      <c r="H39" s="30">
        <v>-41368.231399999997</v>
      </c>
      <c r="I39" s="30">
        <v>-4392.06005</v>
      </c>
      <c r="J39" s="30">
        <v>-5281.2043299999996</v>
      </c>
      <c r="K39" s="30">
        <v>-10607.7261</v>
      </c>
      <c r="L39" s="30">
        <v>-12529.671829999999</v>
      </c>
      <c r="M39" s="30">
        <v>1681.575</v>
      </c>
      <c r="N39" s="30">
        <v>-166.46331000000001</v>
      </c>
      <c r="O39" s="30">
        <v>-3209.8474200000001</v>
      </c>
      <c r="P39" s="15">
        <v>-222.72546</v>
      </c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spans="2:28" ht="16" customHeight="1" x14ac:dyDescent="0.45">
      <c r="B40" s="14" t="s">
        <v>1106</v>
      </c>
      <c r="C40" s="14" t="s">
        <v>762</v>
      </c>
      <c r="D40" s="61"/>
      <c r="E40" s="62">
        <v>-18085.770260000001</v>
      </c>
      <c r="F40" s="61"/>
      <c r="G40" s="30">
        <v>-16.480060000000002</v>
      </c>
      <c r="H40" s="30">
        <v>-7426.8325500000001</v>
      </c>
      <c r="I40" s="30">
        <v>-2994.5023000000001</v>
      </c>
      <c r="J40" s="30">
        <v>-1401.9482</v>
      </c>
      <c r="K40" s="30">
        <v>-4202.3811400000004</v>
      </c>
      <c r="L40" s="30">
        <v>-1405.7697599999999</v>
      </c>
      <c r="M40" s="30"/>
      <c r="N40" s="30">
        <v>-525.72760000000005</v>
      </c>
      <c r="O40" s="30">
        <v>-67.046199999999999</v>
      </c>
      <c r="P40" s="15">
        <v>-45.082450000000001</v>
      </c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spans="2:28" ht="16" customHeight="1" x14ac:dyDescent="0.45">
      <c r="B41" s="14" t="s">
        <v>1107</v>
      </c>
      <c r="C41" s="14" t="s">
        <v>1108</v>
      </c>
      <c r="D41" s="61"/>
      <c r="E41" s="62">
        <v>-59107.184580000001</v>
      </c>
      <c r="F41" s="61"/>
      <c r="G41" s="30">
        <v>-121.14718000000001</v>
      </c>
      <c r="H41" s="30">
        <v>-29326.913140000001</v>
      </c>
      <c r="I41" s="30">
        <v>-528.61104</v>
      </c>
      <c r="J41" s="30">
        <v>-10314.997939999999</v>
      </c>
      <c r="K41" s="30">
        <v>-8558.4698399999997</v>
      </c>
      <c r="L41" s="30">
        <v>-10080.19808</v>
      </c>
      <c r="M41" s="30"/>
      <c r="N41" s="30">
        <v>-67.781980000000004</v>
      </c>
      <c r="O41" s="30">
        <v>-109.06538</v>
      </c>
      <c r="P41" s="15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spans="2:28" ht="16" customHeight="1" x14ac:dyDescent="0.45">
      <c r="B42" s="14" t="s">
        <v>1109</v>
      </c>
      <c r="C42" s="14" t="s">
        <v>1110</v>
      </c>
      <c r="D42" s="61"/>
      <c r="E42" s="62">
        <v>-80676.736290000001</v>
      </c>
      <c r="F42" s="61"/>
      <c r="G42" s="30">
        <v>-57.964919999999999</v>
      </c>
      <c r="H42" s="30">
        <v>-64029.642540000001</v>
      </c>
      <c r="I42" s="30">
        <v>-824.71385999999995</v>
      </c>
      <c r="J42" s="30">
        <v>-5802.3045400000001</v>
      </c>
      <c r="K42" s="30">
        <v>-5115.6198100000001</v>
      </c>
      <c r="L42" s="30">
        <v>-4086.1502599999999</v>
      </c>
      <c r="M42" s="30"/>
      <c r="N42" s="30">
        <v>-150.45742999999999</v>
      </c>
      <c r="O42" s="30">
        <v>-547.26689999999996</v>
      </c>
      <c r="P42" s="15">
        <v>-62.616030000000002</v>
      </c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spans="2:28" ht="16" customHeight="1" x14ac:dyDescent="0.45">
      <c r="B43" s="14" t="s">
        <v>1111</v>
      </c>
      <c r="C43" s="14" t="s">
        <v>1112</v>
      </c>
      <c r="D43" s="61"/>
      <c r="E43" s="62">
        <v>85338.884160000001</v>
      </c>
      <c r="F43" s="61"/>
      <c r="G43" s="30">
        <v>600.35275999999999</v>
      </c>
      <c r="H43" s="30">
        <v>31271.566040000002</v>
      </c>
      <c r="I43" s="30">
        <v>48169.813099999999</v>
      </c>
      <c r="J43" s="30">
        <v>540.57009000000005</v>
      </c>
      <c r="K43" s="30">
        <v>733.85006999999996</v>
      </c>
      <c r="L43" s="30">
        <v>794.77945</v>
      </c>
      <c r="M43" s="30"/>
      <c r="N43" s="30">
        <v>2807.4054299999998</v>
      </c>
      <c r="O43" s="30">
        <v>420.54721999999998</v>
      </c>
      <c r="P43" s="15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spans="2:28" ht="16" customHeight="1" x14ac:dyDescent="0.45">
      <c r="B44" s="14" t="s">
        <v>1113</v>
      </c>
      <c r="C44" s="14" t="s">
        <v>1114</v>
      </c>
      <c r="D44" s="61"/>
      <c r="E44" s="62">
        <v>367.70373000000001</v>
      </c>
      <c r="F44" s="61"/>
      <c r="G44" s="30"/>
      <c r="H44" s="30">
        <v>-428.88344000000001</v>
      </c>
      <c r="I44" s="30"/>
      <c r="J44" s="30">
        <v>1306.81223</v>
      </c>
      <c r="K44" s="30">
        <v>-466.37655999999998</v>
      </c>
      <c r="L44" s="30">
        <v>-43.848500000000001</v>
      </c>
      <c r="M44" s="30"/>
      <c r="N44" s="30"/>
      <c r="O44" s="30"/>
      <c r="P44" s="15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spans="2:28" ht="16" customHeight="1" x14ac:dyDescent="0.45">
      <c r="B45" s="14" t="s">
        <v>1115</v>
      </c>
      <c r="C45" s="14" t="s">
        <v>1116</v>
      </c>
      <c r="D45" s="61"/>
      <c r="E45" s="62">
        <v>-3317.20856</v>
      </c>
      <c r="F45" s="61"/>
      <c r="G45" s="30"/>
      <c r="H45" s="30">
        <v>-2104.1808799999999</v>
      </c>
      <c r="I45" s="30"/>
      <c r="J45" s="30">
        <v>-699.07114999999999</v>
      </c>
      <c r="K45" s="30">
        <v>-292.06249000000003</v>
      </c>
      <c r="L45" s="30">
        <v>-221.89403999999999</v>
      </c>
      <c r="M45" s="30"/>
      <c r="N45" s="30"/>
      <c r="O45" s="30"/>
      <c r="P45" s="15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spans="2:28" ht="16" customHeight="1" x14ac:dyDescent="0.45">
      <c r="B46" s="14" t="s">
        <v>1117</v>
      </c>
      <c r="C46" s="14" t="s">
        <v>88</v>
      </c>
      <c r="D46" s="61"/>
      <c r="E46" s="62">
        <v>2158.8922699999998</v>
      </c>
      <c r="F46" s="61"/>
      <c r="G46" s="30"/>
      <c r="H46" s="30">
        <v>2158.8922699999998</v>
      </c>
      <c r="I46" s="30"/>
      <c r="J46" s="30"/>
      <c r="K46" s="30"/>
      <c r="L46" s="30"/>
      <c r="M46" s="30"/>
      <c r="N46" s="30"/>
      <c r="O46" s="30"/>
      <c r="P46" s="15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spans="2:28" ht="16" customHeight="1" x14ac:dyDescent="0.45">
      <c r="B47" s="14" t="s">
        <v>1118</v>
      </c>
      <c r="C47" s="14" t="s">
        <v>64</v>
      </c>
      <c r="D47" s="61"/>
      <c r="E47" s="62">
        <v>84.691779999999994</v>
      </c>
      <c r="F47" s="61"/>
      <c r="G47" s="30"/>
      <c r="H47" s="30">
        <v>32.35219</v>
      </c>
      <c r="I47" s="30">
        <v>44.946530000000003</v>
      </c>
      <c r="J47" s="30">
        <v>0.1208</v>
      </c>
      <c r="K47" s="30">
        <v>4.1814499999999999</v>
      </c>
      <c r="L47" s="30">
        <v>3.0908099999999998</v>
      </c>
      <c r="M47" s="30"/>
      <c r="N47" s="30"/>
      <c r="O47" s="30"/>
      <c r="P47" s="15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spans="2:28" ht="16" customHeight="1" x14ac:dyDescent="0.45">
      <c r="B48" s="14" t="s">
        <v>121</v>
      </c>
      <c r="C48" s="14" t="s">
        <v>64</v>
      </c>
      <c r="D48" s="61"/>
      <c r="E48" s="62"/>
      <c r="F48" s="61"/>
      <c r="G48" s="30"/>
      <c r="H48" s="30"/>
      <c r="I48" s="30"/>
      <c r="J48" s="30"/>
      <c r="K48" s="30"/>
      <c r="L48" s="30"/>
      <c r="M48" s="30"/>
      <c r="N48" s="30"/>
      <c r="O48" s="30"/>
      <c r="P48" s="15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spans="2:28" ht="16" customHeight="1" x14ac:dyDescent="0.45">
      <c r="B49" s="14" t="s">
        <v>1119</v>
      </c>
      <c r="C49" s="14" t="s">
        <v>43</v>
      </c>
      <c r="D49" s="61"/>
      <c r="E49" s="62">
        <v>-687199.48231999995</v>
      </c>
      <c r="F49" s="61"/>
      <c r="G49" s="30"/>
      <c r="H49" s="30">
        <v>-554379.31287999998</v>
      </c>
      <c r="I49" s="30"/>
      <c r="J49" s="30">
        <v>-14082.059010000001</v>
      </c>
      <c r="K49" s="30">
        <v>-2259.05222</v>
      </c>
      <c r="L49" s="30">
        <v>-47595.468030000004</v>
      </c>
      <c r="M49" s="30"/>
      <c r="N49" s="30"/>
      <c r="O49" s="30"/>
      <c r="P49" s="15">
        <v>-68883.590179999999</v>
      </c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spans="2:28" ht="16" customHeight="1" x14ac:dyDescent="0.45">
      <c r="B50" s="14" t="s">
        <v>1120</v>
      </c>
      <c r="C50" s="14" t="s">
        <v>1121</v>
      </c>
      <c r="D50" s="61"/>
      <c r="E50" s="62">
        <v>-161.11671999999999</v>
      </c>
      <c r="F50" s="61"/>
      <c r="G50" s="30"/>
      <c r="H50" s="30">
        <v>-19.29701</v>
      </c>
      <c r="I50" s="30"/>
      <c r="J50" s="30"/>
      <c r="K50" s="30"/>
      <c r="L50" s="30">
        <v>-141.81970999999999</v>
      </c>
      <c r="M50" s="30"/>
      <c r="N50" s="30"/>
      <c r="O50" s="30"/>
      <c r="P50" s="15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spans="2:28" ht="16" customHeight="1" x14ac:dyDescent="0.45">
      <c r="B51" s="14" t="s">
        <v>1122</v>
      </c>
      <c r="C51" s="14" t="s">
        <v>823</v>
      </c>
      <c r="D51" s="61"/>
      <c r="E51" s="62">
        <v>3003.14777</v>
      </c>
      <c r="F51" s="61"/>
      <c r="G51" s="30"/>
      <c r="H51" s="30">
        <v>-2848.01755</v>
      </c>
      <c r="I51" s="30"/>
      <c r="J51" s="30">
        <v>-1934.9609800000001</v>
      </c>
      <c r="K51" s="30">
        <v>-283.01934999999997</v>
      </c>
      <c r="L51" s="30">
        <v>8069.1456500000004</v>
      </c>
      <c r="M51" s="30"/>
      <c r="N51" s="30"/>
      <c r="O51" s="30"/>
      <c r="P51" s="15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spans="2:28" ht="16" customHeight="1" x14ac:dyDescent="0.45">
      <c r="B52" s="14" t="s">
        <v>1123</v>
      </c>
      <c r="C52" s="14" t="s">
        <v>1124</v>
      </c>
      <c r="D52" s="61"/>
      <c r="E52" s="62">
        <v>-1634.7699399999999</v>
      </c>
      <c r="F52" s="61"/>
      <c r="G52" s="30">
        <v>0</v>
      </c>
      <c r="H52" s="30">
        <v>36041.784509999998</v>
      </c>
      <c r="I52" s="30">
        <v>-0.08</v>
      </c>
      <c r="J52" s="30">
        <v>21156.070779999998</v>
      </c>
      <c r="K52" s="30">
        <v>-12804.131950000001</v>
      </c>
      <c r="L52" s="30">
        <v>-45981.714339999999</v>
      </c>
      <c r="M52" s="30"/>
      <c r="N52" s="30">
        <v>-19.434180000000001</v>
      </c>
      <c r="O52" s="30">
        <v>-27.264759999999999</v>
      </c>
      <c r="P52" s="15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spans="2:28" ht="16" customHeight="1" x14ac:dyDescent="0.45">
      <c r="B53" s="14" t="s">
        <v>1125</v>
      </c>
      <c r="C53" s="14" t="s">
        <v>1126</v>
      </c>
      <c r="D53" s="61"/>
      <c r="E53" s="62"/>
      <c r="F53" s="61"/>
      <c r="G53" s="30"/>
      <c r="H53" s="30"/>
      <c r="I53" s="30"/>
      <c r="J53" s="30"/>
      <c r="K53" s="30"/>
      <c r="L53" s="30"/>
      <c r="M53" s="30"/>
      <c r="N53" s="30"/>
      <c r="O53" s="30"/>
      <c r="P53" s="15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spans="2:28" ht="16" customHeight="1" x14ac:dyDescent="0.45">
      <c r="B54" s="14" t="s">
        <v>140</v>
      </c>
      <c r="C54" s="14" t="s">
        <v>141</v>
      </c>
      <c r="D54" s="61"/>
      <c r="E54" s="62">
        <v>0</v>
      </c>
      <c r="F54" s="61"/>
      <c r="G54" s="30"/>
      <c r="H54" s="30">
        <v>0</v>
      </c>
      <c r="I54" s="30"/>
      <c r="J54" s="30"/>
      <c r="K54" s="30"/>
      <c r="L54" s="30"/>
      <c r="M54" s="30"/>
      <c r="N54" s="30"/>
      <c r="O54" s="30"/>
      <c r="P54" s="15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spans="2:28" ht="16" customHeight="1" x14ac:dyDescent="0.45">
      <c r="B55" s="14" t="s">
        <v>142</v>
      </c>
      <c r="C55" s="14" t="s">
        <v>143</v>
      </c>
      <c r="D55" s="61"/>
      <c r="E55" s="62"/>
      <c r="F55" s="61"/>
      <c r="G55" s="30"/>
      <c r="H55" s="30"/>
      <c r="I55" s="30"/>
      <c r="J55" s="30"/>
      <c r="K55" s="30"/>
      <c r="L55" s="30"/>
      <c r="M55" s="30"/>
      <c r="N55" s="30"/>
      <c r="O55" s="30"/>
      <c r="P55" s="15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spans="2:28" ht="16" customHeight="1" x14ac:dyDescent="0.45">
      <c r="B56" s="14" t="s">
        <v>144</v>
      </c>
      <c r="C56" s="14" t="s">
        <v>1127</v>
      </c>
      <c r="D56" s="61"/>
      <c r="E56" s="62"/>
      <c r="F56" s="61"/>
      <c r="G56" s="30"/>
      <c r="H56" s="30"/>
      <c r="I56" s="30"/>
      <c r="J56" s="30"/>
      <c r="K56" s="30"/>
      <c r="L56" s="30"/>
      <c r="M56" s="30"/>
      <c r="N56" s="30"/>
      <c r="O56" s="30"/>
      <c r="P56" s="15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spans="2:28" ht="16" customHeight="1" x14ac:dyDescent="0.45">
      <c r="B57" s="14" t="s">
        <v>146</v>
      </c>
      <c r="C57" s="14" t="s">
        <v>147</v>
      </c>
      <c r="D57" s="61"/>
      <c r="E57" s="62"/>
      <c r="F57" s="61"/>
      <c r="G57" s="30"/>
      <c r="H57" s="30"/>
      <c r="I57" s="30"/>
      <c r="J57" s="30"/>
      <c r="K57" s="30"/>
      <c r="L57" s="30"/>
      <c r="M57" s="30"/>
      <c r="N57" s="30"/>
      <c r="O57" s="30"/>
      <c r="P57" s="15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spans="2:28" ht="16" customHeight="1" x14ac:dyDescent="0.45">
      <c r="B58" s="14" t="s">
        <v>148</v>
      </c>
      <c r="C58" s="14" t="s">
        <v>149</v>
      </c>
      <c r="D58" s="61"/>
      <c r="E58" s="62"/>
      <c r="F58" s="61"/>
      <c r="G58" s="30"/>
      <c r="H58" s="30"/>
      <c r="I58" s="30"/>
      <c r="J58" s="30"/>
      <c r="K58" s="30"/>
      <c r="L58" s="30"/>
      <c r="M58" s="30"/>
      <c r="N58" s="30"/>
      <c r="O58" s="30"/>
      <c r="P58" s="15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spans="2:28" ht="16" customHeight="1" x14ac:dyDescent="0.45">
      <c r="B59" s="14" t="s">
        <v>153</v>
      </c>
      <c r="C59" s="14" t="s">
        <v>154</v>
      </c>
      <c r="D59" s="61"/>
      <c r="E59" s="62"/>
      <c r="F59" s="61"/>
      <c r="G59" s="30"/>
      <c r="H59" s="30"/>
      <c r="I59" s="30"/>
      <c r="J59" s="30"/>
      <c r="K59" s="30"/>
      <c r="L59" s="30"/>
      <c r="M59" s="30"/>
      <c r="N59" s="30"/>
      <c r="O59" s="30"/>
      <c r="P59" s="15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spans="2:28" ht="16" customHeight="1" x14ac:dyDescent="0.45">
      <c r="B60" s="14" t="s">
        <v>155</v>
      </c>
      <c r="C60" s="14" t="s">
        <v>156</v>
      </c>
      <c r="D60" s="61"/>
      <c r="E60" s="62"/>
      <c r="F60" s="61"/>
      <c r="G60" s="30"/>
      <c r="H60" s="30"/>
      <c r="I60" s="30"/>
      <c r="J60" s="30"/>
      <c r="K60" s="30"/>
      <c r="L60" s="30"/>
      <c r="M60" s="30"/>
      <c r="N60" s="30"/>
      <c r="O60" s="30"/>
      <c r="P60" s="15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spans="2:28" ht="16" customHeight="1" x14ac:dyDescent="0.45">
      <c r="B61" s="14" t="s">
        <v>157</v>
      </c>
      <c r="C61" s="14" t="s">
        <v>158</v>
      </c>
      <c r="D61" s="61"/>
      <c r="E61" s="62"/>
      <c r="F61" s="61"/>
      <c r="G61" s="30"/>
      <c r="H61" s="30"/>
      <c r="I61" s="30"/>
      <c r="J61" s="30"/>
      <c r="K61" s="30"/>
      <c r="L61" s="30"/>
      <c r="M61" s="30"/>
      <c r="N61" s="30"/>
      <c r="O61" s="30"/>
      <c r="P61" s="15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spans="2:28" ht="16" customHeight="1" x14ac:dyDescent="0.45">
      <c r="B62" s="14" t="s">
        <v>159</v>
      </c>
      <c r="C62" s="14" t="s">
        <v>1128</v>
      </c>
      <c r="D62" s="61"/>
      <c r="E62" s="62"/>
      <c r="F62" s="61"/>
      <c r="G62" s="30"/>
      <c r="H62" s="30"/>
      <c r="I62" s="30"/>
      <c r="J62" s="30"/>
      <c r="K62" s="30"/>
      <c r="L62" s="30"/>
      <c r="M62" s="30"/>
      <c r="N62" s="30"/>
      <c r="O62" s="30"/>
      <c r="P62" s="15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spans="2:28" ht="16" customHeight="1" x14ac:dyDescent="0.45">
      <c r="B63" s="14" t="s">
        <v>161</v>
      </c>
      <c r="C63" s="14" t="s">
        <v>1129</v>
      </c>
      <c r="D63" s="61"/>
      <c r="E63" s="62"/>
      <c r="F63" s="61"/>
      <c r="G63" s="30"/>
      <c r="H63" s="30"/>
      <c r="I63" s="30"/>
      <c r="J63" s="30"/>
      <c r="K63" s="30"/>
      <c r="L63" s="30"/>
      <c r="M63" s="30"/>
      <c r="N63" s="30"/>
      <c r="O63" s="30"/>
      <c r="P63" s="15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spans="2:28" ht="16" customHeight="1" x14ac:dyDescent="0.45">
      <c r="B64" s="14" t="s">
        <v>128</v>
      </c>
      <c r="C64" s="14" t="s">
        <v>129</v>
      </c>
      <c r="D64" s="61"/>
      <c r="E64" s="62">
        <v>-144052.22508999999</v>
      </c>
      <c r="F64" s="61"/>
      <c r="G64" s="30">
        <v>0</v>
      </c>
      <c r="H64" s="30">
        <v>-82609.181890000007</v>
      </c>
      <c r="I64" s="30">
        <v>-148.03851</v>
      </c>
      <c r="J64" s="30">
        <v>-26674.317230000001</v>
      </c>
      <c r="K64" s="30">
        <v>-23023.275020000001</v>
      </c>
      <c r="L64" s="30">
        <v>-11604.78983</v>
      </c>
      <c r="M64" s="30">
        <v>0</v>
      </c>
      <c r="N64" s="30">
        <v>162.37443999999999</v>
      </c>
      <c r="O64" s="30">
        <v>-154.99705</v>
      </c>
      <c r="P64" s="15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 spans="2:28" ht="16" customHeight="1" x14ac:dyDescent="0.45">
      <c r="B65" s="14" t="s">
        <v>132</v>
      </c>
      <c r="C65" s="14" t="s">
        <v>1130</v>
      </c>
      <c r="D65" s="61"/>
      <c r="E65" s="62">
        <v>-565.29398000000003</v>
      </c>
      <c r="F65" s="61"/>
      <c r="G65" s="30"/>
      <c r="H65" s="30">
        <v>-393.23539</v>
      </c>
      <c r="I65" s="30">
        <v>-43.74371</v>
      </c>
      <c r="J65" s="30">
        <v>-18.074639999999999</v>
      </c>
      <c r="K65" s="30">
        <v>-37.373510000000003</v>
      </c>
      <c r="L65" s="30">
        <v>-72.866730000000004</v>
      </c>
      <c r="M65" s="30"/>
      <c r="N65" s="30"/>
      <c r="O65" s="30"/>
      <c r="P65" s="15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 spans="2:28" ht="16" customHeight="1" x14ac:dyDescent="0.45">
      <c r="B66" s="14" t="s">
        <v>130</v>
      </c>
      <c r="C66" s="14" t="s">
        <v>131</v>
      </c>
      <c r="D66" s="61"/>
      <c r="E66" s="62">
        <v>-252.79517999999999</v>
      </c>
      <c r="F66" s="61"/>
      <c r="G66" s="30"/>
      <c r="H66" s="30">
        <v>-252.79517999999999</v>
      </c>
      <c r="I66" s="30"/>
      <c r="J66" s="30"/>
      <c r="K66" s="30"/>
      <c r="L66" s="30"/>
      <c r="M66" s="30"/>
      <c r="N66" s="30"/>
      <c r="O66" s="30"/>
      <c r="P66" s="15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2:28" ht="16" customHeight="1" x14ac:dyDescent="0.45">
      <c r="B67" s="14" t="s">
        <v>119</v>
      </c>
      <c r="C67" s="14" t="s">
        <v>1131</v>
      </c>
      <c r="D67" s="61"/>
      <c r="E67" s="62">
        <v>-7181.7586300000003</v>
      </c>
      <c r="F67" s="61"/>
      <c r="G67" s="30"/>
      <c r="H67" s="30">
        <v>-5597.6388399999996</v>
      </c>
      <c r="I67" s="30">
        <v>-535.60256000000004</v>
      </c>
      <c r="J67" s="30">
        <v>-541.15126999999995</v>
      </c>
      <c r="K67" s="30">
        <v>-101.28527</v>
      </c>
      <c r="L67" s="30">
        <v>-243.70625000000001</v>
      </c>
      <c r="M67" s="30"/>
      <c r="N67" s="30">
        <v>-162.37443999999999</v>
      </c>
      <c r="O67" s="30"/>
      <c r="P67" s="15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spans="2:28" ht="16" customHeight="1" x14ac:dyDescent="0.45">
      <c r="B68" s="14" t="s">
        <v>109</v>
      </c>
      <c r="C68" s="14" t="s">
        <v>110</v>
      </c>
      <c r="D68" s="61"/>
      <c r="E68" s="62"/>
      <c r="F68" s="61"/>
      <c r="G68" s="30"/>
      <c r="H68" s="30"/>
      <c r="I68" s="30"/>
      <c r="J68" s="30"/>
      <c r="K68" s="30"/>
      <c r="L68" s="30"/>
      <c r="M68" s="30"/>
      <c r="N68" s="30"/>
      <c r="O68" s="30"/>
      <c r="P68" s="15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spans="2:28" ht="16" customHeight="1" x14ac:dyDescent="0.45">
      <c r="B69" s="14" t="s">
        <v>111</v>
      </c>
      <c r="C69" s="14" t="s">
        <v>112</v>
      </c>
      <c r="D69" s="61"/>
      <c r="E69" s="62"/>
      <c r="F69" s="61"/>
      <c r="G69" s="30"/>
      <c r="H69" s="30"/>
      <c r="I69" s="30"/>
      <c r="J69" s="30"/>
      <c r="K69" s="30"/>
      <c r="L69" s="30"/>
      <c r="M69" s="30"/>
      <c r="N69" s="30"/>
      <c r="O69" s="30"/>
      <c r="P69" s="15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spans="2:28" ht="16" customHeight="1" x14ac:dyDescent="0.45">
      <c r="B70" s="14" t="s">
        <v>1132</v>
      </c>
      <c r="C70" s="14" t="s">
        <v>1133</v>
      </c>
      <c r="D70" s="61"/>
      <c r="E70" s="62"/>
      <c r="F70" s="61"/>
      <c r="G70" s="30"/>
      <c r="H70" s="30"/>
      <c r="I70" s="30"/>
      <c r="J70" s="30"/>
      <c r="K70" s="30"/>
      <c r="L70" s="30"/>
      <c r="M70" s="30"/>
      <c r="N70" s="30"/>
      <c r="O70" s="30"/>
      <c r="P70" s="15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spans="2:28" ht="16" customHeight="1" x14ac:dyDescent="0.45">
      <c r="B71" s="14" t="s">
        <v>134</v>
      </c>
      <c r="C71" s="14" t="s">
        <v>135</v>
      </c>
      <c r="D71" s="61"/>
      <c r="E71" s="62"/>
      <c r="F71" s="61"/>
      <c r="G71" s="30"/>
      <c r="H71" s="30"/>
      <c r="I71" s="30"/>
      <c r="J71" s="30"/>
      <c r="K71" s="30"/>
      <c r="L71" s="30"/>
      <c r="M71" s="30"/>
      <c r="N71" s="30"/>
      <c r="O71" s="30"/>
      <c r="P71" s="15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spans="2:28" ht="16" customHeight="1" x14ac:dyDescent="0.45">
      <c r="B72" s="14" t="s">
        <v>122</v>
      </c>
      <c r="C72" s="14" t="s">
        <v>1134</v>
      </c>
      <c r="D72" s="61"/>
      <c r="E72" s="62"/>
      <c r="F72" s="61"/>
      <c r="G72" s="30"/>
      <c r="H72" s="30"/>
      <c r="I72" s="30"/>
      <c r="J72" s="30"/>
      <c r="K72" s="30"/>
      <c r="L72" s="30"/>
      <c r="M72" s="30"/>
      <c r="N72" s="30"/>
      <c r="O72" s="30"/>
      <c r="P72" s="15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spans="2:28" ht="16" customHeight="1" x14ac:dyDescent="0.45">
      <c r="B73" s="14" t="s">
        <v>166</v>
      </c>
      <c r="C73" s="14" t="s">
        <v>167</v>
      </c>
      <c r="D73" s="61"/>
      <c r="E73" s="62"/>
      <c r="F73" s="61"/>
      <c r="G73" s="30"/>
      <c r="H73" s="30"/>
      <c r="I73" s="30"/>
      <c r="J73" s="30"/>
      <c r="K73" s="30"/>
      <c r="L73" s="30"/>
      <c r="M73" s="30"/>
      <c r="N73" s="30"/>
      <c r="O73" s="30"/>
      <c r="P73" s="15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spans="2:28" ht="16" customHeight="1" x14ac:dyDescent="0.45">
      <c r="B74" s="14" t="s">
        <v>101</v>
      </c>
      <c r="C74" s="14" t="s">
        <v>1135</v>
      </c>
      <c r="D74" s="61"/>
      <c r="E74" s="62"/>
      <c r="F74" s="61"/>
      <c r="G74" s="30"/>
      <c r="H74" s="30"/>
      <c r="I74" s="30"/>
      <c r="J74" s="30"/>
      <c r="K74" s="30"/>
      <c r="L74" s="30"/>
      <c r="M74" s="30"/>
      <c r="N74" s="30"/>
      <c r="O74" s="30"/>
      <c r="P74" s="15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spans="2:28" ht="16" customHeight="1" x14ac:dyDescent="0.45">
      <c r="B75" s="14" t="s">
        <v>89</v>
      </c>
      <c r="C75" s="14" t="s">
        <v>1136</v>
      </c>
      <c r="D75" s="61"/>
      <c r="E75" s="62"/>
      <c r="F75" s="61"/>
      <c r="G75" s="30"/>
      <c r="H75" s="30"/>
      <c r="I75" s="30"/>
      <c r="J75" s="30"/>
      <c r="K75" s="30"/>
      <c r="L75" s="30"/>
      <c r="M75" s="30"/>
      <c r="N75" s="30"/>
      <c r="O75" s="30"/>
      <c r="P75" s="15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spans="2:28" ht="16" customHeight="1" x14ac:dyDescent="0.45">
      <c r="B76" s="14" t="s">
        <v>37</v>
      </c>
      <c r="C76" s="14" t="s">
        <v>1137</v>
      </c>
      <c r="D76" s="61"/>
      <c r="E76" s="62"/>
      <c r="F76" s="61"/>
      <c r="G76" s="30"/>
      <c r="H76" s="30"/>
      <c r="I76" s="30"/>
      <c r="J76" s="30"/>
      <c r="K76" s="30"/>
      <c r="L76" s="30"/>
      <c r="M76" s="30"/>
      <c r="N76" s="30"/>
      <c r="O76" s="30"/>
      <c r="P76" s="15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spans="2:28" ht="16" customHeight="1" x14ac:dyDescent="0.45">
      <c r="B77" s="14" t="s">
        <v>67</v>
      </c>
      <c r="C77" s="14" t="s">
        <v>1138</v>
      </c>
      <c r="D77" s="61"/>
      <c r="E77" s="62"/>
      <c r="F77" s="61"/>
      <c r="G77" s="30"/>
      <c r="H77" s="30"/>
      <c r="I77" s="30"/>
      <c r="J77" s="30"/>
      <c r="K77" s="30"/>
      <c r="L77" s="30"/>
      <c r="M77" s="30"/>
      <c r="N77" s="30"/>
      <c r="O77" s="30"/>
      <c r="P77" s="15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spans="2:28" ht="16" customHeight="1" x14ac:dyDescent="0.45">
      <c r="B78" s="14" t="s">
        <v>237</v>
      </c>
      <c r="C78" s="14" t="s">
        <v>238</v>
      </c>
      <c r="D78" s="61"/>
      <c r="E78" s="62"/>
      <c r="F78" s="61"/>
      <c r="G78" s="30"/>
      <c r="H78" s="30"/>
      <c r="I78" s="30"/>
      <c r="J78" s="30"/>
      <c r="K78" s="30"/>
      <c r="L78" s="30"/>
      <c r="M78" s="30"/>
      <c r="N78" s="30"/>
      <c r="O78" s="30"/>
      <c r="P78" s="15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spans="2:28" ht="16" customHeight="1" x14ac:dyDescent="0.45">
      <c r="B79" s="14" t="s">
        <v>235</v>
      </c>
      <c r="C79" s="14" t="s">
        <v>236</v>
      </c>
      <c r="D79" s="61"/>
      <c r="E79" s="62"/>
      <c r="F79" s="61"/>
      <c r="G79" s="30"/>
      <c r="H79" s="30"/>
      <c r="I79" s="30"/>
      <c r="J79" s="30"/>
      <c r="K79" s="30"/>
      <c r="L79" s="30"/>
      <c r="M79" s="30"/>
      <c r="N79" s="30"/>
      <c r="O79" s="30"/>
      <c r="P79" s="15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spans="2:28" ht="16" customHeight="1" x14ac:dyDescent="0.45">
      <c r="B80" s="14" t="s">
        <v>239</v>
      </c>
      <c r="C80" s="14" t="s">
        <v>1139</v>
      </c>
      <c r="D80" s="61"/>
      <c r="E80" s="62"/>
      <c r="F80" s="61"/>
      <c r="G80" s="30"/>
      <c r="H80" s="30"/>
      <c r="I80" s="30"/>
      <c r="J80" s="30"/>
      <c r="K80" s="30"/>
      <c r="L80" s="30"/>
      <c r="M80" s="30"/>
      <c r="N80" s="30"/>
      <c r="O80" s="30"/>
      <c r="P80" s="15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spans="2:28" ht="16" customHeight="1" x14ac:dyDescent="0.45">
      <c r="B81" s="14" t="s">
        <v>241</v>
      </c>
      <c r="C81" s="14" t="s">
        <v>1140</v>
      </c>
      <c r="D81" s="61"/>
      <c r="E81" s="62">
        <v>-1480.83</v>
      </c>
      <c r="F81" s="61"/>
      <c r="G81" s="30"/>
      <c r="H81" s="30">
        <v>-1480.83</v>
      </c>
      <c r="I81" s="30"/>
      <c r="J81" s="30"/>
      <c r="K81" s="30"/>
      <c r="L81" s="30"/>
      <c r="M81" s="30"/>
      <c r="N81" s="30"/>
      <c r="O81" s="30"/>
      <c r="P81" s="15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2:28" ht="16" customHeight="1" x14ac:dyDescent="0.45">
      <c r="B82" s="14" t="s">
        <v>1141</v>
      </c>
      <c r="C82" s="14" t="s">
        <v>1142</v>
      </c>
      <c r="D82" s="61"/>
      <c r="E82" s="62"/>
      <c r="F82" s="61"/>
      <c r="G82" s="30"/>
      <c r="H82" s="30"/>
      <c r="I82" s="30"/>
      <c r="J82" s="30"/>
      <c r="K82" s="30"/>
      <c r="L82" s="30"/>
      <c r="M82" s="30"/>
      <c r="N82" s="30"/>
      <c r="O82" s="30"/>
      <c r="P82" s="15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spans="2:28" ht="16" customHeight="1" x14ac:dyDescent="0.45">
      <c r="B83" s="14" t="s">
        <v>249</v>
      </c>
      <c r="C83" s="14" t="s">
        <v>250</v>
      </c>
      <c r="D83" s="61"/>
      <c r="E83" s="62">
        <v>4589.50245</v>
      </c>
      <c r="F83" s="61"/>
      <c r="G83" s="30">
        <v>-18.799800000000001</v>
      </c>
      <c r="H83" s="30">
        <v>4608.3022499999997</v>
      </c>
      <c r="I83" s="30"/>
      <c r="J83" s="30"/>
      <c r="K83" s="30"/>
      <c r="L83" s="30"/>
      <c r="M83" s="30"/>
      <c r="N83" s="30"/>
      <c r="O83" s="30"/>
      <c r="P83" s="15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spans="2:28" ht="16" customHeight="1" x14ac:dyDescent="0.45">
      <c r="B84" s="14" t="s">
        <v>251</v>
      </c>
      <c r="C84" s="14" t="s">
        <v>252</v>
      </c>
      <c r="D84" s="61"/>
      <c r="E84" s="62">
        <v>19457.502</v>
      </c>
      <c r="F84" s="61"/>
      <c r="G84" s="30"/>
      <c r="H84" s="30">
        <v>19457.502</v>
      </c>
      <c r="I84" s="30"/>
      <c r="J84" s="30"/>
      <c r="K84" s="30"/>
      <c r="L84" s="30"/>
      <c r="M84" s="30"/>
      <c r="N84" s="30"/>
      <c r="O84" s="30"/>
      <c r="P84" s="15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spans="2:28" ht="16" customHeight="1" x14ac:dyDescent="0.45">
      <c r="B85" s="14" t="s">
        <v>172</v>
      </c>
      <c r="C85" s="14" t="s">
        <v>173</v>
      </c>
      <c r="D85" s="61"/>
      <c r="E85" s="62"/>
      <c r="F85" s="61"/>
      <c r="G85" s="30"/>
      <c r="H85" s="30"/>
      <c r="I85" s="30"/>
      <c r="J85" s="30"/>
      <c r="K85" s="30"/>
      <c r="L85" s="30"/>
      <c r="M85" s="30"/>
      <c r="N85" s="30"/>
      <c r="O85" s="30"/>
      <c r="P85" s="15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spans="2:28" ht="16" customHeight="1" x14ac:dyDescent="0.45">
      <c r="B86" s="14" t="s">
        <v>176</v>
      </c>
      <c r="C86" s="14" t="s">
        <v>177</v>
      </c>
      <c r="D86" s="61"/>
      <c r="E86" s="62"/>
      <c r="F86" s="61"/>
      <c r="G86" s="30"/>
      <c r="H86" s="30"/>
      <c r="I86" s="30"/>
      <c r="J86" s="30"/>
      <c r="K86" s="30"/>
      <c r="L86" s="30"/>
      <c r="M86" s="30"/>
      <c r="N86" s="30"/>
      <c r="O86" s="30"/>
      <c r="P86" s="15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spans="2:28" ht="16" customHeight="1" x14ac:dyDescent="0.45">
      <c r="B87" s="14" t="s">
        <v>174</v>
      </c>
      <c r="C87" s="14" t="s">
        <v>1143</v>
      </c>
      <c r="D87" s="61"/>
      <c r="E87" s="62"/>
      <c r="F87" s="61"/>
      <c r="G87" s="30"/>
      <c r="H87" s="30"/>
      <c r="I87" s="30"/>
      <c r="J87" s="30"/>
      <c r="K87" s="30"/>
      <c r="L87" s="30"/>
      <c r="M87" s="30"/>
      <c r="N87" s="30"/>
      <c r="O87" s="30"/>
      <c r="P87" s="15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spans="2:28" ht="16" customHeight="1" x14ac:dyDescent="0.45">
      <c r="B88" s="14" t="s">
        <v>178</v>
      </c>
      <c r="C88" s="14" t="s">
        <v>179</v>
      </c>
      <c r="D88" s="61"/>
      <c r="E88" s="62"/>
      <c r="F88" s="61"/>
      <c r="G88" s="30"/>
      <c r="H88" s="30"/>
      <c r="I88" s="30"/>
      <c r="J88" s="30"/>
      <c r="K88" s="30"/>
      <c r="L88" s="30"/>
      <c r="M88" s="30"/>
      <c r="N88" s="30"/>
      <c r="O88" s="30"/>
      <c r="P88" s="15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spans="2:28" ht="16" customHeight="1" x14ac:dyDescent="0.45">
      <c r="B89" s="14" t="s">
        <v>1144</v>
      </c>
      <c r="C89" s="14" t="s">
        <v>1145</v>
      </c>
      <c r="D89" s="61"/>
      <c r="E89" s="62"/>
      <c r="F89" s="61"/>
      <c r="G89" s="30"/>
      <c r="H89" s="30"/>
      <c r="I89" s="30"/>
      <c r="J89" s="30"/>
      <c r="K89" s="30"/>
      <c r="L89" s="30"/>
      <c r="M89" s="30"/>
      <c r="N89" s="30"/>
      <c r="O89" s="30"/>
      <c r="P89" s="15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spans="2:28" ht="16" customHeight="1" x14ac:dyDescent="0.45">
      <c r="B90" s="14" t="s">
        <v>1146</v>
      </c>
      <c r="C90" s="14" t="s">
        <v>1147</v>
      </c>
      <c r="D90" s="61"/>
      <c r="E90" s="62"/>
      <c r="F90" s="61"/>
      <c r="G90" s="30"/>
      <c r="H90" s="30"/>
      <c r="I90" s="30"/>
      <c r="J90" s="30"/>
      <c r="K90" s="30"/>
      <c r="L90" s="30"/>
      <c r="M90" s="30"/>
      <c r="N90" s="30"/>
      <c r="O90" s="30"/>
      <c r="P90" s="15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spans="2:28" ht="16" customHeight="1" x14ac:dyDescent="0.45">
      <c r="B91" s="14" t="s">
        <v>1148</v>
      </c>
      <c r="C91" s="14" t="s">
        <v>1149</v>
      </c>
      <c r="D91" s="61"/>
      <c r="E91" s="62"/>
      <c r="F91" s="61"/>
      <c r="G91" s="30"/>
      <c r="H91" s="30"/>
      <c r="I91" s="30"/>
      <c r="J91" s="30"/>
      <c r="K91" s="30"/>
      <c r="L91" s="30"/>
      <c r="M91" s="30"/>
      <c r="N91" s="30"/>
      <c r="O91" s="30"/>
      <c r="P91" s="15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spans="2:28" ht="16" customHeight="1" x14ac:dyDescent="0.45">
      <c r="B92" s="14" t="s">
        <v>1150</v>
      </c>
      <c r="C92" s="14" t="s">
        <v>1151</v>
      </c>
      <c r="D92" s="61"/>
      <c r="E92" s="62"/>
      <c r="F92" s="61"/>
      <c r="G92" s="30"/>
      <c r="H92" s="30"/>
      <c r="I92" s="30"/>
      <c r="J92" s="30"/>
      <c r="K92" s="30"/>
      <c r="L92" s="30"/>
      <c r="M92" s="30"/>
      <c r="N92" s="30"/>
      <c r="O92" s="30"/>
      <c r="P92" s="15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spans="2:28" ht="16" customHeight="1" x14ac:dyDescent="0.45">
      <c r="B93" s="14" t="s">
        <v>1152</v>
      </c>
      <c r="C93" s="14" t="s">
        <v>1153</v>
      </c>
      <c r="D93" s="61"/>
      <c r="E93" s="62"/>
      <c r="F93" s="61"/>
      <c r="G93" s="30"/>
      <c r="H93" s="30"/>
      <c r="I93" s="30"/>
      <c r="J93" s="30"/>
      <c r="K93" s="30"/>
      <c r="L93" s="30"/>
      <c r="M93" s="30"/>
      <c r="N93" s="30"/>
      <c r="O93" s="30"/>
      <c r="P93" s="15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spans="2:28" ht="16" customHeight="1" x14ac:dyDescent="0.45">
      <c r="B94" s="14" t="s">
        <v>1154</v>
      </c>
      <c r="C94" s="14" t="s">
        <v>1155</v>
      </c>
      <c r="D94" s="61"/>
      <c r="E94" s="62"/>
      <c r="F94" s="61"/>
      <c r="G94" s="30"/>
      <c r="H94" s="30"/>
      <c r="I94" s="30"/>
      <c r="J94" s="30"/>
      <c r="K94" s="30"/>
      <c r="L94" s="30"/>
      <c r="M94" s="30"/>
      <c r="N94" s="30"/>
      <c r="O94" s="30"/>
      <c r="P94" s="15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spans="2:28" ht="16" customHeight="1" x14ac:dyDescent="0.45">
      <c r="B95" s="14" t="s">
        <v>1156</v>
      </c>
      <c r="C95" s="14" t="s">
        <v>1157</v>
      </c>
      <c r="D95" s="61"/>
      <c r="E95" s="62"/>
      <c r="F95" s="61"/>
      <c r="G95" s="30"/>
      <c r="H95" s="30"/>
      <c r="I95" s="30"/>
      <c r="J95" s="30"/>
      <c r="K95" s="30"/>
      <c r="L95" s="30"/>
      <c r="M95" s="30"/>
      <c r="N95" s="30"/>
      <c r="O95" s="30"/>
      <c r="P95" s="15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spans="2:28" ht="16" customHeight="1" x14ac:dyDescent="0.45">
      <c r="B96" s="14" t="s">
        <v>1158</v>
      </c>
      <c r="C96" s="14" t="s">
        <v>1159</v>
      </c>
      <c r="D96" s="61"/>
      <c r="E96" s="62"/>
      <c r="F96" s="61"/>
      <c r="G96" s="30"/>
      <c r="H96" s="30"/>
      <c r="I96" s="30"/>
      <c r="J96" s="30"/>
      <c r="K96" s="30"/>
      <c r="L96" s="30"/>
      <c r="M96" s="30"/>
      <c r="N96" s="30"/>
      <c r="O96" s="30"/>
      <c r="P96" s="15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spans="2:28" ht="16" customHeight="1" x14ac:dyDescent="0.45">
      <c r="B97" s="14" t="s">
        <v>1160</v>
      </c>
      <c r="C97" s="14" t="s">
        <v>1161</v>
      </c>
      <c r="D97" s="61"/>
      <c r="E97" s="62">
        <v>0</v>
      </c>
      <c r="F97" s="61"/>
      <c r="G97" s="30"/>
      <c r="H97" s="30"/>
      <c r="I97" s="30"/>
      <c r="J97" s="30"/>
      <c r="K97" s="30"/>
      <c r="L97" s="30"/>
      <c r="M97" s="30"/>
      <c r="N97" s="30"/>
      <c r="O97" s="30"/>
      <c r="P97" s="15">
        <v>0</v>
      </c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spans="2:28" ht="16" customHeight="1" x14ac:dyDescent="0.45">
      <c r="B98" s="14" t="s">
        <v>1162</v>
      </c>
      <c r="C98" s="14" t="s">
        <v>1163</v>
      </c>
      <c r="D98" s="61"/>
      <c r="E98" s="62"/>
      <c r="F98" s="61"/>
      <c r="G98" s="30"/>
      <c r="H98" s="30"/>
      <c r="I98" s="30"/>
      <c r="J98" s="30"/>
      <c r="K98" s="30"/>
      <c r="L98" s="30"/>
      <c r="M98" s="30"/>
      <c r="N98" s="30"/>
      <c r="O98" s="30"/>
      <c r="P98" s="15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spans="2:28" ht="16" customHeight="1" x14ac:dyDescent="0.45">
      <c r="B99" s="14" t="s">
        <v>1164</v>
      </c>
      <c r="C99" s="14" t="s">
        <v>1165</v>
      </c>
      <c r="D99" s="61"/>
      <c r="E99" s="62"/>
      <c r="F99" s="61"/>
      <c r="G99" s="30"/>
      <c r="H99" s="30"/>
      <c r="I99" s="30"/>
      <c r="J99" s="30"/>
      <c r="K99" s="30"/>
      <c r="L99" s="30"/>
      <c r="M99" s="30"/>
      <c r="N99" s="30"/>
      <c r="O99" s="30"/>
      <c r="P99" s="15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spans="2:28" ht="16" customHeight="1" x14ac:dyDescent="0.45">
      <c r="B100" s="14" t="s">
        <v>1166</v>
      </c>
      <c r="C100" s="14" t="s">
        <v>1167</v>
      </c>
      <c r="D100" s="61"/>
      <c r="E100" s="62"/>
      <c r="F100" s="61"/>
      <c r="G100" s="30"/>
      <c r="H100" s="30"/>
      <c r="I100" s="30"/>
      <c r="J100" s="30"/>
      <c r="K100" s="30"/>
      <c r="L100" s="30"/>
      <c r="M100" s="30"/>
      <c r="N100" s="30"/>
      <c r="O100" s="30"/>
      <c r="P100" s="15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2:28" ht="16" customHeight="1" x14ac:dyDescent="0.45">
      <c r="B101" s="14" t="s">
        <v>183</v>
      </c>
      <c r="C101" s="14" t="s">
        <v>184</v>
      </c>
      <c r="D101" s="61"/>
      <c r="E101" s="62"/>
      <c r="F101" s="61"/>
      <c r="G101" s="30"/>
      <c r="H101" s="30"/>
      <c r="I101" s="30"/>
      <c r="J101" s="30"/>
      <c r="K101" s="30"/>
      <c r="L101" s="30"/>
      <c r="M101" s="30"/>
      <c r="N101" s="30"/>
      <c r="O101" s="30"/>
      <c r="P101" s="15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spans="2:28" ht="16" customHeight="1" x14ac:dyDescent="0.45">
      <c r="B102" s="14" t="s">
        <v>189</v>
      </c>
      <c r="C102" s="14" t="s">
        <v>1168</v>
      </c>
      <c r="D102" s="61"/>
      <c r="E102" s="62"/>
      <c r="F102" s="61"/>
      <c r="G102" s="30"/>
      <c r="H102" s="30"/>
      <c r="I102" s="30"/>
      <c r="J102" s="30"/>
      <c r="K102" s="30"/>
      <c r="L102" s="30"/>
      <c r="M102" s="30"/>
      <c r="N102" s="30"/>
      <c r="O102" s="30"/>
      <c r="P102" s="15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spans="2:28" ht="16" customHeight="1" x14ac:dyDescent="0.45">
      <c r="B103" s="14" t="s">
        <v>1169</v>
      </c>
      <c r="C103" s="14" t="s">
        <v>1170</v>
      </c>
      <c r="D103" s="61"/>
      <c r="E103" s="62"/>
      <c r="F103" s="61"/>
      <c r="G103" s="30"/>
      <c r="H103" s="30"/>
      <c r="I103" s="30"/>
      <c r="J103" s="30"/>
      <c r="K103" s="30"/>
      <c r="L103" s="30"/>
      <c r="M103" s="30"/>
      <c r="N103" s="30"/>
      <c r="O103" s="30"/>
      <c r="P103" s="15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spans="2:28" ht="16" customHeight="1" x14ac:dyDescent="0.45">
      <c r="B104" s="14" t="s">
        <v>1171</v>
      </c>
      <c r="C104" s="14" t="s">
        <v>1172</v>
      </c>
      <c r="D104" s="61"/>
      <c r="E104" s="62"/>
      <c r="F104" s="61"/>
      <c r="G104" s="30"/>
      <c r="H104" s="30"/>
      <c r="I104" s="30"/>
      <c r="J104" s="30"/>
      <c r="K104" s="30"/>
      <c r="L104" s="30"/>
      <c r="M104" s="30"/>
      <c r="N104" s="30"/>
      <c r="O104" s="30"/>
      <c r="P104" s="15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spans="2:28" ht="16" customHeight="1" x14ac:dyDescent="0.45">
      <c r="B105" s="14" t="s">
        <v>1173</v>
      </c>
      <c r="C105" s="14" t="s">
        <v>1174</v>
      </c>
      <c r="D105" s="61"/>
      <c r="E105" s="62"/>
      <c r="F105" s="61"/>
      <c r="G105" s="30"/>
      <c r="H105" s="30"/>
      <c r="I105" s="30"/>
      <c r="J105" s="30"/>
      <c r="K105" s="30"/>
      <c r="L105" s="30"/>
      <c r="M105" s="30"/>
      <c r="N105" s="30"/>
      <c r="O105" s="30"/>
      <c r="P105" s="15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spans="2:28" ht="16" customHeight="1" x14ac:dyDescent="0.45">
      <c r="B106" s="14" t="s">
        <v>1175</v>
      </c>
      <c r="C106" s="14" t="s">
        <v>1176</v>
      </c>
      <c r="D106" s="61"/>
      <c r="E106" s="62"/>
      <c r="F106" s="61"/>
      <c r="G106" s="30"/>
      <c r="H106" s="30"/>
      <c r="I106" s="30"/>
      <c r="J106" s="30"/>
      <c r="K106" s="30"/>
      <c r="L106" s="30"/>
      <c r="M106" s="30"/>
      <c r="N106" s="30"/>
      <c r="O106" s="30"/>
      <c r="P106" s="15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spans="2:28" ht="16" customHeight="1" x14ac:dyDescent="0.45">
      <c r="B107" s="14" t="s">
        <v>1177</v>
      </c>
      <c r="C107" s="14" t="s">
        <v>1178</v>
      </c>
      <c r="D107" s="61"/>
      <c r="E107" s="62"/>
      <c r="F107" s="61"/>
      <c r="G107" s="30"/>
      <c r="H107" s="30"/>
      <c r="I107" s="30"/>
      <c r="J107" s="30"/>
      <c r="K107" s="30"/>
      <c r="L107" s="30"/>
      <c r="M107" s="30"/>
      <c r="N107" s="30"/>
      <c r="O107" s="30"/>
      <c r="P107" s="15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spans="2:28" ht="16" customHeight="1" x14ac:dyDescent="0.45">
      <c r="B108" s="14" t="s">
        <v>1179</v>
      </c>
      <c r="C108" s="14" t="s">
        <v>1180</v>
      </c>
      <c r="D108" s="61"/>
      <c r="E108" s="62"/>
      <c r="F108" s="61"/>
      <c r="G108" s="30"/>
      <c r="H108" s="30"/>
      <c r="I108" s="30"/>
      <c r="J108" s="30"/>
      <c r="K108" s="30"/>
      <c r="L108" s="30"/>
      <c r="M108" s="30"/>
      <c r="N108" s="30"/>
      <c r="O108" s="30"/>
      <c r="P108" s="15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spans="2:28" ht="16" customHeight="1" x14ac:dyDescent="0.45">
      <c r="B109" s="14" t="s">
        <v>1181</v>
      </c>
      <c r="C109" s="14" t="s">
        <v>1182</v>
      </c>
      <c r="D109" s="61"/>
      <c r="E109" s="62"/>
      <c r="F109" s="61"/>
      <c r="G109" s="30"/>
      <c r="H109" s="30"/>
      <c r="I109" s="30"/>
      <c r="J109" s="30"/>
      <c r="K109" s="30"/>
      <c r="L109" s="30"/>
      <c r="M109" s="30"/>
      <c r="N109" s="30"/>
      <c r="O109" s="30"/>
      <c r="P109" s="15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spans="2:28" ht="16" customHeight="1" x14ac:dyDescent="0.45">
      <c r="B110" s="14" t="s">
        <v>1183</v>
      </c>
      <c r="C110" s="14" t="s">
        <v>1184</v>
      </c>
      <c r="D110" s="61"/>
      <c r="E110" s="62"/>
      <c r="F110" s="61"/>
      <c r="G110" s="30"/>
      <c r="H110" s="30"/>
      <c r="I110" s="30"/>
      <c r="J110" s="30"/>
      <c r="K110" s="30"/>
      <c r="L110" s="30"/>
      <c r="M110" s="30"/>
      <c r="N110" s="30"/>
      <c r="O110" s="30"/>
      <c r="P110" s="15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spans="2:28" ht="16" customHeight="1" x14ac:dyDescent="0.45">
      <c r="B111" s="14" t="s">
        <v>1185</v>
      </c>
      <c r="C111" s="14" t="s">
        <v>1186</v>
      </c>
      <c r="D111" s="61"/>
      <c r="E111" s="62"/>
      <c r="F111" s="61"/>
      <c r="G111" s="30"/>
      <c r="H111" s="30"/>
      <c r="I111" s="30"/>
      <c r="J111" s="30"/>
      <c r="K111" s="30"/>
      <c r="L111" s="30"/>
      <c r="M111" s="30"/>
      <c r="N111" s="30"/>
      <c r="O111" s="30"/>
      <c r="P111" s="15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spans="2:28" ht="16" customHeight="1" x14ac:dyDescent="0.45">
      <c r="B112" s="14" t="s">
        <v>1187</v>
      </c>
      <c r="C112" s="14" t="s">
        <v>1188</v>
      </c>
      <c r="D112" s="61"/>
      <c r="E112" s="62">
        <v>-3.3640000000000003E-2</v>
      </c>
      <c r="F112" s="61"/>
      <c r="G112" s="30"/>
      <c r="H112" s="30">
        <v>-3.3640000000000003E-2</v>
      </c>
      <c r="I112" s="30"/>
      <c r="J112" s="30"/>
      <c r="K112" s="30"/>
      <c r="L112" s="30"/>
      <c r="M112" s="30"/>
      <c r="N112" s="30"/>
      <c r="O112" s="30"/>
      <c r="P112" s="15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 spans="2:28" ht="16" customHeight="1" x14ac:dyDescent="0.45">
      <c r="B113" s="14" t="s">
        <v>1189</v>
      </c>
      <c r="C113" s="14" t="s">
        <v>1190</v>
      </c>
      <c r="D113" s="61"/>
      <c r="E113" s="62">
        <v>-14.168900000000001</v>
      </c>
      <c r="F113" s="61"/>
      <c r="G113" s="30"/>
      <c r="H113" s="30">
        <v>-12.798439999999999</v>
      </c>
      <c r="I113" s="30"/>
      <c r="J113" s="30"/>
      <c r="K113" s="30"/>
      <c r="L113" s="30"/>
      <c r="M113" s="30"/>
      <c r="N113" s="30"/>
      <c r="O113" s="30"/>
      <c r="P113" s="15">
        <v>-1.37046</v>
      </c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 spans="2:28" ht="16" customHeight="1" x14ac:dyDescent="0.45">
      <c r="B114" s="14" t="s">
        <v>1191</v>
      </c>
      <c r="C114" s="14" t="s">
        <v>1192</v>
      </c>
      <c r="D114" s="61"/>
      <c r="E114" s="62">
        <v>-15.819000000000001</v>
      </c>
      <c r="F114" s="61"/>
      <c r="G114" s="30"/>
      <c r="H114" s="30">
        <v>-15.819000000000001</v>
      </c>
      <c r="I114" s="30"/>
      <c r="J114" s="30"/>
      <c r="K114" s="30"/>
      <c r="L114" s="30"/>
      <c r="M114" s="30"/>
      <c r="N114" s="30"/>
      <c r="O114" s="30"/>
      <c r="P114" s="15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 spans="2:28" ht="16" customHeight="1" x14ac:dyDescent="0.45">
      <c r="B115" s="14" t="s">
        <v>1193</v>
      </c>
      <c r="C115" s="14" t="s">
        <v>1194</v>
      </c>
      <c r="D115" s="61"/>
      <c r="E115" s="62"/>
      <c r="F115" s="61"/>
      <c r="G115" s="30"/>
      <c r="H115" s="30"/>
      <c r="I115" s="30"/>
      <c r="J115" s="30"/>
      <c r="K115" s="30"/>
      <c r="L115" s="30"/>
      <c r="M115" s="30"/>
      <c r="N115" s="30"/>
      <c r="O115" s="30"/>
      <c r="P115" s="15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 spans="2:28" ht="16" customHeight="1" x14ac:dyDescent="0.45">
      <c r="B116" s="14" t="s">
        <v>1195</v>
      </c>
      <c r="C116" s="14" t="s">
        <v>1196</v>
      </c>
      <c r="D116" s="61"/>
      <c r="E116" s="62"/>
      <c r="F116" s="61"/>
      <c r="G116" s="30"/>
      <c r="H116" s="30"/>
      <c r="I116" s="30"/>
      <c r="J116" s="30"/>
      <c r="K116" s="30"/>
      <c r="L116" s="30"/>
      <c r="M116" s="30"/>
      <c r="N116" s="30"/>
      <c r="O116" s="30"/>
      <c r="P116" s="15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 spans="2:28" ht="16" customHeight="1" x14ac:dyDescent="0.45">
      <c r="B117" s="14" t="s">
        <v>1197</v>
      </c>
      <c r="C117" s="14" t="s">
        <v>1198</v>
      </c>
      <c r="D117" s="61"/>
      <c r="E117" s="62">
        <v>7301.4396200000001</v>
      </c>
      <c r="F117" s="61"/>
      <c r="G117" s="30"/>
      <c r="H117" s="30">
        <v>7306.9466199999997</v>
      </c>
      <c r="I117" s="30">
        <v>-1.68</v>
      </c>
      <c r="J117" s="30"/>
      <c r="K117" s="30"/>
      <c r="L117" s="30">
        <v>-1.885</v>
      </c>
      <c r="M117" s="30"/>
      <c r="N117" s="30"/>
      <c r="O117" s="30">
        <v>-1.786</v>
      </c>
      <c r="P117" s="15">
        <v>-0.156</v>
      </c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 spans="2:28" ht="16" customHeight="1" x14ac:dyDescent="0.45">
      <c r="B118" s="14" t="s">
        <v>1199</v>
      </c>
      <c r="C118" s="14" t="s">
        <v>1200</v>
      </c>
      <c r="D118" s="61"/>
      <c r="E118" s="62"/>
      <c r="F118" s="61"/>
      <c r="G118" s="30"/>
      <c r="H118" s="30"/>
      <c r="I118" s="30"/>
      <c r="J118" s="30"/>
      <c r="K118" s="30"/>
      <c r="L118" s="30"/>
      <c r="M118" s="30"/>
      <c r="N118" s="30"/>
      <c r="O118" s="30"/>
      <c r="P118" s="15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 spans="2:28" ht="16" customHeight="1" x14ac:dyDescent="0.45">
      <c r="B119" s="14" t="s">
        <v>1201</v>
      </c>
      <c r="C119" s="14" t="s">
        <v>1202</v>
      </c>
      <c r="D119" s="61"/>
      <c r="E119" s="62"/>
      <c r="F119" s="61"/>
      <c r="G119" s="30"/>
      <c r="H119" s="30"/>
      <c r="I119" s="30"/>
      <c r="J119" s="30"/>
      <c r="K119" s="30"/>
      <c r="L119" s="30"/>
      <c r="M119" s="30"/>
      <c r="N119" s="30"/>
      <c r="O119" s="30"/>
      <c r="P119" s="15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 spans="2:28" ht="16" customHeight="1" x14ac:dyDescent="0.45">
      <c r="B120" s="14" t="s">
        <v>1203</v>
      </c>
      <c r="C120" s="14" t="s">
        <v>1204</v>
      </c>
      <c r="D120" s="61"/>
      <c r="E120" s="62"/>
      <c r="F120" s="61"/>
      <c r="G120" s="30"/>
      <c r="H120" s="30"/>
      <c r="I120" s="30"/>
      <c r="J120" s="30"/>
      <c r="K120" s="30"/>
      <c r="L120" s="30"/>
      <c r="M120" s="30"/>
      <c r="N120" s="30"/>
      <c r="O120" s="30"/>
      <c r="P120" s="15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 spans="2:28" ht="16" customHeight="1" x14ac:dyDescent="0.45">
      <c r="B121" s="14" t="s">
        <v>1205</v>
      </c>
      <c r="C121" s="14" t="s">
        <v>1206</v>
      </c>
      <c r="D121" s="61"/>
      <c r="E121" s="62"/>
      <c r="F121" s="61"/>
      <c r="G121" s="30"/>
      <c r="H121" s="30"/>
      <c r="I121" s="30"/>
      <c r="J121" s="30"/>
      <c r="K121" s="30"/>
      <c r="L121" s="30"/>
      <c r="M121" s="30"/>
      <c r="N121" s="30"/>
      <c r="O121" s="30"/>
      <c r="P121" s="15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 spans="2:28" ht="16" customHeight="1" x14ac:dyDescent="0.45">
      <c r="B122" s="14" t="s">
        <v>1207</v>
      </c>
      <c r="C122" s="14" t="s">
        <v>1208</v>
      </c>
      <c r="D122" s="61"/>
      <c r="E122" s="62">
        <v>-1584.829</v>
      </c>
      <c r="F122" s="61"/>
      <c r="G122" s="30"/>
      <c r="H122" s="30">
        <v>-775.33671000000004</v>
      </c>
      <c r="I122" s="30">
        <v>-687.39889000000005</v>
      </c>
      <c r="J122" s="30">
        <v>-55.355200000000004</v>
      </c>
      <c r="K122" s="30">
        <v>-9.9318600000000004</v>
      </c>
      <c r="L122" s="30">
        <v>-28.001550000000002</v>
      </c>
      <c r="M122" s="30"/>
      <c r="N122" s="30">
        <v>-28.804790000000001</v>
      </c>
      <c r="O122" s="30"/>
      <c r="P122" s="15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 spans="2:28" ht="16" customHeight="1" x14ac:dyDescent="0.45">
      <c r="B123" s="14" t="s">
        <v>1209</v>
      </c>
      <c r="C123" s="14" t="s">
        <v>1210</v>
      </c>
      <c r="D123" s="61"/>
      <c r="E123" s="62"/>
      <c r="F123" s="61"/>
      <c r="G123" s="30"/>
      <c r="H123" s="30"/>
      <c r="I123" s="30"/>
      <c r="J123" s="30"/>
      <c r="K123" s="30"/>
      <c r="L123" s="30"/>
      <c r="M123" s="30"/>
      <c r="N123" s="30"/>
      <c r="O123" s="30"/>
      <c r="P123" s="15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spans="2:28" ht="16" customHeight="1" x14ac:dyDescent="0.45">
      <c r="B124" s="14" t="s">
        <v>1211</v>
      </c>
      <c r="C124" s="14" t="s">
        <v>1212</v>
      </c>
      <c r="D124" s="61"/>
      <c r="E124" s="62">
        <v>-25.422180000000001</v>
      </c>
      <c r="F124" s="61"/>
      <c r="G124" s="30">
        <v>-16.50949</v>
      </c>
      <c r="H124" s="30">
        <v>-7.0963399999999996</v>
      </c>
      <c r="I124" s="30">
        <v>-5.7099999999999998E-3</v>
      </c>
      <c r="J124" s="30">
        <v>-0.71323000000000003</v>
      </c>
      <c r="K124" s="30">
        <v>-1.1745000000000001</v>
      </c>
      <c r="L124" s="30">
        <v>2.5420000000000002E-2</v>
      </c>
      <c r="M124" s="30"/>
      <c r="N124" s="30"/>
      <c r="O124" s="30"/>
      <c r="P124" s="15">
        <v>5.1670000000000001E-2</v>
      </c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spans="2:28" ht="16" customHeight="1" x14ac:dyDescent="0.45">
      <c r="B125" s="14" t="s">
        <v>1213</v>
      </c>
      <c r="C125" s="14" t="s">
        <v>1214</v>
      </c>
      <c r="D125" s="61"/>
      <c r="E125" s="62">
        <v>127.40056</v>
      </c>
      <c r="F125" s="61"/>
      <c r="G125" s="30">
        <v>122.03966</v>
      </c>
      <c r="H125" s="30">
        <v>5.3609</v>
      </c>
      <c r="I125" s="30"/>
      <c r="J125" s="30"/>
      <c r="K125" s="30"/>
      <c r="L125" s="30"/>
      <c r="M125" s="30"/>
      <c r="N125" s="30"/>
      <c r="O125" s="30"/>
      <c r="P125" s="15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spans="2:28" ht="16" customHeight="1" x14ac:dyDescent="0.45">
      <c r="B126" s="14" t="s">
        <v>1215</v>
      </c>
      <c r="C126" s="14" t="s">
        <v>1216</v>
      </c>
      <c r="D126" s="61"/>
      <c r="E126" s="62">
        <v>-2277.085</v>
      </c>
      <c r="F126" s="61"/>
      <c r="G126" s="30"/>
      <c r="H126" s="30">
        <v>-2277.085</v>
      </c>
      <c r="I126" s="30"/>
      <c r="J126" s="30"/>
      <c r="K126" s="30"/>
      <c r="L126" s="30"/>
      <c r="M126" s="30"/>
      <c r="N126" s="30"/>
      <c r="O126" s="30"/>
      <c r="P126" s="15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spans="2:28" ht="16" customHeight="1" x14ac:dyDescent="0.45">
      <c r="B127" s="14" t="s">
        <v>194</v>
      </c>
      <c r="C127" s="14" t="s">
        <v>195</v>
      </c>
      <c r="D127" s="61"/>
      <c r="E127" s="62"/>
      <c r="F127" s="61"/>
      <c r="G127" s="30"/>
      <c r="H127" s="30"/>
      <c r="I127" s="30"/>
      <c r="J127" s="30"/>
      <c r="K127" s="30"/>
      <c r="L127" s="30"/>
      <c r="M127" s="30"/>
      <c r="N127" s="30"/>
      <c r="O127" s="30"/>
      <c r="P127" s="15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spans="2:28" ht="16" customHeight="1" x14ac:dyDescent="0.45">
      <c r="B128" s="14" t="s">
        <v>216</v>
      </c>
      <c r="C128" s="14" t="s">
        <v>1217</v>
      </c>
      <c r="D128" s="61"/>
      <c r="E128" s="62"/>
      <c r="F128" s="61"/>
      <c r="G128" s="30"/>
      <c r="H128" s="30"/>
      <c r="I128" s="30"/>
      <c r="J128" s="30"/>
      <c r="K128" s="30"/>
      <c r="L128" s="30"/>
      <c r="M128" s="30"/>
      <c r="N128" s="30"/>
      <c r="O128" s="30"/>
      <c r="P128" s="15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spans="2:28" ht="16" customHeight="1" x14ac:dyDescent="0.45">
      <c r="B129" s="14" t="s">
        <v>220</v>
      </c>
      <c r="C129" s="14" t="s">
        <v>221</v>
      </c>
      <c r="D129" s="61"/>
      <c r="E129" s="62"/>
      <c r="F129" s="61"/>
      <c r="G129" s="30"/>
      <c r="H129" s="30"/>
      <c r="I129" s="30"/>
      <c r="J129" s="30"/>
      <c r="K129" s="30"/>
      <c r="L129" s="30"/>
      <c r="M129" s="30"/>
      <c r="N129" s="30"/>
      <c r="O129" s="30"/>
      <c r="P129" s="15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spans="2:28" ht="16" customHeight="1" x14ac:dyDescent="0.45">
      <c r="B130" s="14" t="s">
        <v>1218</v>
      </c>
      <c r="C130" s="14" t="s">
        <v>1219</v>
      </c>
      <c r="D130" s="61"/>
      <c r="E130" s="62">
        <v>-13878.401030000001</v>
      </c>
      <c r="F130" s="61"/>
      <c r="G130" s="30"/>
      <c r="H130" s="30">
        <v>-13878.401030000001</v>
      </c>
      <c r="I130" s="30"/>
      <c r="J130" s="30"/>
      <c r="K130" s="30"/>
      <c r="L130" s="30"/>
      <c r="M130" s="30"/>
      <c r="N130" s="30"/>
      <c r="O130" s="30"/>
      <c r="P130" s="15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spans="2:28" ht="16" customHeight="1" x14ac:dyDescent="0.45">
      <c r="B131" s="14" t="s">
        <v>1220</v>
      </c>
      <c r="C131" s="14" t="s">
        <v>1221</v>
      </c>
      <c r="D131" s="61"/>
      <c r="E131" s="62">
        <v>-31448.905930000001</v>
      </c>
      <c r="F131" s="61"/>
      <c r="G131" s="30"/>
      <c r="H131" s="30">
        <v>-31448.905930000001</v>
      </c>
      <c r="I131" s="30"/>
      <c r="J131" s="30"/>
      <c r="K131" s="30"/>
      <c r="L131" s="30"/>
      <c r="M131" s="30"/>
      <c r="N131" s="30"/>
      <c r="O131" s="30"/>
      <c r="P131" s="15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spans="2:28" ht="16" customHeight="1" x14ac:dyDescent="0.45">
      <c r="B132" s="14" t="s">
        <v>1222</v>
      </c>
      <c r="C132" s="14" t="s">
        <v>1223</v>
      </c>
      <c r="D132" s="61"/>
      <c r="E132" s="62"/>
      <c r="F132" s="61"/>
      <c r="G132" s="30"/>
      <c r="H132" s="30"/>
      <c r="I132" s="30"/>
      <c r="J132" s="30"/>
      <c r="K132" s="30"/>
      <c r="L132" s="30"/>
      <c r="M132" s="30"/>
      <c r="N132" s="30"/>
      <c r="O132" s="30"/>
      <c r="P132" s="15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spans="2:28" ht="16" customHeight="1" x14ac:dyDescent="0.45">
      <c r="B133" s="14" t="s">
        <v>1224</v>
      </c>
      <c r="C133" s="14" t="s">
        <v>1225</v>
      </c>
      <c r="D133" s="61"/>
      <c r="E133" s="62"/>
      <c r="F133" s="61"/>
      <c r="G133" s="30"/>
      <c r="H133" s="30"/>
      <c r="I133" s="30"/>
      <c r="J133" s="30"/>
      <c r="K133" s="30"/>
      <c r="L133" s="30"/>
      <c r="M133" s="30"/>
      <c r="N133" s="30"/>
      <c r="O133" s="30"/>
      <c r="P133" s="15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spans="2:28" ht="16" customHeight="1" x14ac:dyDescent="0.45">
      <c r="B134" s="14" t="s">
        <v>1226</v>
      </c>
      <c r="C134" s="14" t="s">
        <v>1227</v>
      </c>
      <c r="D134" s="61"/>
      <c r="E134" s="62"/>
      <c r="F134" s="61"/>
      <c r="G134" s="30"/>
      <c r="H134" s="30"/>
      <c r="I134" s="30"/>
      <c r="J134" s="30"/>
      <c r="K134" s="30"/>
      <c r="L134" s="30"/>
      <c r="M134" s="30"/>
      <c r="N134" s="30"/>
      <c r="O134" s="30"/>
      <c r="P134" s="15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spans="2:28" ht="16" customHeight="1" x14ac:dyDescent="0.45">
      <c r="B135" s="14" t="s">
        <v>1228</v>
      </c>
      <c r="C135" s="14" t="s">
        <v>1229</v>
      </c>
      <c r="D135" s="61"/>
      <c r="E135" s="62"/>
      <c r="F135" s="61"/>
      <c r="G135" s="30"/>
      <c r="H135" s="30"/>
      <c r="I135" s="30"/>
      <c r="J135" s="30"/>
      <c r="K135" s="30"/>
      <c r="L135" s="30"/>
      <c r="M135" s="30"/>
      <c r="N135" s="30"/>
      <c r="O135" s="30"/>
      <c r="P135" s="15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spans="2:28" ht="16" customHeight="1" x14ac:dyDescent="0.45">
      <c r="B136" s="14" t="s">
        <v>1230</v>
      </c>
      <c r="C136" s="14" t="s">
        <v>1231</v>
      </c>
      <c r="D136" s="61"/>
      <c r="E136" s="62"/>
      <c r="F136" s="61"/>
      <c r="G136" s="30"/>
      <c r="H136" s="30"/>
      <c r="I136" s="30"/>
      <c r="J136" s="30"/>
      <c r="K136" s="30"/>
      <c r="L136" s="30"/>
      <c r="M136" s="30"/>
      <c r="N136" s="30"/>
      <c r="O136" s="30"/>
      <c r="P136" s="15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spans="2:28" ht="16" customHeight="1" x14ac:dyDescent="0.45">
      <c r="B137" s="14" t="s">
        <v>1232</v>
      </c>
      <c r="C137" s="14" t="s">
        <v>1233</v>
      </c>
      <c r="D137" s="61"/>
      <c r="E137" s="62"/>
      <c r="F137" s="61"/>
      <c r="G137" s="30"/>
      <c r="H137" s="30"/>
      <c r="I137" s="30"/>
      <c r="J137" s="30"/>
      <c r="K137" s="30"/>
      <c r="L137" s="30"/>
      <c r="M137" s="30"/>
      <c r="N137" s="30"/>
      <c r="O137" s="30"/>
      <c r="P137" s="15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spans="2:28" ht="16" customHeight="1" x14ac:dyDescent="0.45">
      <c r="B138" s="14" t="s">
        <v>1234</v>
      </c>
      <c r="C138" s="14" t="s">
        <v>1235</v>
      </c>
      <c r="D138" s="61"/>
      <c r="E138" s="62"/>
      <c r="F138" s="61"/>
      <c r="G138" s="30"/>
      <c r="H138" s="30"/>
      <c r="I138" s="30"/>
      <c r="J138" s="30"/>
      <c r="K138" s="30"/>
      <c r="L138" s="30"/>
      <c r="M138" s="30"/>
      <c r="N138" s="30"/>
      <c r="O138" s="30"/>
      <c r="P138" s="15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spans="2:28" ht="16" customHeight="1" x14ac:dyDescent="0.45">
      <c r="B139" s="14" t="s">
        <v>1236</v>
      </c>
      <c r="C139" s="14" t="s">
        <v>1237</v>
      </c>
      <c r="D139" s="61"/>
      <c r="E139" s="62"/>
      <c r="F139" s="61"/>
      <c r="G139" s="30"/>
      <c r="H139" s="30"/>
      <c r="I139" s="30"/>
      <c r="J139" s="30"/>
      <c r="K139" s="30"/>
      <c r="L139" s="30"/>
      <c r="M139" s="30"/>
      <c r="N139" s="30"/>
      <c r="O139" s="30"/>
      <c r="P139" s="15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spans="2:28" ht="16" customHeight="1" x14ac:dyDescent="0.45">
      <c r="B140" s="14" t="s">
        <v>1238</v>
      </c>
      <c r="C140" s="14" t="s">
        <v>1239</v>
      </c>
      <c r="D140" s="61"/>
      <c r="E140" s="62"/>
      <c r="F140" s="61"/>
      <c r="G140" s="30"/>
      <c r="H140" s="30"/>
      <c r="I140" s="30"/>
      <c r="J140" s="30"/>
      <c r="K140" s="30"/>
      <c r="L140" s="30"/>
      <c r="M140" s="30"/>
      <c r="N140" s="30"/>
      <c r="O140" s="30"/>
      <c r="P140" s="15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spans="2:28" ht="16" customHeight="1" x14ac:dyDescent="0.45">
      <c r="B141" s="14" t="s">
        <v>218</v>
      </c>
      <c r="C141" s="14" t="s">
        <v>1240</v>
      </c>
      <c r="D141" s="61"/>
      <c r="E141" s="62"/>
      <c r="F141" s="61"/>
      <c r="G141" s="30"/>
      <c r="H141" s="30"/>
      <c r="I141" s="30"/>
      <c r="J141" s="30"/>
      <c r="K141" s="30"/>
      <c r="L141" s="30"/>
      <c r="M141" s="30"/>
      <c r="N141" s="30"/>
      <c r="O141" s="30"/>
      <c r="P141" s="15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spans="2:28" ht="16" customHeight="1" x14ac:dyDescent="0.45">
      <c r="B142" s="14" t="s">
        <v>222</v>
      </c>
      <c r="C142" s="14" t="s">
        <v>223</v>
      </c>
      <c r="D142" s="61"/>
      <c r="E142" s="62"/>
      <c r="F142" s="61"/>
      <c r="G142" s="30"/>
      <c r="H142" s="30"/>
      <c r="I142" s="30"/>
      <c r="J142" s="30"/>
      <c r="K142" s="30"/>
      <c r="L142" s="30"/>
      <c r="M142" s="30"/>
      <c r="N142" s="30"/>
      <c r="O142" s="30"/>
      <c r="P142" s="15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spans="2:28" ht="16" customHeight="1" x14ac:dyDescent="0.45">
      <c r="B143" s="14" t="s">
        <v>224</v>
      </c>
      <c r="C143" s="14" t="s">
        <v>225</v>
      </c>
      <c r="D143" s="61"/>
      <c r="E143" s="62"/>
      <c r="F143" s="61"/>
      <c r="G143" s="30"/>
      <c r="H143" s="30"/>
      <c r="I143" s="30"/>
      <c r="J143" s="30"/>
      <c r="K143" s="30"/>
      <c r="L143" s="30"/>
      <c r="M143" s="30"/>
      <c r="N143" s="30"/>
      <c r="O143" s="30"/>
      <c r="P143" s="15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spans="2:28" ht="16" customHeight="1" x14ac:dyDescent="0.45">
      <c r="B144" s="14" t="s">
        <v>256</v>
      </c>
      <c r="C144" s="14" t="s">
        <v>1241</v>
      </c>
      <c r="D144" s="61"/>
      <c r="E144" s="62"/>
      <c r="F144" s="61"/>
      <c r="G144" s="30"/>
      <c r="H144" s="30"/>
      <c r="I144" s="30"/>
      <c r="J144" s="30"/>
      <c r="K144" s="30"/>
      <c r="L144" s="30"/>
      <c r="M144" s="30"/>
      <c r="N144" s="30"/>
      <c r="O144" s="30"/>
      <c r="P144" s="15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spans="2:28" ht="16" customHeight="1" x14ac:dyDescent="0.45">
      <c r="B145" s="14" t="s">
        <v>262</v>
      </c>
      <c r="C145" s="14" t="s">
        <v>1242</v>
      </c>
      <c r="D145" s="61"/>
      <c r="E145" s="62"/>
      <c r="F145" s="61"/>
      <c r="G145" s="30"/>
      <c r="H145" s="30"/>
      <c r="I145" s="30"/>
      <c r="J145" s="30"/>
      <c r="K145" s="30"/>
      <c r="L145" s="30"/>
      <c r="M145" s="30"/>
      <c r="N145" s="30"/>
      <c r="O145" s="30"/>
      <c r="P145" s="15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spans="2:28" ht="16" customHeight="1" x14ac:dyDescent="0.45">
      <c r="B146" s="14" t="s">
        <v>1243</v>
      </c>
      <c r="C146" s="14" t="s">
        <v>1244</v>
      </c>
      <c r="D146" s="61"/>
      <c r="E146" s="23">
        <v>195957.39610000001</v>
      </c>
      <c r="F146" s="63"/>
      <c r="G146" s="15">
        <v>-13.55456</v>
      </c>
      <c r="H146" s="15">
        <v>214445.73357000001</v>
      </c>
      <c r="I146" s="15">
        <v>-1390.2702899999999</v>
      </c>
      <c r="J146" s="15">
        <v>-25567.951830000002</v>
      </c>
      <c r="K146" s="15">
        <v>-29983.110680000002</v>
      </c>
      <c r="L146" s="15">
        <v>36603.982709999997</v>
      </c>
      <c r="M146" s="15"/>
      <c r="N146" s="15">
        <v>-31.55416</v>
      </c>
      <c r="O146" s="15">
        <v>868.89909</v>
      </c>
      <c r="P146" s="15">
        <v>1025.22225</v>
      </c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spans="2:28" ht="16" customHeight="1" x14ac:dyDescent="0.45">
      <c r="B147" s="13"/>
      <c r="C147" s="9"/>
      <c r="D147" s="9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</row>
    <row r="148" spans="2:28" ht="16" customHeight="1" x14ac:dyDescent="0.45">
      <c r="B148" s="13"/>
      <c r="C148" s="9"/>
      <c r="D148" s="9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</row>
    <row r="149" spans="2:28" ht="16" customHeight="1" x14ac:dyDescent="0.45">
      <c r="B149" s="13"/>
      <c r="C149" s="9"/>
      <c r="D149" s="9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</row>
    <row r="150" spans="2:28" ht="16" customHeight="1" x14ac:dyDescent="0.45">
      <c r="B150" s="13"/>
      <c r="C150" s="9"/>
      <c r="D150" s="9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</row>
    <row r="151" spans="2:28" ht="16" customHeight="1" x14ac:dyDescent="0.45">
      <c r="B151" s="13"/>
      <c r="C151" s="9"/>
      <c r="D151" s="9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</row>
    <row r="152" spans="2:28" ht="16" customHeight="1" x14ac:dyDescent="0.45">
      <c r="B152" s="13"/>
      <c r="C152" s="9"/>
      <c r="D152" s="9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</row>
    <row r="153" spans="2:28" ht="16" customHeight="1" x14ac:dyDescent="0.45">
      <c r="B153" s="13"/>
      <c r="C153" s="9"/>
      <c r="D153" s="9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</row>
    <row r="154" spans="2:28" ht="16" customHeight="1" x14ac:dyDescent="0.45">
      <c r="B154" s="13"/>
      <c r="C154" s="9"/>
      <c r="D154" s="9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</row>
    <row r="155" spans="2:28" ht="16" customHeight="1" x14ac:dyDescent="0.45">
      <c r="B155" s="13"/>
      <c r="C155" s="9"/>
      <c r="D155" s="9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</row>
    <row r="156" spans="2:28" ht="16" customHeight="1" x14ac:dyDescent="0.45">
      <c r="B156" s="13"/>
      <c r="C156" s="9"/>
      <c r="D156" s="9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</row>
    <row r="157" spans="2:28" ht="16" customHeight="1" x14ac:dyDescent="0.45">
      <c r="B157" s="13"/>
      <c r="C157" s="9"/>
      <c r="D157" s="9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</row>
    <row r="158" spans="2:28" ht="16" customHeight="1" x14ac:dyDescent="0.45">
      <c r="B158" s="13"/>
      <c r="C158" s="9"/>
      <c r="D158" s="9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</row>
    <row r="159" spans="2:28" ht="16" customHeight="1" x14ac:dyDescent="0.45">
      <c r="B159" s="13"/>
      <c r="C159" s="9"/>
      <c r="D159" s="9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</row>
    <row r="160" spans="2:28" ht="16" customHeight="1" x14ac:dyDescent="0.45">
      <c r="B160" s="13"/>
      <c r="C160" s="9"/>
      <c r="D160" s="9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</row>
    <row r="161" spans="2:16" ht="16" customHeight="1" x14ac:dyDescent="0.45">
      <c r="B161" s="13"/>
      <c r="C161" s="9"/>
      <c r="D161" s="9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</row>
    <row r="162" spans="2:16" ht="16" customHeight="1" x14ac:dyDescent="0.45">
      <c r="B162" s="13"/>
      <c r="C162" s="9"/>
      <c r="D162" s="9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</row>
    <row r="163" spans="2:16" ht="16" customHeight="1" x14ac:dyDescent="0.45">
      <c r="B163" s="13"/>
      <c r="C163" s="9"/>
      <c r="D163" s="9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</row>
    <row r="164" spans="2:16" ht="16" customHeight="1" x14ac:dyDescent="0.45">
      <c r="B164" s="13"/>
      <c r="C164" s="9"/>
      <c r="D164" s="9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</row>
    <row r="165" spans="2:16" ht="16" customHeight="1" x14ac:dyDescent="0.45">
      <c r="B165" s="13"/>
      <c r="C165" s="9"/>
      <c r="D165" s="9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</row>
    <row r="166" spans="2:16" ht="16" customHeight="1" x14ac:dyDescent="0.45">
      <c r="B166" s="13"/>
      <c r="C166" s="9"/>
      <c r="D166" s="9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</row>
    <row r="167" spans="2:16" ht="16" customHeight="1" x14ac:dyDescent="0.45">
      <c r="B167" s="13"/>
      <c r="C167" s="9"/>
      <c r="D167" s="9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</row>
    <row r="168" spans="2:16" ht="16" customHeight="1" x14ac:dyDescent="0.45">
      <c r="B168" s="13"/>
      <c r="C168" s="9"/>
      <c r="D168" s="9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</row>
    <row r="169" spans="2:16" ht="16" customHeight="1" x14ac:dyDescent="0.45">
      <c r="B169" s="13"/>
      <c r="C169" s="9"/>
      <c r="D169" s="9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</row>
    <row r="170" spans="2:16" ht="16" customHeight="1" x14ac:dyDescent="0.45">
      <c r="B170" s="13"/>
      <c r="C170" s="9"/>
      <c r="D170" s="9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</row>
    <row r="171" spans="2:16" ht="16" customHeight="1" x14ac:dyDescent="0.45">
      <c r="B171" s="13"/>
      <c r="C171" s="9"/>
      <c r="D171" s="9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</row>
    <row r="172" spans="2:16" ht="16" customHeight="1" x14ac:dyDescent="0.45">
      <c r="B172" s="13"/>
      <c r="C172" s="9"/>
      <c r="D172" s="9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</row>
    <row r="173" spans="2:16" ht="16" customHeight="1" x14ac:dyDescent="0.45">
      <c r="B173" s="13"/>
      <c r="C173" s="9"/>
      <c r="D173" s="9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</row>
    <row r="174" spans="2:16" ht="16" customHeight="1" x14ac:dyDescent="0.45">
      <c r="B174" s="13"/>
      <c r="C174" s="9"/>
      <c r="D174" s="9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</row>
    <row r="175" spans="2:16" ht="16" customHeight="1" x14ac:dyDescent="0.45">
      <c r="B175" s="13"/>
      <c r="C175" s="9"/>
      <c r="D175" s="9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</row>
    <row r="176" spans="2:16" ht="16" customHeight="1" x14ac:dyDescent="0.45">
      <c r="B176" s="13"/>
      <c r="C176" s="9"/>
      <c r="D176" s="9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</row>
    <row r="177" spans="2:16" ht="16" customHeight="1" x14ac:dyDescent="0.45">
      <c r="B177" s="13"/>
      <c r="C177" s="9"/>
      <c r="D177" s="9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</row>
    <row r="178" spans="2:16" ht="16" customHeight="1" x14ac:dyDescent="0.45">
      <c r="B178" s="13"/>
      <c r="C178" s="9"/>
      <c r="D178" s="9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</row>
    <row r="179" spans="2:16" ht="16" customHeight="1" x14ac:dyDescent="0.45">
      <c r="B179" s="13"/>
      <c r="C179" s="9"/>
      <c r="D179" s="9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</row>
    <row r="180" spans="2:16" ht="16" customHeight="1" x14ac:dyDescent="0.45">
      <c r="B180" s="13"/>
      <c r="C180" s="9"/>
      <c r="D180" s="9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</row>
    <row r="181" spans="2:16" ht="16" customHeight="1" x14ac:dyDescent="0.45">
      <c r="B181" s="13"/>
      <c r="C181" s="9"/>
      <c r="D181" s="9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</row>
    <row r="182" spans="2:16" ht="16" customHeight="1" x14ac:dyDescent="0.45">
      <c r="B182" s="13"/>
      <c r="C182" s="9"/>
      <c r="D182" s="9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</row>
    <row r="183" spans="2:16" ht="16" customHeight="1" x14ac:dyDescent="0.45">
      <c r="B183" s="13"/>
      <c r="C183" s="9"/>
      <c r="D183" s="9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</row>
    <row r="184" spans="2:16" ht="16" customHeight="1" x14ac:dyDescent="0.45">
      <c r="B184" s="13"/>
      <c r="C184" s="9"/>
      <c r="D184" s="9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</row>
    <row r="185" spans="2:16" ht="16" customHeight="1" x14ac:dyDescent="0.45">
      <c r="B185" s="13"/>
      <c r="C185" s="9"/>
      <c r="D185" s="9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</row>
    <row r="186" spans="2:16" ht="16" customHeight="1" x14ac:dyDescent="0.45">
      <c r="B186" s="13"/>
      <c r="C186" s="9"/>
      <c r="D186" s="9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</row>
    <row r="187" spans="2:16" ht="16" customHeight="1" x14ac:dyDescent="0.45">
      <c r="B187" s="13"/>
      <c r="C187" s="9"/>
      <c r="D187" s="9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</row>
    <row r="188" spans="2:16" ht="16" customHeight="1" x14ac:dyDescent="0.45">
      <c r="B188" s="13"/>
      <c r="C188" s="9"/>
      <c r="D188" s="9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</row>
    <row r="189" spans="2:16" ht="16" customHeight="1" x14ac:dyDescent="0.45">
      <c r="B189" s="13"/>
      <c r="C189" s="9"/>
      <c r="D189" s="9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</row>
    <row r="190" spans="2:16" ht="16" customHeight="1" x14ac:dyDescent="0.45">
      <c r="B190" s="13"/>
      <c r="C190" s="9"/>
      <c r="D190" s="9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</row>
    <row r="191" spans="2:16" ht="16" customHeight="1" x14ac:dyDescent="0.45">
      <c r="B191" s="13"/>
      <c r="C191" s="9"/>
      <c r="D191" s="9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</row>
    <row r="192" spans="2:16" ht="16" customHeight="1" x14ac:dyDescent="0.45">
      <c r="B192" s="13"/>
      <c r="C192" s="9"/>
      <c r="D192" s="9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</row>
    <row r="193" spans="2:16" ht="16" customHeight="1" x14ac:dyDescent="0.45">
      <c r="B193" s="13"/>
      <c r="C193" s="9"/>
      <c r="D193" s="9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</row>
    <row r="194" spans="2:16" ht="16" customHeight="1" x14ac:dyDescent="0.45">
      <c r="B194" s="13"/>
      <c r="C194" s="9"/>
      <c r="D194" s="9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</row>
    <row r="195" spans="2:16" ht="16" customHeight="1" x14ac:dyDescent="0.45">
      <c r="B195" s="13"/>
      <c r="C195" s="9"/>
      <c r="D195" s="9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</row>
    <row r="196" spans="2:16" ht="16" customHeight="1" x14ac:dyDescent="0.45">
      <c r="B196" s="13"/>
      <c r="C196" s="9"/>
      <c r="D196" s="9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</row>
    <row r="197" spans="2:16" ht="16" customHeight="1" x14ac:dyDescent="0.45">
      <c r="B197" s="13"/>
      <c r="C197" s="9"/>
      <c r="D197" s="9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</row>
    <row r="198" spans="2:16" ht="16" customHeight="1" x14ac:dyDescent="0.45">
      <c r="B198" s="13"/>
      <c r="C198" s="9"/>
      <c r="D198" s="9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</row>
    <row r="199" spans="2:16" ht="16" customHeight="1" x14ac:dyDescent="0.45">
      <c r="B199" s="13"/>
      <c r="C199" s="9"/>
      <c r="D199" s="9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</row>
    <row r="200" spans="2:16" ht="16" customHeight="1" x14ac:dyDescent="0.45">
      <c r="B200" s="13"/>
      <c r="C200" s="9"/>
      <c r="D200" s="9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</row>
    <row r="201" spans="2:16" ht="16" customHeight="1" x14ac:dyDescent="0.45">
      <c r="B201" s="13"/>
      <c r="C201" s="9"/>
      <c r="D201" s="9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</row>
    <row r="202" spans="2:16" ht="16" customHeight="1" x14ac:dyDescent="0.45">
      <c r="B202" s="13"/>
      <c r="C202" s="9"/>
      <c r="D202" s="9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</row>
    <row r="203" spans="2:16" ht="16" customHeight="1" x14ac:dyDescent="0.45">
      <c r="B203" s="13"/>
      <c r="C203" s="9"/>
      <c r="D203" s="9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</row>
    <row r="204" spans="2:16" ht="16" customHeight="1" x14ac:dyDescent="0.45">
      <c r="B204" s="13"/>
      <c r="C204" s="9"/>
      <c r="D204" s="9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</row>
    <row r="205" spans="2:16" ht="16" customHeight="1" x14ac:dyDescent="0.45">
      <c r="B205" s="13"/>
      <c r="C205" s="9"/>
      <c r="D205" s="9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</row>
    <row r="206" spans="2:16" ht="16" customHeight="1" x14ac:dyDescent="0.45">
      <c r="B206" s="13"/>
      <c r="C206" s="9"/>
      <c r="D206" s="9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</row>
    <row r="207" spans="2:16" ht="16" customHeight="1" x14ac:dyDescent="0.45">
      <c r="B207" s="13"/>
      <c r="C207" s="9"/>
      <c r="D207" s="9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</row>
    <row r="208" spans="2:16" ht="16" customHeight="1" x14ac:dyDescent="0.45">
      <c r="B208" s="13"/>
      <c r="C208" s="9"/>
      <c r="D208" s="9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</row>
    <row r="209" spans="2:16" ht="16" customHeight="1" x14ac:dyDescent="0.45">
      <c r="B209" s="13"/>
      <c r="C209" s="9"/>
      <c r="D209" s="9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</row>
    <row r="210" spans="2:16" ht="16" customHeight="1" x14ac:dyDescent="0.45">
      <c r="B210" s="13"/>
      <c r="C210" s="9"/>
      <c r="D210" s="9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</row>
    <row r="211" spans="2:16" ht="16" customHeight="1" x14ac:dyDescent="0.45">
      <c r="B211" s="13"/>
      <c r="C211" s="9"/>
      <c r="D211" s="9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</row>
    <row r="212" spans="2:16" ht="16" customHeight="1" x14ac:dyDescent="0.45">
      <c r="B212" s="13"/>
      <c r="C212" s="9"/>
      <c r="D212" s="9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</row>
    <row r="213" spans="2:16" ht="16" customHeight="1" x14ac:dyDescent="0.45">
      <c r="B213" s="13"/>
      <c r="C213" s="9"/>
      <c r="D213" s="9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</row>
    <row r="214" spans="2:16" ht="16" customHeight="1" x14ac:dyDescent="0.45">
      <c r="B214" s="13"/>
      <c r="C214" s="9"/>
      <c r="D214" s="9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</row>
    <row r="215" spans="2:16" ht="16" customHeight="1" x14ac:dyDescent="0.45">
      <c r="B215" s="13"/>
      <c r="C215" s="9"/>
      <c r="D215" s="9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</row>
    <row r="216" spans="2:16" ht="16" customHeight="1" x14ac:dyDescent="0.45">
      <c r="B216" s="13"/>
      <c r="C216" s="9"/>
      <c r="D216" s="9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</row>
    <row r="217" spans="2:16" ht="16" customHeight="1" x14ac:dyDescent="0.45">
      <c r="B217" s="13"/>
      <c r="C217" s="9"/>
      <c r="D217" s="9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</row>
    <row r="218" spans="2:16" ht="16" customHeight="1" x14ac:dyDescent="0.45">
      <c r="B218" s="13"/>
      <c r="C218" s="9"/>
      <c r="D218" s="9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</row>
    <row r="219" spans="2:16" ht="16" customHeight="1" x14ac:dyDescent="0.45">
      <c r="B219" s="13"/>
      <c r="C219" s="9"/>
      <c r="D219" s="9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</row>
    <row r="220" spans="2:16" ht="16" customHeight="1" x14ac:dyDescent="0.45">
      <c r="B220" s="13"/>
      <c r="C220" s="9"/>
      <c r="D220" s="9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</row>
    <row r="221" spans="2:16" ht="16" customHeight="1" x14ac:dyDescent="0.45">
      <c r="B221" s="13"/>
      <c r="C221" s="9"/>
      <c r="D221" s="9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</row>
    <row r="222" spans="2:16" ht="16" customHeight="1" x14ac:dyDescent="0.45">
      <c r="B222" s="13"/>
      <c r="C222" s="9"/>
      <c r="D222" s="9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</row>
    <row r="223" spans="2:16" ht="16" customHeight="1" x14ac:dyDescent="0.45">
      <c r="B223" s="13"/>
      <c r="C223" s="9"/>
      <c r="D223" s="9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</row>
    <row r="224" spans="2:16" ht="16" customHeight="1" x14ac:dyDescent="0.45">
      <c r="B224" s="13"/>
      <c r="C224" s="9"/>
      <c r="D224" s="9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</row>
    <row r="225" spans="2:16" ht="16" customHeight="1" x14ac:dyDescent="0.45">
      <c r="B225" s="13"/>
      <c r="C225" s="9"/>
      <c r="D225" s="9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</row>
    <row r="226" spans="2:16" ht="16" customHeight="1" x14ac:dyDescent="0.45">
      <c r="B226" s="13"/>
      <c r="C226" s="9"/>
      <c r="D226" s="9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</row>
    <row r="227" spans="2:16" ht="16" customHeight="1" x14ac:dyDescent="0.45">
      <c r="B227" s="13"/>
      <c r="C227" s="9"/>
      <c r="D227" s="9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</row>
    <row r="228" spans="2:16" ht="16" customHeight="1" x14ac:dyDescent="0.45">
      <c r="B228" s="13"/>
      <c r="C228" s="9"/>
      <c r="D228" s="9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</row>
    <row r="229" spans="2:16" ht="16" customHeight="1" x14ac:dyDescent="0.45">
      <c r="B229" s="13"/>
      <c r="C229" s="9"/>
      <c r="D229" s="9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</row>
    <row r="230" spans="2:16" ht="16" customHeight="1" x14ac:dyDescent="0.45">
      <c r="B230" s="13"/>
      <c r="C230" s="9"/>
      <c r="D230" s="9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</row>
    <row r="231" spans="2:16" ht="16" customHeight="1" x14ac:dyDescent="0.45">
      <c r="B231" s="13"/>
      <c r="C231" s="9"/>
      <c r="D231" s="9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</row>
    <row r="232" spans="2:16" ht="16" customHeight="1" x14ac:dyDescent="0.45">
      <c r="B232" s="13"/>
      <c r="C232" s="9"/>
      <c r="D232" s="9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</row>
    <row r="233" spans="2:16" ht="16" customHeight="1" x14ac:dyDescent="0.45">
      <c r="B233" s="13"/>
      <c r="C233" s="9"/>
      <c r="D233" s="9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</row>
    <row r="234" spans="2:16" ht="16" customHeight="1" x14ac:dyDescent="0.45">
      <c r="B234" s="13"/>
      <c r="C234" s="9"/>
      <c r="D234" s="9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</row>
    <row r="235" spans="2:16" ht="16" customHeight="1" x14ac:dyDescent="0.45">
      <c r="B235" s="13"/>
      <c r="C235" s="9"/>
      <c r="D235" s="9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</row>
    <row r="236" spans="2:16" ht="16" customHeight="1" x14ac:dyDescent="0.45">
      <c r="B236" s="13"/>
      <c r="C236" s="9"/>
      <c r="D236" s="9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</row>
    <row r="237" spans="2:16" ht="16" customHeight="1" x14ac:dyDescent="0.45">
      <c r="B237" s="13"/>
      <c r="C237" s="9"/>
      <c r="D237" s="9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</row>
    <row r="238" spans="2:16" ht="16" customHeight="1" x14ac:dyDescent="0.45">
      <c r="B238" s="13"/>
      <c r="C238" s="9"/>
      <c r="D238" s="9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</row>
    <row r="239" spans="2:16" ht="16" customHeight="1" x14ac:dyDescent="0.45">
      <c r="B239" s="13"/>
      <c r="C239" s="9"/>
      <c r="D239" s="9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</row>
    <row r="240" spans="2:16" ht="16" customHeight="1" x14ac:dyDescent="0.45">
      <c r="B240" s="13"/>
      <c r="C240" s="9"/>
      <c r="D240" s="9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</row>
    <row r="241" spans="2:16" ht="16" customHeight="1" x14ac:dyDescent="0.45">
      <c r="B241" s="13"/>
      <c r="C241" s="9"/>
      <c r="D241" s="9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</row>
    <row r="242" spans="2:16" ht="16" customHeight="1" x14ac:dyDescent="0.45">
      <c r="B242" s="13"/>
      <c r="C242" s="9"/>
      <c r="D242" s="9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</row>
    <row r="243" spans="2:16" ht="16" customHeight="1" x14ac:dyDescent="0.45">
      <c r="B243" s="13"/>
      <c r="C243" s="9"/>
      <c r="D243" s="9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</row>
    <row r="244" spans="2:16" ht="16" customHeight="1" x14ac:dyDescent="0.45">
      <c r="B244" s="13"/>
      <c r="C244" s="9"/>
      <c r="D244" s="9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</row>
    <row r="245" spans="2:16" ht="16" customHeight="1" x14ac:dyDescent="0.45">
      <c r="B245" s="13"/>
      <c r="C245" s="9"/>
      <c r="D245" s="9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</row>
    <row r="246" spans="2:16" ht="16" customHeight="1" x14ac:dyDescent="0.45">
      <c r="B246" s="13"/>
      <c r="C246" s="9"/>
      <c r="D246" s="9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</row>
    <row r="247" spans="2:16" ht="16" customHeight="1" x14ac:dyDescent="0.45">
      <c r="B247" s="13"/>
      <c r="C247" s="9"/>
      <c r="D247" s="9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</row>
    <row r="248" spans="2:16" ht="16" customHeight="1" x14ac:dyDescent="0.45">
      <c r="B248" s="13"/>
      <c r="C248" s="9"/>
      <c r="D248" s="9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</row>
    <row r="249" spans="2:16" ht="16" customHeight="1" x14ac:dyDescent="0.45">
      <c r="B249" s="13"/>
      <c r="C249" s="9"/>
      <c r="D249" s="9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</row>
    <row r="250" spans="2:16" ht="16" customHeight="1" x14ac:dyDescent="0.45">
      <c r="B250" s="13"/>
      <c r="C250" s="9"/>
      <c r="D250" s="9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</row>
    <row r="251" spans="2:16" ht="16" customHeight="1" x14ac:dyDescent="0.45">
      <c r="B251" s="13"/>
      <c r="C251" s="9"/>
      <c r="D251" s="9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</row>
    <row r="252" spans="2:16" ht="16" customHeight="1" x14ac:dyDescent="0.45">
      <c r="B252" s="13"/>
      <c r="C252" s="9"/>
      <c r="D252" s="9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</row>
    <row r="253" spans="2:16" ht="16" customHeight="1" x14ac:dyDescent="0.45">
      <c r="B253" s="13"/>
      <c r="C253" s="9"/>
      <c r="D253" s="9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</row>
    <row r="254" spans="2:16" ht="16" customHeight="1" x14ac:dyDescent="0.45">
      <c r="B254" s="13"/>
      <c r="C254" s="9"/>
      <c r="D254" s="9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</row>
    <row r="255" spans="2:16" ht="16" customHeight="1" x14ac:dyDescent="0.45">
      <c r="B255" s="13"/>
      <c r="C255" s="9"/>
      <c r="D255" s="9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</row>
    <row r="256" spans="2:16" ht="16" customHeight="1" x14ac:dyDescent="0.45">
      <c r="B256" s="13"/>
      <c r="C256" s="9"/>
      <c r="D256" s="9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</row>
    <row r="257" spans="2:16" ht="16" customHeight="1" x14ac:dyDescent="0.45">
      <c r="B257" s="13"/>
      <c r="C257" s="9"/>
      <c r="D257" s="9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</row>
    <row r="258" spans="2:16" ht="16" customHeight="1" x14ac:dyDescent="0.45">
      <c r="B258" s="13"/>
      <c r="C258" s="9"/>
      <c r="D258" s="9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</row>
    <row r="259" spans="2:16" ht="16" customHeight="1" x14ac:dyDescent="0.45">
      <c r="B259" s="13"/>
      <c r="C259" s="9"/>
      <c r="D259" s="9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</row>
    <row r="260" spans="2:16" ht="16" customHeight="1" x14ac:dyDescent="0.45">
      <c r="B260" s="13"/>
      <c r="C260" s="9"/>
      <c r="D260" s="9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</row>
    <row r="261" spans="2:16" ht="16" customHeight="1" x14ac:dyDescent="0.45">
      <c r="B261" s="13"/>
      <c r="C261" s="9"/>
      <c r="D261" s="9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</row>
    <row r="262" spans="2:16" ht="16" customHeight="1" x14ac:dyDescent="0.45">
      <c r="B262" s="13"/>
      <c r="C262" s="9"/>
      <c r="D262" s="9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</row>
    <row r="263" spans="2:16" ht="16" customHeight="1" x14ac:dyDescent="0.45">
      <c r="B263" s="13"/>
      <c r="C263" s="9"/>
      <c r="D263" s="9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</row>
    <row r="264" spans="2:16" ht="16" customHeight="1" x14ac:dyDescent="0.45">
      <c r="B264" s="13"/>
      <c r="C264" s="9"/>
      <c r="D264" s="9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</row>
    <row r="265" spans="2:16" ht="16" customHeight="1" x14ac:dyDescent="0.45">
      <c r="B265" s="13"/>
      <c r="C265" s="9"/>
      <c r="D265" s="9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</row>
    <row r="266" spans="2:16" ht="16" customHeight="1" x14ac:dyDescent="0.45">
      <c r="B266" s="13"/>
      <c r="C266" s="9"/>
      <c r="D266" s="9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</row>
    <row r="267" spans="2:16" ht="16" customHeight="1" x14ac:dyDescent="0.45">
      <c r="B267" s="13"/>
      <c r="C267" s="9"/>
      <c r="D267" s="9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</row>
    <row r="268" spans="2:16" ht="16" customHeight="1" x14ac:dyDescent="0.45">
      <c r="B268" s="13"/>
      <c r="C268" s="9"/>
      <c r="D268" s="9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</row>
    <row r="269" spans="2:16" ht="16" customHeight="1" x14ac:dyDescent="0.45">
      <c r="B269" s="13"/>
      <c r="C269" s="9"/>
      <c r="D269" s="9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</row>
    <row r="270" spans="2:16" ht="16" customHeight="1" x14ac:dyDescent="0.45">
      <c r="B270" s="13"/>
      <c r="C270" s="9"/>
      <c r="D270" s="9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</row>
    <row r="271" spans="2:16" ht="16" customHeight="1" x14ac:dyDescent="0.45">
      <c r="B271" s="13"/>
      <c r="C271" s="9"/>
      <c r="D271" s="9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</row>
    <row r="272" spans="2:16" ht="16" customHeight="1" x14ac:dyDescent="0.45">
      <c r="B272" s="13"/>
      <c r="C272" s="9"/>
      <c r="D272" s="9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</row>
    <row r="273" spans="2:16" ht="16" customHeight="1" x14ac:dyDescent="0.45">
      <c r="B273" s="13"/>
      <c r="C273" s="9"/>
      <c r="D273" s="9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</row>
    <row r="274" spans="2:16" ht="16" customHeight="1" x14ac:dyDescent="0.45">
      <c r="B274" s="13"/>
      <c r="C274" s="9"/>
      <c r="D274" s="9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</row>
    <row r="275" spans="2:16" ht="16" customHeight="1" x14ac:dyDescent="0.45">
      <c r="B275" s="13"/>
      <c r="C275" s="9"/>
      <c r="D275" s="9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</row>
    <row r="276" spans="2:16" ht="16" customHeight="1" x14ac:dyDescent="0.45">
      <c r="B276" s="13"/>
      <c r="C276" s="9"/>
      <c r="D276" s="9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</row>
    <row r="277" spans="2:16" ht="16" customHeight="1" x14ac:dyDescent="0.45">
      <c r="B277" s="13"/>
      <c r="C277" s="9"/>
      <c r="D277" s="9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</row>
    <row r="278" spans="2:16" ht="16" customHeight="1" x14ac:dyDescent="0.45">
      <c r="B278" s="13"/>
      <c r="C278" s="9"/>
      <c r="D278" s="9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</row>
    <row r="279" spans="2:16" ht="16" customHeight="1" x14ac:dyDescent="0.45">
      <c r="B279" s="13"/>
      <c r="C279" s="9"/>
      <c r="D279" s="9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</row>
    <row r="280" spans="2:16" ht="16" customHeight="1" x14ac:dyDescent="0.45">
      <c r="B280" s="13"/>
      <c r="C280" s="9"/>
      <c r="D280" s="9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</row>
    <row r="281" spans="2:16" ht="16" customHeight="1" x14ac:dyDescent="0.45">
      <c r="B281" s="13"/>
      <c r="C281" s="9"/>
      <c r="D281" s="9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</row>
    <row r="282" spans="2:16" ht="16" customHeight="1" x14ac:dyDescent="0.45">
      <c r="B282" s="13"/>
      <c r="C282" s="9"/>
      <c r="D282" s="9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</row>
    <row r="283" spans="2:16" ht="16" customHeight="1" x14ac:dyDescent="0.45">
      <c r="B283" s="13"/>
      <c r="C283" s="9"/>
      <c r="D283" s="9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</row>
    <row r="284" spans="2:16" ht="16" customHeight="1" x14ac:dyDescent="0.45">
      <c r="B284" s="13"/>
      <c r="C284" s="9"/>
      <c r="D284" s="9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</row>
    <row r="285" spans="2:16" ht="16" customHeight="1" x14ac:dyDescent="0.45">
      <c r="B285" s="13"/>
      <c r="C285" s="9"/>
      <c r="D285" s="9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</row>
  </sheetData>
  <mergeCells count="2">
    <mergeCell ref="B4:C4"/>
    <mergeCell ref="B7:C7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55EE7-2020-423B-A11A-EBC865AE8297}">
  <dimension ref="A3:AD352"/>
  <sheetViews>
    <sheetView showGridLines="0" zoomScale="90" zoomScaleNormal="90" workbookViewId="0">
      <pane xSplit="6" ySplit="9" topLeftCell="G10" activePane="bottomRight" state="frozen"/>
      <selection pane="topRight" activeCell="G1" sqref="G1"/>
      <selection pane="bottomLeft" activeCell="A7" sqref="A7"/>
      <selection pane="bottomRight" activeCell="B4" sqref="B4:C4"/>
    </sheetView>
  </sheetViews>
  <sheetFormatPr defaultColWidth="9.1796875" defaultRowHeight="16" customHeight="1" x14ac:dyDescent="0.35"/>
  <cols>
    <col min="1" max="1" width="1.7265625" style="1" customWidth="1"/>
    <col min="2" max="2" width="10.7265625" style="1" customWidth="1"/>
    <col min="3" max="3" width="60.7265625" style="1" customWidth="1"/>
    <col min="4" max="4" width="2.7265625" style="1" customWidth="1"/>
    <col min="5" max="5" width="14.7265625" style="1" customWidth="1"/>
    <col min="6" max="6" width="2.7265625" style="1" customWidth="1"/>
    <col min="7" max="80" width="14.7265625" style="1" customWidth="1"/>
    <col min="81" max="130" width="15.7265625" style="1" customWidth="1"/>
    <col min="131" max="16384" width="9.1796875" style="1"/>
  </cols>
  <sheetData>
    <row r="3" spans="1:30" ht="16" customHeight="1" x14ac:dyDescent="0.35">
      <c r="B3" s="2" t="s">
        <v>1245</v>
      </c>
    </row>
    <row r="4" spans="1:30" ht="16" customHeight="1" x14ac:dyDescent="0.35">
      <c r="B4" s="33" t="s">
        <v>270</v>
      </c>
      <c r="C4" s="33"/>
    </row>
    <row r="5" spans="1:30" ht="16" customHeight="1" x14ac:dyDescent="0.35">
      <c r="B5" s="4" t="s">
        <v>1046</v>
      </c>
    </row>
    <row r="6" spans="1:30" ht="16" customHeight="1" x14ac:dyDescent="0.35">
      <c r="B6" s="4" t="s">
        <v>1016</v>
      </c>
      <c r="E6" s="75"/>
      <c r="F6" s="4"/>
    </row>
    <row r="7" spans="1:30" ht="16" customHeight="1" x14ac:dyDescent="0.35">
      <c r="A7" s="20"/>
      <c r="B7" s="56">
        <v>46189.341432280089</v>
      </c>
      <c r="C7" s="56"/>
    </row>
    <row r="9" spans="1:30" ht="25" customHeight="1" thickBot="1" x14ac:dyDescent="0.5">
      <c r="B9" s="7"/>
      <c r="C9" s="28"/>
      <c r="D9" s="59"/>
      <c r="E9" s="21" t="s">
        <v>1017</v>
      </c>
      <c r="F9" s="59"/>
      <c r="G9" s="8" t="s">
        <v>1246</v>
      </c>
      <c r="H9" s="8" t="s">
        <v>1047</v>
      </c>
      <c r="I9" s="8" t="s">
        <v>1048</v>
      </c>
      <c r="J9" s="8" t="s">
        <v>1247</v>
      </c>
      <c r="K9" s="8" t="s">
        <v>1049</v>
      </c>
      <c r="L9" s="8" t="s">
        <v>1050</v>
      </c>
      <c r="M9" s="8" t="s">
        <v>1051</v>
      </c>
      <c r="N9" s="8" t="s">
        <v>1052</v>
      </c>
      <c r="O9" s="8" t="s">
        <v>1053</v>
      </c>
      <c r="P9" s="8" t="s">
        <v>1054</v>
      </c>
      <c r="Q9" s="8" t="s">
        <v>1055</v>
      </c>
      <c r="R9" s="8" t="s">
        <v>1056</v>
      </c>
      <c r="S9" s="9"/>
      <c r="T9" s="9"/>
      <c r="U9" s="9"/>
      <c r="V9" s="9"/>
      <c r="W9" s="9"/>
      <c r="X9" s="9"/>
      <c r="Y9" s="9"/>
      <c r="Z9" s="9"/>
      <c r="AA9" s="9"/>
      <c r="AB9" s="9"/>
      <c r="AC9" s="13"/>
      <c r="AD9" s="9"/>
    </row>
    <row r="10" spans="1:30" ht="15" customHeight="1" x14ac:dyDescent="0.45">
      <c r="B10" s="11"/>
      <c r="C10" s="11"/>
      <c r="D10" s="29"/>
      <c r="E10" s="60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12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 ht="16" customHeight="1" x14ac:dyDescent="0.45">
      <c r="B11" s="14" t="s">
        <v>285</v>
      </c>
      <c r="C11" s="14" t="s">
        <v>286</v>
      </c>
      <c r="D11" s="61"/>
      <c r="E11" s="23">
        <v>2829.2055599999999</v>
      </c>
      <c r="F11" s="63"/>
      <c r="G11" s="15">
        <v>0</v>
      </c>
      <c r="H11" s="15">
        <v>0</v>
      </c>
      <c r="I11" s="15">
        <v>2829.2055599999999</v>
      </c>
      <c r="J11" s="15"/>
      <c r="K11" s="15">
        <v>0</v>
      </c>
      <c r="L11" s="15">
        <v>0</v>
      </c>
      <c r="M11" s="15">
        <v>0</v>
      </c>
      <c r="N11" s="15">
        <v>0</v>
      </c>
      <c r="O11" s="15"/>
      <c r="P11" s="15">
        <v>0</v>
      </c>
      <c r="Q11" s="15">
        <v>0</v>
      </c>
      <c r="R11" s="15">
        <v>0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 ht="16" customHeight="1" x14ac:dyDescent="0.45">
      <c r="B12" s="14" t="s">
        <v>287</v>
      </c>
      <c r="C12" s="14" t="s">
        <v>288</v>
      </c>
      <c r="D12" s="61"/>
      <c r="E12" s="23"/>
      <c r="F12" s="63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 ht="16" customHeight="1" x14ac:dyDescent="0.45">
      <c r="B13" s="14" t="s">
        <v>1248</v>
      </c>
      <c r="C13" s="14" t="s">
        <v>1249</v>
      </c>
      <c r="D13" s="61"/>
      <c r="E13" s="23">
        <v>0</v>
      </c>
      <c r="F13" s="63"/>
      <c r="G13" s="15"/>
      <c r="H13" s="15"/>
      <c r="I13" s="15">
        <v>0</v>
      </c>
      <c r="J13" s="15"/>
      <c r="K13" s="15"/>
      <c r="L13" s="15"/>
      <c r="M13" s="15"/>
      <c r="N13" s="15"/>
      <c r="O13" s="15"/>
      <c r="P13" s="15"/>
      <c r="Q13" s="15"/>
      <c r="R13" s="15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 ht="16" customHeight="1" x14ac:dyDescent="0.45">
      <c r="B14" s="14" t="s">
        <v>1250</v>
      </c>
      <c r="C14" s="14" t="s">
        <v>1251</v>
      </c>
      <c r="D14" s="61"/>
      <c r="E14" s="23"/>
      <c r="F14" s="63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 ht="16" customHeight="1" x14ac:dyDescent="0.45">
      <c r="B15" s="14" t="s">
        <v>291</v>
      </c>
      <c r="C15" s="14" t="s">
        <v>292</v>
      </c>
      <c r="D15" s="61"/>
      <c r="E15" s="23"/>
      <c r="F15" s="63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 ht="16" customHeight="1" x14ac:dyDescent="0.45">
      <c r="B16" s="14" t="s">
        <v>1252</v>
      </c>
      <c r="C16" s="14" t="s">
        <v>1253</v>
      </c>
      <c r="D16" s="61"/>
      <c r="E16" s="23">
        <v>0</v>
      </c>
      <c r="F16" s="63"/>
      <c r="G16" s="15"/>
      <c r="H16" s="15"/>
      <c r="I16" s="15">
        <v>0</v>
      </c>
      <c r="J16" s="15"/>
      <c r="K16" s="15"/>
      <c r="L16" s="15"/>
      <c r="M16" s="15"/>
      <c r="N16" s="15"/>
      <c r="O16" s="15"/>
      <c r="P16" s="15"/>
      <c r="Q16" s="15"/>
      <c r="R16" s="15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2:30" ht="16" customHeight="1" x14ac:dyDescent="0.45">
      <c r="B17" s="14" t="s">
        <v>1254</v>
      </c>
      <c r="C17" s="14" t="s">
        <v>1255</v>
      </c>
      <c r="D17" s="61"/>
      <c r="E17" s="23"/>
      <c r="F17" s="63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2:30" ht="16" customHeight="1" x14ac:dyDescent="0.45">
      <c r="B18" s="14" t="s">
        <v>1256</v>
      </c>
      <c r="C18" s="14" t="s">
        <v>1257</v>
      </c>
      <c r="D18" s="61"/>
      <c r="E18" s="23">
        <v>0</v>
      </c>
      <c r="F18" s="63"/>
      <c r="G18" s="15"/>
      <c r="H18" s="15"/>
      <c r="I18" s="15">
        <v>0</v>
      </c>
      <c r="J18" s="15"/>
      <c r="K18" s="15"/>
      <c r="L18" s="15"/>
      <c r="M18" s="15"/>
      <c r="N18" s="15"/>
      <c r="O18" s="15"/>
      <c r="P18" s="15"/>
      <c r="Q18" s="15"/>
      <c r="R18" s="15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2:30" ht="16" customHeight="1" x14ac:dyDescent="0.45">
      <c r="B19" s="14" t="s">
        <v>1258</v>
      </c>
      <c r="C19" s="14" t="s">
        <v>1259</v>
      </c>
      <c r="D19" s="61"/>
      <c r="E19" s="23"/>
      <c r="F19" s="63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2:30" ht="16" customHeight="1" x14ac:dyDescent="0.45">
      <c r="B20" s="14" t="s">
        <v>298</v>
      </c>
      <c r="C20" s="14" t="s">
        <v>299</v>
      </c>
      <c r="D20" s="61"/>
      <c r="E20" s="23">
        <v>1826177.9283700001</v>
      </c>
      <c r="F20" s="63"/>
      <c r="G20" s="15"/>
      <c r="H20" s="15"/>
      <c r="I20" s="15">
        <v>1826177.9283700001</v>
      </c>
      <c r="J20" s="15"/>
      <c r="K20" s="15"/>
      <c r="L20" s="15"/>
      <c r="M20" s="15"/>
      <c r="N20" s="15"/>
      <c r="O20" s="15"/>
      <c r="P20" s="15"/>
      <c r="Q20" s="15"/>
      <c r="R20" s="15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2:30" ht="16" customHeight="1" x14ac:dyDescent="0.45">
      <c r="B21" s="14" t="s">
        <v>304</v>
      </c>
      <c r="C21" s="14" t="s">
        <v>1260</v>
      </c>
      <c r="D21" s="61"/>
      <c r="E21" s="23"/>
      <c r="F21" s="63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2:30" ht="16" customHeight="1" x14ac:dyDescent="0.45">
      <c r="B22" s="14" t="s">
        <v>306</v>
      </c>
      <c r="C22" s="14" t="s">
        <v>1261</v>
      </c>
      <c r="D22" s="61"/>
      <c r="E22" s="23"/>
      <c r="F22" s="63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2:30" ht="16" customHeight="1" x14ac:dyDescent="0.45">
      <c r="B23" s="14" t="s">
        <v>311</v>
      </c>
      <c r="C23" s="14" t="s">
        <v>312</v>
      </c>
      <c r="D23" s="61"/>
      <c r="E23" s="23">
        <v>2951.72606</v>
      </c>
      <c r="F23" s="63"/>
      <c r="G23" s="15"/>
      <c r="H23" s="15"/>
      <c r="I23" s="15">
        <v>2951.72606</v>
      </c>
      <c r="J23" s="15"/>
      <c r="K23" s="15"/>
      <c r="L23" s="15"/>
      <c r="M23" s="15"/>
      <c r="N23" s="15"/>
      <c r="O23" s="15"/>
      <c r="P23" s="15"/>
      <c r="Q23" s="15"/>
      <c r="R23" s="15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2:30" ht="16" customHeight="1" x14ac:dyDescent="0.45">
      <c r="B24" s="14" t="s">
        <v>314</v>
      </c>
      <c r="C24" s="14" t="s">
        <v>1262</v>
      </c>
      <c r="D24" s="61"/>
      <c r="E24" s="23">
        <v>28358.481349999998</v>
      </c>
      <c r="F24" s="63"/>
      <c r="G24" s="15"/>
      <c r="H24" s="15"/>
      <c r="I24" s="15">
        <v>16501.51413</v>
      </c>
      <c r="J24" s="15"/>
      <c r="K24" s="15"/>
      <c r="L24" s="15">
        <v>6.3177399999999997</v>
      </c>
      <c r="M24" s="15">
        <v>2305.1030700000001</v>
      </c>
      <c r="N24" s="15">
        <v>3861.6826900000001</v>
      </c>
      <c r="O24" s="15"/>
      <c r="P24" s="15">
        <v>0</v>
      </c>
      <c r="Q24" s="15">
        <v>0</v>
      </c>
      <c r="R24" s="15">
        <v>5683.8637200000003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2:30" ht="16" customHeight="1" x14ac:dyDescent="0.45">
      <c r="B25" s="14" t="s">
        <v>316</v>
      </c>
      <c r="C25" s="14" t="s">
        <v>1263</v>
      </c>
      <c r="D25" s="61"/>
      <c r="E25" s="23">
        <v>0</v>
      </c>
      <c r="F25" s="63"/>
      <c r="G25" s="15"/>
      <c r="H25" s="15"/>
      <c r="I25" s="15">
        <v>0</v>
      </c>
      <c r="J25" s="15"/>
      <c r="K25" s="15"/>
      <c r="L25" s="15"/>
      <c r="M25" s="15"/>
      <c r="N25" s="15"/>
      <c r="O25" s="15"/>
      <c r="P25" s="15"/>
      <c r="Q25" s="15"/>
      <c r="R25" s="15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2:30" ht="16" customHeight="1" x14ac:dyDescent="0.45">
      <c r="B26" s="14" t="s">
        <v>320</v>
      </c>
      <c r="C26" s="14" t="s">
        <v>1264</v>
      </c>
      <c r="D26" s="61"/>
      <c r="E26" s="23"/>
      <c r="F26" s="63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2:30" ht="16" customHeight="1" x14ac:dyDescent="0.45">
      <c r="B27" s="14" t="s">
        <v>322</v>
      </c>
      <c r="C27" s="14" t="s">
        <v>1265</v>
      </c>
      <c r="D27" s="61"/>
      <c r="E27" s="23">
        <v>-5363.4281000000001</v>
      </c>
      <c r="F27" s="63"/>
      <c r="G27" s="15"/>
      <c r="H27" s="15">
        <v>-127.16808</v>
      </c>
      <c r="I27" s="15">
        <v>-4960.8110699999997</v>
      </c>
      <c r="J27" s="15"/>
      <c r="K27" s="15">
        <v>-264.12200000000001</v>
      </c>
      <c r="L27" s="15"/>
      <c r="M27" s="15"/>
      <c r="N27" s="15">
        <v>-6.1579499999999996</v>
      </c>
      <c r="O27" s="15"/>
      <c r="P27" s="15"/>
      <c r="Q27" s="15">
        <v>-5.1689999999999996</v>
      </c>
      <c r="R27" s="15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2:30" ht="16" customHeight="1" x14ac:dyDescent="0.45">
      <c r="B28" s="14" t="s">
        <v>318</v>
      </c>
      <c r="C28" s="14" t="s">
        <v>1266</v>
      </c>
      <c r="D28" s="61"/>
      <c r="E28" s="23">
        <v>433927.92976000003</v>
      </c>
      <c r="F28" s="63"/>
      <c r="G28" s="15">
        <v>0</v>
      </c>
      <c r="H28" s="15">
        <v>2070.7447499999998</v>
      </c>
      <c r="I28" s="15">
        <v>407244.29491</v>
      </c>
      <c r="J28" s="15"/>
      <c r="K28" s="15">
        <v>8423.46875</v>
      </c>
      <c r="L28" s="15">
        <v>231.89501999999999</v>
      </c>
      <c r="M28" s="15">
        <v>0</v>
      </c>
      <c r="N28" s="15">
        <v>0</v>
      </c>
      <c r="O28" s="15"/>
      <c r="P28" s="15">
        <v>9.8617500000000007</v>
      </c>
      <c r="Q28" s="15">
        <v>3670.5373500000001</v>
      </c>
      <c r="R28" s="15">
        <v>12277.12723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2:30" ht="16" customHeight="1" x14ac:dyDescent="0.45">
      <c r="B29" s="14" t="s">
        <v>324</v>
      </c>
      <c r="C29" s="14" t="s">
        <v>325</v>
      </c>
      <c r="D29" s="61"/>
      <c r="E29" s="23">
        <v>555.31349999999998</v>
      </c>
      <c r="F29" s="63"/>
      <c r="G29" s="15"/>
      <c r="H29" s="15">
        <v>0</v>
      </c>
      <c r="I29" s="15">
        <v>368.45049</v>
      </c>
      <c r="J29" s="15"/>
      <c r="K29" s="15">
        <v>100.72663</v>
      </c>
      <c r="L29" s="15">
        <v>52.839219999999997</v>
      </c>
      <c r="M29" s="15">
        <v>33.03575</v>
      </c>
      <c r="N29" s="15">
        <v>0.26140999999999998</v>
      </c>
      <c r="O29" s="15"/>
      <c r="P29" s="15">
        <v>0</v>
      </c>
      <c r="Q29" s="15"/>
      <c r="R29" s="15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2:30" ht="16" customHeight="1" x14ac:dyDescent="0.45">
      <c r="B30" s="14" t="s">
        <v>329</v>
      </c>
      <c r="C30" s="14" t="s">
        <v>330</v>
      </c>
      <c r="D30" s="61"/>
      <c r="E30" s="23">
        <v>71864.971239999999</v>
      </c>
      <c r="F30" s="63"/>
      <c r="G30" s="15"/>
      <c r="H30" s="15"/>
      <c r="I30" s="15">
        <v>17562.867440000002</v>
      </c>
      <c r="J30" s="15"/>
      <c r="K30" s="15">
        <v>17.27196</v>
      </c>
      <c r="L30" s="15">
        <v>10512.267519999999</v>
      </c>
      <c r="M30" s="15">
        <v>26694.909489999998</v>
      </c>
      <c r="N30" s="15">
        <v>17077.654829999999</v>
      </c>
      <c r="O30" s="15"/>
      <c r="P30" s="15"/>
      <c r="Q30" s="15"/>
      <c r="R30" s="15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2:30" ht="16" customHeight="1" x14ac:dyDescent="0.45">
      <c r="B31" s="14" t="s">
        <v>333</v>
      </c>
      <c r="C31" s="14" t="s">
        <v>334</v>
      </c>
      <c r="D31" s="61"/>
      <c r="E31" s="23">
        <v>269889.33257999999</v>
      </c>
      <c r="F31" s="63"/>
      <c r="G31" s="15"/>
      <c r="H31" s="15"/>
      <c r="I31" s="15">
        <v>156612.96703999999</v>
      </c>
      <c r="J31" s="15"/>
      <c r="K31" s="15"/>
      <c r="L31" s="15">
        <v>53169.704400000002</v>
      </c>
      <c r="M31" s="15">
        <v>17915.068960000001</v>
      </c>
      <c r="N31" s="15">
        <v>42191.59218</v>
      </c>
      <c r="O31" s="15"/>
      <c r="P31" s="15"/>
      <c r="Q31" s="15"/>
      <c r="R31" s="15">
        <v>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2:30" ht="16" customHeight="1" x14ac:dyDescent="0.45">
      <c r="B32" s="14" t="s">
        <v>331</v>
      </c>
      <c r="C32" s="14" t="s">
        <v>332</v>
      </c>
      <c r="D32" s="61"/>
      <c r="E32" s="23"/>
      <c r="F32" s="63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2:30" ht="16" customHeight="1" x14ac:dyDescent="0.45">
      <c r="B33" s="14" t="s">
        <v>335</v>
      </c>
      <c r="C33" s="14" t="s">
        <v>336</v>
      </c>
      <c r="D33" s="61"/>
      <c r="E33" s="23">
        <v>22271.24958</v>
      </c>
      <c r="F33" s="63"/>
      <c r="G33" s="15"/>
      <c r="H33" s="15"/>
      <c r="I33" s="15">
        <v>10931.91252</v>
      </c>
      <c r="J33" s="15"/>
      <c r="K33" s="15">
        <v>0</v>
      </c>
      <c r="L33" s="15">
        <v>4777.1856699999998</v>
      </c>
      <c r="M33" s="15">
        <v>6077.2798400000001</v>
      </c>
      <c r="N33" s="15">
        <v>484.87155000000001</v>
      </c>
      <c r="O33" s="15"/>
      <c r="P33" s="15"/>
      <c r="Q33" s="15"/>
      <c r="R33" s="15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2:30" ht="16" customHeight="1" x14ac:dyDescent="0.45">
      <c r="B34" s="14" t="s">
        <v>337</v>
      </c>
      <c r="C34" s="14" t="s">
        <v>338</v>
      </c>
      <c r="D34" s="61"/>
      <c r="E34" s="23">
        <v>153565.52843999999</v>
      </c>
      <c r="F34" s="63"/>
      <c r="G34" s="15"/>
      <c r="H34" s="15"/>
      <c r="I34" s="15">
        <v>81707.28731</v>
      </c>
      <c r="J34" s="15"/>
      <c r="K34" s="15">
        <v>0</v>
      </c>
      <c r="L34" s="15">
        <v>36307.501790000002</v>
      </c>
      <c r="M34" s="15">
        <v>22739.971850000002</v>
      </c>
      <c r="N34" s="15">
        <v>12810.76749</v>
      </c>
      <c r="O34" s="15"/>
      <c r="P34" s="15"/>
      <c r="Q34" s="15"/>
      <c r="R34" s="15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2:30" ht="16" customHeight="1" x14ac:dyDescent="0.45">
      <c r="B35" s="14" t="s">
        <v>339</v>
      </c>
      <c r="C35" s="14" t="s">
        <v>340</v>
      </c>
      <c r="D35" s="61"/>
      <c r="E35" s="23"/>
      <c r="F35" s="63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2:30" ht="16" customHeight="1" x14ac:dyDescent="0.45">
      <c r="B36" s="14" t="s">
        <v>343</v>
      </c>
      <c r="C36" s="14" t="s">
        <v>1267</v>
      </c>
      <c r="D36" s="61"/>
      <c r="E36" s="23">
        <v>74949.648459999997</v>
      </c>
      <c r="F36" s="63"/>
      <c r="G36" s="15"/>
      <c r="H36" s="15"/>
      <c r="I36" s="15">
        <v>58498.243119999999</v>
      </c>
      <c r="J36" s="15"/>
      <c r="K36" s="15">
        <v>0.34360000000000002</v>
      </c>
      <c r="L36" s="15">
        <v>16263.1746</v>
      </c>
      <c r="M36" s="15">
        <v>40.317</v>
      </c>
      <c r="N36" s="15">
        <v>31.461310000000001</v>
      </c>
      <c r="O36" s="15"/>
      <c r="P36" s="15">
        <v>116.10883</v>
      </c>
      <c r="Q36" s="15"/>
      <c r="R36" s="15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2:30" ht="16" customHeight="1" x14ac:dyDescent="0.45">
      <c r="B37" s="14" t="s">
        <v>345</v>
      </c>
      <c r="C37" s="14" t="s">
        <v>1268</v>
      </c>
      <c r="D37" s="61"/>
      <c r="E37" s="23"/>
      <c r="F37" s="63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2:30" ht="16" customHeight="1" x14ac:dyDescent="0.45">
      <c r="B38" s="14" t="s">
        <v>347</v>
      </c>
      <c r="C38" s="14" t="s">
        <v>1269</v>
      </c>
      <c r="D38" s="61"/>
      <c r="E38" s="23">
        <v>14027.192709999999</v>
      </c>
      <c r="F38" s="63"/>
      <c r="G38" s="15"/>
      <c r="H38" s="15">
        <v>1.07789</v>
      </c>
      <c r="I38" s="15">
        <v>7100.2025800000001</v>
      </c>
      <c r="J38" s="15"/>
      <c r="K38" s="15">
        <v>3469.3916599999998</v>
      </c>
      <c r="L38" s="15">
        <v>641.84059000000002</v>
      </c>
      <c r="M38" s="15">
        <v>416.05572000000001</v>
      </c>
      <c r="N38" s="15">
        <v>4.6963299999999997</v>
      </c>
      <c r="O38" s="15"/>
      <c r="P38" s="15">
        <v>-40.716320000000003</v>
      </c>
      <c r="Q38" s="15">
        <v>25</v>
      </c>
      <c r="R38" s="15">
        <v>2409.64426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2:30" ht="16" customHeight="1" x14ac:dyDescent="0.45">
      <c r="B39" s="14" t="s">
        <v>349</v>
      </c>
      <c r="C39" s="14" t="s">
        <v>1270</v>
      </c>
      <c r="D39" s="61"/>
      <c r="E39" s="23"/>
      <c r="F39" s="63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2:30" ht="16" customHeight="1" x14ac:dyDescent="0.45">
      <c r="B40" s="14" t="s">
        <v>351</v>
      </c>
      <c r="C40" s="14" t="s">
        <v>1271</v>
      </c>
      <c r="D40" s="61"/>
      <c r="E40" s="23"/>
      <c r="F40" s="63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2:30" ht="16" customHeight="1" x14ac:dyDescent="0.45">
      <c r="B41" s="14" t="s">
        <v>1272</v>
      </c>
      <c r="C41" s="14" t="s">
        <v>1273</v>
      </c>
      <c r="D41" s="61"/>
      <c r="E41" s="23"/>
      <c r="F41" s="63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2:30" ht="16" customHeight="1" x14ac:dyDescent="0.45">
      <c r="B42" s="14" t="s">
        <v>1274</v>
      </c>
      <c r="C42" s="14" t="s">
        <v>1275</v>
      </c>
      <c r="D42" s="61"/>
      <c r="E42" s="23"/>
      <c r="F42" s="63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2:30" ht="16" customHeight="1" x14ac:dyDescent="0.45">
      <c r="B43" s="14" t="s">
        <v>1276</v>
      </c>
      <c r="C43" s="14" t="s">
        <v>1277</v>
      </c>
      <c r="D43" s="61"/>
      <c r="E43" s="23"/>
      <c r="F43" s="63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2:30" ht="16" customHeight="1" x14ac:dyDescent="0.45">
      <c r="B44" s="14" t="s">
        <v>1278</v>
      </c>
      <c r="C44" s="14" t="s">
        <v>1279</v>
      </c>
      <c r="D44" s="61"/>
      <c r="E44" s="23">
        <v>0</v>
      </c>
      <c r="F44" s="63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2:30" ht="16" customHeight="1" x14ac:dyDescent="0.45">
      <c r="B45" s="14" t="s">
        <v>1280</v>
      </c>
      <c r="C45" s="14" t="s">
        <v>1281</v>
      </c>
      <c r="D45" s="61"/>
      <c r="E45" s="23"/>
      <c r="F45" s="63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2:30" ht="16" customHeight="1" x14ac:dyDescent="0.45">
      <c r="B46" s="14" t="s">
        <v>1282</v>
      </c>
      <c r="C46" s="14" t="s">
        <v>1283</v>
      </c>
      <c r="D46" s="61"/>
      <c r="E46" s="23"/>
      <c r="F46" s="6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2:30" ht="16" customHeight="1" x14ac:dyDescent="0.45">
      <c r="B47" s="14" t="s">
        <v>359</v>
      </c>
      <c r="C47" s="14" t="s">
        <v>360</v>
      </c>
      <c r="D47" s="61"/>
      <c r="E47" s="23">
        <v>39556.490230000003</v>
      </c>
      <c r="F47" s="63"/>
      <c r="G47" s="15">
        <v>0</v>
      </c>
      <c r="H47" s="15">
        <v>0</v>
      </c>
      <c r="I47" s="15">
        <v>29026.969560000001</v>
      </c>
      <c r="J47" s="15"/>
      <c r="K47" s="15">
        <v>0</v>
      </c>
      <c r="L47" s="15">
        <v>3886.2938899999999</v>
      </c>
      <c r="M47" s="15">
        <v>4987.6014699999996</v>
      </c>
      <c r="N47" s="15">
        <v>1557.864</v>
      </c>
      <c r="O47" s="15"/>
      <c r="P47" s="15">
        <v>0</v>
      </c>
      <c r="Q47" s="15">
        <v>0</v>
      </c>
      <c r="R47" s="15">
        <v>97.761309999999995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2:30" ht="16" customHeight="1" x14ac:dyDescent="0.45">
      <c r="B48" s="14" t="s">
        <v>1284</v>
      </c>
      <c r="C48" s="14" t="s">
        <v>1285</v>
      </c>
      <c r="D48" s="61"/>
      <c r="E48" s="23"/>
      <c r="F48" s="6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2:30" ht="16" customHeight="1" x14ac:dyDescent="0.45">
      <c r="B49" s="14" t="s">
        <v>1286</v>
      </c>
      <c r="C49" s="14" t="s">
        <v>1287</v>
      </c>
      <c r="D49" s="61"/>
      <c r="E49" s="23"/>
      <c r="F49" s="6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2:30" ht="16" customHeight="1" x14ac:dyDescent="0.45">
      <c r="B50" s="14" t="s">
        <v>1288</v>
      </c>
      <c r="C50" s="14" t="s">
        <v>1289</v>
      </c>
      <c r="D50" s="61"/>
      <c r="E50" s="23"/>
      <c r="F50" s="6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2:30" ht="16" customHeight="1" x14ac:dyDescent="0.45">
      <c r="B51" s="14" t="s">
        <v>1290</v>
      </c>
      <c r="C51" s="14" t="s">
        <v>1291</v>
      </c>
      <c r="D51" s="61"/>
      <c r="E51" s="23"/>
      <c r="F51" s="6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2:30" ht="16" customHeight="1" x14ac:dyDescent="0.45">
      <c r="B52" s="14" t="s">
        <v>1292</v>
      </c>
      <c r="C52" s="14" t="s">
        <v>1293</v>
      </c>
      <c r="D52" s="61"/>
      <c r="E52" s="23"/>
      <c r="F52" s="6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2:30" ht="16" customHeight="1" x14ac:dyDescent="0.45">
      <c r="B53" s="14" t="s">
        <v>1294</v>
      </c>
      <c r="C53" s="14" t="s">
        <v>1295</v>
      </c>
      <c r="D53" s="61"/>
      <c r="E53" s="23"/>
      <c r="F53" s="63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2:30" ht="16" customHeight="1" x14ac:dyDescent="0.45">
      <c r="B54" s="14" t="s">
        <v>1296</v>
      </c>
      <c r="C54" s="14" t="s">
        <v>1297</v>
      </c>
      <c r="D54" s="61"/>
      <c r="E54" s="23"/>
      <c r="F54" s="63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2:30" ht="16" customHeight="1" x14ac:dyDescent="0.45">
      <c r="B55" s="14" t="s">
        <v>361</v>
      </c>
      <c r="C55" s="14" t="s">
        <v>1298</v>
      </c>
      <c r="D55" s="61"/>
      <c r="E55" s="23">
        <v>102881.78434</v>
      </c>
      <c r="F55" s="63"/>
      <c r="G55" s="15">
        <v>0</v>
      </c>
      <c r="H55" s="15">
        <v>0</v>
      </c>
      <c r="I55" s="15">
        <v>102881.78434</v>
      </c>
      <c r="J55" s="15"/>
      <c r="K55" s="15"/>
      <c r="L55" s="15"/>
      <c r="M55" s="15"/>
      <c r="N55" s="15">
        <v>0</v>
      </c>
      <c r="O55" s="15"/>
      <c r="P55" s="15"/>
      <c r="Q55" s="15"/>
      <c r="R55" s="15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2:30" ht="16" customHeight="1" x14ac:dyDescent="0.45">
      <c r="B56" s="14" t="s">
        <v>363</v>
      </c>
      <c r="C56" s="14" t="s">
        <v>364</v>
      </c>
      <c r="D56" s="61"/>
      <c r="E56" s="23">
        <v>1.3999999999999999E-4</v>
      </c>
      <c r="F56" s="63"/>
      <c r="G56" s="15"/>
      <c r="H56" s="15"/>
      <c r="I56" s="15">
        <v>-49.999859999999998</v>
      </c>
      <c r="J56" s="15"/>
      <c r="K56" s="15"/>
      <c r="L56" s="15">
        <v>0</v>
      </c>
      <c r="M56" s="15">
        <v>50</v>
      </c>
      <c r="N56" s="15"/>
      <c r="O56" s="15"/>
      <c r="P56" s="15"/>
      <c r="Q56" s="15"/>
      <c r="R56" s="15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2:30" ht="16" customHeight="1" x14ac:dyDescent="0.45">
      <c r="B57" s="14" t="s">
        <v>368</v>
      </c>
      <c r="C57" s="14" t="s">
        <v>369</v>
      </c>
      <c r="D57" s="61"/>
      <c r="E57" s="23">
        <v>0</v>
      </c>
      <c r="F57" s="63"/>
      <c r="G57" s="15"/>
      <c r="H57" s="15"/>
      <c r="I57" s="15">
        <v>0</v>
      </c>
      <c r="J57" s="15"/>
      <c r="K57" s="15"/>
      <c r="L57" s="15"/>
      <c r="M57" s="15"/>
      <c r="N57" s="15"/>
      <c r="O57" s="15"/>
      <c r="P57" s="15"/>
      <c r="Q57" s="15"/>
      <c r="R57" s="15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2:30" ht="16" customHeight="1" x14ac:dyDescent="0.45">
      <c r="B58" s="14" t="s">
        <v>391</v>
      </c>
      <c r="C58" s="14" t="s">
        <v>392</v>
      </c>
      <c r="D58" s="61"/>
      <c r="E58" s="23">
        <v>0</v>
      </c>
      <c r="F58" s="63"/>
      <c r="G58" s="15"/>
      <c r="H58" s="15">
        <v>0</v>
      </c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2:30" ht="16" customHeight="1" x14ac:dyDescent="0.45">
      <c r="B59" s="14" t="s">
        <v>393</v>
      </c>
      <c r="C59" s="14" t="s">
        <v>394</v>
      </c>
      <c r="D59" s="61"/>
      <c r="E59" s="23"/>
      <c r="F59" s="63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2:30" ht="16" customHeight="1" x14ac:dyDescent="0.45">
      <c r="B60" s="14" t="s">
        <v>397</v>
      </c>
      <c r="C60" s="14" t="s">
        <v>1299</v>
      </c>
      <c r="D60" s="61"/>
      <c r="E60" s="23">
        <v>749.22055999999998</v>
      </c>
      <c r="F60" s="63"/>
      <c r="G60" s="15"/>
      <c r="H60" s="15"/>
      <c r="I60" s="15">
        <v>749.22055999999998</v>
      </c>
      <c r="J60" s="15"/>
      <c r="K60" s="15"/>
      <c r="L60" s="15"/>
      <c r="M60" s="15"/>
      <c r="N60" s="15"/>
      <c r="O60" s="15"/>
      <c r="P60" s="15"/>
      <c r="Q60" s="15"/>
      <c r="R60" s="15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2:30" ht="16" customHeight="1" x14ac:dyDescent="0.45">
      <c r="B61" s="14" t="s">
        <v>1300</v>
      </c>
      <c r="C61" s="14" t="s">
        <v>375</v>
      </c>
      <c r="D61" s="61"/>
      <c r="E61" s="23">
        <v>1186975.8472899999</v>
      </c>
      <c r="F61" s="63"/>
      <c r="G61" s="15"/>
      <c r="H61" s="15"/>
      <c r="I61" s="15">
        <v>29890.809130000001</v>
      </c>
      <c r="J61" s="15"/>
      <c r="K61" s="15"/>
      <c r="L61" s="15"/>
      <c r="M61" s="15"/>
      <c r="N61" s="15">
        <v>1157085.0376599999</v>
      </c>
      <c r="O61" s="15"/>
      <c r="P61" s="15"/>
      <c r="Q61" s="15">
        <v>5.0000000000000001E-4</v>
      </c>
      <c r="R61" s="15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2:30" ht="16" customHeight="1" x14ac:dyDescent="0.45">
      <c r="B62" s="14" t="s">
        <v>1301</v>
      </c>
      <c r="C62" s="14" t="s">
        <v>1302</v>
      </c>
      <c r="D62" s="61"/>
      <c r="E62" s="23"/>
      <c r="F62" s="63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2:30" ht="16" customHeight="1" x14ac:dyDescent="0.45">
      <c r="B63" s="14" t="s">
        <v>1303</v>
      </c>
      <c r="C63" s="14" t="s">
        <v>1304</v>
      </c>
      <c r="D63" s="61"/>
      <c r="E63" s="23"/>
      <c r="F63" s="63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2:30" ht="16" customHeight="1" x14ac:dyDescent="0.45">
      <c r="B64" s="14" t="s">
        <v>1305</v>
      </c>
      <c r="C64" s="14" t="s">
        <v>1306</v>
      </c>
      <c r="D64" s="61"/>
      <c r="E64" s="23"/>
      <c r="F64" s="63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2:30" ht="16" customHeight="1" x14ac:dyDescent="0.45">
      <c r="B65" s="14" t="s">
        <v>1307</v>
      </c>
      <c r="C65" s="14" t="s">
        <v>1308</v>
      </c>
      <c r="D65" s="61"/>
      <c r="E65" s="23"/>
      <c r="F65" s="63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2:30" ht="16" customHeight="1" x14ac:dyDescent="0.45">
      <c r="B66" s="14" t="s">
        <v>1309</v>
      </c>
      <c r="C66" s="14" t="s">
        <v>1310</v>
      </c>
      <c r="D66" s="61"/>
      <c r="E66" s="23"/>
      <c r="F66" s="63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2:30" ht="16" customHeight="1" x14ac:dyDescent="0.45">
      <c r="B67" s="14" t="s">
        <v>1311</v>
      </c>
      <c r="C67" s="14" t="s">
        <v>1312</v>
      </c>
      <c r="D67" s="61"/>
      <c r="E67" s="23"/>
      <c r="F67" s="63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2:30" ht="16" customHeight="1" x14ac:dyDescent="0.45">
      <c r="B68" s="14" t="s">
        <v>1313</v>
      </c>
      <c r="C68" s="14" t="s">
        <v>1314</v>
      </c>
      <c r="D68" s="61"/>
      <c r="E68" s="23"/>
      <c r="F68" s="63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2:30" ht="16" customHeight="1" x14ac:dyDescent="0.45">
      <c r="B69" s="14" t="s">
        <v>1315</v>
      </c>
      <c r="C69" s="14" t="s">
        <v>1316</v>
      </c>
      <c r="D69" s="61"/>
      <c r="E69" s="23"/>
      <c r="F69" s="63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2:30" ht="16" customHeight="1" x14ac:dyDescent="0.45">
      <c r="B70" s="14" t="s">
        <v>1317</v>
      </c>
      <c r="C70" s="14" t="s">
        <v>1318</v>
      </c>
      <c r="D70" s="61"/>
      <c r="E70" s="23">
        <v>123.71153</v>
      </c>
      <c r="F70" s="63"/>
      <c r="G70" s="15"/>
      <c r="H70" s="15"/>
      <c r="I70" s="15">
        <v>73.576539999999994</v>
      </c>
      <c r="J70" s="15"/>
      <c r="K70" s="15"/>
      <c r="L70" s="15">
        <v>8.9999699999999994</v>
      </c>
      <c r="M70" s="15">
        <v>41.135019999999997</v>
      </c>
      <c r="N70" s="15">
        <v>0</v>
      </c>
      <c r="O70" s="15"/>
      <c r="P70" s="15"/>
      <c r="Q70" s="15"/>
      <c r="R70" s="15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2:30" ht="16" customHeight="1" x14ac:dyDescent="0.45">
      <c r="B71" s="14" t="s">
        <v>1319</v>
      </c>
      <c r="C71" s="14" t="s">
        <v>1320</v>
      </c>
      <c r="D71" s="61"/>
      <c r="E71" s="23"/>
      <c r="F71" s="63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2:30" ht="16" customHeight="1" x14ac:dyDescent="0.45">
      <c r="B72" s="14" t="s">
        <v>1321</v>
      </c>
      <c r="C72" s="14" t="s">
        <v>1322</v>
      </c>
      <c r="D72" s="61"/>
      <c r="E72" s="23"/>
      <c r="F72" s="63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2:30" ht="16" customHeight="1" x14ac:dyDescent="0.45">
      <c r="B73" s="14" t="s">
        <v>378</v>
      </c>
      <c r="C73" s="14" t="s">
        <v>379</v>
      </c>
      <c r="D73" s="61"/>
      <c r="E73" s="23">
        <v>1106509.66099</v>
      </c>
      <c r="F73" s="63"/>
      <c r="G73" s="15"/>
      <c r="H73" s="15">
        <v>7933.3786399999999</v>
      </c>
      <c r="I73" s="15">
        <v>1085198.66873</v>
      </c>
      <c r="J73" s="15"/>
      <c r="K73" s="15">
        <v>4.4974100000000004</v>
      </c>
      <c r="L73" s="15">
        <v>548.83009000000004</v>
      </c>
      <c r="M73" s="15">
        <v>650.12732000000005</v>
      </c>
      <c r="N73" s="15">
        <v>-2624.0156999999999</v>
      </c>
      <c r="O73" s="15"/>
      <c r="P73" s="15">
        <v>1.0160000000000001E-2</v>
      </c>
      <c r="Q73" s="15">
        <v>4.8595499999999996</v>
      </c>
      <c r="R73" s="15">
        <v>14793.30479</v>
      </c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2:30" ht="16" customHeight="1" x14ac:dyDescent="0.45">
      <c r="B74" s="14" t="s">
        <v>384</v>
      </c>
      <c r="C74" s="14" t="s">
        <v>385</v>
      </c>
      <c r="D74" s="61"/>
      <c r="E74" s="23">
        <v>182.98912000000001</v>
      </c>
      <c r="F74" s="63"/>
      <c r="G74" s="15"/>
      <c r="H74" s="15"/>
      <c r="I74" s="15">
        <v>182.98912000000001</v>
      </c>
      <c r="J74" s="15"/>
      <c r="K74" s="15">
        <v>0</v>
      </c>
      <c r="L74" s="15"/>
      <c r="M74" s="15"/>
      <c r="N74" s="15"/>
      <c r="O74" s="15"/>
      <c r="P74" s="15"/>
      <c r="Q74" s="15"/>
      <c r="R74" s="15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2:30" ht="16" customHeight="1" x14ac:dyDescent="0.45">
      <c r="B75" s="14" t="s">
        <v>386</v>
      </c>
      <c r="C75" s="14" t="s">
        <v>387</v>
      </c>
      <c r="D75" s="61"/>
      <c r="E75" s="23">
        <v>71055.432990000001</v>
      </c>
      <c r="F75" s="63"/>
      <c r="G75" s="15">
        <v>0</v>
      </c>
      <c r="H75" s="15"/>
      <c r="I75" s="15">
        <v>71007.932990000001</v>
      </c>
      <c r="J75" s="15"/>
      <c r="K75" s="15"/>
      <c r="L75" s="15"/>
      <c r="M75" s="15">
        <v>47.5</v>
      </c>
      <c r="N75" s="15">
        <v>0</v>
      </c>
      <c r="O75" s="15"/>
      <c r="P75" s="15"/>
      <c r="Q75" s="15"/>
      <c r="R75" s="15">
        <v>0</v>
      </c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2:30" ht="16" customHeight="1" x14ac:dyDescent="0.45">
      <c r="B76" s="14" t="s">
        <v>400</v>
      </c>
      <c r="C76" s="14" t="s">
        <v>401</v>
      </c>
      <c r="D76" s="61"/>
      <c r="E76" s="23">
        <v>316453.20688999997</v>
      </c>
      <c r="F76" s="63"/>
      <c r="G76" s="15">
        <v>0</v>
      </c>
      <c r="H76" s="15"/>
      <c r="I76" s="15">
        <v>234417.25972</v>
      </c>
      <c r="J76" s="15"/>
      <c r="K76" s="15">
        <v>6003.3807800000004</v>
      </c>
      <c r="L76" s="15">
        <v>13534.506520000001</v>
      </c>
      <c r="M76" s="15">
        <v>21097.768349999998</v>
      </c>
      <c r="N76" s="15">
        <v>39467.656210000001</v>
      </c>
      <c r="O76" s="15"/>
      <c r="P76" s="15"/>
      <c r="Q76" s="15">
        <v>1932.6353099999999</v>
      </c>
      <c r="R76" s="15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2:30" ht="16" customHeight="1" x14ac:dyDescent="0.45">
      <c r="B77" s="14" t="s">
        <v>402</v>
      </c>
      <c r="C77" s="14" t="s">
        <v>1323</v>
      </c>
      <c r="D77" s="61"/>
      <c r="E77" s="23">
        <v>-126044.46915</v>
      </c>
      <c r="F77" s="63"/>
      <c r="G77" s="15">
        <v>0</v>
      </c>
      <c r="H77" s="15"/>
      <c r="I77" s="15">
        <v>-94337.478080000001</v>
      </c>
      <c r="J77" s="15"/>
      <c r="K77" s="15">
        <v>-575.65625999999997</v>
      </c>
      <c r="L77" s="15">
        <v>-4444.78575</v>
      </c>
      <c r="M77" s="15">
        <v>-9026.7763599999998</v>
      </c>
      <c r="N77" s="15">
        <v>-16260.566199999999</v>
      </c>
      <c r="O77" s="15"/>
      <c r="P77" s="15"/>
      <c r="Q77" s="15">
        <v>-1399.2065</v>
      </c>
      <c r="R77" s="15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2:30" ht="16" customHeight="1" x14ac:dyDescent="0.45">
      <c r="B78" s="14" t="s">
        <v>438</v>
      </c>
      <c r="C78" s="14" t="s">
        <v>1324</v>
      </c>
      <c r="D78" s="61"/>
      <c r="E78" s="23">
        <v>27708.20062</v>
      </c>
      <c r="F78" s="63"/>
      <c r="G78" s="15">
        <v>0</v>
      </c>
      <c r="H78" s="15"/>
      <c r="I78" s="15">
        <v>3469.3414400000001</v>
      </c>
      <c r="J78" s="15"/>
      <c r="K78" s="15">
        <v>24209.555069999999</v>
      </c>
      <c r="L78" s="15"/>
      <c r="M78" s="15">
        <v>0</v>
      </c>
      <c r="N78" s="15">
        <v>29.304110000000001</v>
      </c>
      <c r="O78" s="15"/>
      <c r="P78" s="15"/>
      <c r="Q78" s="15"/>
      <c r="R78" s="15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2:30" ht="16" customHeight="1" x14ac:dyDescent="0.45">
      <c r="B79" s="14" t="s">
        <v>544</v>
      </c>
      <c r="C79" s="14" t="s">
        <v>1325</v>
      </c>
      <c r="D79" s="61"/>
      <c r="E79" s="23">
        <v>37957.170510000004</v>
      </c>
      <c r="F79" s="63"/>
      <c r="G79" s="15">
        <v>0</v>
      </c>
      <c r="H79" s="15"/>
      <c r="I79" s="15">
        <v>11780.106690000001</v>
      </c>
      <c r="J79" s="15"/>
      <c r="K79" s="15">
        <v>907.17075999999997</v>
      </c>
      <c r="L79" s="15">
        <v>2034.7637500000001</v>
      </c>
      <c r="M79" s="15">
        <v>20095.314200000001</v>
      </c>
      <c r="N79" s="15">
        <v>3139.81511</v>
      </c>
      <c r="O79" s="15"/>
      <c r="P79" s="15"/>
      <c r="Q79" s="15"/>
      <c r="R79" s="15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2:30" ht="16" customHeight="1" x14ac:dyDescent="0.45">
      <c r="B80" s="14" t="s">
        <v>440</v>
      </c>
      <c r="C80" s="14" t="s">
        <v>1326</v>
      </c>
      <c r="D80" s="61"/>
      <c r="E80" s="23">
        <v>-3291.2001399999999</v>
      </c>
      <c r="F80" s="63"/>
      <c r="G80" s="15">
        <v>0</v>
      </c>
      <c r="H80" s="15"/>
      <c r="I80" s="15">
        <v>-3740.2595200000001</v>
      </c>
      <c r="J80" s="15"/>
      <c r="K80" s="15">
        <v>473.88654000000002</v>
      </c>
      <c r="L80" s="15">
        <v>2.3893</v>
      </c>
      <c r="M80" s="15">
        <v>0</v>
      </c>
      <c r="N80" s="15">
        <v>-27.216460000000001</v>
      </c>
      <c r="O80" s="15"/>
      <c r="P80" s="15"/>
      <c r="Q80" s="15"/>
      <c r="R80" s="15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2:30" ht="16" customHeight="1" x14ac:dyDescent="0.45">
      <c r="B81" s="14" t="s">
        <v>406</v>
      </c>
      <c r="C81" s="14" t="s">
        <v>407</v>
      </c>
      <c r="D81" s="61"/>
      <c r="E81" s="23">
        <v>2212550.1204599999</v>
      </c>
      <c r="F81" s="63"/>
      <c r="G81" s="15"/>
      <c r="H81" s="15"/>
      <c r="I81" s="15">
        <v>1576142.94255</v>
      </c>
      <c r="J81" s="15"/>
      <c r="K81" s="15">
        <v>22431.22624</v>
      </c>
      <c r="L81" s="15">
        <v>253892.13417999999</v>
      </c>
      <c r="M81" s="15">
        <v>181115.68275000001</v>
      </c>
      <c r="N81" s="15">
        <v>165359.34369000001</v>
      </c>
      <c r="O81" s="15"/>
      <c r="P81" s="15"/>
      <c r="Q81" s="15">
        <v>13608.79105</v>
      </c>
      <c r="R81" s="15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2:30" ht="16" customHeight="1" x14ac:dyDescent="0.45">
      <c r="B82" s="14" t="s">
        <v>408</v>
      </c>
      <c r="C82" s="14" t="s">
        <v>409</v>
      </c>
      <c r="D82" s="61"/>
      <c r="E82" s="23">
        <v>-1252353.9518599999</v>
      </c>
      <c r="F82" s="63"/>
      <c r="G82" s="15"/>
      <c r="H82" s="15"/>
      <c r="I82" s="15">
        <v>-859180.07527000003</v>
      </c>
      <c r="J82" s="15"/>
      <c r="K82" s="15">
        <v>-5608.28352</v>
      </c>
      <c r="L82" s="15">
        <v>-171760.82201</v>
      </c>
      <c r="M82" s="15">
        <v>-96504.47352</v>
      </c>
      <c r="N82" s="15">
        <v>-107197.19338</v>
      </c>
      <c r="O82" s="15"/>
      <c r="P82" s="15"/>
      <c r="Q82" s="15">
        <v>-12103.104160000001</v>
      </c>
      <c r="R82" s="15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2:30" ht="16" customHeight="1" x14ac:dyDescent="0.45">
      <c r="B83" s="14" t="s">
        <v>444</v>
      </c>
      <c r="C83" s="14" t="s">
        <v>1327</v>
      </c>
      <c r="D83" s="61"/>
      <c r="E83" s="23">
        <v>25069.32372</v>
      </c>
      <c r="F83" s="63"/>
      <c r="G83" s="15">
        <v>0</v>
      </c>
      <c r="H83" s="15"/>
      <c r="I83" s="15">
        <v>24801.48947</v>
      </c>
      <c r="J83" s="15"/>
      <c r="K83" s="15"/>
      <c r="L83" s="15"/>
      <c r="M83" s="15"/>
      <c r="N83" s="15"/>
      <c r="O83" s="15"/>
      <c r="P83" s="15"/>
      <c r="Q83" s="15"/>
      <c r="R83" s="15">
        <v>267.83425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2:30" ht="16" customHeight="1" x14ac:dyDescent="0.45">
      <c r="B84" s="14" t="s">
        <v>546</v>
      </c>
      <c r="C84" s="14" t="s">
        <v>1328</v>
      </c>
      <c r="D84" s="61"/>
      <c r="E84" s="23">
        <v>10459.43957</v>
      </c>
      <c r="F84" s="63"/>
      <c r="G84" s="15">
        <v>0</v>
      </c>
      <c r="H84" s="15"/>
      <c r="I84" s="15">
        <v>7855.5051800000001</v>
      </c>
      <c r="J84" s="15"/>
      <c r="K84" s="15">
        <v>347.60172</v>
      </c>
      <c r="L84" s="15">
        <v>2100.8155299999999</v>
      </c>
      <c r="M84" s="15"/>
      <c r="N84" s="15">
        <v>16.506430000000002</v>
      </c>
      <c r="O84" s="15"/>
      <c r="P84" s="15"/>
      <c r="Q84" s="15"/>
      <c r="R84" s="15">
        <v>139.01070999999999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2:30" ht="16" customHeight="1" x14ac:dyDescent="0.45">
      <c r="B85" s="14" t="s">
        <v>446</v>
      </c>
      <c r="C85" s="14" t="s">
        <v>1329</v>
      </c>
      <c r="D85" s="61"/>
      <c r="E85" s="23">
        <v>-16467.272990000001</v>
      </c>
      <c r="F85" s="63"/>
      <c r="G85" s="15">
        <v>0</v>
      </c>
      <c r="H85" s="15"/>
      <c r="I85" s="15">
        <v>-16772.831119999999</v>
      </c>
      <c r="J85" s="15"/>
      <c r="K85" s="15">
        <v>575.41403000000003</v>
      </c>
      <c r="L85" s="15">
        <v>-879.62545</v>
      </c>
      <c r="M85" s="15"/>
      <c r="N85" s="15">
        <v>659.44434999999999</v>
      </c>
      <c r="O85" s="15"/>
      <c r="P85" s="15"/>
      <c r="Q85" s="15"/>
      <c r="R85" s="15">
        <v>-49.674799999999998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2:30" ht="16" customHeight="1" x14ac:dyDescent="0.45">
      <c r="B86" s="14" t="s">
        <v>412</v>
      </c>
      <c r="C86" s="14" t="s">
        <v>413</v>
      </c>
      <c r="D86" s="61"/>
      <c r="E86" s="23">
        <v>5380035.52819</v>
      </c>
      <c r="F86" s="63"/>
      <c r="G86" s="15"/>
      <c r="H86" s="15">
        <v>355.54025999999999</v>
      </c>
      <c r="I86" s="15">
        <v>3220134.68597</v>
      </c>
      <c r="J86" s="15"/>
      <c r="K86" s="15">
        <v>34629.263899999998</v>
      </c>
      <c r="L86" s="15">
        <v>892249.74286999996</v>
      </c>
      <c r="M86" s="15">
        <v>769045.10552999994</v>
      </c>
      <c r="N86" s="15">
        <v>444787.67982999998</v>
      </c>
      <c r="O86" s="15">
        <v>0</v>
      </c>
      <c r="P86" s="15"/>
      <c r="Q86" s="15">
        <v>18833.509829999999</v>
      </c>
      <c r="R86" s="15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2:30" ht="16" customHeight="1" x14ac:dyDescent="0.45">
      <c r="B87" s="14" t="s">
        <v>414</v>
      </c>
      <c r="C87" s="14" t="s">
        <v>415</v>
      </c>
      <c r="D87" s="61"/>
      <c r="E87" s="23">
        <v>-3615301.0359800002</v>
      </c>
      <c r="F87" s="63"/>
      <c r="G87" s="15"/>
      <c r="H87" s="15">
        <v>-331.11516</v>
      </c>
      <c r="I87" s="15">
        <v>-2137980.9580299999</v>
      </c>
      <c r="J87" s="15"/>
      <c r="K87" s="15">
        <v>-12149.60643</v>
      </c>
      <c r="L87" s="15">
        <v>-676054.62965000002</v>
      </c>
      <c r="M87" s="15">
        <v>-432085.38363</v>
      </c>
      <c r="N87" s="15">
        <v>-341893.38984999998</v>
      </c>
      <c r="O87" s="15"/>
      <c r="P87" s="15"/>
      <c r="Q87" s="15">
        <v>-14805.953229999999</v>
      </c>
      <c r="R87" s="15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2:30" ht="16" customHeight="1" x14ac:dyDescent="0.45">
      <c r="B88" s="14" t="s">
        <v>450</v>
      </c>
      <c r="C88" s="14" t="s">
        <v>1330</v>
      </c>
      <c r="D88" s="61"/>
      <c r="E88" s="23">
        <v>34567.395909999999</v>
      </c>
      <c r="F88" s="63"/>
      <c r="G88" s="15">
        <v>0</v>
      </c>
      <c r="H88" s="15"/>
      <c r="I88" s="15">
        <v>28430.296139999999</v>
      </c>
      <c r="J88" s="15"/>
      <c r="K88" s="15">
        <v>677.61473999999998</v>
      </c>
      <c r="L88" s="15">
        <v>1101.20499</v>
      </c>
      <c r="M88" s="15">
        <v>3930.509</v>
      </c>
      <c r="N88" s="15">
        <v>427.77104000000003</v>
      </c>
      <c r="O88" s="15"/>
      <c r="P88" s="15"/>
      <c r="Q88" s="15"/>
      <c r="R88" s="15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2:30" ht="16" customHeight="1" x14ac:dyDescent="0.45">
      <c r="B89" s="14" t="s">
        <v>548</v>
      </c>
      <c r="C89" s="14" t="s">
        <v>1331</v>
      </c>
      <c r="D89" s="61"/>
      <c r="E89" s="23">
        <v>3850.5225999999998</v>
      </c>
      <c r="F89" s="63"/>
      <c r="G89" s="15">
        <v>0</v>
      </c>
      <c r="H89" s="15"/>
      <c r="I89" s="15">
        <v>2670.38177</v>
      </c>
      <c r="J89" s="15"/>
      <c r="K89" s="15">
        <v>299.49543</v>
      </c>
      <c r="L89" s="15">
        <v>70.139139999999998</v>
      </c>
      <c r="M89" s="15">
        <v>41.124090000000002</v>
      </c>
      <c r="N89" s="15">
        <v>769.38216999999997</v>
      </c>
      <c r="O89" s="15"/>
      <c r="P89" s="15"/>
      <c r="Q89" s="15"/>
      <c r="R89" s="15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2:30" ht="16" customHeight="1" x14ac:dyDescent="0.45">
      <c r="B90" s="14" t="s">
        <v>452</v>
      </c>
      <c r="C90" s="14" t="s">
        <v>1332</v>
      </c>
      <c r="D90" s="61"/>
      <c r="E90" s="23">
        <v>-24536.28702</v>
      </c>
      <c r="F90" s="63"/>
      <c r="G90" s="15">
        <v>0</v>
      </c>
      <c r="H90" s="15"/>
      <c r="I90" s="15">
        <v>-20361.816589999999</v>
      </c>
      <c r="J90" s="15"/>
      <c r="K90" s="15">
        <v>120.69058</v>
      </c>
      <c r="L90" s="15">
        <v>-400.14312999999999</v>
      </c>
      <c r="M90" s="15">
        <v>-3735.7143799999999</v>
      </c>
      <c r="N90" s="15">
        <v>-159.30350000000001</v>
      </c>
      <c r="O90" s="15"/>
      <c r="P90" s="15"/>
      <c r="Q90" s="15"/>
      <c r="R90" s="15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2:30" ht="16" customHeight="1" x14ac:dyDescent="0.45">
      <c r="B91" s="14" t="s">
        <v>418</v>
      </c>
      <c r="C91" s="14" t="s">
        <v>419</v>
      </c>
      <c r="D91" s="61"/>
      <c r="E91" s="23">
        <v>455609.26815999998</v>
      </c>
      <c r="F91" s="63"/>
      <c r="G91" s="15"/>
      <c r="H91" s="15">
        <v>789.39318000000003</v>
      </c>
      <c r="I91" s="15">
        <v>178962.18724999999</v>
      </c>
      <c r="J91" s="15"/>
      <c r="K91" s="15">
        <v>12609.71783</v>
      </c>
      <c r="L91" s="15">
        <v>23324.852749999998</v>
      </c>
      <c r="M91" s="15">
        <v>50381.197070000002</v>
      </c>
      <c r="N91" s="15">
        <v>107003.71932</v>
      </c>
      <c r="O91" s="15">
        <v>74302.005699999994</v>
      </c>
      <c r="P91" s="15">
        <v>7144.6151499999996</v>
      </c>
      <c r="Q91" s="15">
        <v>1091.5799099999999</v>
      </c>
      <c r="R91" s="15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2:30" ht="16" customHeight="1" x14ac:dyDescent="0.45">
      <c r="B92" s="14" t="s">
        <v>420</v>
      </c>
      <c r="C92" s="14" t="s">
        <v>421</v>
      </c>
      <c r="D92" s="61"/>
      <c r="E92" s="23">
        <v>-340359.07059999998</v>
      </c>
      <c r="F92" s="63"/>
      <c r="G92" s="15"/>
      <c r="H92" s="15">
        <v>-77.749610000000004</v>
      </c>
      <c r="I92" s="15">
        <v>-131770.41101000001</v>
      </c>
      <c r="J92" s="15"/>
      <c r="K92" s="15">
        <v>-4975.19517</v>
      </c>
      <c r="L92" s="15">
        <v>-18893.300950000001</v>
      </c>
      <c r="M92" s="15">
        <v>-43203.19569</v>
      </c>
      <c r="N92" s="15">
        <v>-77876.782940000005</v>
      </c>
      <c r="O92" s="15">
        <v>-57059.848980000002</v>
      </c>
      <c r="P92" s="15">
        <v>-6338.4154900000003</v>
      </c>
      <c r="Q92" s="15">
        <v>-164.17076</v>
      </c>
      <c r="R92" s="15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2:30" ht="16" customHeight="1" x14ac:dyDescent="0.45">
      <c r="B93" s="14" t="s">
        <v>456</v>
      </c>
      <c r="C93" s="14" t="s">
        <v>1333</v>
      </c>
      <c r="D93" s="61"/>
      <c r="E93" s="23">
        <v>65404.1535</v>
      </c>
      <c r="F93" s="63"/>
      <c r="G93" s="15">
        <v>0</v>
      </c>
      <c r="H93" s="15">
        <v>0</v>
      </c>
      <c r="I93" s="15">
        <v>56798.645420000001</v>
      </c>
      <c r="J93" s="15"/>
      <c r="K93" s="15">
        <v>2776.2671399999999</v>
      </c>
      <c r="L93" s="15">
        <v>2470.3610100000001</v>
      </c>
      <c r="M93" s="15">
        <v>351.94288999999998</v>
      </c>
      <c r="N93" s="15">
        <v>1339.7144900000001</v>
      </c>
      <c r="O93" s="15"/>
      <c r="P93" s="15">
        <v>1503.21234</v>
      </c>
      <c r="Q93" s="15">
        <v>164.01021</v>
      </c>
      <c r="R93" s="15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2:30" ht="16" customHeight="1" x14ac:dyDescent="0.45">
      <c r="B94" s="14" t="s">
        <v>550</v>
      </c>
      <c r="C94" s="14" t="s">
        <v>1334</v>
      </c>
      <c r="D94" s="61"/>
      <c r="E94" s="23">
        <v>115507.72745000001</v>
      </c>
      <c r="F94" s="63"/>
      <c r="G94" s="15">
        <v>0</v>
      </c>
      <c r="H94" s="15">
        <v>0</v>
      </c>
      <c r="I94" s="15">
        <v>62027.199999999997</v>
      </c>
      <c r="J94" s="15"/>
      <c r="K94" s="15">
        <v>23050.242740000002</v>
      </c>
      <c r="L94" s="15">
        <v>5285.165</v>
      </c>
      <c r="M94" s="15">
        <v>16267.298510000001</v>
      </c>
      <c r="N94" s="15">
        <v>5125.5542500000001</v>
      </c>
      <c r="O94" s="15"/>
      <c r="P94" s="15">
        <v>3347.81522</v>
      </c>
      <c r="Q94" s="15">
        <v>404.45173</v>
      </c>
      <c r="R94" s="15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2:30" ht="16" customHeight="1" x14ac:dyDescent="0.45">
      <c r="B95" s="14" t="s">
        <v>458</v>
      </c>
      <c r="C95" s="14" t="s">
        <v>1335</v>
      </c>
      <c r="D95" s="61"/>
      <c r="E95" s="23">
        <v>-33630.94829</v>
      </c>
      <c r="F95" s="63"/>
      <c r="G95" s="15">
        <v>0</v>
      </c>
      <c r="H95" s="15">
        <v>0</v>
      </c>
      <c r="I95" s="15">
        <v>-39701.591979999997</v>
      </c>
      <c r="J95" s="15"/>
      <c r="K95" s="15">
        <v>8072.2394700000004</v>
      </c>
      <c r="L95" s="15">
        <v>-674.68718999999999</v>
      </c>
      <c r="M95" s="15">
        <v>-24.889109999999999</v>
      </c>
      <c r="N95" s="15">
        <v>-958.08696999999995</v>
      </c>
      <c r="O95" s="15"/>
      <c r="P95" s="15">
        <v>-272.21596</v>
      </c>
      <c r="Q95" s="15">
        <v>-71.716549999999998</v>
      </c>
      <c r="R95" s="15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  <row r="96" spans="2:30" ht="16" customHeight="1" x14ac:dyDescent="0.45">
      <c r="B96" s="14" t="s">
        <v>424</v>
      </c>
      <c r="C96" s="14" t="s">
        <v>1336</v>
      </c>
      <c r="D96" s="61"/>
      <c r="E96" s="23">
        <v>263357.25829999999</v>
      </c>
      <c r="F96" s="63"/>
      <c r="G96" s="15"/>
      <c r="H96" s="15">
        <v>0</v>
      </c>
      <c r="I96" s="15">
        <v>229063.45587000001</v>
      </c>
      <c r="J96" s="15"/>
      <c r="K96" s="15">
        <v>1501.0499600000001</v>
      </c>
      <c r="L96" s="15">
        <v>20093.844980000002</v>
      </c>
      <c r="M96" s="15">
        <v>5919.2187000000004</v>
      </c>
      <c r="N96" s="15">
        <v>6514.17965</v>
      </c>
      <c r="O96" s="15"/>
      <c r="P96" s="15"/>
      <c r="Q96" s="15">
        <v>265.50914</v>
      </c>
      <c r="R96" s="15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</row>
    <row r="97" spans="2:30" ht="16" customHeight="1" x14ac:dyDescent="0.45">
      <c r="B97" s="14" t="s">
        <v>426</v>
      </c>
      <c r="C97" s="14" t="s">
        <v>1337</v>
      </c>
      <c r="D97" s="61"/>
      <c r="E97" s="23"/>
      <c r="F97" s="63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</row>
    <row r="98" spans="2:30" ht="16" customHeight="1" x14ac:dyDescent="0.45">
      <c r="B98" s="14" t="s">
        <v>462</v>
      </c>
      <c r="C98" s="14" t="s">
        <v>1338</v>
      </c>
      <c r="D98" s="61"/>
      <c r="E98" s="23"/>
      <c r="F98" s="63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</row>
    <row r="99" spans="2:30" ht="16" customHeight="1" x14ac:dyDescent="0.45">
      <c r="B99" s="14" t="s">
        <v>464</v>
      </c>
      <c r="C99" s="14" t="s">
        <v>1339</v>
      </c>
      <c r="D99" s="61"/>
      <c r="E99" s="23"/>
      <c r="F99" s="63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</row>
    <row r="100" spans="2:30" ht="16" customHeight="1" x14ac:dyDescent="0.45">
      <c r="B100" s="14" t="s">
        <v>533</v>
      </c>
      <c r="C100" s="14" t="s">
        <v>1340</v>
      </c>
      <c r="D100" s="61"/>
      <c r="E100" s="23">
        <v>82815.630990000005</v>
      </c>
      <c r="F100" s="63"/>
      <c r="G100" s="15">
        <v>0</v>
      </c>
      <c r="H100" s="15"/>
      <c r="I100" s="15">
        <v>79655.863459999993</v>
      </c>
      <c r="J100" s="15"/>
      <c r="K100" s="15">
        <v>3159.7675300000001</v>
      </c>
      <c r="L100" s="15">
        <v>0</v>
      </c>
      <c r="M100" s="15">
        <v>0</v>
      </c>
      <c r="N100" s="15">
        <v>0</v>
      </c>
      <c r="O100" s="15"/>
      <c r="P100" s="15"/>
      <c r="Q100" s="15"/>
      <c r="R100" s="15">
        <v>0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</row>
    <row r="101" spans="2:30" ht="16" customHeight="1" x14ac:dyDescent="0.45">
      <c r="B101" s="14" t="s">
        <v>537</v>
      </c>
      <c r="C101" s="14" t="s">
        <v>1341</v>
      </c>
      <c r="D101" s="61"/>
      <c r="E101" s="23">
        <v>1052539.90766</v>
      </c>
      <c r="F101" s="63"/>
      <c r="G101" s="15">
        <v>0</v>
      </c>
      <c r="H101" s="15"/>
      <c r="I101" s="15"/>
      <c r="J101" s="15"/>
      <c r="K101" s="15"/>
      <c r="L101" s="15"/>
      <c r="M101" s="15"/>
      <c r="N101" s="15">
        <v>1044966.84866</v>
      </c>
      <c r="O101" s="15"/>
      <c r="P101" s="15"/>
      <c r="Q101" s="15"/>
      <c r="R101" s="15">
        <v>7573.0590000000002</v>
      </c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</row>
    <row r="102" spans="2:30" ht="16" customHeight="1" x14ac:dyDescent="0.45">
      <c r="B102" s="14" t="s">
        <v>535</v>
      </c>
      <c r="C102" s="14" t="s">
        <v>1342</v>
      </c>
      <c r="D102" s="61"/>
      <c r="E102" s="23">
        <v>-2.0000000000000002E-5</v>
      </c>
      <c r="F102" s="63"/>
      <c r="G102" s="15"/>
      <c r="H102" s="15"/>
      <c r="I102" s="15">
        <v>-1.0000000000000001E-5</v>
      </c>
      <c r="J102" s="15"/>
      <c r="K102" s="15"/>
      <c r="L102" s="15"/>
      <c r="M102" s="15"/>
      <c r="N102" s="15">
        <v>-1.0000000000000001E-5</v>
      </c>
      <c r="O102" s="15"/>
      <c r="P102" s="15"/>
      <c r="Q102" s="15"/>
      <c r="R102" s="15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</row>
    <row r="103" spans="2:30" ht="16" customHeight="1" x14ac:dyDescent="0.45">
      <c r="B103" s="14" t="s">
        <v>539</v>
      </c>
      <c r="C103" s="14" t="s">
        <v>1343</v>
      </c>
      <c r="D103" s="61"/>
      <c r="E103" s="23"/>
      <c r="F103" s="63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</row>
    <row r="104" spans="2:30" ht="16" customHeight="1" x14ac:dyDescent="0.45">
      <c r="B104" s="14" t="s">
        <v>519</v>
      </c>
      <c r="C104" s="14" t="s">
        <v>1344</v>
      </c>
      <c r="D104" s="61"/>
      <c r="E104" s="23"/>
      <c r="F104" s="63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</row>
    <row r="105" spans="2:30" ht="16" customHeight="1" x14ac:dyDescent="0.45">
      <c r="B105" s="14" t="s">
        <v>521</v>
      </c>
      <c r="C105" s="14" t="s">
        <v>1345</v>
      </c>
      <c r="D105" s="61"/>
      <c r="E105" s="23"/>
      <c r="F105" s="63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</row>
    <row r="106" spans="2:30" ht="16" customHeight="1" x14ac:dyDescent="0.45">
      <c r="B106" s="14" t="s">
        <v>483</v>
      </c>
      <c r="C106" s="14" t="s">
        <v>1346</v>
      </c>
      <c r="D106" s="61"/>
      <c r="E106" s="23"/>
      <c r="F106" s="63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</row>
    <row r="107" spans="2:30" ht="16" customHeight="1" x14ac:dyDescent="0.45">
      <c r="B107" s="14" t="s">
        <v>485</v>
      </c>
      <c r="C107" s="14" t="s">
        <v>1347</v>
      </c>
      <c r="D107" s="61"/>
      <c r="E107" s="23"/>
      <c r="F107" s="63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</row>
    <row r="108" spans="2:30" ht="16" customHeight="1" x14ac:dyDescent="0.45">
      <c r="B108" s="14" t="s">
        <v>489</v>
      </c>
      <c r="C108" s="14" t="s">
        <v>1348</v>
      </c>
      <c r="D108" s="61"/>
      <c r="E108" s="23">
        <v>2836.7139200000001</v>
      </c>
      <c r="F108" s="63"/>
      <c r="G108" s="15"/>
      <c r="H108" s="15"/>
      <c r="I108" s="15"/>
      <c r="J108" s="15"/>
      <c r="K108" s="15"/>
      <c r="L108" s="15"/>
      <c r="M108" s="15"/>
      <c r="N108" s="15">
        <v>2836.7139200000001</v>
      </c>
      <c r="O108" s="15"/>
      <c r="P108" s="15"/>
      <c r="Q108" s="15"/>
      <c r="R108" s="15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</row>
    <row r="109" spans="2:30" ht="16" customHeight="1" x14ac:dyDescent="0.45">
      <c r="B109" s="14" t="s">
        <v>491</v>
      </c>
      <c r="C109" s="14" t="s">
        <v>1349</v>
      </c>
      <c r="D109" s="61"/>
      <c r="E109" s="23">
        <v>-2836.7139200000001</v>
      </c>
      <c r="F109" s="63"/>
      <c r="G109" s="15"/>
      <c r="H109" s="15"/>
      <c r="I109" s="15"/>
      <c r="J109" s="15"/>
      <c r="K109" s="15"/>
      <c r="L109" s="15"/>
      <c r="M109" s="15"/>
      <c r="N109" s="15">
        <v>-2836.7139200000001</v>
      </c>
      <c r="O109" s="15"/>
      <c r="P109" s="15"/>
      <c r="Q109" s="15"/>
      <c r="R109" s="15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</row>
    <row r="110" spans="2:30" ht="16" customHeight="1" x14ac:dyDescent="0.45">
      <c r="B110" s="14" t="s">
        <v>495</v>
      </c>
      <c r="C110" s="14" t="s">
        <v>1350</v>
      </c>
      <c r="D110" s="61"/>
      <c r="E110" s="23">
        <v>60067.568070000001</v>
      </c>
      <c r="F110" s="63"/>
      <c r="G110" s="15"/>
      <c r="H110" s="15"/>
      <c r="I110" s="15">
        <v>47772.434450000001</v>
      </c>
      <c r="J110" s="15"/>
      <c r="K110" s="15">
        <v>432.08454</v>
      </c>
      <c r="L110" s="15">
        <v>58.046379999999999</v>
      </c>
      <c r="M110" s="15">
        <v>6.6891499999999997</v>
      </c>
      <c r="N110" s="15">
        <v>11798.313539999999</v>
      </c>
      <c r="O110" s="15"/>
      <c r="P110" s="15">
        <v>1.0000000000000001E-5</v>
      </c>
      <c r="Q110" s="15"/>
      <c r="R110" s="15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</row>
    <row r="111" spans="2:30" ht="16" customHeight="1" x14ac:dyDescent="0.45">
      <c r="B111" s="14" t="s">
        <v>497</v>
      </c>
      <c r="C111" s="14" t="s">
        <v>1351</v>
      </c>
      <c r="D111" s="61"/>
      <c r="E111" s="23">
        <v>-58791.737739999997</v>
      </c>
      <c r="F111" s="63"/>
      <c r="G111" s="15"/>
      <c r="H111" s="15"/>
      <c r="I111" s="15">
        <v>-46496.604120000004</v>
      </c>
      <c r="J111" s="15"/>
      <c r="K111" s="15">
        <v>-432.08454</v>
      </c>
      <c r="L111" s="15">
        <v>-58.046379999999999</v>
      </c>
      <c r="M111" s="15">
        <v>-6.6891499999999997</v>
      </c>
      <c r="N111" s="15">
        <v>-11798.313539999999</v>
      </c>
      <c r="O111" s="15"/>
      <c r="P111" s="15">
        <v>-1.0000000000000001E-5</v>
      </c>
      <c r="Q111" s="15"/>
      <c r="R111" s="15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</row>
    <row r="112" spans="2:30" ht="16" customHeight="1" x14ac:dyDescent="0.45">
      <c r="B112" s="14" t="s">
        <v>501</v>
      </c>
      <c r="C112" s="14" t="s">
        <v>1352</v>
      </c>
      <c r="D112" s="61"/>
      <c r="E112" s="23"/>
      <c r="F112" s="63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</row>
    <row r="113" spans="2:30" ht="16" customHeight="1" x14ac:dyDescent="0.45">
      <c r="B113" s="14" t="s">
        <v>503</v>
      </c>
      <c r="C113" s="14" t="s">
        <v>1353</v>
      </c>
      <c r="D113" s="61"/>
      <c r="E113" s="23"/>
      <c r="F113" s="63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</row>
    <row r="114" spans="2:30" ht="16" customHeight="1" x14ac:dyDescent="0.45">
      <c r="B114" s="14" t="s">
        <v>507</v>
      </c>
      <c r="C114" s="14" t="s">
        <v>1354</v>
      </c>
      <c r="D114" s="61"/>
      <c r="E114" s="23">
        <v>4264.5429999999997</v>
      </c>
      <c r="F114" s="63"/>
      <c r="G114" s="15"/>
      <c r="H114" s="15"/>
      <c r="I114" s="15"/>
      <c r="J114" s="15"/>
      <c r="K114" s="15">
        <v>3152.15</v>
      </c>
      <c r="L114" s="15"/>
      <c r="M114" s="15"/>
      <c r="N114" s="15">
        <v>1112.393</v>
      </c>
      <c r="O114" s="15"/>
      <c r="P114" s="15"/>
      <c r="Q114" s="15"/>
      <c r="R114" s="15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</row>
    <row r="115" spans="2:30" ht="16" customHeight="1" x14ac:dyDescent="0.45">
      <c r="B115" s="14" t="s">
        <v>509</v>
      </c>
      <c r="C115" s="14" t="s">
        <v>1355</v>
      </c>
      <c r="D115" s="61"/>
      <c r="E115" s="23">
        <v>-4264.5429999999997</v>
      </c>
      <c r="F115" s="63"/>
      <c r="G115" s="15"/>
      <c r="H115" s="15"/>
      <c r="I115" s="15"/>
      <c r="J115" s="15"/>
      <c r="K115" s="15">
        <v>-3152.15</v>
      </c>
      <c r="L115" s="15"/>
      <c r="M115" s="15"/>
      <c r="N115" s="15">
        <v>-1112.393</v>
      </c>
      <c r="O115" s="15"/>
      <c r="P115" s="15"/>
      <c r="Q115" s="15"/>
      <c r="R115" s="15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</row>
    <row r="116" spans="2:30" ht="16" customHeight="1" x14ac:dyDescent="0.45">
      <c r="B116" s="14" t="s">
        <v>513</v>
      </c>
      <c r="C116" s="14" t="s">
        <v>1356</v>
      </c>
      <c r="D116" s="61"/>
      <c r="E116" s="23">
        <v>5422.7634099999996</v>
      </c>
      <c r="F116" s="63"/>
      <c r="G116" s="15"/>
      <c r="H116" s="15"/>
      <c r="I116" s="15">
        <v>3431.7645900000002</v>
      </c>
      <c r="J116" s="15"/>
      <c r="K116" s="15">
        <v>377.05182000000002</v>
      </c>
      <c r="L116" s="15">
        <v>0.09</v>
      </c>
      <c r="M116" s="15"/>
      <c r="N116" s="15">
        <v>1613.857</v>
      </c>
      <c r="O116" s="15"/>
      <c r="P116" s="15">
        <v>0</v>
      </c>
      <c r="Q116" s="15"/>
      <c r="R116" s="15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</row>
    <row r="117" spans="2:30" ht="16" customHeight="1" x14ac:dyDescent="0.45">
      <c r="B117" s="14" t="s">
        <v>515</v>
      </c>
      <c r="C117" s="14" t="s">
        <v>1357</v>
      </c>
      <c r="D117" s="61"/>
      <c r="E117" s="23">
        <v>-5417.7277700000004</v>
      </c>
      <c r="F117" s="63"/>
      <c r="G117" s="15"/>
      <c r="H117" s="15"/>
      <c r="I117" s="15">
        <v>-3520.2825899999998</v>
      </c>
      <c r="J117" s="15"/>
      <c r="K117" s="15">
        <v>-283.29181999999997</v>
      </c>
      <c r="L117" s="15">
        <v>-3.6119999999999999E-2</v>
      </c>
      <c r="M117" s="15">
        <v>-0.26024000000000003</v>
      </c>
      <c r="N117" s="15">
        <v>-1613.857</v>
      </c>
      <c r="O117" s="15"/>
      <c r="P117" s="15">
        <v>0</v>
      </c>
      <c r="Q117" s="15"/>
      <c r="R117" s="15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</row>
    <row r="118" spans="2:30" ht="16" customHeight="1" x14ac:dyDescent="0.45">
      <c r="B118" s="14" t="s">
        <v>554</v>
      </c>
      <c r="C118" s="14" t="s">
        <v>555</v>
      </c>
      <c r="D118" s="61"/>
      <c r="E118" s="23">
        <v>0</v>
      </c>
      <c r="F118" s="63"/>
      <c r="G118" s="15">
        <v>0</v>
      </c>
      <c r="H118" s="15">
        <v>0</v>
      </c>
      <c r="I118" s="15">
        <v>0</v>
      </c>
      <c r="J118" s="15"/>
      <c r="K118" s="15"/>
      <c r="L118" s="15"/>
      <c r="M118" s="15"/>
      <c r="N118" s="15">
        <v>0</v>
      </c>
      <c r="O118" s="15"/>
      <c r="P118" s="15"/>
      <c r="Q118" s="15"/>
      <c r="R118" s="15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</row>
    <row r="119" spans="2:30" ht="16" customHeight="1" x14ac:dyDescent="0.45">
      <c r="B119" s="14" t="s">
        <v>557</v>
      </c>
      <c r="C119" s="14" t="s">
        <v>558</v>
      </c>
      <c r="D119" s="61"/>
      <c r="E119" s="23"/>
      <c r="F119" s="63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</row>
    <row r="120" spans="2:30" ht="16" customHeight="1" x14ac:dyDescent="0.45">
      <c r="B120" s="34" t="s">
        <v>563</v>
      </c>
      <c r="C120" s="34" t="s">
        <v>1358</v>
      </c>
      <c r="D120" s="69"/>
      <c r="E120" s="77">
        <v>10077221.70115</v>
      </c>
      <c r="F120" s="78"/>
      <c r="G120" s="35">
        <v>0</v>
      </c>
      <c r="H120" s="35">
        <v>10614.10187</v>
      </c>
      <c r="I120" s="35">
        <v>6316038.9912200002</v>
      </c>
      <c r="J120" s="35"/>
      <c r="K120" s="35">
        <v>130381.18109</v>
      </c>
      <c r="L120" s="35">
        <v>469458.83026999998</v>
      </c>
      <c r="M120" s="35">
        <v>565662.57365000003</v>
      </c>
      <c r="N120" s="35">
        <v>2507710.0957999998</v>
      </c>
      <c r="O120" s="35">
        <v>17242.156719999999</v>
      </c>
      <c r="P120" s="35">
        <v>5470.2756799999997</v>
      </c>
      <c r="Q120" s="35">
        <v>11451.56438</v>
      </c>
      <c r="R120" s="35">
        <v>43191.930469999999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</row>
    <row r="121" spans="2:30" ht="16" customHeight="1" x14ac:dyDescent="0.45">
      <c r="B121" s="10"/>
      <c r="C121" s="11"/>
      <c r="D121" s="29"/>
      <c r="E121" s="2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</row>
    <row r="122" spans="2:30" ht="16" customHeight="1" x14ac:dyDescent="0.45">
      <c r="B122" s="14" t="s">
        <v>579</v>
      </c>
      <c r="C122" s="14" t="s">
        <v>1359</v>
      </c>
      <c r="D122" s="61"/>
      <c r="E122" s="23"/>
      <c r="F122" s="63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</row>
    <row r="123" spans="2:30" ht="16" customHeight="1" x14ac:dyDescent="0.45">
      <c r="B123" s="14" t="s">
        <v>581</v>
      </c>
      <c r="C123" s="14" t="s">
        <v>1360</v>
      </c>
      <c r="D123" s="61"/>
      <c r="E123" s="23">
        <v>0</v>
      </c>
      <c r="F123" s="63"/>
      <c r="G123" s="15"/>
      <c r="H123" s="15"/>
      <c r="I123" s="15">
        <v>0</v>
      </c>
      <c r="J123" s="15"/>
      <c r="K123" s="15"/>
      <c r="L123" s="15"/>
      <c r="M123" s="15"/>
      <c r="N123" s="15"/>
      <c r="O123" s="15"/>
      <c r="P123" s="15"/>
      <c r="Q123" s="15"/>
      <c r="R123" s="15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</row>
    <row r="124" spans="2:30" ht="16" customHeight="1" x14ac:dyDescent="0.45">
      <c r="B124" s="14" t="s">
        <v>583</v>
      </c>
      <c r="C124" s="14" t="s">
        <v>584</v>
      </c>
      <c r="D124" s="61"/>
      <c r="E124" s="23"/>
      <c r="F124" s="63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</row>
    <row r="125" spans="2:30" ht="16" customHeight="1" x14ac:dyDescent="0.45">
      <c r="B125" s="14" t="s">
        <v>587</v>
      </c>
      <c r="C125" s="14" t="s">
        <v>1361</v>
      </c>
      <c r="D125" s="61"/>
      <c r="E125" s="23"/>
      <c r="F125" s="63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</row>
    <row r="126" spans="2:30" ht="16" customHeight="1" x14ac:dyDescent="0.45">
      <c r="B126" s="14" t="s">
        <v>589</v>
      </c>
      <c r="C126" s="14" t="s">
        <v>1362</v>
      </c>
      <c r="D126" s="61"/>
      <c r="E126" s="23"/>
      <c r="F126" s="63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</row>
    <row r="127" spans="2:30" ht="16" customHeight="1" x14ac:dyDescent="0.45">
      <c r="B127" s="14" t="s">
        <v>591</v>
      </c>
      <c r="C127" s="14" t="s">
        <v>1363</v>
      </c>
      <c r="D127" s="61"/>
      <c r="E127" s="23">
        <v>0</v>
      </c>
      <c r="F127" s="63"/>
      <c r="G127" s="15"/>
      <c r="H127" s="15"/>
      <c r="I127" s="15">
        <v>0</v>
      </c>
      <c r="J127" s="15"/>
      <c r="K127" s="15"/>
      <c r="L127" s="15"/>
      <c r="M127" s="15"/>
      <c r="N127" s="15"/>
      <c r="O127" s="15"/>
      <c r="P127" s="15"/>
      <c r="Q127" s="15"/>
      <c r="R127" s="15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</row>
    <row r="128" spans="2:30" ht="16" customHeight="1" x14ac:dyDescent="0.45">
      <c r="B128" s="14" t="s">
        <v>593</v>
      </c>
      <c r="C128" s="14" t="s">
        <v>1364</v>
      </c>
      <c r="D128" s="61"/>
      <c r="E128" s="23">
        <v>16698.55186</v>
      </c>
      <c r="F128" s="63"/>
      <c r="G128" s="15">
        <v>0</v>
      </c>
      <c r="H128" s="15">
        <v>0</v>
      </c>
      <c r="I128" s="15">
        <v>13269.315039999999</v>
      </c>
      <c r="J128" s="15"/>
      <c r="K128" s="15">
        <v>1293.1891499999999</v>
      </c>
      <c r="L128" s="15">
        <v>1058.7687100000001</v>
      </c>
      <c r="M128" s="15">
        <v>248.9736</v>
      </c>
      <c r="N128" s="15">
        <v>415.63267999999999</v>
      </c>
      <c r="O128" s="15"/>
      <c r="P128" s="15">
        <v>412.67268000000001</v>
      </c>
      <c r="Q128" s="15"/>
      <c r="R128" s="15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</row>
    <row r="129" spans="2:30" ht="16" customHeight="1" x14ac:dyDescent="0.45">
      <c r="B129" s="14" t="s">
        <v>577</v>
      </c>
      <c r="C129" s="14" t="s">
        <v>1365</v>
      </c>
      <c r="D129" s="61"/>
      <c r="E129" s="23"/>
      <c r="F129" s="63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</row>
    <row r="130" spans="2:30" ht="16" customHeight="1" x14ac:dyDescent="0.45">
      <c r="B130" s="14" t="s">
        <v>585</v>
      </c>
      <c r="C130" s="14" t="s">
        <v>1366</v>
      </c>
      <c r="D130" s="61"/>
      <c r="E130" s="23">
        <v>0</v>
      </c>
      <c r="F130" s="63"/>
      <c r="G130" s="15"/>
      <c r="H130" s="15"/>
      <c r="I130" s="15">
        <v>0</v>
      </c>
      <c r="J130" s="15"/>
      <c r="K130" s="15"/>
      <c r="L130" s="15"/>
      <c r="M130" s="15"/>
      <c r="N130" s="15"/>
      <c r="O130" s="15"/>
      <c r="P130" s="15"/>
      <c r="Q130" s="15"/>
      <c r="R130" s="15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</row>
    <row r="131" spans="2:30" ht="16" customHeight="1" x14ac:dyDescent="0.45">
      <c r="B131" s="14" t="s">
        <v>595</v>
      </c>
      <c r="C131" s="14" t="s">
        <v>1367</v>
      </c>
      <c r="D131" s="61"/>
      <c r="E131" s="23"/>
      <c r="F131" s="63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</row>
    <row r="132" spans="2:30" ht="16" customHeight="1" x14ac:dyDescent="0.45">
      <c r="B132" s="14" t="s">
        <v>599</v>
      </c>
      <c r="C132" s="14" t="s">
        <v>1368</v>
      </c>
      <c r="D132" s="61"/>
      <c r="E132" s="23">
        <v>552.51444000000004</v>
      </c>
      <c r="F132" s="63"/>
      <c r="G132" s="15"/>
      <c r="H132" s="15"/>
      <c r="I132" s="15">
        <v>552.51444000000004</v>
      </c>
      <c r="J132" s="15"/>
      <c r="K132" s="15"/>
      <c r="L132" s="15"/>
      <c r="M132" s="15"/>
      <c r="N132" s="15"/>
      <c r="O132" s="15"/>
      <c r="P132" s="15"/>
      <c r="Q132" s="15"/>
      <c r="R132" s="15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</row>
    <row r="133" spans="2:30" ht="16" customHeight="1" x14ac:dyDescent="0.45">
      <c r="B133" s="14" t="s">
        <v>566</v>
      </c>
      <c r="C133" s="14" t="s">
        <v>1369</v>
      </c>
      <c r="D133" s="61"/>
      <c r="E133" s="23">
        <v>15746.28802</v>
      </c>
      <c r="F133" s="63"/>
      <c r="G133" s="15"/>
      <c r="H133" s="15"/>
      <c r="I133" s="15">
        <v>1086.3687500000001</v>
      </c>
      <c r="J133" s="15"/>
      <c r="K133" s="15"/>
      <c r="L133" s="15">
        <v>1731.6691599999999</v>
      </c>
      <c r="M133" s="15">
        <v>157.84478999999999</v>
      </c>
      <c r="N133" s="15">
        <v>12561.01354</v>
      </c>
      <c r="O133" s="15"/>
      <c r="P133" s="15"/>
      <c r="Q133" s="15"/>
      <c r="R133" s="15">
        <v>209.39178000000001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</row>
    <row r="134" spans="2:30" ht="16" customHeight="1" x14ac:dyDescent="0.45">
      <c r="B134" s="14" t="s">
        <v>568</v>
      </c>
      <c r="C134" s="14" t="s">
        <v>1370</v>
      </c>
      <c r="D134" s="61"/>
      <c r="E134" s="23"/>
      <c r="F134" s="63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</row>
    <row r="135" spans="2:30" ht="16" customHeight="1" x14ac:dyDescent="0.45">
      <c r="B135" s="14" t="s">
        <v>572</v>
      </c>
      <c r="C135" s="14" t="s">
        <v>573</v>
      </c>
      <c r="D135" s="61"/>
      <c r="E135" s="23">
        <v>3157.8740899999998</v>
      </c>
      <c r="F135" s="63"/>
      <c r="G135" s="15">
        <v>0</v>
      </c>
      <c r="H135" s="15">
        <v>0</v>
      </c>
      <c r="I135" s="15">
        <v>3129.7960800000001</v>
      </c>
      <c r="J135" s="15"/>
      <c r="K135" s="15">
        <v>2.4642499999999998</v>
      </c>
      <c r="L135" s="15"/>
      <c r="M135" s="15"/>
      <c r="N135" s="15"/>
      <c r="O135" s="15"/>
      <c r="P135" s="15">
        <v>0</v>
      </c>
      <c r="Q135" s="15">
        <v>15.78945</v>
      </c>
      <c r="R135" s="15">
        <v>9.8243100000000005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</row>
    <row r="136" spans="2:30" ht="16" customHeight="1" x14ac:dyDescent="0.45">
      <c r="B136" s="14" t="s">
        <v>629</v>
      </c>
      <c r="C136" s="14" t="s">
        <v>1371</v>
      </c>
      <c r="D136" s="61"/>
      <c r="E136" s="23"/>
      <c r="F136" s="63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</row>
    <row r="137" spans="2:30" ht="16" customHeight="1" x14ac:dyDescent="0.45">
      <c r="B137" s="14" t="s">
        <v>570</v>
      </c>
      <c r="C137" s="14" t="s">
        <v>1372</v>
      </c>
      <c r="D137" s="61"/>
      <c r="E137" s="23">
        <v>334274.69030999998</v>
      </c>
      <c r="F137" s="63"/>
      <c r="G137" s="15">
        <v>0</v>
      </c>
      <c r="H137" s="15">
        <v>333.77746000000002</v>
      </c>
      <c r="I137" s="15">
        <v>206899.90413000001</v>
      </c>
      <c r="J137" s="15"/>
      <c r="K137" s="15">
        <v>9271.9864799999996</v>
      </c>
      <c r="L137" s="15">
        <v>36859.294500000004</v>
      </c>
      <c r="M137" s="15">
        <v>42597.217620000003</v>
      </c>
      <c r="N137" s="15">
        <v>21866.057980000001</v>
      </c>
      <c r="O137" s="15">
        <v>0</v>
      </c>
      <c r="P137" s="15">
        <v>497.80874999999997</v>
      </c>
      <c r="Q137" s="15">
        <v>1332.27836</v>
      </c>
      <c r="R137" s="15">
        <v>14616.365030000001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</row>
    <row r="138" spans="2:30" ht="16" customHeight="1" x14ac:dyDescent="0.45">
      <c r="B138" s="14" t="s">
        <v>1373</v>
      </c>
      <c r="C138" s="14" t="s">
        <v>1374</v>
      </c>
      <c r="D138" s="61"/>
      <c r="E138" s="23"/>
      <c r="F138" s="63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</row>
    <row r="139" spans="2:30" ht="16" customHeight="1" x14ac:dyDescent="0.45">
      <c r="B139" s="14" t="s">
        <v>1375</v>
      </c>
      <c r="C139" s="14" t="s">
        <v>1376</v>
      </c>
      <c r="D139" s="61"/>
      <c r="E139" s="23">
        <v>0</v>
      </c>
      <c r="F139" s="63"/>
      <c r="G139" s="15"/>
      <c r="H139" s="15"/>
      <c r="I139" s="15">
        <v>0</v>
      </c>
      <c r="J139" s="15"/>
      <c r="K139" s="15"/>
      <c r="L139" s="15"/>
      <c r="M139" s="15"/>
      <c r="N139" s="15"/>
      <c r="O139" s="15"/>
      <c r="P139" s="15"/>
      <c r="Q139" s="15"/>
      <c r="R139" s="15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</row>
    <row r="140" spans="2:30" ht="16" customHeight="1" x14ac:dyDescent="0.45">
      <c r="B140" s="14" t="s">
        <v>1377</v>
      </c>
      <c r="C140" s="14" t="s">
        <v>1378</v>
      </c>
      <c r="D140" s="61"/>
      <c r="E140" s="23"/>
      <c r="F140" s="63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</row>
    <row r="141" spans="2:30" ht="16" customHeight="1" x14ac:dyDescent="0.45">
      <c r="B141" s="14" t="s">
        <v>1379</v>
      </c>
      <c r="C141" s="14" t="s">
        <v>1380</v>
      </c>
      <c r="D141" s="61"/>
      <c r="E141" s="23"/>
      <c r="F141" s="63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</row>
    <row r="142" spans="2:30" ht="16" customHeight="1" x14ac:dyDescent="0.45">
      <c r="B142" s="14" t="s">
        <v>1381</v>
      </c>
      <c r="C142" s="14" t="s">
        <v>1382</v>
      </c>
      <c r="D142" s="61"/>
      <c r="E142" s="23"/>
      <c r="F142" s="63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</row>
    <row r="143" spans="2:30" ht="16" customHeight="1" x14ac:dyDescent="0.45">
      <c r="B143" s="14" t="s">
        <v>1383</v>
      </c>
      <c r="C143" s="14" t="s">
        <v>1384</v>
      </c>
      <c r="D143" s="61"/>
      <c r="E143" s="23">
        <v>61.400289999999998</v>
      </c>
      <c r="F143" s="63"/>
      <c r="G143" s="15"/>
      <c r="H143" s="15"/>
      <c r="I143" s="15">
        <v>-10971.895130000001</v>
      </c>
      <c r="J143" s="15">
        <v>11033.29542</v>
      </c>
      <c r="K143" s="15"/>
      <c r="L143" s="15"/>
      <c r="M143" s="15"/>
      <c r="N143" s="15"/>
      <c r="O143" s="15"/>
      <c r="P143" s="15"/>
      <c r="Q143" s="15"/>
      <c r="R143" s="15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</row>
    <row r="144" spans="2:30" ht="16" customHeight="1" x14ac:dyDescent="0.45">
      <c r="B144" s="14" t="s">
        <v>621</v>
      </c>
      <c r="C144" s="14" t="s">
        <v>1385</v>
      </c>
      <c r="D144" s="61"/>
      <c r="E144" s="23">
        <v>20295.965250000001</v>
      </c>
      <c r="F144" s="63"/>
      <c r="G144" s="15">
        <v>0</v>
      </c>
      <c r="H144" s="15">
        <v>0</v>
      </c>
      <c r="I144" s="15">
        <v>15609.072029999999</v>
      </c>
      <c r="J144" s="15"/>
      <c r="K144" s="15">
        <v>71.158969999999997</v>
      </c>
      <c r="L144" s="15">
        <v>1853.42687</v>
      </c>
      <c r="M144" s="15">
        <v>1713.4835800000001</v>
      </c>
      <c r="N144" s="15">
        <v>907.50093000000004</v>
      </c>
      <c r="O144" s="15"/>
      <c r="P144" s="15"/>
      <c r="Q144" s="15">
        <v>141.32286999999999</v>
      </c>
      <c r="R144" s="15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</row>
    <row r="145" spans="2:30" ht="16" customHeight="1" x14ac:dyDescent="0.45">
      <c r="B145" s="14" t="s">
        <v>623</v>
      </c>
      <c r="C145" s="14" t="s">
        <v>1386</v>
      </c>
      <c r="D145" s="61"/>
      <c r="E145" s="23"/>
      <c r="F145" s="63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</row>
    <row r="146" spans="2:30" ht="16" customHeight="1" x14ac:dyDescent="0.45">
      <c r="B146" s="14" t="s">
        <v>625</v>
      </c>
      <c r="C146" s="14" t="s">
        <v>1387</v>
      </c>
      <c r="D146" s="61"/>
      <c r="E146" s="23">
        <v>12908.456980000001</v>
      </c>
      <c r="F146" s="63"/>
      <c r="G146" s="15">
        <v>0</v>
      </c>
      <c r="H146" s="15">
        <v>134.18926999999999</v>
      </c>
      <c r="I146" s="15">
        <v>12154.495849999999</v>
      </c>
      <c r="J146" s="15"/>
      <c r="K146" s="15">
        <v>-216.58089000000001</v>
      </c>
      <c r="L146" s="15">
        <v>1107.5367699999999</v>
      </c>
      <c r="M146" s="15">
        <v>483.53043000000002</v>
      </c>
      <c r="N146" s="15">
        <v>-611.87843999999996</v>
      </c>
      <c r="O146" s="15"/>
      <c r="P146" s="15">
        <v>0.95111999999999997</v>
      </c>
      <c r="Q146" s="15">
        <v>-155.56694999999999</v>
      </c>
      <c r="R146" s="15">
        <v>11.779820000000001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</row>
    <row r="147" spans="2:30" ht="16" customHeight="1" x14ac:dyDescent="0.45">
      <c r="B147" s="14" t="s">
        <v>619</v>
      </c>
      <c r="C147" s="14" t="s">
        <v>1388</v>
      </c>
      <c r="D147" s="61"/>
      <c r="E147" s="23">
        <v>44141.534030000003</v>
      </c>
      <c r="F147" s="63"/>
      <c r="G147" s="15">
        <v>0</v>
      </c>
      <c r="H147" s="15">
        <v>438.76902000000001</v>
      </c>
      <c r="I147" s="15">
        <v>33861.632230000003</v>
      </c>
      <c r="J147" s="15">
        <v>0</v>
      </c>
      <c r="K147" s="15">
        <v>400.88949000000002</v>
      </c>
      <c r="L147" s="15">
        <v>4923.3210900000004</v>
      </c>
      <c r="M147" s="15">
        <v>982.09667999999999</v>
      </c>
      <c r="N147" s="15">
        <v>2600.02702</v>
      </c>
      <c r="O147" s="15">
        <v>1.5009399999999999</v>
      </c>
      <c r="P147" s="15">
        <v>114.8287</v>
      </c>
      <c r="Q147" s="15">
        <v>724.13350000000003</v>
      </c>
      <c r="R147" s="15">
        <v>94.335359999999994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</row>
    <row r="148" spans="2:30" ht="16" customHeight="1" x14ac:dyDescent="0.45">
      <c r="B148" s="14" t="s">
        <v>615</v>
      </c>
      <c r="C148" s="14" t="s">
        <v>1389</v>
      </c>
      <c r="D148" s="61"/>
      <c r="E148" s="23">
        <v>15520.7768</v>
      </c>
      <c r="F148" s="63"/>
      <c r="G148" s="15"/>
      <c r="H148" s="15">
        <v>970.54192999999998</v>
      </c>
      <c r="I148" s="15">
        <v>14523.24114</v>
      </c>
      <c r="J148" s="15"/>
      <c r="K148" s="15">
        <v>0.2671</v>
      </c>
      <c r="L148" s="15">
        <v>2.02555</v>
      </c>
      <c r="M148" s="15">
        <v>0.14363000000000001</v>
      </c>
      <c r="N148" s="15">
        <v>19.403949999999998</v>
      </c>
      <c r="O148" s="15"/>
      <c r="P148" s="15">
        <v>0</v>
      </c>
      <c r="Q148" s="15">
        <v>0</v>
      </c>
      <c r="R148" s="15">
        <v>5.1535000000000002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</row>
    <row r="149" spans="2:30" ht="16" customHeight="1" x14ac:dyDescent="0.45">
      <c r="B149" s="14" t="s">
        <v>617</v>
      </c>
      <c r="C149" s="14" t="s">
        <v>1390</v>
      </c>
      <c r="D149" s="61"/>
      <c r="E149" s="23"/>
      <c r="F149" s="63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</row>
    <row r="150" spans="2:30" ht="16" customHeight="1" x14ac:dyDescent="0.45">
      <c r="B150" s="14" t="s">
        <v>627</v>
      </c>
      <c r="C150" s="14" t="s">
        <v>1391</v>
      </c>
      <c r="D150" s="61"/>
      <c r="E150" s="23">
        <v>34724.782500000001</v>
      </c>
      <c r="F150" s="63"/>
      <c r="G150" s="15">
        <v>0</v>
      </c>
      <c r="H150" s="15"/>
      <c r="I150" s="15">
        <v>13742.702939999999</v>
      </c>
      <c r="J150" s="15"/>
      <c r="K150" s="15">
        <v>5381.4831599999998</v>
      </c>
      <c r="L150" s="15">
        <v>2599.4310500000001</v>
      </c>
      <c r="M150" s="15">
        <v>9119.1785099999997</v>
      </c>
      <c r="N150" s="15">
        <v>2565.3998299999998</v>
      </c>
      <c r="O150" s="15"/>
      <c r="P150" s="15">
        <v>1081.6172899999999</v>
      </c>
      <c r="Q150" s="15">
        <v>131.07910999999999</v>
      </c>
      <c r="R150" s="15">
        <v>103.89061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</row>
    <row r="151" spans="2:30" ht="16" customHeight="1" x14ac:dyDescent="0.45">
      <c r="B151" s="14" t="s">
        <v>631</v>
      </c>
      <c r="C151" s="14" t="s">
        <v>632</v>
      </c>
      <c r="D151" s="61"/>
      <c r="E151" s="23"/>
      <c r="F151" s="63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</row>
    <row r="152" spans="2:30" ht="16" customHeight="1" x14ac:dyDescent="0.45">
      <c r="B152" s="14" t="s">
        <v>633</v>
      </c>
      <c r="C152" s="14" t="s">
        <v>634</v>
      </c>
      <c r="D152" s="61"/>
      <c r="E152" s="23"/>
      <c r="F152" s="63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</row>
    <row r="153" spans="2:30" ht="16" customHeight="1" x14ac:dyDescent="0.45">
      <c r="B153" s="14" t="s">
        <v>635</v>
      </c>
      <c r="C153" s="14" t="s">
        <v>636</v>
      </c>
      <c r="D153" s="61"/>
      <c r="E153" s="23"/>
      <c r="F153" s="63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</row>
    <row r="154" spans="2:30" ht="16" customHeight="1" x14ac:dyDescent="0.45">
      <c r="B154" s="14" t="s">
        <v>643</v>
      </c>
      <c r="C154" s="14" t="s">
        <v>1392</v>
      </c>
      <c r="D154" s="61"/>
      <c r="E154" s="23"/>
      <c r="F154" s="63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</row>
    <row r="155" spans="2:30" ht="16" customHeight="1" x14ac:dyDescent="0.45">
      <c r="B155" s="14" t="s">
        <v>1393</v>
      </c>
      <c r="C155" s="14" t="s">
        <v>1394</v>
      </c>
      <c r="D155" s="61"/>
      <c r="E155" s="23"/>
      <c r="F155" s="63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</row>
    <row r="156" spans="2:30" ht="16" customHeight="1" x14ac:dyDescent="0.45">
      <c r="B156" s="14" t="s">
        <v>1395</v>
      </c>
      <c r="C156" s="14" t="s">
        <v>1396</v>
      </c>
      <c r="D156" s="61"/>
      <c r="E156" s="23">
        <v>4980.0187999999998</v>
      </c>
      <c r="F156" s="63"/>
      <c r="G156" s="15">
        <v>0</v>
      </c>
      <c r="H156" s="15"/>
      <c r="I156" s="15">
        <v>2157.9145100000001</v>
      </c>
      <c r="J156" s="15"/>
      <c r="K156" s="15">
        <v>-27.698989999999998</v>
      </c>
      <c r="L156" s="15">
        <v>-248.81623999999999</v>
      </c>
      <c r="M156" s="15">
        <v>620.81128999999999</v>
      </c>
      <c r="N156" s="15">
        <v>2477.8082300000001</v>
      </c>
      <c r="O156" s="15"/>
      <c r="P156" s="15"/>
      <c r="Q156" s="15"/>
      <c r="R156" s="15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</row>
    <row r="157" spans="2:30" ht="16" customHeight="1" x14ac:dyDescent="0.45">
      <c r="B157" s="14" t="s">
        <v>1397</v>
      </c>
      <c r="C157" s="14" t="s">
        <v>1398</v>
      </c>
      <c r="D157" s="61"/>
      <c r="E157" s="23">
        <v>33653.46</v>
      </c>
      <c r="F157" s="63"/>
      <c r="G157" s="15">
        <v>0</v>
      </c>
      <c r="H157" s="15"/>
      <c r="I157" s="15">
        <v>33653.46</v>
      </c>
      <c r="J157" s="15"/>
      <c r="K157" s="15"/>
      <c r="L157" s="15">
        <v>0</v>
      </c>
      <c r="M157" s="15"/>
      <c r="N157" s="15">
        <v>0</v>
      </c>
      <c r="O157" s="15"/>
      <c r="P157" s="15"/>
      <c r="Q157" s="15"/>
      <c r="R157" s="15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</row>
    <row r="158" spans="2:30" ht="16" customHeight="1" x14ac:dyDescent="0.45">
      <c r="B158" s="14" t="s">
        <v>1399</v>
      </c>
      <c r="C158" s="14" t="s">
        <v>1400</v>
      </c>
      <c r="D158" s="61"/>
      <c r="E158" s="23">
        <v>9777.5305200000003</v>
      </c>
      <c r="F158" s="63"/>
      <c r="G158" s="15"/>
      <c r="H158" s="15"/>
      <c r="I158" s="15">
        <v>8540.0668399999995</v>
      </c>
      <c r="J158" s="15"/>
      <c r="K158" s="15"/>
      <c r="L158" s="15"/>
      <c r="M158" s="15"/>
      <c r="N158" s="15">
        <v>1237.4636800000001</v>
      </c>
      <c r="O158" s="15"/>
      <c r="P158" s="15"/>
      <c r="Q158" s="15"/>
      <c r="R158" s="15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</row>
    <row r="159" spans="2:30" ht="16" customHeight="1" x14ac:dyDescent="0.45">
      <c r="B159" s="14" t="s">
        <v>1401</v>
      </c>
      <c r="C159" s="14" t="s">
        <v>1402</v>
      </c>
      <c r="D159" s="61"/>
      <c r="E159" s="23">
        <v>910.26625000000001</v>
      </c>
      <c r="F159" s="63"/>
      <c r="G159" s="15"/>
      <c r="H159" s="15"/>
      <c r="I159" s="15">
        <v>910.26625000000001</v>
      </c>
      <c r="J159" s="15"/>
      <c r="K159" s="15"/>
      <c r="L159" s="15"/>
      <c r="M159" s="15"/>
      <c r="N159" s="15">
        <v>0</v>
      </c>
      <c r="O159" s="15"/>
      <c r="P159" s="15"/>
      <c r="Q159" s="15">
        <v>0</v>
      </c>
      <c r="R159" s="15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</row>
    <row r="160" spans="2:30" ht="16" customHeight="1" x14ac:dyDescent="0.45">
      <c r="B160" s="14" t="s">
        <v>1403</v>
      </c>
      <c r="C160" s="14" t="s">
        <v>1404</v>
      </c>
      <c r="D160" s="61"/>
      <c r="E160" s="23"/>
      <c r="F160" s="63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</row>
    <row r="161" spans="2:29" ht="16" customHeight="1" x14ac:dyDescent="0.45">
      <c r="B161" s="14" t="s">
        <v>1405</v>
      </c>
      <c r="C161" s="14" t="s">
        <v>1406</v>
      </c>
      <c r="D161" s="61"/>
      <c r="E161" s="23"/>
      <c r="F161" s="63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</row>
    <row r="162" spans="2:29" ht="16" customHeight="1" x14ac:dyDescent="0.45">
      <c r="B162" s="14" t="s">
        <v>602</v>
      </c>
      <c r="C162" s="14" t="s">
        <v>1407</v>
      </c>
      <c r="D162" s="61"/>
      <c r="E162" s="23">
        <v>18.799800000000001</v>
      </c>
      <c r="F162" s="63"/>
      <c r="G162" s="15">
        <v>0</v>
      </c>
      <c r="H162" s="15">
        <v>18.799800000000001</v>
      </c>
      <c r="I162" s="15">
        <v>0</v>
      </c>
      <c r="J162" s="15"/>
      <c r="K162" s="15"/>
      <c r="L162" s="15"/>
      <c r="M162" s="15"/>
      <c r="N162" s="15">
        <v>0</v>
      </c>
      <c r="O162" s="15"/>
      <c r="P162" s="15"/>
      <c r="Q162" s="15"/>
      <c r="R162" s="15">
        <v>0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</row>
    <row r="163" spans="2:29" ht="16" customHeight="1" x14ac:dyDescent="0.45">
      <c r="B163" s="14" t="s">
        <v>604</v>
      </c>
      <c r="C163" s="14" t="s">
        <v>1408</v>
      </c>
      <c r="D163" s="61"/>
      <c r="E163" s="23">
        <v>0</v>
      </c>
      <c r="F163" s="63"/>
      <c r="G163" s="15">
        <v>0</v>
      </c>
      <c r="H163" s="15"/>
      <c r="I163" s="15">
        <v>0</v>
      </c>
      <c r="J163" s="15"/>
      <c r="K163" s="15"/>
      <c r="L163" s="15"/>
      <c r="M163" s="15"/>
      <c r="N163" s="15"/>
      <c r="O163" s="15"/>
      <c r="P163" s="15"/>
      <c r="Q163" s="15"/>
      <c r="R163" s="15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</row>
    <row r="164" spans="2:29" ht="16" customHeight="1" x14ac:dyDescent="0.45">
      <c r="B164" s="14" t="s">
        <v>650</v>
      </c>
      <c r="C164" s="14" t="s">
        <v>1409</v>
      </c>
      <c r="D164" s="61"/>
      <c r="E164" s="23">
        <v>0</v>
      </c>
      <c r="F164" s="63"/>
      <c r="G164" s="15"/>
      <c r="H164" s="15"/>
      <c r="I164" s="15">
        <v>0</v>
      </c>
      <c r="J164" s="15"/>
      <c r="K164" s="15"/>
      <c r="L164" s="15"/>
      <c r="M164" s="15"/>
      <c r="N164" s="15"/>
      <c r="O164" s="15"/>
      <c r="P164" s="15"/>
      <c r="Q164" s="15"/>
      <c r="R164" s="15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</row>
    <row r="165" spans="2:29" ht="16" customHeight="1" x14ac:dyDescent="0.45">
      <c r="B165" s="14" t="s">
        <v>652</v>
      </c>
      <c r="C165" s="14" t="s">
        <v>1410</v>
      </c>
      <c r="D165" s="61"/>
      <c r="E165" s="23"/>
      <c r="F165" s="63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</row>
    <row r="166" spans="2:29" ht="16" customHeight="1" x14ac:dyDescent="0.45">
      <c r="B166" s="14" t="s">
        <v>654</v>
      </c>
      <c r="C166" s="14" t="s">
        <v>1411</v>
      </c>
      <c r="D166" s="61"/>
      <c r="E166" s="23">
        <v>0</v>
      </c>
      <c r="F166" s="63"/>
      <c r="G166" s="15">
        <v>0</v>
      </c>
      <c r="H166" s="15"/>
      <c r="I166" s="15">
        <v>-17495.833999999999</v>
      </c>
      <c r="J166" s="15">
        <v>17495.833999999999</v>
      </c>
      <c r="K166" s="15"/>
      <c r="L166" s="15"/>
      <c r="M166" s="15"/>
      <c r="N166" s="15"/>
      <c r="O166" s="15"/>
      <c r="P166" s="15"/>
      <c r="Q166" s="15"/>
      <c r="R166" s="15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</row>
    <row r="167" spans="2:29" ht="16" customHeight="1" x14ac:dyDescent="0.45">
      <c r="B167" s="14" t="s">
        <v>656</v>
      </c>
      <c r="C167" s="14" t="s">
        <v>1412</v>
      </c>
      <c r="D167" s="61"/>
      <c r="E167" s="23">
        <v>71959.446500000005</v>
      </c>
      <c r="F167" s="63"/>
      <c r="G167" s="15">
        <v>0</v>
      </c>
      <c r="H167" s="15">
        <v>0.53619000000000006</v>
      </c>
      <c r="I167" s="15">
        <v>41561.127269999997</v>
      </c>
      <c r="J167" s="15"/>
      <c r="K167" s="15">
        <v>26780.496009999999</v>
      </c>
      <c r="L167" s="15">
        <v>1365.20776</v>
      </c>
      <c r="M167" s="15">
        <v>372.06605999999999</v>
      </c>
      <c r="N167" s="15">
        <v>794.98415</v>
      </c>
      <c r="O167" s="15"/>
      <c r="P167" s="15">
        <v>860.27043000000003</v>
      </c>
      <c r="Q167" s="15">
        <v>-6.3100000000000003E-2</v>
      </c>
      <c r="R167" s="15">
        <v>224.82173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</row>
    <row r="168" spans="2:29" ht="16" customHeight="1" x14ac:dyDescent="0.45">
      <c r="B168" s="14" t="s">
        <v>648</v>
      </c>
      <c r="C168" s="14" t="s">
        <v>1413</v>
      </c>
      <c r="D168" s="61"/>
      <c r="E168" s="23">
        <v>1054552.41126</v>
      </c>
      <c r="F168" s="63"/>
      <c r="G168" s="15"/>
      <c r="H168" s="15">
        <v>5809.1050800000003</v>
      </c>
      <c r="I168" s="15">
        <v>1038042.07346</v>
      </c>
      <c r="J168" s="15"/>
      <c r="K168" s="15">
        <v>53216.821380000001</v>
      </c>
      <c r="L168" s="15">
        <v>146645.54832</v>
      </c>
      <c r="M168" s="15">
        <v>315339.36259999999</v>
      </c>
      <c r="N168" s="15">
        <v>-499819.87426000001</v>
      </c>
      <c r="O168" s="15">
        <v>-8948.0118700000003</v>
      </c>
      <c r="P168" s="15">
        <v>-3377.8087500000001</v>
      </c>
      <c r="Q168" s="15">
        <v>-7273.0621099999998</v>
      </c>
      <c r="R168" s="15">
        <v>14918.25741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</row>
    <row r="169" spans="2:29" ht="16" customHeight="1" x14ac:dyDescent="0.45">
      <c r="B169" s="14" t="s">
        <v>663</v>
      </c>
      <c r="C169" s="14" t="s">
        <v>664</v>
      </c>
      <c r="D169" s="61"/>
      <c r="E169" s="23">
        <v>8.7067599999999992</v>
      </c>
      <c r="F169" s="63"/>
      <c r="G169" s="15"/>
      <c r="H169" s="15"/>
      <c r="I169" s="15">
        <v>8.7067599999999992</v>
      </c>
      <c r="J169" s="15"/>
      <c r="K169" s="15"/>
      <c r="L169" s="15"/>
      <c r="M169" s="15"/>
      <c r="N169" s="15"/>
      <c r="O169" s="15"/>
      <c r="P169" s="15"/>
      <c r="Q169" s="15"/>
      <c r="R169" s="15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</row>
    <row r="170" spans="2:29" ht="16" customHeight="1" x14ac:dyDescent="0.45">
      <c r="B170" s="14" t="s">
        <v>658</v>
      </c>
      <c r="C170" s="14" t="s">
        <v>659</v>
      </c>
      <c r="D170" s="61"/>
      <c r="E170" s="23"/>
      <c r="F170" s="63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</row>
    <row r="171" spans="2:29" ht="16" customHeight="1" x14ac:dyDescent="0.45">
      <c r="B171" s="14" t="s">
        <v>1414</v>
      </c>
      <c r="C171" s="14" t="s">
        <v>1415</v>
      </c>
      <c r="D171" s="61"/>
      <c r="E171" s="23">
        <v>75926.175919999994</v>
      </c>
      <c r="F171" s="63"/>
      <c r="G171" s="15">
        <v>0</v>
      </c>
      <c r="H171" s="15"/>
      <c r="I171" s="15">
        <v>40814.521610000003</v>
      </c>
      <c r="J171" s="15"/>
      <c r="K171" s="15">
        <v>2932.95534</v>
      </c>
      <c r="L171" s="15">
        <v>2565.8577300000002</v>
      </c>
      <c r="M171" s="15">
        <v>6067.38148</v>
      </c>
      <c r="N171" s="15">
        <v>23545.459760000002</v>
      </c>
      <c r="O171" s="15"/>
      <c r="P171" s="15"/>
      <c r="Q171" s="15"/>
      <c r="R171" s="15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</row>
    <row r="172" spans="2:29" ht="16" customHeight="1" x14ac:dyDescent="0.45">
      <c r="B172" s="14" t="s">
        <v>1416</v>
      </c>
      <c r="C172" s="14" t="s">
        <v>1417</v>
      </c>
      <c r="D172" s="61"/>
      <c r="E172" s="23">
        <v>820.81299999999999</v>
      </c>
      <c r="F172" s="63"/>
      <c r="G172" s="15"/>
      <c r="H172" s="15"/>
      <c r="I172" s="15">
        <v>-6696.3791099999999</v>
      </c>
      <c r="J172" s="15"/>
      <c r="K172" s="15">
        <v>0</v>
      </c>
      <c r="L172" s="15"/>
      <c r="M172" s="15"/>
      <c r="N172" s="15">
        <v>7517.19211</v>
      </c>
      <c r="O172" s="15"/>
      <c r="P172" s="15"/>
      <c r="Q172" s="15"/>
      <c r="R172" s="15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</row>
    <row r="173" spans="2:29" ht="16" customHeight="1" x14ac:dyDescent="0.45">
      <c r="B173" s="14" t="s">
        <v>1418</v>
      </c>
      <c r="C173" s="14" t="s">
        <v>1419</v>
      </c>
      <c r="D173" s="61"/>
      <c r="E173" s="23"/>
      <c r="F173" s="63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</row>
    <row r="174" spans="2:29" ht="16" customHeight="1" x14ac:dyDescent="0.45">
      <c r="B174" s="14" t="s">
        <v>1420</v>
      </c>
      <c r="C174" s="14" t="s">
        <v>1421</v>
      </c>
      <c r="D174" s="61"/>
      <c r="E174" s="23">
        <v>1667.65753</v>
      </c>
      <c r="F174" s="63"/>
      <c r="G174" s="15">
        <v>0</v>
      </c>
      <c r="H174" s="15"/>
      <c r="I174" s="15">
        <v>1625.36113</v>
      </c>
      <c r="J174" s="15"/>
      <c r="K174" s="15">
        <v>0</v>
      </c>
      <c r="L174" s="15">
        <v>0</v>
      </c>
      <c r="M174" s="15">
        <v>0</v>
      </c>
      <c r="N174" s="15">
        <v>44.378399999999999</v>
      </c>
      <c r="O174" s="15"/>
      <c r="P174" s="15">
        <v>0</v>
      </c>
      <c r="Q174" s="15">
        <v>0</v>
      </c>
      <c r="R174" s="15">
        <v>-2.0819999999999999</v>
      </c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</row>
    <row r="175" spans="2:29" ht="16" customHeight="1" x14ac:dyDescent="0.45">
      <c r="B175" s="14" t="s">
        <v>1422</v>
      </c>
      <c r="C175" s="14" t="s">
        <v>1423</v>
      </c>
      <c r="D175" s="61"/>
      <c r="E175" s="23">
        <v>70207.530710000006</v>
      </c>
      <c r="F175" s="63"/>
      <c r="G175" s="15">
        <v>0</v>
      </c>
      <c r="H175" s="15"/>
      <c r="I175" s="15">
        <v>85819.605930000005</v>
      </c>
      <c r="J175" s="15"/>
      <c r="K175" s="15">
        <v>-19864.25721</v>
      </c>
      <c r="L175" s="15">
        <v>1209.32384</v>
      </c>
      <c r="M175" s="15">
        <v>50</v>
      </c>
      <c r="N175" s="15">
        <v>2859.9960700000001</v>
      </c>
      <c r="O175" s="15"/>
      <c r="P175" s="15"/>
      <c r="Q175" s="15">
        <v>133.69308000000001</v>
      </c>
      <c r="R175" s="15">
        <v>-0.83099999999999996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</row>
    <row r="176" spans="2:29" ht="16" customHeight="1" x14ac:dyDescent="0.45">
      <c r="B176" s="14" t="s">
        <v>1424</v>
      </c>
      <c r="C176" s="14" t="s">
        <v>1425</v>
      </c>
      <c r="D176" s="61"/>
      <c r="E176" s="23"/>
      <c r="F176" s="63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</row>
    <row r="177" spans="2:29" ht="16" customHeight="1" x14ac:dyDescent="0.45">
      <c r="B177" s="14" t="s">
        <v>1426</v>
      </c>
      <c r="C177" s="14" t="s">
        <v>1427</v>
      </c>
      <c r="D177" s="61"/>
      <c r="E177" s="23">
        <v>2708.4449300000001</v>
      </c>
      <c r="F177" s="63"/>
      <c r="G177" s="15"/>
      <c r="H177" s="15"/>
      <c r="I177" s="15"/>
      <c r="J177" s="15"/>
      <c r="K177" s="15"/>
      <c r="L177" s="15"/>
      <c r="M177" s="15"/>
      <c r="N177" s="15">
        <v>2708.4449300000001</v>
      </c>
      <c r="O177" s="15"/>
      <c r="P177" s="15"/>
      <c r="Q177" s="15"/>
      <c r="R177" s="15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</row>
    <row r="178" spans="2:29" ht="16" customHeight="1" x14ac:dyDescent="0.45">
      <c r="B178" s="14" t="s">
        <v>1428</v>
      </c>
      <c r="C178" s="14" t="s">
        <v>1429</v>
      </c>
      <c r="D178" s="61"/>
      <c r="E178" s="23"/>
      <c r="F178" s="63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</row>
    <row r="179" spans="2:29" ht="16" customHeight="1" x14ac:dyDescent="0.45">
      <c r="B179" s="14" t="s">
        <v>669</v>
      </c>
      <c r="C179" s="14" t="s">
        <v>670</v>
      </c>
      <c r="D179" s="61"/>
      <c r="E179" s="23">
        <v>431455.56251999998</v>
      </c>
      <c r="F179" s="63"/>
      <c r="G179" s="15">
        <v>0</v>
      </c>
      <c r="H179" s="15">
        <v>0</v>
      </c>
      <c r="I179" s="15">
        <v>431455.56251999998</v>
      </c>
      <c r="J179" s="15"/>
      <c r="K179" s="15"/>
      <c r="L179" s="15"/>
      <c r="M179" s="15"/>
      <c r="N179" s="15">
        <v>0</v>
      </c>
      <c r="O179" s="15"/>
      <c r="P179" s="15"/>
      <c r="Q179" s="15"/>
      <c r="R179" s="15">
        <v>0</v>
      </c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</row>
    <row r="180" spans="2:29" ht="16" customHeight="1" x14ac:dyDescent="0.45">
      <c r="B180" s="14" t="s">
        <v>1430</v>
      </c>
      <c r="C180" s="14" t="s">
        <v>1431</v>
      </c>
      <c r="D180" s="61"/>
      <c r="E180" s="23">
        <v>95764.741190000001</v>
      </c>
      <c r="F180" s="63"/>
      <c r="G180" s="15">
        <v>0</v>
      </c>
      <c r="H180" s="15"/>
      <c r="I180" s="15">
        <v>-320344.41123000003</v>
      </c>
      <c r="J180" s="15"/>
      <c r="K180" s="15">
        <v>5706.3547900000003</v>
      </c>
      <c r="L180" s="15"/>
      <c r="M180" s="15">
        <v>2325.5311900000002</v>
      </c>
      <c r="N180" s="15">
        <v>408077.26643999998</v>
      </c>
      <c r="O180" s="15"/>
      <c r="P180" s="15"/>
      <c r="Q180" s="15"/>
      <c r="R180" s="15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</row>
    <row r="181" spans="2:29" ht="16" customHeight="1" x14ac:dyDescent="0.45">
      <c r="B181" s="14" t="s">
        <v>674</v>
      </c>
      <c r="C181" s="14" t="s">
        <v>1432</v>
      </c>
      <c r="D181" s="61"/>
      <c r="E181" s="23">
        <v>133131.45379</v>
      </c>
      <c r="F181" s="63"/>
      <c r="G181" s="15">
        <v>0</v>
      </c>
      <c r="H181" s="15"/>
      <c r="I181" s="15">
        <v>66063.638019999999</v>
      </c>
      <c r="J181" s="15"/>
      <c r="K181" s="15">
        <v>19305.432710000001</v>
      </c>
      <c r="L181" s="15">
        <v>7366.5592699999997</v>
      </c>
      <c r="M181" s="15">
        <v>31088.725409999999</v>
      </c>
      <c r="N181" s="15">
        <v>6610.8067899999996</v>
      </c>
      <c r="O181" s="15"/>
      <c r="P181" s="15">
        <v>2388.5433699999999</v>
      </c>
      <c r="Q181" s="15">
        <v>271.22525999999999</v>
      </c>
      <c r="R181" s="15">
        <v>36.522959999999998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</row>
    <row r="182" spans="2:29" ht="16" customHeight="1" x14ac:dyDescent="0.45">
      <c r="B182" s="14" t="s">
        <v>677</v>
      </c>
      <c r="C182" s="14" t="s">
        <v>678</v>
      </c>
      <c r="D182" s="61"/>
      <c r="E182" s="23">
        <v>11291.107</v>
      </c>
      <c r="F182" s="63"/>
      <c r="G182" s="15">
        <v>0</v>
      </c>
      <c r="H182" s="15"/>
      <c r="I182" s="15">
        <v>11291.107</v>
      </c>
      <c r="J182" s="15"/>
      <c r="K182" s="15"/>
      <c r="L182" s="15"/>
      <c r="M182" s="15"/>
      <c r="N182" s="15"/>
      <c r="O182" s="15"/>
      <c r="P182" s="15"/>
      <c r="Q182" s="15"/>
      <c r="R182" s="15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</row>
    <row r="183" spans="2:29" ht="16" customHeight="1" x14ac:dyDescent="0.45">
      <c r="B183" s="14" t="s">
        <v>1433</v>
      </c>
      <c r="C183" s="14" t="s">
        <v>1434</v>
      </c>
      <c r="D183" s="61"/>
      <c r="E183" s="23">
        <v>214227.38535999999</v>
      </c>
      <c r="F183" s="63"/>
      <c r="G183" s="15"/>
      <c r="H183" s="15">
        <v>250.1</v>
      </c>
      <c r="I183" s="15">
        <v>1.0670000000000001E-2</v>
      </c>
      <c r="J183" s="15">
        <v>594.01</v>
      </c>
      <c r="K183" s="15"/>
      <c r="L183" s="15">
        <v>-3224.93102</v>
      </c>
      <c r="M183" s="15">
        <v>221934.01</v>
      </c>
      <c r="N183" s="15">
        <v>-5331.8142900000003</v>
      </c>
      <c r="O183" s="15">
        <v>1</v>
      </c>
      <c r="P183" s="15">
        <v>5</v>
      </c>
      <c r="Q183" s="15"/>
      <c r="R183" s="15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</row>
    <row r="184" spans="2:29" ht="16" customHeight="1" x14ac:dyDescent="0.45">
      <c r="B184" s="14" t="s">
        <v>1435</v>
      </c>
      <c r="C184" s="14" t="s">
        <v>1436</v>
      </c>
      <c r="D184" s="61"/>
      <c r="E184" s="23"/>
      <c r="F184" s="63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</row>
    <row r="185" spans="2:29" ht="16" customHeight="1" x14ac:dyDescent="0.45">
      <c r="B185" s="14" t="s">
        <v>688</v>
      </c>
      <c r="C185" s="14" t="s">
        <v>1437</v>
      </c>
      <c r="D185" s="61"/>
      <c r="E185" s="23">
        <v>11777664.32102</v>
      </c>
      <c r="F185" s="63"/>
      <c r="G185" s="15"/>
      <c r="H185" s="15"/>
      <c r="I185" s="15">
        <v>2097095.87558</v>
      </c>
      <c r="J185" s="15">
        <v>1545.7729999999999</v>
      </c>
      <c r="K185" s="15">
        <v>27751.021130000001</v>
      </c>
      <c r="L185" s="15">
        <v>1112364.7992400001</v>
      </c>
      <c r="M185" s="15">
        <v>534611.87023</v>
      </c>
      <c r="N185" s="15">
        <v>7935561.6085000001</v>
      </c>
      <c r="O185" s="15">
        <v>28121.482339999999</v>
      </c>
      <c r="P185" s="15">
        <v>20323.5</v>
      </c>
      <c r="Q185" s="15">
        <v>20288.391</v>
      </c>
      <c r="R185" s="15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</row>
    <row r="186" spans="2:29" ht="16" customHeight="1" x14ac:dyDescent="0.45">
      <c r="B186" s="14" t="s">
        <v>691</v>
      </c>
      <c r="C186" s="14" t="s">
        <v>692</v>
      </c>
      <c r="D186" s="61"/>
      <c r="E186" s="23"/>
      <c r="F186" s="63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</row>
    <row r="187" spans="2:29" ht="16" customHeight="1" x14ac:dyDescent="0.45">
      <c r="B187" s="14" t="s">
        <v>694</v>
      </c>
      <c r="C187" s="14" t="s">
        <v>695</v>
      </c>
      <c r="D187" s="61"/>
      <c r="E187" s="23">
        <v>-0.30901000000000001</v>
      </c>
      <c r="F187" s="63"/>
      <c r="G187" s="15"/>
      <c r="H187" s="15"/>
      <c r="I187" s="15">
        <v>-0.30901000000000001</v>
      </c>
      <c r="J187" s="15"/>
      <c r="K187" s="15"/>
      <c r="L187" s="15"/>
      <c r="M187" s="15"/>
      <c r="N187" s="15"/>
      <c r="O187" s="15"/>
      <c r="P187" s="15"/>
      <c r="Q187" s="15"/>
      <c r="R187" s="15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</row>
    <row r="188" spans="2:29" ht="16" customHeight="1" x14ac:dyDescent="0.45">
      <c r="B188" s="14" t="s">
        <v>696</v>
      </c>
      <c r="C188" s="14" t="s">
        <v>1438</v>
      </c>
      <c r="D188" s="61"/>
      <c r="E188" s="23">
        <v>-5478430.8339999998</v>
      </c>
      <c r="F188" s="63"/>
      <c r="G188" s="15">
        <v>-38364</v>
      </c>
      <c r="H188" s="15">
        <v>2671.8376800000001</v>
      </c>
      <c r="I188" s="15">
        <v>2605131.71905</v>
      </c>
      <c r="J188" s="15">
        <v>-22103.988089999999</v>
      </c>
      <c r="K188" s="15">
        <v>-4556.8869599999998</v>
      </c>
      <c r="L188" s="15">
        <v>49867.322719999996</v>
      </c>
      <c r="M188" s="15">
        <v>-1309949.70151</v>
      </c>
      <c r="N188" s="15">
        <v>-6830920.7578299996</v>
      </c>
      <c r="O188" s="15">
        <v>35437.488680000002</v>
      </c>
      <c r="P188" s="15">
        <v>24425.03587</v>
      </c>
      <c r="Q188" s="15">
        <v>5564.8766699999996</v>
      </c>
      <c r="R188" s="15">
        <v>4366.2197200000001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</row>
    <row r="189" spans="2:29" ht="16" customHeight="1" x14ac:dyDescent="0.45">
      <c r="B189" s="14" t="s">
        <v>698</v>
      </c>
      <c r="C189" s="14" t="s">
        <v>1439</v>
      </c>
      <c r="D189" s="61"/>
      <c r="E189" s="23">
        <v>195957.39610000001</v>
      </c>
      <c r="F189" s="63"/>
      <c r="G189" s="15"/>
      <c r="H189" s="15">
        <v>-13.55456</v>
      </c>
      <c r="I189" s="15">
        <v>214445.73357000001</v>
      </c>
      <c r="J189" s="15"/>
      <c r="K189" s="15">
        <v>-1390.2702899999999</v>
      </c>
      <c r="L189" s="15">
        <v>-25567.951830000002</v>
      </c>
      <c r="M189" s="15">
        <v>-29983.110680000002</v>
      </c>
      <c r="N189" s="15">
        <v>36603.982709999997</v>
      </c>
      <c r="O189" s="15"/>
      <c r="P189" s="15">
        <v>-31.55416</v>
      </c>
      <c r="Q189" s="15">
        <v>868.89909</v>
      </c>
      <c r="R189" s="15">
        <v>1025.22225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</row>
    <row r="190" spans="2:29" ht="16" customHeight="1" x14ac:dyDescent="0.45">
      <c r="B190" s="14" t="s">
        <v>700</v>
      </c>
      <c r="C190" s="14" t="s">
        <v>1440</v>
      </c>
      <c r="D190" s="61"/>
      <c r="E190" s="23">
        <v>1052539.90766</v>
      </c>
      <c r="F190" s="63"/>
      <c r="G190" s="15"/>
      <c r="H190" s="15"/>
      <c r="I190" s="15"/>
      <c r="J190" s="15"/>
      <c r="K190" s="15"/>
      <c r="L190" s="15"/>
      <c r="M190" s="15"/>
      <c r="N190" s="15">
        <v>1044966.84866</v>
      </c>
      <c r="O190" s="15"/>
      <c r="P190" s="15"/>
      <c r="Q190" s="15"/>
      <c r="R190" s="15">
        <v>7573.0590000000002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</row>
    <row r="191" spans="2:29" ht="16" customHeight="1" x14ac:dyDescent="0.45">
      <c r="B191" s="14" t="s">
        <v>702</v>
      </c>
      <c r="C191" s="14" t="s">
        <v>1441</v>
      </c>
      <c r="D191" s="61"/>
      <c r="E191" s="23">
        <v>36256</v>
      </c>
      <c r="F191" s="63"/>
      <c r="G191" s="15">
        <v>38364</v>
      </c>
      <c r="H191" s="15"/>
      <c r="I191" s="15">
        <v>-2108</v>
      </c>
      <c r="J191" s="15"/>
      <c r="K191" s="15"/>
      <c r="L191" s="15"/>
      <c r="M191" s="15"/>
      <c r="N191" s="15"/>
      <c r="O191" s="15"/>
      <c r="P191" s="15"/>
      <c r="Q191" s="15"/>
      <c r="R191" s="15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</row>
    <row r="192" spans="2:29" ht="16" customHeight="1" x14ac:dyDescent="0.45">
      <c r="B192" s="14" t="s">
        <v>704</v>
      </c>
      <c r="C192" s="14" t="s">
        <v>705</v>
      </c>
      <c r="D192" s="61"/>
      <c r="E192" s="23"/>
      <c r="F192" s="63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</row>
    <row r="193" spans="2:29" ht="16" customHeight="1" x14ac:dyDescent="0.45">
      <c r="B193" s="14" t="s">
        <v>706</v>
      </c>
      <c r="C193" s="14" t="s">
        <v>1442</v>
      </c>
      <c r="D193" s="61"/>
      <c r="E193" s="23"/>
      <c r="F193" s="63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</row>
    <row r="194" spans="2:29" ht="16" customHeight="1" x14ac:dyDescent="0.45">
      <c r="B194" s="14" t="s">
        <v>708</v>
      </c>
      <c r="C194" s="14" t="s">
        <v>709</v>
      </c>
      <c r="D194" s="61"/>
      <c r="E194" s="23"/>
      <c r="F194" s="63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</row>
    <row r="195" spans="2:29" ht="16" customHeight="1" x14ac:dyDescent="0.45">
      <c r="B195" s="14" t="s">
        <v>710</v>
      </c>
      <c r="C195" s="14" t="s">
        <v>711</v>
      </c>
      <c r="D195" s="61"/>
      <c r="E195" s="23"/>
      <c r="F195" s="63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</row>
    <row r="196" spans="2:29" ht="16" customHeight="1" x14ac:dyDescent="0.45">
      <c r="B196" s="14" t="s">
        <v>712</v>
      </c>
      <c r="C196" s="14" t="s">
        <v>713</v>
      </c>
      <c r="D196" s="61"/>
      <c r="E196" s="23"/>
      <c r="F196" s="63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</row>
    <row r="197" spans="2:29" ht="16" customHeight="1" x14ac:dyDescent="0.45">
      <c r="B197" s="14" t="s">
        <v>714</v>
      </c>
      <c r="C197" s="14" t="s">
        <v>1443</v>
      </c>
      <c r="D197" s="61"/>
      <c r="E197" s="23">
        <v>0</v>
      </c>
      <c r="F197" s="63"/>
      <c r="G197" s="15">
        <v>0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</row>
    <row r="198" spans="2:29" ht="16" customHeight="1" x14ac:dyDescent="0.45">
      <c r="B198" s="14" t="s">
        <v>716</v>
      </c>
      <c r="C198" s="14" t="s">
        <v>1444</v>
      </c>
      <c r="D198" s="61"/>
      <c r="E198" s="23"/>
      <c r="F198" s="63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</row>
    <row r="199" spans="2:29" ht="16" customHeight="1" x14ac:dyDescent="0.45">
      <c r="B199" s="14" t="s">
        <v>718</v>
      </c>
      <c r="C199" s="14" t="s">
        <v>1445</v>
      </c>
      <c r="D199" s="61"/>
      <c r="E199" s="23"/>
      <c r="F199" s="63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</row>
    <row r="200" spans="2:29" ht="16" customHeight="1" x14ac:dyDescent="0.45">
      <c r="B200" s="14" t="s">
        <v>720</v>
      </c>
      <c r="C200" s="14" t="s">
        <v>721</v>
      </c>
      <c r="D200" s="61"/>
      <c r="E200" s="23">
        <v>1634.6095299999999</v>
      </c>
      <c r="F200" s="63"/>
      <c r="G200" s="15"/>
      <c r="H200" s="15"/>
      <c r="I200" s="15">
        <v>3139.7254200000002</v>
      </c>
      <c r="J200" s="15"/>
      <c r="K200" s="15"/>
      <c r="L200" s="15"/>
      <c r="M200" s="15"/>
      <c r="N200" s="15">
        <v>-1505.11589</v>
      </c>
      <c r="O200" s="15"/>
      <c r="P200" s="15"/>
      <c r="Q200" s="15"/>
      <c r="R200" s="15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</row>
    <row r="201" spans="2:29" ht="16" customHeight="1" x14ac:dyDescent="0.45">
      <c r="B201" s="14" t="s">
        <v>722</v>
      </c>
      <c r="C201" s="14" t="s">
        <v>723</v>
      </c>
      <c r="D201" s="61"/>
      <c r="E201" s="23">
        <v>-382.74698000000001</v>
      </c>
      <c r="F201" s="63"/>
      <c r="G201" s="15"/>
      <c r="H201" s="15"/>
      <c r="I201" s="15">
        <v>-1203.52485</v>
      </c>
      <c r="J201" s="15"/>
      <c r="K201" s="15"/>
      <c r="L201" s="15"/>
      <c r="M201" s="15"/>
      <c r="N201" s="15">
        <v>820.77787000000001</v>
      </c>
      <c r="O201" s="15"/>
      <c r="P201" s="15"/>
      <c r="Q201" s="15"/>
      <c r="R201" s="15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</row>
    <row r="202" spans="2:29" ht="16" customHeight="1" x14ac:dyDescent="0.45">
      <c r="B202" s="14" t="s">
        <v>724</v>
      </c>
      <c r="C202" s="14" t="s">
        <v>1446</v>
      </c>
      <c r="D202" s="61"/>
      <c r="E202" s="23">
        <v>33053.66461</v>
      </c>
      <c r="F202" s="63"/>
      <c r="G202" s="15">
        <v>0</v>
      </c>
      <c r="H202" s="15"/>
      <c r="I202" s="15">
        <v>512862.20299999998</v>
      </c>
      <c r="J202" s="15"/>
      <c r="K202" s="15"/>
      <c r="L202" s="15"/>
      <c r="M202" s="15">
        <v>1897.6569999999999</v>
      </c>
      <c r="N202" s="15">
        <v>-481706.19539000001</v>
      </c>
      <c r="O202" s="15"/>
      <c r="P202" s="15"/>
      <c r="Q202" s="15"/>
      <c r="R202" s="15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</row>
    <row r="203" spans="2:29" ht="16" customHeight="1" x14ac:dyDescent="0.45">
      <c r="B203" s="14" t="s">
        <v>726</v>
      </c>
      <c r="C203" s="14" t="s">
        <v>727</v>
      </c>
      <c r="D203" s="61"/>
      <c r="E203" s="23">
        <v>6.165</v>
      </c>
      <c r="F203" s="63"/>
      <c r="G203" s="15">
        <v>0</v>
      </c>
      <c r="H203" s="15"/>
      <c r="I203" s="15">
        <v>-106797.83500000001</v>
      </c>
      <c r="J203" s="15"/>
      <c r="K203" s="15"/>
      <c r="L203" s="15"/>
      <c r="M203" s="15"/>
      <c r="N203" s="15">
        <v>106804</v>
      </c>
      <c r="O203" s="15"/>
      <c r="P203" s="15"/>
      <c r="Q203" s="15"/>
      <c r="R203" s="15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</row>
    <row r="204" spans="2:29" ht="16" customHeight="1" x14ac:dyDescent="0.45">
      <c r="B204" s="14" t="s">
        <v>728</v>
      </c>
      <c r="C204" s="14" t="s">
        <v>1447</v>
      </c>
      <c r="D204" s="61"/>
      <c r="E204" s="23"/>
      <c r="F204" s="63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</row>
    <row r="205" spans="2:29" ht="16" customHeight="1" x14ac:dyDescent="0.45">
      <c r="B205" s="14" t="s">
        <v>730</v>
      </c>
      <c r="C205" s="14" t="s">
        <v>1448</v>
      </c>
      <c r="D205" s="61"/>
      <c r="E205" s="23">
        <v>-8841.5616200000004</v>
      </c>
      <c r="F205" s="63"/>
      <c r="G205" s="15">
        <v>0</v>
      </c>
      <c r="H205" s="15"/>
      <c r="I205" s="15">
        <v>-106682.50913999999</v>
      </c>
      <c r="J205" s="15"/>
      <c r="K205" s="15"/>
      <c r="L205" s="15"/>
      <c r="M205" s="15">
        <v>-496.23700000000002</v>
      </c>
      <c r="N205" s="15">
        <v>98337.184519999995</v>
      </c>
      <c r="O205" s="15"/>
      <c r="P205" s="15"/>
      <c r="Q205" s="15"/>
      <c r="R205" s="15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</row>
    <row r="206" spans="2:29" ht="16" customHeight="1" x14ac:dyDescent="0.45">
      <c r="B206" s="14" t="s">
        <v>732</v>
      </c>
      <c r="C206" s="14" t="s">
        <v>1449</v>
      </c>
      <c r="D206" s="61"/>
      <c r="E206" s="23">
        <v>-243379.24249999999</v>
      </c>
      <c r="F206" s="63"/>
      <c r="G206" s="15"/>
      <c r="H206" s="15">
        <v>0</v>
      </c>
      <c r="I206" s="15">
        <v>-621108.01578999998</v>
      </c>
      <c r="J206" s="15">
        <v>-8564.9243299999998</v>
      </c>
      <c r="K206" s="15">
        <v>4322.3538099999996</v>
      </c>
      <c r="L206" s="15">
        <v>-873019.56319000002</v>
      </c>
      <c r="M206" s="15">
        <v>736481.73872999998</v>
      </c>
      <c r="N206" s="15">
        <v>607702.49311000004</v>
      </c>
      <c r="O206" s="15">
        <v>-37371.303370000001</v>
      </c>
      <c r="P206" s="15">
        <v>-41230.589619999999</v>
      </c>
      <c r="Q206" s="15">
        <v>-10591.431850000001</v>
      </c>
      <c r="R206" s="15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</row>
    <row r="207" spans="2:29" ht="16" customHeight="1" x14ac:dyDescent="0.45">
      <c r="B207" s="14" t="s">
        <v>734</v>
      </c>
      <c r="C207" s="14" t="s">
        <v>1450</v>
      </c>
      <c r="D207" s="61"/>
      <c r="E207" s="23"/>
      <c r="F207" s="63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</row>
    <row r="208" spans="2:29" ht="16" customHeight="1" x14ac:dyDescent="0.45">
      <c r="B208" s="14" t="s">
        <v>736</v>
      </c>
      <c r="C208" s="14" t="s">
        <v>1451</v>
      </c>
      <c r="D208" s="61"/>
      <c r="E208" s="23"/>
      <c r="F208" s="63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</row>
    <row r="209" spans="2:29" ht="16" customHeight="1" x14ac:dyDescent="0.45">
      <c r="B209" s="14" t="s">
        <v>1452</v>
      </c>
      <c r="C209" s="14" t="s">
        <v>1453</v>
      </c>
      <c r="D209" s="61"/>
      <c r="E209" s="23"/>
      <c r="F209" s="63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</row>
    <row r="210" spans="2:29" ht="16" customHeight="1" x14ac:dyDescent="0.45">
      <c r="B210" s="14" t="s">
        <v>1454</v>
      </c>
      <c r="C210" s="14" t="s">
        <v>1455</v>
      </c>
      <c r="D210" s="61"/>
      <c r="E210" s="23"/>
      <c r="F210" s="63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</row>
    <row r="211" spans="2:29" ht="16" customHeight="1" x14ac:dyDescent="0.45">
      <c r="B211" s="14" t="s">
        <v>1456</v>
      </c>
      <c r="C211" s="14" t="s">
        <v>1457</v>
      </c>
      <c r="D211" s="61"/>
      <c r="E211" s="23"/>
      <c r="F211" s="63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</row>
    <row r="212" spans="2:29" ht="16" customHeight="1" x14ac:dyDescent="0.45">
      <c r="B212" s="14" t="s">
        <v>1458</v>
      </c>
      <c r="C212" s="14" t="s">
        <v>1459</v>
      </c>
      <c r="D212" s="61"/>
      <c r="E212" s="23"/>
      <c r="F212" s="63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</row>
    <row r="213" spans="2:29" ht="16" customHeight="1" x14ac:dyDescent="0.45">
      <c r="B213" s="14" t="s">
        <v>1460</v>
      </c>
      <c r="C213" s="14" t="s">
        <v>1461</v>
      </c>
      <c r="D213" s="61"/>
      <c r="E213" s="23"/>
      <c r="F213" s="63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</row>
    <row r="214" spans="2:29" ht="16" customHeight="1" x14ac:dyDescent="0.45">
      <c r="B214" s="14" t="s">
        <v>1462</v>
      </c>
      <c r="C214" s="14" t="s">
        <v>1463</v>
      </c>
      <c r="D214" s="61"/>
      <c r="E214" s="23"/>
      <c r="F214" s="63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</row>
    <row r="215" spans="2:29" ht="16" customHeight="1" x14ac:dyDescent="0.45">
      <c r="B215" s="14" t="s">
        <v>1464</v>
      </c>
      <c r="C215" s="14" t="s">
        <v>1465</v>
      </c>
      <c r="D215" s="61"/>
      <c r="E215" s="23"/>
      <c r="F215" s="63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</row>
    <row r="216" spans="2:29" ht="16" customHeight="1" x14ac:dyDescent="0.45">
      <c r="B216" s="14" t="s">
        <v>1466</v>
      </c>
      <c r="C216" s="14" t="s">
        <v>1467</v>
      </c>
      <c r="D216" s="61"/>
      <c r="E216" s="23"/>
      <c r="F216" s="63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</row>
    <row r="217" spans="2:29" ht="16" customHeight="1" x14ac:dyDescent="0.45">
      <c r="B217" s="34" t="s">
        <v>746</v>
      </c>
      <c r="C217" s="34" t="s">
        <v>1468</v>
      </c>
      <c r="D217" s="69"/>
      <c r="E217" s="77">
        <v>10077221.716220001</v>
      </c>
      <c r="F217" s="78"/>
      <c r="G217" s="35">
        <v>0</v>
      </c>
      <c r="H217" s="35">
        <v>10614.10187</v>
      </c>
      <c r="I217" s="35">
        <v>6316039.0079600001</v>
      </c>
      <c r="J217" s="35">
        <v>0</v>
      </c>
      <c r="K217" s="35">
        <v>130381.17943</v>
      </c>
      <c r="L217" s="35">
        <v>469458.83029999997</v>
      </c>
      <c r="M217" s="35">
        <v>565662.57363999996</v>
      </c>
      <c r="N217" s="35">
        <v>2507710.0957599999</v>
      </c>
      <c r="O217" s="35">
        <v>17242.156719999999</v>
      </c>
      <c r="P217" s="35">
        <v>5470.2756799999997</v>
      </c>
      <c r="Q217" s="35">
        <v>11451.56438</v>
      </c>
      <c r="R217" s="35">
        <v>43191.930480000003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</row>
    <row r="218" spans="2:29" ht="16" customHeight="1" x14ac:dyDescent="0.45">
      <c r="B218" s="10"/>
      <c r="C218" s="11"/>
      <c r="D218" s="29"/>
      <c r="E218" s="2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</row>
    <row r="219" spans="2:29" ht="16" customHeight="1" x14ac:dyDescent="0.45">
      <c r="B219" s="42"/>
      <c r="C219" s="14"/>
      <c r="D219" s="61"/>
      <c r="E219" s="23">
        <f>E120-E217</f>
        <v>-1.5070000663399696E-2</v>
      </c>
      <c r="F219" s="63"/>
      <c r="G219" s="15">
        <f t="shared" ref="G219:R219" si="0">G120-G217</f>
        <v>0</v>
      </c>
      <c r="H219" s="15">
        <f t="shared" si="0"/>
        <v>0</v>
      </c>
      <c r="I219" s="15">
        <f t="shared" si="0"/>
        <v>-1.6739999875426292E-2</v>
      </c>
      <c r="J219" s="15">
        <f t="shared" si="0"/>
        <v>0</v>
      </c>
      <c r="K219" s="15">
        <f t="shared" si="0"/>
        <v>1.6599999944446608E-3</v>
      </c>
      <c r="L219" s="15">
        <f t="shared" si="0"/>
        <v>-2.9999995604157448E-5</v>
      </c>
      <c r="M219" s="15">
        <f t="shared" si="0"/>
        <v>1.0000076144933701E-5</v>
      </c>
      <c r="N219" s="15">
        <f t="shared" si="0"/>
        <v>3.9999838918447495E-5</v>
      </c>
      <c r="O219" s="15">
        <f t="shared" si="0"/>
        <v>0</v>
      </c>
      <c r="P219" s="15">
        <f t="shared" si="0"/>
        <v>0</v>
      </c>
      <c r="Q219" s="15">
        <f t="shared" si="0"/>
        <v>0</v>
      </c>
      <c r="R219" s="15">
        <f t="shared" si="0"/>
        <v>-1.0000003385357559E-5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</row>
    <row r="220" spans="2:29" ht="16" customHeight="1" x14ac:dyDescent="0.45">
      <c r="B220" s="13"/>
      <c r="C220" s="9"/>
      <c r="D220" s="9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</row>
    <row r="221" spans="2:29" ht="16" customHeight="1" x14ac:dyDescent="0.45">
      <c r="B221" s="13"/>
      <c r="C221" s="9"/>
      <c r="D221" s="9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</row>
    <row r="222" spans="2:29" ht="16" customHeight="1" x14ac:dyDescent="0.45">
      <c r="B222" s="13"/>
      <c r="C222" s="9"/>
      <c r="D222" s="9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</row>
    <row r="223" spans="2:29" ht="16" customHeight="1" x14ac:dyDescent="0.45">
      <c r="B223" s="13"/>
      <c r="C223" s="9"/>
      <c r="D223" s="9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</row>
    <row r="224" spans="2:29" ht="16" customHeight="1" x14ac:dyDescent="0.45">
      <c r="B224" s="13"/>
      <c r="C224" s="9"/>
      <c r="D224" s="9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</row>
    <row r="225" spans="2:18" ht="16" customHeight="1" x14ac:dyDescent="0.45">
      <c r="B225" s="13"/>
      <c r="C225" s="9"/>
      <c r="D225" s="9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</row>
    <row r="226" spans="2:18" ht="16" customHeight="1" x14ac:dyDescent="0.45">
      <c r="B226" s="13"/>
      <c r="C226" s="9"/>
      <c r="D226" s="9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</row>
    <row r="227" spans="2:18" ht="16" customHeight="1" x14ac:dyDescent="0.45">
      <c r="B227" s="13"/>
      <c r="C227" s="9"/>
      <c r="D227" s="9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</row>
    <row r="228" spans="2:18" ht="16" customHeight="1" x14ac:dyDescent="0.45">
      <c r="B228" s="13"/>
      <c r="C228" s="9"/>
      <c r="D228" s="9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</row>
    <row r="229" spans="2:18" ht="16" customHeight="1" x14ac:dyDescent="0.45">
      <c r="B229" s="13"/>
      <c r="C229" s="9"/>
      <c r="D229" s="9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</row>
    <row r="230" spans="2:18" ht="16" customHeight="1" x14ac:dyDescent="0.45">
      <c r="B230" s="13"/>
      <c r="C230" s="9"/>
      <c r="D230" s="9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</row>
    <row r="231" spans="2:18" ht="16" customHeight="1" x14ac:dyDescent="0.45">
      <c r="B231" s="13"/>
      <c r="C231" s="9"/>
      <c r="D231" s="9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</row>
    <row r="232" spans="2:18" ht="16" customHeight="1" x14ac:dyDescent="0.45">
      <c r="B232" s="13"/>
      <c r="C232" s="9"/>
      <c r="D232" s="9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</row>
    <row r="233" spans="2:18" ht="16" customHeight="1" x14ac:dyDescent="0.45">
      <c r="B233" s="13"/>
      <c r="C233" s="9"/>
      <c r="D233" s="9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</row>
    <row r="234" spans="2:18" ht="16" customHeight="1" x14ac:dyDescent="0.45">
      <c r="B234" s="13"/>
      <c r="C234" s="9"/>
      <c r="D234" s="9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</row>
    <row r="235" spans="2:18" ht="16" customHeight="1" x14ac:dyDescent="0.45">
      <c r="B235" s="13"/>
      <c r="C235" s="9"/>
      <c r="D235" s="9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</row>
    <row r="236" spans="2:18" ht="16" customHeight="1" x14ac:dyDescent="0.45">
      <c r="B236" s="13"/>
      <c r="C236" s="9"/>
      <c r="D236" s="9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</row>
    <row r="237" spans="2:18" ht="16" customHeight="1" x14ac:dyDescent="0.45">
      <c r="B237" s="13"/>
      <c r="C237" s="9"/>
      <c r="D237" s="9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</row>
    <row r="238" spans="2:18" ht="16" customHeight="1" x14ac:dyDescent="0.45">
      <c r="B238" s="13"/>
      <c r="C238" s="9"/>
      <c r="D238" s="9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</row>
    <row r="239" spans="2:18" ht="16" customHeight="1" x14ac:dyDescent="0.45">
      <c r="B239" s="13"/>
      <c r="C239" s="9"/>
      <c r="D239" s="9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</row>
    <row r="240" spans="2:18" ht="16" customHeight="1" x14ac:dyDescent="0.45">
      <c r="B240" s="13"/>
      <c r="C240" s="9"/>
      <c r="D240" s="9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</row>
    <row r="241" spans="2:18" ht="16" customHeight="1" x14ac:dyDescent="0.45">
      <c r="B241" s="13"/>
      <c r="C241" s="9"/>
      <c r="D241" s="9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</row>
    <row r="242" spans="2:18" ht="16" customHeight="1" x14ac:dyDescent="0.45">
      <c r="B242" s="13"/>
      <c r="C242" s="9"/>
      <c r="D242" s="9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</row>
    <row r="243" spans="2:18" ht="16" customHeight="1" x14ac:dyDescent="0.45">
      <c r="B243" s="13"/>
      <c r="C243" s="9"/>
      <c r="D243" s="9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</row>
    <row r="244" spans="2:18" ht="16" customHeight="1" x14ac:dyDescent="0.45">
      <c r="B244" s="13"/>
      <c r="C244" s="9"/>
      <c r="D244" s="9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</row>
    <row r="245" spans="2:18" ht="16" customHeight="1" x14ac:dyDescent="0.45">
      <c r="B245" s="13"/>
      <c r="C245" s="9"/>
      <c r="D245" s="9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</row>
    <row r="246" spans="2:18" ht="16" customHeight="1" x14ac:dyDescent="0.45">
      <c r="B246" s="13"/>
      <c r="C246" s="9"/>
      <c r="D246" s="9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</row>
    <row r="247" spans="2:18" ht="16" customHeight="1" x14ac:dyDescent="0.45">
      <c r="B247" s="13"/>
      <c r="C247" s="9"/>
      <c r="D247" s="9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</row>
    <row r="248" spans="2:18" ht="16" customHeight="1" x14ac:dyDescent="0.45">
      <c r="B248" s="13"/>
      <c r="C248" s="9"/>
      <c r="D248" s="9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</row>
    <row r="249" spans="2:18" ht="16" customHeight="1" x14ac:dyDescent="0.45">
      <c r="B249" s="13"/>
      <c r="C249" s="9"/>
      <c r="D249" s="9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</row>
    <row r="250" spans="2:18" ht="16" customHeight="1" x14ac:dyDescent="0.45">
      <c r="B250" s="13"/>
      <c r="C250" s="9"/>
      <c r="D250" s="9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</row>
    <row r="251" spans="2:18" ht="16" customHeight="1" x14ac:dyDescent="0.45">
      <c r="B251" s="13"/>
      <c r="C251" s="9"/>
      <c r="D251" s="9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</row>
    <row r="252" spans="2:18" ht="16" customHeight="1" x14ac:dyDescent="0.45">
      <c r="B252" s="13"/>
      <c r="C252" s="9"/>
      <c r="D252" s="9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</row>
    <row r="253" spans="2:18" ht="16" customHeight="1" x14ac:dyDescent="0.45">
      <c r="B253" s="13"/>
      <c r="C253" s="9"/>
      <c r="D253" s="9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</row>
    <row r="254" spans="2:18" ht="16" customHeight="1" x14ac:dyDescent="0.45">
      <c r="B254" s="13"/>
      <c r="C254" s="9"/>
      <c r="D254" s="9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</row>
    <row r="255" spans="2:18" ht="16" customHeight="1" x14ac:dyDescent="0.45">
      <c r="B255" s="13"/>
      <c r="C255" s="9"/>
      <c r="D255" s="9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</row>
    <row r="256" spans="2:18" ht="16" customHeight="1" x14ac:dyDescent="0.45">
      <c r="B256" s="13"/>
      <c r="C256" s="9"/>
      <c r="D256" s="9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</row>
    <row r="257" spans="2:18" ht="16" customHeight="1" x14ac:dyDescent="0.45">
      <c r="B257" s="13"/>
      <c r="C257" s="9"/>
      <c r="D257" s="9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</row>
    <row r="258" spans="2:18" ht="16" customHeight="1" x14ac:dyDescent="0.45">
      <c r="B258" s="13"/>
      <c r="C258" s="9"/>
      <c r="D258" s="9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</row>
    <row r="259" spans="2:18" ht="16" customHeight="1" x14ac:dyDescent="0.45">
      <c r="B259" s="13"/>
      <c r="C259" s="9"/>
      <c r="D259" s="9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</row>
    <row r="260" spans="2:18" ht="16" customHeight="1" x14ac:dyDescent="0.45">
      <c r="B260" s="13"/>
      <c r="C260" s="9"/>
      <c r="D260" s="9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</row>
    <row r="261" spans="2:18" ht="16" customHeight="1" x14ac:dyDescent="0.45">
      <c r="B261" s="13"/>
      <c r="C261" s="9"/>
      <c r="D261" s="9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</row>
    <row r="262" spans="2:18" ht="16" customHeight="1" x14ac:dyDescent="0.45">
      <c r="B262" s="13"/>
      <c r="C262" s="9"/>
      <c r="D262" s="9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</row>
    <row r="263" spans="2:18" ht="16" customHeight="1" x14ac:dyDescent="0.45">
      <c r="B263" s="13"/>
      <c r="C263" s="9"/>
      <c r="D263" s="9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</row>
    <row r="264" spans="2:18" ht="16" customHeight="1" x14ac:dyDescent="0.45">
      <c r="B264" s="13"/>
      <c r="C264" s="9"/>
      <c r="D264" s="9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</row>
    <row r="265" spans="2:18" ht="16" customHeight="1" x14ac:dyDescent="0.45">
      <c r="B265" s="13"/>
      <c r="C265" s="9"/>
      <c r="D265" s="9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</row>
    <row r="266" spans="2:18" ht="16" customHeight="1" x14ac:dyDescent="0.45">
      <c r="B266" s="13"/>
      <c r="C266" s="9"/>
      <c r="D266" s="9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</row>
    <row r="267" spans="2:18" ht="16" customHeight="1" x14ac:dyDescent="0.45">
      <c r="B267" s="13"/>
      <c r="C267" s="9"/>
      <c r="D267" s="9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</row>
    <row r="268" spans="2:18" ht="16" customHeight="1" x14ac:dyDescent="0.45">
      <c r="B268" s="13"/>
      <c r="C268" s="9"/>
      <c r="D268" s="9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</row>
    <row r="269" spans="2:18" ht="16" customHeight="1" x14ac:dyDescent="0.45">
      <c r="B269" s="13"/>
      <c r="C269" s="9"/>
      <c r="D269" s="9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</row>
    <row r="270" spans="2:18" ht="16" customHeight="1" x14ac:dyDescent="0.45">
      <c r="B270" s="13"/>
      <c r="C270" s="9"/>
      <c r="D270" s="9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</row>
    <row r="271" spans="2:18" ht="16" customHeight="1" x14ac:dyDescent="0.45">
      <c r="B271" s="13"/>
      <c r="C271" s="9"/>
      <c r="D271" s="9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</row>
    <row r="272" spans="2:18" ht="16" customHeight="1" x14ac:dyDescent="0.45">
      <c r="B272" s="13"/>
      <c r="C272" s="9"/>
      <c r="D272" s="9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</row>
    <row r="273" spans="2:18" ht="16" customHeight="1" x14ac:dyDescent="0.45">
      <c r="B273" s="13"/>
      <c r="C273" s="9"/>
      <c r="D273" s="9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</row>
    <row r="274" spans="2:18" ht="16" customHeight="1" x14ac:dyDescent="0.45">
      <c r="B274" s="13"/>
      <c r="C274" s="9"/>
      <c r="D274" s="9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</row>
    <row r="275" spans="2:18" ht="16" customHeight="1" x14ac:dyDescent="0.45">
      <c r="B275" s="13"/>
      <c r="C275" s="9"/>
      <c r="D275" s="9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</row>
    <row r="276" spans="2:18" ht="16" customHeight="1" x14ac:dyDescent="0.45">
      <c r="B276" s="13"/>
      <c r="C276" s="9"/>
      <c r="D276" s="9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</row>
    <row r="277" spans="2:18" ht="16" customHeight="1" x14ac:dyDescent="0.45">
      <c r="B277" s="13"/>
      <c r="C277" s="9"/>
      <c r="D277" s="9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</row>
    <row r="278" spans="2:18" ht="16" customHeight="1" x14ac:dyDescent="0.45">
      <c r="B278" s="13"/>
      <c r="C278" s="9"/>
      <c r="D278" s="9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</row>
    <row r="279" spans="2:18" ht="16" customHeight="1" x14ac:dyDescent="0.45">
      <c r="B279" s="13"/>
      <c r="C279" s="9"/>
      <c r="D279" s="9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</row>
    <row r="280" spans="2:18" ht="16" customHeight="1" x14ac:dyDescent="0.45">
      <c r="B280" s="13"/>
      <c r="C280" s="9"/>
      <c r="D280" s="9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</row>
    <row r="281" spans="2:18" ht="16" customHeight="1" x14ac:dyDescent="0.45">
      <c r="B281" s="13"/>
      <c r="C281" s="9"/>
      <c r="D281" s="9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</row>
    <row r="282" spans="2:18" ht="16" customHeight="1" x14ac:dyDescent="0.45">
      <c r="B282" s="13"/>
      <c r="C282" s="9"/>
      <c r="D282" s="9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</row>
    <row r="283" spans="2:18" ht="16" customHeight="1" x14ac:dyDescent="0.45">
      <c r="B283" s="13"/>
      <c r="C283" s="9"/>
      <c r="D283" s="9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</row>
    <row r="284" spans="2:18" ht="16" customHeight="1" x14ac:dyDescent="0.45">
      <c r="B284" s="13"/>
      <c r="C284" s="9"/>
      <c r="D284" s="9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</row>
    <row r="285" spans="2:18" ht="16" customHeight="1" x14ac:dyDescent="0.45">
      <c r="B285" s="13"/>
      <c r="C285" s="9"/>
      <c r="D285" s="9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</row>
    <row r="286" spans="2:18" ht="16" customHeight="1" x14ac:dyDescent="0.45">
      <c r="B286" s="13"/>
      <c r="C286" s="9"/>
      <c r="D286" s="9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</row>
    <row r="287" spans="2:18" ht="16" customHeight="1" x14ac:dyDescent="0.45">
      <c r="B287" s="13"/>
      <c r="C287" s="9"/>
      <c r="D287" s="9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</row>
    <row r="288" spans="2:18" ht="16" customHeight="1" x14ac:dyDescent="0.45">
      <c r="B288" s="13"/>
      <c r="C288" s="9"/>
      <c r="D288" s="9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</row>
    <row r="289" spans="2:18" ht="16" customHeight="1" x14ac:dyDescent="0.45">
      <c r="B289" s="13"/>
      <c r="C289" s="9"/>
      <c r="D289" s="9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</row>
    <row r="290" spans="2:18" ht="16" customHeight="1" x14ac:dyDescent="0.45">
      <c r="B290" s="13"/>
      <c r="C290" s="9"/>
      <c r="D290" s="9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</row>
    <row r="291" spans="2:18" ht="16" customHeight="1" x14ac:dyDescent="0.45">
      <c r="B291" s="13"/>
      <c r="C291" s="9"/>
      <c r="D291" s="9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</row>
    <row r="292" spans="2:18" ht="16" customHeight="1" x14ac:dyDescent="0.45">
      <c r="B292" s="13"/>
      <c r="C292" s="9"/>
      <c r="D292" s="9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</row>
    <row r="293" spans="2:18" ht="16" customHeight="1" x14ac:dyDescent="0.45">
      <c r="B293" s="13"/>
      <c r="C293" s="9"/>
      <c r="D293" s="9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</row>
    <row r="294" spans="2:18" ht="16" customHeight="1" x14ac:dyDescent="0.45">
      <c r="B294" s="13"/>
      <c r="C294" s="9"/>
      <c r="D294" s="9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</row>
    <row r="295" spans="2:18" ht="16" customHeight="1" x14ac:dyDescent="0.45">
      <c r="B295" s="13"/>
      <c r="C295" s="9"/>
      <c r="D295" s="9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</row>
    <row r="296" spans="2:18" ht="16" customHeight="1" x14ac:dyDescent="0.45">
      <c r="B296" s="13"/>
      <c r="C296" s="9"/>
      <c r="D296" s="9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</row>
    <row r="297" spans="2:18" ht="16" customHeight="1" x14ac:dyDescent="0.45">
      <c r="B297" s="13"/>
      <c r="C297" s="9"/>
      <c r="D297" s="9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</row>
    <row r="298" spans="2:18" ht="16" customHeight="1" x14ac:dyDescent="0.45">
      <c r="B298" s="13"/>
      <c r="C298" s="9"/>
      <c r="D298" s="9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</row>
    <row r="299" spans="2:18" ht="16" customHeight="1" x14ac:dyDescent="0.45">
      <c r="B299" s="13"/>
      <c r="C299" s="9"/>
      <c r="D299" s="9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</row>
    <row r="300" spans="2:18" ht="16" customHeight="1" x14ac:dyDescent="0.45">
      <c r="B300" s="13"/>
      <c r="C300" s="9"/>
      <c r="D300" s="9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</row>
    <row r="301" spans="2:18" ht="16" customHeight="1" x14ac:dyDescent="0.45">
      <c r="B301" s="13"/>
      <c r="C301" s="9"/>
      <c r="D301" s="9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</row>
    <row r="302" spans="2:18" ht="16" customHeight="1" x14ac:dyDescent="0.45">
      <c r="B302" s="13"/>
      <c r="C302" s="9"/>
      <c r="D302" s="9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</row>
    <row r="303" spans="2:18" ht="16" customHeight="1" x14ac:dyDescent="0.45">
      <c r="B303" s="13"/>
      <c r="C303" s="9"/>
      <c r="D303" s="9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</row>
    <row r="304" spans="2:18" ht="16" customHeight="1" x14ac:dyDescent="0.45">
      <c r="B304" s="13"/>
      <c r="C304" s="9"/>
      <c r="D304" s="9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</row>
    <row r="305" spans="2:18" ht="16" customHeight="1" x14ac:dyDescent="0.45">
      <c r="B305" s="13"/>
      <c r="C305" s="9"/>
      <c r="D305" s="9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</row>
    <row r="306" spans="2:18" ht="16" customHeight="1" x14ac:dyDescent="0.45">
      <c r="B306" s="13"/>
      <c r="C306" s="9"/>
      <c r="D306" s="9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</row>
    <row r="307" spans="2:18" ht="16" customHeight="1" x14ac:dyDescent="0.45">
      <c r="B307" s="13"/>
      <c r="C307" s="9"/>
      <c r="D307" s="9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</row>
    <row r="308" spans="2:18" ht="16" customHeight="1" x14ac:dyDescent="0.45">
      <c r="B308" s="13"/>
      <c r="C308" s="9"/>
      <c r="D308" s="9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</row>
    <row r="309" spans="2:18" ht="16" customHeight="1" x14ac:dyDescent="0.45">
      <c r="B309" s="13"/>
      <c r="C309" s="9"/>
      <c r="D309" s="9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</row>
    <row r="310" spans="2:18" ht="16" customHeight="1" x14ac:dyDescent="0.45">
      <c r="B310" s="13"/>
      <c r="C310" s="9"/>
      <c r="D310" s="9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</row>
    <row r="311" spans="2:18" ht="16" customHeight="1" x14ac:dyDescent="0.45">
      <c r="B311" s="13"/>
      <c r="C311" s="9"/>
      <c r="D311" s="9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</row>
    <row r="312" spans="2:18" ht="16" customHeight="1" x14ac:dyDescent="0.45">
      <c r="B312" s="13"/>
      <c r="C312" s="9"/>
      <c r="D312" s="9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</row>
    <row r="313" spans="2:18" ht="16" customHeight="1" x14ac:dyDescent="0.45">
      <c r="B313" s="13"/>
      <c r="C313" s="9"/>
      <c r="D313" s="9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</row>
    <row r="314" spans="2:18" ht="16" customHeight="1" x14ac:dyDescent="0.45">
      <c r="B314" s="13"/>
      <c r="C314" s="9"/>
      <c r="D314" s="9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</row>
    <row r="315" spans="2:18" ht="16" customHeight="1" x14ac:dyDescent="0.45">
      <c r="B315" s="13"/>
      <c r="C315" s="9"/>
      <c r="D315" s="9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</row>
    <row r="316" spans="2:18" ht="16" customHeight="1" x14ac:dyDescent="0.45">
      <c r="B316" s="13"/>
      <c r="C316" s="9"/>
      <c r="D316" s="9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</row>
    <row r="317" spans="2:18" ht="16" customHeight="1" x14ac:dyDescent="0.45">
      <c r="B317" s="13"/>
      <c r="C317" s="9"/>
      <c r="D317" s="9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</row>
    <row r="318" spans="2:18" ht="16" customHeight="1" x14ac:dyDescent="0.45">
      <c r="B318" s="13"/>
      <c r="C318" s="9"/>
      <c r="D318" s="9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</row>
    <row r="319" spans="2:18" ht="16" customHeight="1" x14ac:dyDescent="0.45">
      <c r="B319" s="13"/>
      <c r="C319" s="9"/>
      <c r="D319" s="9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</row>
    <row r="320" spans="2:18" ht="16" customHeight="1" x14ac:dyDescent="0.45">
      <c r="B320" s="13"/>
      <c r="C320" s="9"/>
      <c r="D320" s="9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</row>
    <row r="321" spans="2:18" ht="16" customHeight="1" x14ac:dyDescent="0.45">
      <c r="B321" s="13"/>
      <c r="C321" s="9"/>
      <c r="D321" s="9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</row>
    <row r="322" spans="2:18" ht="16" customHeight="1" x14ac:dyDescent="0.45">
      <c r="B322" s="13"/>
      <c r="C322" s="9"/>
      <c r="D322" s="9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</row>
    <row r="323" spans="2:18" ht="16" customHeight="1" x14ac:dyDescent="0.45">
      <c r="B323" s="13"/>
      <c r="C323" s="9"/>
      <c r="D323" s="9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</row>
    <row r="324" spans="2:18" ht="16" customHeight="1" x14ac:dyDescent="0.45">
      <c r="B324" s="13"/>
      <c r="C324" s="9"/>
      <c r="D324" s="9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</row>
    <row r="325" spans="2:18" ht="16" customHeight="1" x14ac:dyDescent="0.45">
      <c r="B325" s="13"/>
      <c r="C325" s="9"/>
      <c r="D325" s="9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</row>
    <row r="326" spans="2:18" ht="16" customHeight="1" x14ac:dyDescent="0.45">
      <c r="B326" s="13"/>
      <c r="C326" s="9"/>
      <c r="D326" s="9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</row>
    <row r="327" spans="2:18" ht="16" customHeight="1" x14ac:dyDescent="0.45">
      <c r="B327" s="13"/>
      <c r="C327" s="9"/>
      <c r="D327" s="9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</row>
    <row r="328" spans="2:18" ht="16" customHeight="1" x14ac:dyDescent="0.45">
      <c r="B328" s="13"/>
      <c r="C328" s="9"/>
      <c r="D328" s="9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</row>
    <row r="329" spans="2:18" ht="16" customHeight="1" x14ac:dyDescent="0.45">
      <c r="B329" s="13"/>
      <c r="C329" s="9"/>
      <c r="D329" s="9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</row>
    <row r="330" spans="2:18" ht="16" customHeight="1" x14ac:dyDescent="0.45">
      <c r="B330" s="13"/>
      <c r="C330" s="9"/>
      <c r="D330" s="9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</row>
    <row r="331" spans="2:18" ht="16" customHeight="1" x14ac:dyDescent="0.45">
      <c r="B331" s="13"/>
      <c r="C331" s="9"/>
      <c r="D331" s="9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</row>
    <row r="332" spans="2:18" ht="16" customHeight="1" x14ac:dyDescent="0.45">
      <c r="B332" s="13"/>
      <c r="C332" s="9"/>
      <c r="D332" s="9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</row>
    <row r="333" spans="2:18" ht="16" customHeight="1" x14ac:dyDescent="0.45">
      <c r="B333" s="13"/>
      <c r="C333" s="9"/>
      <c r="D333" s="9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</row>
    <row r="334" spans="2:18" ht="16" customHeight="1" x14ac:dyDescent="0.45">
      <c r="B334" s="13"/>
      <c r="C334" s="9"/>
      <c r="D334" s="9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</row>
    <row r="335" spans="2:18" ht="16" customHeight="1" x14ac:dyDescent="0.45">
      <c r="B335" s="13"/>
      <c r="C335" s="9"/>
      <c r="D335" s="9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</row>
    <row r="336" spans="2:18" ht="16" customHeight="1" x14ac:dyDescent="0.45">
      <c r="B336" s="13"/>
      <c r="C336" s="9"/>
      <c r="D336" s="9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</row>
    <row r="337" spans="2:18" ht="16" customHeight="1" x14ac:dyDescent="0.45">
      <c r="B337" s="13"/>
      <c r="C337" s="9"/>
      <c r="D337" s="9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</row>
    <row r="338" spans="2:18" ht="16" customHeight="1" x14ac:dyDescent="0.45">
      <c r="B338" s="13"/>
      <c r="C338" s="9"/>
      <c r="D338" s="9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</row>
    <row r="339" spans="2:18" ht="16" customHeight="1" x14ac:dyDescent="0.45">
      <c r="B339" s="13"/>
      <c r="C339" s="9"/>
      <c r="D339" s="9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</row>
    <row r="340" spans="2:18" ht="16" customHeight="1" x14ac:dyDescent="0.45">
      <c r="B340" s="13"/>
      <c r="C340" s="9"/>
      <c r="D340" s="9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</row>
    <row r="341" spans="2:18" ht="16" customHeight="1" x14ac:dyDescent="0.45">
      <c r="B341" s="13"/>
      <c r="C341" s="9"/>
      <c r="D341" s="9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</row>
    <row r="342" spans="2:18" ht="16" customHeight="1" x14ac:dyDescent="0.45">
      <c r="B342" s="13"/>
      <c r="C342" s="9"/>
      <c r="D342" s="9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</row>
    <row r="343" spans="2:18" ht="16" customHeight="1" x14ac:dyDescent="0.45">
      <c r="B343" s="13"/>
      <c r="C343" s="9"/>
      <c r="D343" s="9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</row>
    <row r="344" spans="2:18" ht="16" customHeight="1" x14ac:dyDescent="0.45">
      <c r="B344" s="13"/>
      <c r="C344" s="9"/>
      <c r="D344" s="9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</row>
    <row r="345" spans="2:18" ht="16" customHeight="1" x14ac:dyDescent="0.45">
      <c r="B345" s="13"/>
      <c r="C345" s="9"/>
      <c r="D345" s="9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</row>
    <row r="346" spans="2:18" ht="16" customHeight="1" x14ac:dyDescent="0.45">
      <c r="B346" s="13"/>
      <c r="C346" s="9"/>
      <c r="D346" s="9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</row>
    <row r="347" spans="2:18" ht="16" customHeight="1" x14ac:dyDescent="0.45">
      <c r="B347" s="13"/>
      <c r="C347" s="9"/>
      <c r="D347" s="9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</row>
    <row r="348" spans="2:18" ht="16" customHeight="1" x14ac:dyDescent="0.45">
      <c r="B348" s="13"/>
      <c r="C348" s="9"/>
      <c r="D348" s="9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</row>
    <row r="349" spans="2:18" ht="16" customHeight="1" x14ac:dyDescent="0.45">
      <c r="B349" s="13"/>
      <c r="C349" s="9"/>
      <c r="D349" s="9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</row>
    <row r="350" spans="2:18" ht="16" customHeight="1" x14ac:dyDescent="0.45">
      <c r="B350" s="13"/>
      <c r="C350" s="9"/>
      <c r="D350" s="9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</row>
    <row r="351" spans="2:18" ht="16" customHeight="1" x14ac:dyDescent="0.45">
      <c r="B351" s="13"/>
      <c r="C351" s="9"/>
      <c r="D351" s="9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</row>
    <row r="352" spans="2:18" ht="16" customHeight="1" x14ac:dyDescent="0.45">
      <c r="B352" s="13"/>
      <c r="C352" s="9"/>
      <c r="D352" s="9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</row>
  </sheetData>
  <mergeCells count="2">
    <mergeCell ref="B4:C4"/>
    <mergeCell ref="B7:C7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29E4C-9040-4AA2-8A9E-785511ADA699}">
  <dimension ref="B3:AA460"/>
  <sheetViews>
    <sheetView showGridLines="0" zoomScale="90" zoomScaleNormal="90" workbookViewId="0">
      <pane xSplit="6" ySplit="8" topLeftCell="G9" activePane="bottomRight" state="frozen"/>
      <selection pane="topRight" activeCell="G1" sqref="G1"/>
      <selection pane="bottomLeft" activeCell="A7" sqref="A7"/>
      <selection pane="bottomRight" activeCell="B4" sqref="B4:C4"/>
    </sheetView>
  </sheetViews>
  <sheetFormatPr defaultColWidth="9.1796875" defaultRowHeight="16" customHeight="1" x14ac:dyDescent="0.35"/>
  <cols>
    <col min="1" max="1" width="2" style="1" customWidth="1"/>
    <col min="2" max="2" width="14.7265625" style="1" customWidth="1"/>
    <col min="3" max="3" width="60.7265625" style="1" customWidth="1"/>
    <col min="4" max="4" width="1.7265625" style="1" customWidth="1"/>
    <col min="5" max="5" width="14.7265625" style="1" customWidth="1"/>
    <col min="6" max="6" width="1.7265625" style="1" customWidth="1"/>
    <col min="7" max="80" width="14.7265625" style="1" customWidth="1"/>
    <col min="81" max="130" width="15.7265625" style="1" customWidth="1"/>
    <col min="131" max="16384" width="9.1796875" style="1"/>
  </cols>
  <sheetData>
    <row r="3" spans="2:27" ht="16" customHeight="1" x14ac:dyDescent="0.35">
      <c r="B3" s="2" t="s">
        <v>1469</v>
      </c>
    </row>
    <row r="4" spans="2:27" ht="16" customHeight="1" x14ac:dyDescent="0.35">
      <c r="B4" s="33" t="s">
        <v>270</v>
      </c>
      <c r="C4" s="33"/>
    </row>
    <row r="5" spans="2:27" ht="16" customHeight="1" x14ac:dyDescent="0.35">
      <c r="B5" s="4" t="s">
        <v>1016</v>
      </c>
      <c r="E5" s="75" t="s">
        <v>1470</v>
      </c>
      <c r="G5" s="4" t="s">
        <v>1471</v>
      </c>
    </row>
    <row r="6" spans="2:27" ht="16" customHeight="1" x14ac:dyDescent="0.35">
      <c r="B6" s="56">
        <v>46189.340607129627</v>
      </c>
      <c r="C6" s="56"/>
    </row>
    <row r="8" spans="2:27" ht="26.5" thickBot="1" x14ac:dyDescent="0.5">
      <c r="B8" s="7"/>
      <c r="C8" s="28"/>
      <c r="D8" s="59"/>
      <c r="E8" s="21" t="s">
        <v>1017</v>
      </c>
      <c r="F8" s="59"/>
      <c r="G8" s="8" t="s">
        <v>1047</v>
      </c>
      <c r="H8" s="8" t="s">
        <v>1048</v>
      </c>
      <c r="I8" s="8" t="s">
        <v>1049</v>
      </c>
      <c r="J8" s="8" t="s">
        <v>1050</v>
      </c>
      <c r="K8" s="8" t="s">
        <v>1051</v>
      </c>
      <c r="L8" s="8" t="s">
        <v>1052</v>
      </c>
      <c r="M8" s="8" t="s">
        <v>1053</v>
      </c>
      <c r="N8" s="8" t="s">
        <v>1054</v>
      </c>
      <c r="O8" s="8" t="s">
        <v>1055</v>
      </c>
      <c r="P8" s="8" t="s">
        <v>1056</v>
      </c>
      <c r="Q8" s="9"/>
      <c r="R8" s="9"/>
      <c r="S8" s="9"/>
      <c r="T8" s="9"/>
      <c r="U8" s="9"/>
      <c r="V8" s="9"/>
      <c r="W8" s="9"/>
      <c r="X8" s="9"/>
      <c r="Y8" s="9"/>
      <c r="Z8" s="13"/>
      <c r="AA8" s="9"/>
    </row>
    <row r="9" spans="2:27" ht="15" customHeight="1" x14ac:dyDescent="0.45">
      <c r="B9" s="11"/>
      <c r="C9" s="11"/>
      <c r="D9" s="29"/>
      <c r="E9" s="60"/>
      <c r="F9" s="29"/>
      <c r="G9" s="12"/>
      <c r="H9" s="12"/>
      <c r="I9" s="12"/>
      <c r="J9" s="12"/>
      <c r="K9" s="12"/>
      <c r="L9" s="12"/>
      <c r="M9" s="12"/>
      <c r="N9" s="12"/>
      <c r="O9" s="12"/>
      <c r="P9" s="12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</row>
    <row r="10" spans="2:27" ht="16" customHeight="1" x14ac:dyDescent="0.45">
      <c r="B10" s="34" t="s">
        <v>1472</v>
      </c>
      <c r="C10" s="34" t="s">
        <v>754</v>
      </c>
      <c r="D10" s="69"/>
      <c r="E10" s="70"/>
      <c r="F10" s="69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</row>
    <row r="11" spans="2:27" ht="16" customHeight="1" x14ac:dyDescent="0.45">
      <c r="B11" s="11" t="s">
        <v>1473</v>
      </c>
      <c r="C11" s="11" t="s">
        <v>22</v>
      </c>
      <c r="D11" s="29"/>
      <c r="E11" s="60"/>
      <c r="F11" s="29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2:27" ht="16" customHeight="1" x14ac:dyDescent="0.45">
      <c r="B12" s="14" t="s">
        <v>755</v>
      </c>
      <c r="C12" s="14" t="s">
        <v>138</v>
      </c>
      <c r="D12" s="61"/>
      <c r="E12" s="62">
        <v>215234.27264000001</v>
      </c>
      <c r="F12" s="61"/>
      <c r="G12" s="15">
        <v>-73.059370000000001</v>
      </c>
      <c r="H12" s="15">
        <v>232963.92882</v>
      </c>
      <c r="I12" s="15">
        <v>-701.18569000000002</v>
      </c>
      <c r="J12" s="15">
        <v>-25511.883399999999</v>
      </c>
      <c r="K12" s="15">
        <v>-29972.00432</v>
      </c>
      <c r="L12" s="15">
        <v>36633.843840000001</v>
      </c>
      <c r="M12" s="15">
        <v>0</v>
      </c>
      <c r="N12" s="15">
        <v>-2.7493699999999999</v>
      </c>
      <c r="O12" s="15">
        <v>870.68508999999995</v>
      </c>
      <c r="P12" s="15">
        <v>1026.69704</v>
      </c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</row>
    <row r="13" spans="2:27" ht="16" customHeight="1" x14ac:dyDescent="0.45">
      <c r="B13" s="11" t="s">
        <v>1474</v>
      </c>
      <c r="C13" s="11" t="s">
        <v>22</v>
      </c>
      <c r="D13" s="29"/>
      <c r="E13" s="60"/>
      <c r="F13" s="29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</row>
    <row r="14" spans="2:27" ht="16" customHeight="1" x14ac:dyDescent="0.45">
      <c r="B14" s="14" t="s">
        <v>756</v>
      </c>
      <c r="C14" s="14" t="s">
        <v>757</v>
      </c>
      <c r="D14" s="61"/>
      <c r="E14" s="62">
        <v>144870.31425</v>
      </c>
      <c r="F14" s="61"/>
      <c r="G14" s="15"/>
      <c r="H14" s="15">
        <v>83255.212459999995</v>
      </c>
      <c r="I14" s="15">
        <v>191.78222</v>
      </c>
      <c r="J14" s="15">
        <v>26692.391869999999</v>
      </c>
      <c r="K14" s="15">
        <v>23060.648529999999</v>
      </c>
      <c r="L14" s="15">
        <v>11677.656559999999</v>
      </c>
      <c r="M14" s="15"/>
      <c r="N14" s="15">
        <v>-162.37443999999999</v>
      </c>
      <c r="O14" s="15">
        <v>154.99705</v>
      </c>
      <c r="P14" s="15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</row>
    <row r="15" spans="2:27" ht="16" customHeight="1" x14ac:dyDescent="0.45">
      <c r="B15" s="11" t="s">
        <v>1475</v>
      </c>
      <c r="C15" s="11" t="s">
        <v>22</v>
      </c>
      <c r="D15" s="29"/>
      <c r="E15" s="60"/>
      <c r="F15" s="29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</row>
    <row r="16" spans="2:27" ht="16" customHeight="1" x14ac:dyDescent="0.45">
      <c r="B16" s="34" t="s">
        <v>758</v>
      </c>
      <c r="C16" s="34" t="s">
        <v>126</v>
      </c>
      <c r="D16" s="69"/>
      <c r="E16" s="70">
        <f>E12+E14</f>
        <v>360104.58689000004</v>
      </c>
      <c r="F16" s="69"/>
      <c r="G16" s="35">
        <f t="shared" ref="G16:P16" si="0">G12+G14</f>
        <v>-73.059370000000001</v>
      </c>
      <c r="H16" s="35">
        <f t="shared" si="0"/>
        <v>316219.14127999998</v>
      </c>
      <c r="I16" s="35">
        <f t="shared" si="0"/>
        <v>-509.40347000000003</v>
      </c>
      <c r="J16" s="35">
        <f t="shared" si="0"/>
        <v>1180.5084700000007</v>
      </c>
      <c r="K16" s="35">
        <f t="shared" si="0"/>
        <v>-6911.3557900000014</v>
      </c>
      <c r="L16" s="35">
        <f t="shared" si="0"/>
        <v>48311.500400000004</v>
      </c>
      <c r="M16" s="35">
        <f t="shared" si="0"/>
        <v>0</v>
      </c>
      <c r="N16" s="35">
        <f t="shared" si="0"/>
        <v>-165.12380999999999</v>
      </c>
      <c r="O16" s="35">
        <f t="shared" si="0"/>
        <v>1025.6821399999999</v>
      </c>
      <c r="P16" s="35">
        <f t="shared" si="0"/>
        <v>1026.69704</v>
      </c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</row>
    <row r="17" spans="2:27" ht="16" customHeight="1" x14ac:dyDescent="0.45">
      <c r="B17" s="11" t="s">
        <v>1476</v>
      </c>
      <c r="C17" s="11" t="s">
        <v>22</v>
      </c>
      <c r="D17" s="29"/>
      <c r="E17" s="60"/>
      <c r="F17" s="29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</row>
    <row r="18" spans="2:27" ht="16" customHeight="1" x14ac:dyDescent="0.45">
      <c r="B18" s="14" t="s">
        <v>759</v>
      </c>
      <c r="C18" s="14" t="s">
        <v>760</v>
      </c>
      <c r="D18" s="61"/>
      <c r="E18" s="62">
        <v>7181.7586300000003</v>
      </c>
      <c r="F18" s="61"/>
      <c r="G18" s="15"/>
      <c r="H18" s="15">
        <v>5597.6388399999996</v>
      </c>
      <c r="I18" s="15">
        <v>535.60256000000004</v>
      </c>
      <c r="J18" s="15">
        <v>541.15126999999995</v>
      </c>
      <c r="K18" s="15">
        <v>101.28527</v>
      </c>
      <c r="L18" s="15">
        <v>243.70625000000001</v>
      </c>
      <c r="M18" s="15"/>
      <c r="N18" s="15">
        <v>162.37443999999999</v>
      </c>
      <c r="O18" s="15"/>
      <c r="P18" s="15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</row>
    <row r="19" spans="2:27" ht="16" customHeight="1" x14ac:dyDescent="0.45">
      <c r="B19" s="14" t="s">
        <v>1477</v>
      </c>
      <c r="C19" s="14" t="s">
        <v>762</v>
      </c>
      <c r="D19" s="61"/>
      <c r="E19" s="62">
        <v>18081.29622</v>
      </c>
      <c r="F19" s="61"/>
      <c r="G19" s="15">
        <v>12.006019999999999</v>
      </c>
      <c r="H19" s="15">
        <v>7426.8325500000001</v>
      </c>
      <c r="I19" s="15">
        <v>2994.5023000000001</v>
      </c>
      <c r="J19" s="15">
        <v>1401.9482</v>
      </c>
      <c r="K19" s="15">
        <v>4202.3811400000004</v>
      </c>
      <c r="L19" s="15">
        <v>1405.7697599999999</v>
      </c>
      <c r="M19" s="15"/>
      <c r="N19" s="15">
        <v>525.72760000000005</v>
      </c>
      <c r="O19" s="15">
        <v>67.046199999999999</v>
      </c>
      <c r="P19" s="15">
        <v>45.082450000000001</v>
      </c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</row>
    <row r="20" spans="2:27" ht="16" customHeight="1" x14ac:dyDescent="0.45">
      <c r="B20" s="11" t="s">
        <v>1478</v>
      </c>
      <c r="C20" s="11" t="s">
        <v>22</v>
      </c>
      <c r="D20" s="29"/>
      <c r="E20" s="60"/>
      <c r="F20" s="29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</row>
    <row r="21" spans="2:27" ht="16" customHeight="1" x14ac:dyDescent="0.45">
      <c r="B21" s="34" t="s">
        <v>1479</v>
      </c>
      <c r="C21" s="34" t="s">
        <v>763</v>
      </c>
      <c r="D21" s="69"/>
      <c r="E21" s="70">
        <f>E22+E23</f>
        <v>0</v>
      </c>
      <c r="F21" s="69"/>
      <c r="G21" s="35">
        <f t="shared" ref="G21:P21" si="1">G22+G23</f>
        <v>0</v>
      </c>
      <c r="H21" s="35">
        <f t="shared" si="1"/>
        <v>0</v>
      </c>
      <c r="I21" s="35">
        <f t="shared" si="1"/>
        <v>0</v>
      </c>
      <c r="J21" s="35">
        <f t="shared" si="1"/>
        <v>0</v>
      </c>
      <c r="K21" s="35">
        <f t="shared" si="1"/>
        <v>0</v>
      </c>
      <c r="L21" s="35">
        <f t="shared" si="1"/>
        <v>0</v>
      </c>
      <c r="M21" s="35">
        <f t="shared" si="1"/>
        <v>0</v>
      </c>
      <c r="N21" s="35">
        <f t="shared" si="1"/>
        <v>0</v>
      </c>
      <c r="O21" s="35">
        <f t="shared" si="1"/>
        <v>0</v>
      </c>
      <c r="P21" s="35">
        <f t="shared" si="1"/>
        <v>0</v>
      </c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</row>
    <row r="22" spans="2:27" ht="16" customHeight="1" x14ac:dyDescent="0.45">
      <c r="B22" s="14" t="s">
        <v>764</v>
      </c>
      <c r="C22" s="14" t="s">
        <v>112</v>
      </c>
      <c r="D22" s="61"/>
      <c r="E22" s="62"/>
      <c r="F22" s="61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2:27" ht="16" customHeight="1" x14ac:dyDescent="0.45">
      <c r="B23" s="14" t="s">
        <v>765</v>
      </c>
      <c r="C23" s="14" t="s">
        <v>110</v>
      </c>
      <c r="D23" s="61"/>
      <c r="E23" s="62"/>
      <c r="F23" s="61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2:27" ht="16" customHeight="1" x14ac:dyDescent="0.45">
      <c r="B24" s="11" t="s">
        <v>1480</v>
      </c>
      <c r="C24" s="11" t="s">
        <v>22</v>
      </c>
      <c r="D24" s="29"/>
      <c r="E24" s="60"/>
      <c r="F24" s="29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</row>
    <row r="25" spans="2:27" ht="16" customHeight="1" x14ac:dyDescent="0.45">
      <c r="B25" s="34" t="s">
        <v>1481</v>
      </c>
      <c r="C25" s="34" t="s">
        <v>766</v>
      </c>
      <c r="D25" s="69"/>
      <c r="E25" s="70">
        <f>E26+E27</f>
        <v>1322.1887899999999</v>
      </c>
      <c r="F25" s="69"/>
      <c r="G25" s="35">
        <f t="shared" ref="G25:P25" si="2">G26+G27</f>
        <v>0</v>
      </c>
      <c r="H25" s="35">
        <f t="shared" si="2"/>
        <v>1322.1887899999999</v>
      </c>
      <c r="I25" s="35">
        <f t="shared" si="2"/>
        <v>0</v>
      </c>
      <c r="J25" s="35">
        <f t="shared" si="2"/>
        <v>0</v>
      </c>
      <c r="K25" s="35">
        <f t="shared" si="2"/>
        <v>0</v>
      </c>
      <c r="L25" s="35">
        <f t="shared" si="2"/>
        <v>0</v>
      </c>
      <c r="M25" s="35">
        <f t="shared" si="2"/>
        <v>0</v>
      </c>
      <c r="N25" s="35">
        <f t="shared" si="2"/>
        <v>0</v>
      </c>
      <c r="O25" s="35">
        <f t="shared" si="2"/>
        <v>0</v>
      </c>
      <c r="P25" s="35">
        <f t="shared" si="2"/>
        <v>0</v>
      </c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</row>
    <row r="26" spans="2:27" ht="16" customHeight="1" x14ac:dyDescent="0.45">
      <c r="B26" s="14" t="s">
        <v>767</v>
      </c>
      <c r="C26" s="14" t="s">
        <v>768</v>
      </c>
      <c r="D26" s="61"/>
      <c r="E26" s="62"/>
      <c r="F26" s="61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2:27" ht="16" customHeight="1" x14ac:dyDescent="0.45">
      <c r="B27" s="14" t="s">
        <v>769</v>
      </c>
      <c r="C27" s="14" t="s">
        <v>770</v>
      </c>
      <c r="D27" s="61"/>
      <c r="E27" s="62">
        <v>1322.1887899999999</v>
      </c>
      <c r="F27" s="61"/>
      <c r="G27" s="15"/>
      <c r="H27" s="15">
        <v>1322.1887899999999</v>
      </c>
      <c r="I27" s="15"/>
      <c r="J27" s="15"/>
      <c r="K27" s="15"/>
      <c r="L27" s="15"/>
      <c r="M27" s="15"/>
      <c r="N27" s="15"/>
      <c r="O27" s="15"/>
      <c r="P27" s="15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2:27" ht="16" customHeight="1" x14ac:dyDescent="0.45">
      <c r="B28" s="11" t="s">
        <v>1482</v>
      </c>
      <c r="C28" s="11" t="s">
        <v>22</v>
      </c>
      <c r="D28" s="29"/>
      <c r="E28" s="60"/>
      <c r="F28" s="29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</row>
    <row r="29" spans="2:27" ht="16" customHeight="1" x14ac:dyDescent="0.45">
      <c r="B29" s="34" t="s">
        <v>1483</v>
      </c>
      <c r="C29" s="34" t="s">
        <v>771</v>
      </c>
      <c r="D29" s="69"/>
      <c r="E29" s="70">
        <f>E30+E31+E32+E33+E34+E35+E36</f>
        <v>4813.9004599999998</v>
      </c>
      <c r="F29" s="69"/>
      <c r="G29" s="35">
        <f t="shared" ref="G29:P29" si="3">G30+G31+G32+G33+G34+G35+G36</f>
        <v>0</v>
      </c>
      <c r="H29" s="35">
        <f t="shared" si="3"/>
        <v>6759.5093100000013</v>
      </c>
      <c r="I29" s="35">
        <f t="shared" si="3"/>
        <v>-544.94653000000005</v>
      </c>
      <c r="J29" s="35">
        <f t="shared" si="3"/>
        <v>614.87919999999997</v>
      </c>
      <c r="K29" s="35">
        <f t="shared" si="3"/>
        <v>456.90942000000001</v>
      </c>
      <c r="L29" s="35">
        <f t="shared" si="3"/>
        <v>-2472.4509400000002</v>
      </c>
      <c r="M29" s="35">
        <f t="shared" si="3"/>
        <v>0</v>
      </c>
      <c r="N29" s="35">
        <f t="shared" si="3"/>
        <v>0</v>
      </c>
      <c r="O29" s="35">
        <f t="shared" si="3"/>
        <v>0</v>
      </c>
      <c r="P29" s="35">
        <f t="shared" si="3"/>
        <v>0</v>
      </c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</row>
    <row r="30" spans="2:27" ht="16" customHeight="1" x14ac:dyDescent="0.45">
      <c r="B30" s="14" t="s">
        <v>772</v>
      </c>
      <c r="C30" s="14" t="s">
        <v>88</v>
      </c>
      <c r="D30" s="61"/>
      <c r="E30" s="62">
        <v>-2158.8922699999998</v>
      </c>
      <c r="F30" s="61"/>
      <c r="G30" s="15"/>
      <c r="H30" s="15">
        <v>-2158.8922699999998</v>
      </c>
      <c r="I30" s="15"/>
      <c r="J30" s="15"/>
      <c r="K30" s="15"/>
      <c r="L30" s="15"/>
      <c r="M30" s="15"/>
      <c r="N30" s="15"/>
      <c r="O30" s="15"/>
      <c r="P30" s="15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2:27" ht="16" customHeight="1" x14ac:dyDescent="0.45">
      <c r="B31" s="14" t="s">
        <v>773</v>
      </c>
      <c r="C31" s="14" t="s">
        <v>774</v>
      </c>
      <c r="D31" s="61"/>
      <c r="E31" s="62">
        <v>-84.691779999999994</v>
      </c>
      <c r="F31" s="61"/>
      <c r="G31" s="15"/>
      <c r="H31" s="15">
        <v>-32.35219</v>
      </c>
      <c r="I31" s="15">
        <v>-44.946530000000003</v>
      </c>
      <c r="J31" s="15">
        <v>-0.1208</v>
      </c>
      <c r="K31" s="15">
        <v>-4.1814499999999999</v>
      </c>
      <c r="L31" s="15">
        <v>-3.0908099999999998</v>
      </c>
      <c r="M31" s="15"/>
      <c r="N31" s="15"/>
      <c r="O31" s="15"/>
      <c r="P31" s="15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</row>
    <row r="32" spans="2:27" ht="16" customHeight="1" x14ac:dyDescent="0.45">
      <c r="B32" s="14" t="s">
        <v>775</v>
      </c>
      <c r="C32" s="14" t="s">
        <v>776</v>
      </c>
      <c r="D32" s="61"/>
      <c r="E32" s="62">
        <v>-95.825000000000003</v>
      </c>
      <c r="F32" s="61"/>
      <c r="G32" s="15"/>
      <c r="H32" s="15">
        <v>404.17500000000001</v>
      </c>
      <c r="I32" s="15">
        <v>-500</v>
      </c>
      <c r="J32" s="15"/>
      <c r="K32" s="15"/>
      <c r="L32" s="15"/>
      <c r="M32" s="15"/>
      <c r="N32" s="15"/>
      <c r="O32" s="15"/>
      <c r="P32" s="15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 spans="2:27" ht="16" customHeight="1" x14ac:dyDescent="0.45">
      <c r="B33" s="14" t="s">
        <v>777</v>
      </c>
      <c r="C33" s="14" t="s">
        <v>778</v>
      </c>
      <c r="D33" s="61"/>
      <c r="E33" s="62">
        <v>-4915.0925800000005</v>
      </c>
      <c r="F33" s="61"/>
      <c r="G33" s="15"/>
      <c r="H33" s="15">
        <v>-2557.19452</v>
      </c>
      <c r="I33" s="15"/>
      <c r="J33" s="15"/>
      <c r="K33" s="15"/>
      <c r="L33" s="15">
        <v>-2357.89806</v>
      </c>
      <c r="M33" s="15"/>
      <c r="N33" s="15"/>
      <c r="O33" s="15"/>
      <c r="P33" s="15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 spans="2:27" ht="16" customHeight="1" x14ac:dyDescent="0.45">
      <c r="B34" s="14" t="s">
        <v>779</v>
      </c>
      <c r="C34" s="14" t="s">
        <v>780</v>
      </c>
      <c r="D34" s="61"/>
      <c r="E34" s="62">
        <v>-62.949339999999999</v>
      </c>
      <c r="F34" s="61"/>
      <c r="G34" s="15"/>
      <c r="H34" s="15">
        <v>-57.554740000000002</v>
      </c>
      <c r="I34" s="15"/>
      <c r="J34" s="15"/>
      <c r="K34" s="15"/>
      <c r="L34" s="15">
        <v>-5.3945999999999996</v>
      </c>
      <c r="M34" s="15"/>
      <c r="N34" s="15"/>
      <c r="O34" s="15"/>
      <c r="P34" s="15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2:27" ht="16" customHeight="1" x14ac:dyDescent="0.45">
      <c r="B35" s="14" t="s">
        <v>781</v>
      </c>
      <c r="C35" s="14" t="s">
        <v>782</v>
      </c>
      <c r="D35" s="61"/>
      <c r="E35" s="62">
        <v>12131.351430000001</v>
      </c>
      <c r="F35" s="61"/>
      <c r="G35" s="15"/>
      <c r="H35" s="15">
        <v>11161.328030000001</v>
      </c>
      <c r="I35" s="15"/>
      <c r="J35" s="15">
        <v>615</v>
      </c>
      <c r="K35" s="15">
        <v>461.09087</v>
      </c>
      <c r="L35" s="15">
        <v>-106.06747</v>
      </c>
      <c r="M35" s="15"/>
      <c r="N35" s="15"/>
      <c r="O35" s="15"/>
      <c r="P35" s="15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</row>
    <row r="36" spans="2:27" ht="16" customHeight="1" x14ac:dyDescent="0.45">
      <c r="B36" s="14" t="s">
        <v>1484</v>
      </c>
      <c r="C36" s="14" t="s">
        <v>784</v>
      </c>
      <c r="D36" s="61"/>
      <c r="E36" s="62"/>
      <c r="F36" s="61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</row>
    <row r="37" spans="2:27" ht="16" customHeight="1" x14ac:dyDescent="0.45">
      <c r="B37" s="11" t="s">
        <v>1485</v>
      </c>
      <c r="C37" s="11" t="s">
        <v>22</v>
      </c>
      <c r="D37" s="29"/>
      <c r="E37" s="60"/>
      <c r="F37" s="29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</row>
    <row r="38" spans="2:27" ht="16" customHeight="1" x14ac:dyDescent="0.45">
      <c r="B38" s="34" t="s">
        <v>1486</v>
      </c>
      <c r="C38" s="34" t="s">
        <v>785</v>
      </c>
      <c r="D38" s="69"/>
      <c r="E38" s="70">
        <f>-(-(E39+E40)-E41)</f>
        <v>0</v>
      </c>
      <c r="F38" s="69"/>
      <c r="G38" s="35">
        <f t="shared" ref="G38:P38" si="4">-(-(G39+G40)-G41)</f>
        <v>0</v>
      </c>
      <c r="H38" s="35">
        <f t="shared" si="4"/>
        <v>0</v>
      </c>
      <c r="I38" s="35">
        <f t="shared" si="4"/>
        <v>0</v>
      </c>
      <c r="J38" s="35">
        <f t="shared" si="4"/>
        <v>0</v>
      </c>
      <c r="K38" s="35">
        <f t="shared" si="4"/>
        <v>0</v>
      </c>
      <c r="L38" s="35">
        <f t="shared" si="4"/>
        <v>0</v>
      </c>
      <c r="M38" s="35">
        <f t="shared" si="4"/>
        <v>0</v>
      </c>
      <c r="N38" s="35">
        <f t="shared" si="4"/>
        <v>0</v>
      </c>
      <c r="O38" s="35">
        <f t="shared" si="4"/>
        <v>0</v>
      </c>
      <c r="P38" s="35">
        <f t="shared" si="4"/>
        <v>0</v>
      </c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</row>
    <row r="39" spans="2:27" ht="16" customHeight="1" x14ac:dyDescent="0.45">
      <c r="B39" s="14" t="s">
        <v>786</v>
      </c>
      <c r="C39" s="14" t="s">
        <v>787</v>
      </c>
      <c r="D39" s="61"/>
      <c r="E39" s="62"/>
      <c r="F39" s="61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</row>
    <row r="40" spans="2:27" ht="16" customHeight="1" x14ac:dyDescent="0.45">
      <c r="B40" s="14" t="s">
        <v>788</v>
      </c>
      <c r="C40" s="14" t="s">
        <v>789</v>
      </c>
      <c r="D40" s="61"/>
      <c r="E40" s="62"/>
      <c r="F40" s="61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</row>
    <row r="41" spans="2:27" ht="16" customHeight="1" x14ac:dyDescent="0.45">
      <c r="B41" s="14" t="s">
        <v>790</v>
      </c>
      <c r="C41" s="14" t="s">
        <v>791</v>
      </c>
      <c r="D41" s="61"/>
      <c r="E41" s="62"/>
      <c r="F41" s="61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</row>
    <row r="42" spans="2:27" ht="16" customHeight="1" x14ac:dyDescent="0.45">
      <c r="B42" s="11" t="s">
        <v>1487</v>
      </c>
      <c r="C42" s="11" t="s">
        <v>22</v>
      </c>
      <c r="D42" s="29"/>
      <c r="E42" s="60"/>
      <c r="F42" s="29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</row>
    <row r="43" spans="2:27" ht="16" customHeight="1" x14ac:dyDescent="0.45">
      <c r="B43" s="34" t="s">
        <v>1488</v>
      </c>
      <c r="C43" s="34" t="s">
        <v>792</v>
      </c>
      <c r="D43" s="69"/>
      <c r="E43" s="70">
        <f>E45+E49</f>
        <v>-2241.5044800000001</v>
      </c>
      <c r="F43" s="69"/>
      <c r="G43" s="35">
        <f t="shared" ref="G43:P43" si="5">G45+G49</f>
        <v>0</v>
      </c>
      <c r="H43" s="35">
        <f t="shared" si="5"/>
        <v>-1425.13473</v>
      </c>
      <c r="I43" s="35">
        <f t="shared" si="5"/>
        <v>-689.07889</v>
      </c>
      <c r="J43" s="35">
        <f t="shared" si="5"/>
        <v>-55.355200000000004</v>
      </c>
      <c r="K43" s="35">
        <f t="shared" si="5"/>
        <v>-9.9318600000000004</v>
      </c>
      <c r="L43" s="35">
        <f t="shared" si="5"/>
        <v>-29.886550000000003</v>
      </c>
      <c r="M43" s="35">
        <f t="shared" si="5"/>
        <v>0</v>
      </c>
      <c r="N43" s="35">
        <f t="shared" si="5"/>
        <v>-28.804790000000001</v>
      </c>
      <c r="O43" s="35">
        <f t="shared" si="5"/>
        <v>-1.786</v>
      </c>
      <c r="P43" s="35">
        <f t="shared" si="5"/>
        <v>-1.5264599999999999</v>
      </c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</row>
    <row r="44" spans="2:27" ht="16" customHeight="1" x14ac:dyDescent="0.45">
      <c r="B44" s="11" t="s">
        <v>1489</v>
      </c>
      <c r="C44" s="11" t="s">
        <v>22</v>
      </c>
      <c r="D44" s="29"/>
      <c r="E44" s="60"/>
      <c r="F44" s="29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</row>
    <row r="45" spans="2:27" ht="16" customHeight="1" x14ac:dyDescent="0.45">
      <c r="B45" s="34" t="s">
        <v>1490</v>
      </c>
      <c r="C45" s="34" t="s">
        <v>793</v>
      </c>
      <c r="D45" s="69"/>
      <c r="E45" s="70">
        <f>E46+E47</f>
        <v>0</v>
      </c>
      <c r="F45" s="69"/>
      <c r="G45" s="35">
        <f t="shared" ref="G45:P45" si="6">G46+G47</f>
        <v>0</v>
      </c>
      <c r="H45" s="35">
        <f t="shared" si="6"/>
        <v>0</v>
      </c>
      <c r="I45" s="35">
        <f t="shared" si="6"/>
        <v>0</v>
      </c>
      <c r="J45" s="35">
        <f t="shared" si="6"/>
        <v>0</v>
      </c>
      <c r="K45" s="35">
        <f t="shared" si="6"/>
        <v>0</v>
      </c>
      <c r="L45" s="35">
        <f t="shared" si="6"/>
        <v>0</v>
      </c>
      <c r="M45" s="35">
        <f t="shared" si="6"/>
        <v>0</v>
      </c>
      <c r="N45" s="35">
        <f t="shared" si="6"/>
        <v>0</v>
      </c>
      <c r="O45" s="35">
        <f t="shared" si="6"/>
        <v>0</v>
      </c>
      <c r="P45" s="35">
        <f t="shared" si="6"/>
        <v>0</v>
      </c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</row>
    <row r="46" spans="2:27" ht="16" customHeight="1" x14ac:dyDescent="0.45">
      <c r="B46" s="14" t="s">
        <v>794</v>
      </c>
      <c r="C46" s="14" t="s">
        <v>795</v>
      </c>
      <c r="D46" s="61"/>
      <c r="E46" s="62"/>
      <c r="F46" s="61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</row>
    <row r="47" spans="2:27" ht="16" customHeight="1" x14ac:dyDescent="0.45">
      <c r="B47" s="14" t="s">
        <v>796</v>
      </c>
      <c r="C47" s="14" t="s">
        <v>797</v>
      </c>
      <c r="D47" s="61"/>
      <c r="E47" s="62"/>
      <c r="F47" s="61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</row>
    <row r="48" spans="2:27" ht="16" customHeight="1" x14ac:dyDescent="0.45">
      <c r="B48" s="11" t="s">
        <v>1491</v>
      </c>
      <c r="C48" s="11" t="s">
        <v>22</v>
      </c>
      <c r="D48" s="29"/>
      <c r="E48" s="60"/>
      <c r="F48" s="29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</row>
    <row r="49" spans="2:27" ht="16" customHeight="1" x14ac:dyDescent="0.45">
      <c r="B49" s="34" t="s">
        <v>1492</v>
      </c>
      <c r="C49" s="34" t="s">
        <v>798</v>
      </c>
      <c r="D49" s="69"/>
      <c r="E49" s="70">
        <f>-(-(E50+E51)-E52)</f>
        <v>-2241.5044800000001</v>
      </c>
      <c r="F49" s="69"/>
      <c r="G49" s="35">
        <f t="shared" ref="G49:P49" si="7">-(-(G50+G51)-G52)</f>
        <v>0</v>
      </c>
      <c r="H49" s="35">
        <f t="shared" si="7"/>
        <v>-1425.13473</v>
      </c>
      <c r="I49" s="35">
        <f t="shared" si="7"/>
        <v>-689.07889</v>
      </c>
      <c r="J49" s="35">
        <f t="shared" si="7"/>
        <v>-55.355200000000004</v>
      </c>
      <c r="K49" s="35">
        <f t="shared" si="7"/>
        <v>-9.9318600000000004</v>
      </c>
      <c r="L49" s="35">
        <f t="shared" si="7"/>
        <v>-29.886550000000003</v>
      </c>
      <c r="M49" s="35">
        <f t="shared" si="7"/>
        <v>0</v>
      </c>
      <c r="N49" s="35">
        <f t="shared" si="7"/>
        <v>-28.804790000000001</v>
      </c>
      <c r="O49" s="35">
        <f t="shared" si="7"/>
        <v>-1.786</v>
      </c>
      <c r="P49" s="35">
        <f t="shared" si="7"/>
        <v>-1.5264599999999999</v>
      </c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</row>
    <row r="50" spans="2:27" ht="16" customHeight="1" x14ac:dyDescent="0.45">
      <c r="B50" s="14" t="s">
        <v>799</v>
      </c>
      <c r="C50" s="14" t="s">
        <v>800</v>
      </c>
      <c r="D50" s="61"/>
      <c r="E50" s="62"/>
      <c r="F50" s="61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</row>
    <row r="51" spans="2:27" ht="16" customHeight="1" x14ac:dyDescent="0.45">
      <c r="B51" s="14" t="s">
        <v>801</v>
      </c>
      <c r="C51" s="14" t="s">
        <v>802</v>
      </c>
      <c r="D51" s="61"/>
      <c r="E51" s="62">
        <v>-656.67547999999999</v>
      </c>
      <c r="F51" s="61"/>
      <c r="G51" s="15"/>
      <c r="H51" s="15">
        <v>-649.79801999999995</v>
      </c>
      <c r="I51" s="15">
        <v>-1.68</v>
      </c>
      <c r="J51" s="15">
        <v>0</v>
      </c>
      <c r="K51" s="15">
        <v>0</v>
      </c>
      <c r="L51" s="15">
        <v>-1.885</v>
      </c>
      <c r="M51" s="15"/>
      <c r="N51" s="15"/>
      <c r="O51" s="15">
        <v>-1.786</v>
      </c>
      <c r="P51" s="15">
        <v>-1.5264599999999999</v>
      </c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</row>
    <row r="52" spans="2:27" ht="16" customHeight="1" x14ac:dyDescent="0.45">
      <c r="B52" s="14" t="s">
        <v>803</v>
      </c>
      <c r="C52" s="14" t="s">
        <v>804</v>
      </c>
      <c r="D52" s="61"/>
      <c r="E52" s="62">
        <v>-1584.829</v>
      </c>
      <c r="F52" s="61"/>
      <c r="G52" s="15"/>
      <c r="H52" s="15">
        <v>-775.33671000000004</v>
      </c>
      <c r="I52" s="15">
        <v>-687.39889000000005</v>
      </c>
      <c r="J52" s="15">
        <v>-55.355200000000004</v>
      </c>
      <c r="K52" s="15">
        <v>-9.9318600000000004</v>
      </c>
      <c r="L52" s="15">
        <v>-28.001550000000002</v>
      </c>
      <c r="M52" s="15"/>
      <c r="N52" s="15">
        <v>-28.804790000000001</v>
      </c>
      <c r="O52" s="15"/>
      <c r="P52" s="15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</row>
    <row r="53" spans="2:27" ht="16" customHeight="1" x14ac:dyDescent="0.45">
      <c r="B53" s="11" t="s">
        <v>1493</v>
      </c>
      <c r="C53" s="11" t="s">
        <v>22</v>
      </c>
      <c r="D53" s="29"/>
      <c r="E53" s="60"/>
      <c r="F53" s="29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</row>
    <row r="54" spans="2:27" ht="16" customHeight="1" x14ac:dyDescent="0.45">
      <c r="B54" s="34" t="s">
        <v>1494</v>
      </c>
      <c r="C54" s="34" t="s">
        <v>805</v>
      </c>
      <c r="D54" s="69"/>
      <c r="E54" s="70">
        <f>E55+E56</f>
        <v>-20.940149999999999</v>
      </c>
      <c r="F54" s="69"/>
      <c r="G54" s="35">
        <f t="shared" ref="G54:P54" si="8">G55+G56</f>
        <v>-12.02746</v>
      </c>
      <c r="H54" s="35">
        <f t="shared" si="8"/>
        <v>-7.0963399999999996</v>
      </c>
      <c r="I54" s="35">
        <f t="shared" si="8"/>
        <v>-5.7099999999999998E-3</v>
      </c>
      <c r="J54" s="35">
        <f t="shared" si="8"/>
        <v>-0.71323000000000003</v>
      </c>
      <c r="K54" s="35">
        <f t="shared" si="8"/>
        <v>-1.1745000000000001</v>
      </c>
      <c r="L54" s="35">
        <f t="shared" si="8"/>
        <v>2.5420000000000002E-2</v>
      </c>
      <c r="M54" s="35">
        <f t="shared" si="8"/>
        <v>0</v>
      </c>
      <c r="N54" s="35">
        <f t="shared" si="8"/>
        <v>0</v>
      </c>
      <c r="O54" s="35">
        <f t="shared" si="8"/>
        <v>0</v>
      </c>
      <c r="P54" s="35">
        <f t="shared" si="8"/>
        <v>5.1670000000000001E-2</v>
      </c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</row>
    <row r="55" spans="2:27" ht="16" customHeight="1" x14ac:dyDescent="0.45">
      <c r="B55" s="14" t="s">
        <v>806</v>
      </c>
      <c r="C55" s="14" t="s">
        <v>805</v>
      </c>
      <c r="D55" s="61"/>
      <c r="E55" s="62">
        <v>-20.940149999999999</v>
      </c>
      <c r="F55" s="61"/>
      <c r="G55" s="15">
        <v>-12.02746</v>
      </c>
      <c r="H55" s="15">
        <v>-7.0963399999999996</v>
      </c>
      <c r="I55" s="15">
        <v>-5.7099999999999998E-3</v>
      </c>
      <c r="J55" s="15">
        <v>-0.71323000000000003</v>
      </c>
      <c r="K55" s="15">
        <v>-1.1745000000000001</v>
      </c>
      <c r="L55" s="15">
        <v>2.5420000000000002E-2</v>
      </c>
      <c r="M55" s="15"/>
      <c r="N55" s="15"/>
      <c r="O55" s="15"/>
      <c r="P55" s="15">
        <v>5.1670000000000001E-2</v>
      </c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</row>
    <row r="56" spans="2:27" ht="16" customHeight="1" x14ac:dyDescent="0.45">
      <c r="B56" s="14" t="s">
        <v>807</v>
      </c>
      <c r="C56" s="14" t="s">
        <v>808</v>
      </c>
      <c r="D56" s="61"/>
      <c r="E56" s="62"/>
      <c r="F56" s="61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</row>
    <row r="57" spans="2:27" ht="16" customHeight="1" x14ac:dyDescent="0.45">
      <c r="B57" s="11" t="s">
        <v>1495</v>
      </c>
      <c r="C57" s="11" t="s">
        <v>22</v>
      </c>
      <c r="D57" s="29"/>
      <c r="E57" s="60"/>
      <c r="F57" s="29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</row>
    <row r="58" spans="2:27" ht="16" customHeight="1" x14ac:dyDescent="0.45">
      <c r="B58" s="14" t="s">
        <v>809</v>
      </c>
      <c r="C58" s="14" t="s">
        <v>810</v>
      </c>
      <c r="D58" s="61"/>
      <c r="E58" s="62">
        <v>-79534.870349999997</v>
      </c>
      <c r="F58" s="61"/>
      <c r="G58" s="15">
        <v>0</v>
      </c>
      <c r="H58" s="15">
        <v>-79534.870630000005</v>
      </c>
      <c r="I58" s="15"/>
      <c r="J58" s="15"/>
      <c r="K58" s="15"/>
      <c r="L58" s="15">
        <v>2.7999999999999998E-4</v>
      </c>
      <c r="M58" s="15"/>
      <c r="N58" s="15"/>
      <c r="O58" s="15"/>
      <c r="P58" s="15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</row>
    <row r="59" spans="2:27" ht="16" customHeight="1" x14ac:dyDescent="0.45">
      <c r="B59" s="11" t="s">
        <v>1496</v>
      </c>
      <c r="C59" s="11" t="s">
        <v>22</v>
      </c>
      <c r="D59" s="29"/>
      <c r="E59" s="60"/>
      <c r="F59" s="29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</row>
    <row r="60" spans="2:27" ht="16" customHeight="1" x14ac:dyDescent="0.45">
      <c r="B60" s="34" t="s">
        <v>1497</v>
      </c>
      <c r="C60" s="34" t="s">
        <v>811</v>
      </c>
      <c r="D60" s="69"/>
      <c r="E60" s="70">
        <f>-(-(E61+E62)-E63)</f>
        <v>-45327.306960000002</v>
      </c>
      <c r="F60" s="69"/>
      <c r="G60" s="35">
        <f t="shared" ref="G60:P60" si="9">-(-(G61+G62)-G63)</f>
        <v>0</v>
      </c>
      <c r="H60" s="35">
        <f t="shared" si="9"/>
        <v>-45327.306960000002</v>
      </c>
      <c r="I60" s="35">
        <f t="shared" si="9"/>
        <v>0</v>
      </c>
      <c r="J60" s="35">
        <f t="shared" si="9"/>
        <v>0</v>
      </c>
      <c r="K60" s="35">
        <f t="shared" si="9"/>
        <v>0</v>
      </c>
      <c r="L60" s="35">
        <f t="shared" si="9"/>
        <v>0</v>
      </c>
      <c r="M60" s="35">
        <f t="shared" si="9"/>
        <v>0</v>
      </c>
      <c r="N60" s="35">
        <f t="shared" si="9"/>
        <v>0</v>
      </c>
      <c r="O60" s="35">
        <f t="shared" si="9"/>
        <v>0</v>
      </c>
      <c r="P60" s="35">
        <f t="shared" si="9"/>
        <v>0</v>
      </c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</row>
    <row r="61" spans="2:27" ht="16" customHeight="1" x14ac:dyDescent="0.45">
      <c r="B61" s="14" t="s">
        <v>812</v>
      </c>
      <c r="C61" s="14" t="s">
        <v>813</v>
      </c>
      <c r="D61" s="61"/>
      <c r="E61" s="62">
        <v>-45327.306960000002</v>
      </c>
      <c r="F61" s="61"/>
      <c r="G61" s="15"/>
      <c r="H61" s="15">
        <v>-45327.306960000002</v>
      </c>
      <c r="I61" s="15"/>
      <c r="J61" s="15"/>
      <c r="K61" s="15"/>
      <c r="L61" s="15"/>
      <c r="M61" s="15"/>
      <c r="N61" s="15"/>
      <c r="O61" s="15"/>
      <c r="P61" s="15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</row>
    <row r="62" spans="2:27" ht="16" customHeight="1" x14ac:dyDescent="0.45">
      <c r="B62" s="14" t="s">
        <v>814</v>
      </c>
      <c r="C62" s="14" t="s">
        <v>815</v>
      </c>
      <c r="D62" s="61"/>
      <c r="E62" s="62"/>
      <c r="F62" s="61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</row>
    <row r="63" spans="2:27" ht="16" customHeight="1" x14ac:dyDescent="0.45">
      <c r="B63" s="14" t="s">
        <v>816</v>
      </c>
      <c r="C63" s="14" t="s">
        <v>817</v>
      </c>
      <c r="D63" s="61"/>
      <c r="E63" s="62"/>
      <c r="F63" s="61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</row>
    <row r="64" spans="2:27" ht="16" customHeight="1" x14ac:dyDescent="0.45">
      <c r="B64" s="11" t="s">
        <v>1498</v>
      </c>
      <c r="C64" s="11" t="s">
        <v>22</v>
      </c>
      <c r="D64" s="29"/>
      <c r="E64" s="60"/>
      <c r="F64" s="29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</row>
    <row r="65" spans="2:27" ht="16" customHeight="1" x14ac:dyDescent="0.45">
      <c r="B65" s="34" t="s">
        <v>818</v>
      </c>
      <c r="C65" s="34" t="s">
        <v>819</v>
      </c>
      <c r="D65" s="69"/>
      <c r="E65" s="70">
        <f>E66+E67</f>
        <v>16078.75246</v>
      </c>
      <c r="F65" s="69"/>
      <c r="G65" s="35">
        <f t="shared" ref="G65:P65" si="10">G66+G67</f>
        <v>0</v>
      </c>
      <c r="H65" s="35">
        <f t="shared" si="10"/>
        <v>13282.179040000001</v>
      </c>
      <c r="I65" s="35">
        <f t="shared" si="10"/>
        <v>0</v>
      </c>
      <c r="J65" s="35">
        <f t="shared" si="10"/>
        <v>-8068.0861600000007</v>
      </c>
      <c r="K65" s="35">
        <f t="shared" si="10"/>
        <v>8916.6646000000001</v>
      </c>
      <c r="L65" s="35">
        <f t="shared" si="10"/>
        <v>1855.7009800000005</v>
      </c>
      <c r="M65" s="35">
        <f t="shared" si="10"/>
        <v>0</v>
      </c>
      <c r="N65" s="35">
        <f t="shared" si="10"/>
        <v>0</v>
      </c>
      <c r="O65" s="35">
        <f t="shared" si="10"/>
        <v>0</v>
      </c>
      <c r="P65" s="35">
        <f t="shared" si="10"/>
        <v>92.293999999999997</v>
      </c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</row>
    <row r="66" spans="2:27" ht="16" customHeight="1" x14ac:dyDescent="0.45">
      <c r="B66" s="14" t="s">
        <v>1484</v>
      </c>
      <c r="C66" s="14" t="s">
        <v>821</v>
      </c>
      <c r="D66" s="61"/>
      <c r="E66" s="62">
        <v>15764.69167</v>
      </c>
      <c r="F66" s="61"/>
      <c r="G66" s="15"/>
      <c r="H66" s="15">
        <v>8329.9806100000005</v>
      </c>
      <c r="I66" s="15"/>
      <c r="J66" s="15">
        <v>-10702.11829</v>
      </c>
      <c r="K66" s="15">
        <v>8341.5827599999993</v>
      </c>
      <c r="L66" s="15">
        <v>9702.9525900000008</v>
      </c>
      <c r="M66" s="15"/>
      <c r="N66" s="15"/>
      <c r="O66" s="15"/>
      <c r="P66" s="15">
        <v>92.293999999999997</v>
      </c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</row>
    <row r="67" spans="2:27" ht="16" customHeight="1" x14ac:dyDescent="0.45">
      <c r="B67" s="14" t="s">
        <v>1499</v>
      </c>
      <c r="C67" s="14" t="s">
        <v>823</v>
      </c>
      <c r="D67" s="61"/>
      <c r="E67" s="62">
        <v>314.06079</v>
      </c>
      <c r="F67" s="61"/>
      <c r="G67" s="15"/>
      <c r="H67" s="15">
        <v>4952.1984300000004</v>
      </c>
      <c r="I67" s="15"/>
      <c r="J67" s="15">
        <v>2634.0321300000001</v>
      </c>
      <c r="K67" s="15">
        <v>575.08184000000006</v>
      </c>
      <c r="L67" s="15">
        <v>-7847.2516100000003</v>
      </c>
      <c r="M67" s="15"/>
      <c r="N67" s="15"/>
      <c r="O67" s="15"/>
      <c r="P67" s="15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</row>
    <row r="68" spans="2:27" ht="16" customHeight="1" x14ac:dyDescent="0.45">
      <c r="B68" s="11" t="s">
        <v>1500</v>
      </c>
      <c r="C68" s="11" t="s">
        <v>22</v>
      </c>
      <c r="D68" s="29"/>
      <c r="E68" s="60"/>
      <c r="F68" s="29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</row>
    <row r="69" spans="2:27" ht="16" customHeight="1" x14ac:dyDescent="0.45">
      <c r="B69" s="34" t="s">
        <v>1501</v>
      </c>
      <c r="C69" s="34" t="s">
        <v>824</v>
      </c>
      <c r="D69" s="69"/>
      <c r="E69" s="70">
        <f>-(-(E70+E71)-E72)</f>
        <v>-187248.63688999999</v>
      </c>
      <c r="F69" s="69"/>
      <c r="G69" s="35">
        <f t="shared" ref="G69:P69" si="11">-(-(G70+G71)-G72)</f>
        <v>-188.21726999999998</v>
      </c>
      <c r="H69" s="35">
        <f t="shared" si="11"/>
        <v>-184253.43743999998</v>
      </c>
      <c r="I69" s="35">
        <f t="shared" si="11"/>
        <v>-6266.6355599999997</v>
      </c>
      <c r="J69" s="35">
        <f t="shared" si="11"/>
        <v>297.49536000000001</v>
      </c>
      <c r="K69" s="35">
        <f t="shared" si="11"/>
        <v>-1625.73495</v>
      </c>
      <c r="L69" s="35">
        <f t="shared" si="11"/>
        <v>-3489.8863900000001</v>
      </c>
      <c r="M69" s="35">
        <f t="shared" si="11"/>
        <v>0</v>
      </c>
      <c r="N69" s="35">
        <f t="shared" si="11"/>
        <v>14.139889999999999</v>
      </c>
      <c r="O69" s="35">
        <f t="shared" si="11"/>
        <v>130.29273000000001</v>
      </c>
      <c r="P69" s="35">
        <f t="shared" si="11"/>
        <v>8133.34674</v>
      </c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</row>
    <row r="70" spans="2:27" ht="16" customHeight="1" x14ac:dyDescent="0.45">
      <c r="B70" s="14" t="s">
        <v>825</v>
      </c>
      <c r="C70" s="14" t="s">
        <v>826</v>
      </c>
      <c r="D70" s="61"/>
      <c r="E70" s="62">
        <v>-8206.9828799999996</v>
      </c>
      <c r="F70" s="61"/>
      <c r="G70" s="15"/>
      <c r="H70" s="15">
        <v>-5008.4168399999999</v>
      </c>
      <c r="I70" s="15"/>
      <c r="J70" s="15">
        <v>499.29714999999999</v>
      </c>
      <c r="K70" s="15">
        <v>-1592.6992</v>
      </c>
      <c r="L70" s="15">
        <v>-3491.46342</v>
      </c>
      <c r="M70" s="15">
        <v>0</v>
      </c>
      <c r="N70" s="15">
        <v>4.4000000000000002E-4</v>
      </c>
      <c r="O70" s="15"/>
      <c r="P70" s="15">
        <v>1386.29899</v>
      </c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</row>
    <row r="71" spans="2:27" ht="16" customHeight="1" x14ac:dyDescent="0.45">
      <c r="B71" s="14" t="s">
        <v>827</v>
      </c>
      <c r="C71" s="14" t="s">
        <v>828</v>
      </c>
      <c r="D71" s="61"/>
      <c r="E71" s="62">
        <v>-179388.10164000001</v>
      </c>
      <c r="F71" s="61"/>
      <c r="G71" s="15">
        <v>-280.86147999999997</v>
      </c>
      <c r="H71" s="15">
        <v>-179496.52625</v>
      </c>
      <c r="I71" s="15">
        <v>-6337.8586699999996</v>
      </c>
      <c r="J71" s="15">
        <v>-201.80179000000001</v>
      </c>
      <c r="K71" s="15">
        <v>-33.03575</v>
      </c>
      <c r="L71" s="15">
        <v>1.5770299999999999</v>
      </c>
      <c r="M71" s="15"/>
      <c r="N71" s="15">
        <v>14.13945</v>
      </c>
      <c r="O71" s="15">
        <v>199.21807000000001</v>
      </c>
      <c r="P71" s="15">
        <v>6747.0477499999997</v>
      </c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</row>
    <row r="72" spans="2:27" ht="16" customHeight="1" x14ac:dyDescent="0.45">
      <c r="B72" s="14" t="s">
        <v>829</v>
      </c>
      <c r="C72" s="14" t="s">
        <v>830</v>
      </c>
      <c r="D72" s="61"/>
      <c r="E72" s="62">
        <v>346.44763</v>
      </c>
      <c r="F72" s="61"/>
      <c r="G72" s="15">
        <v>92.644210000000001</v>
      </c>
      <c r="H72" s="15">
        <v>251.50565</v>
      </c>
      <c r="I72" s="15">
        <v>71.223110000000005</v>
      </c>
      <c r="J72" s="15"/>
      <c r="K72" s="15"/>
      <c r="L72" s="15"/>
      <c r="M72" s="15"/>
      <c r="N72" s="15"/>
      <c r="O72" s="15">
        <v>-68.925340000000006</v>
      </c>
      <c r="P72" s="15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</row>
    <row r="73" spans="2:27" ht="16" customHeight="1" x14ac:dyDescent="0.45">
      <c r="B73" s="11" t="s">
        <v>1502</v>
      </c>
      <c r="C73" s="11" t="s">
        <v>22</v>
      </c>
      <c r="D73" s="29"/>
      <c r="E73" s="60"/>
      <c r="F73" s="29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</row>
    <row r="74" spans="2:27" ht="16" customHeight="1" x14ac:dyDescent="0.45">
      <c r="B74" s="34" t="s">
        <v>1503</v>
      </c>
      <c r="C74" s="34" t="s">
        <v>831</v>
      </c>
      <c r="D74" s="69"/>
      <c r="E74" s="70">
        <f>E75+E76</f>
        <v>-105177.23638</v>
      </c>
      <c r="F74" s="69"/>
      <c r="G74" s="35">
        <f t="shared" ref="G74:P74" si="12">G75+G76</f>
        <v>-497.92388</v>
      </c>
      <c r="H74" s="35">
        <f t="shared" si="12"/>
        <v>-101033.37392</v>
      </c>
      <c r="I74" s="35">
        <f t="shared" si="12"/>
        <v>-6752.05026</v>
      </c>
      <c r="J74" s="35">
        <f t="shared" si="12"/>
        <v>-13297.106150000001</v>
      </c>
      <c r="K74" s="35">
        <f t="shared" si="12"/>
        <v>-3356.3972099999996</v>
      </c>
      <c r="L74" s="35">
        <f t="shared" si="12"/>
        <v>11795.104159999999</v>
      </c>
      <c r="M74" s="35">
        <f t="shared" si="12"/>
        <v>0</v>
      </c>
      <c r="N74" s="35">
        <f t="shared" si="12"/>
        <v>-352.13042999999999</v>
      </c>
      <c r="O74" s="35">
        <f t="shared" si="12"/>
        <v>-396.77454999999998</v>
      </c>
      <c r="P74" s="35">
        <f t="shared" si="12"/>
        <v>8713.4158599999992</v>
      </c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</row>
    <row r="75" spans="2:27" ht="16" customHeight="1" x14ac:dyDescent="0.45">
      <c r="B75" s="14" t="s">
        <v>832</v>
      </c>
      <c r="C75" s="14" t="s">
        <v>833</v>
      </c>
      <c r="D75" s="61"/>
      <c r="E75" s="62">
        <v>10658.26325</v>
      </c>
      <c r="F75" s="61"/>
      <c r="G75" s="15"/>
      <c r="H75" s="15">
        <v>205.39314999999999</v>
      </c>
      <c r="I75" s="15"/>
      <c r="J75" s="15">
        <v>588.83253999999999</v>
      </c>
      <c r="K75" s="15">
        <v>-6.0286999999999997</v>
      </c>
      <c r="L75" s="15">
        <v>9870.0662599999996</v>
      </c>
      <c r="M75" s="15"/>
      <c r="N75" s="15"/>
      <c r="O75" s="15"/>
      <c r="P75" s="15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</row>
    <row r="76" spans="2:27" ht="16" customHeight="1" x14ac:dyDescent="0.45">
      <c r="B76" s="14" t="s">
        <v>834</v>
      </c>
      <c r="C76" s="14" t="s">
        <v>835</v>
      </c>
      <c r="D76" s="61"/>
      <c r="E76" s="62">
        <v>-115835.49963000001</v>
      </c>
      <c r="F76" s="61"/>
      <c r="G76" s="15">
        <v>-497.92388</v>
      </c>
      <c r="H76" s="15">
        <v>-101238.76707</v>
      </c>
      <c r="I76" s="15">
        <v>-6752.05026</v>
      </c>
      <c r="J76" s="15">
        <v>-13885.938690000001</v>
      </c>
      <c r="K76" s="15">
        <v>-3350.3685099999998</v>
      </c>
      <c r="L76" s="15">
        <v>1925.0379</v>
      </c>
      <c r="M76" s="15"/>
      <c r="N76" s="15">
        <v>-352.13042999999999</v>
      </c>
      <c r="O76" s="15">
        <v>-396.77454999999998</v>
      </c>
      <c r="P76" s="15">
        <v>8713.4158599999992</v>
      </c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</row>
    <row r="77" spans="2:27" ht="16" customHeight="1" x14ac:dyDescent="0.45">
      <c r="B77" s="11" t="s">
        <v>1504</v>
      </c>
      <c r="C77" s="11" t="s">
        <v>22</v>
      </c>
      <c r="D77" s="29"/>
      <c r="E77" s="60"/>
      <c r="F77" s="29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</row>
    <row r="78" spans="2:27" ht="16" customHeight="1" x14ac:dyDescent="0.45">
      <c r="B78" s="34" t="s">
        <v>1505</v>
      </c>
      <c r="C78" s="34" t="s">
        <v>836</v>
      </c>
      <c r="D78" s="69"/>
      <c r="E78" s="70">
        <f>-(-(E65+E69)-E74)</f>
        <v>-276347.12080999999</v>
      </c>
      <c r="F78" s="69"/>
      <c r="G78" s="35">
        <f t="shared" ref="G78:P78" si="13">-(-(G65+G69)-G74)</f>
        <v>-686.14114999999993</v>
      </c>
      <c r="H78" s="35">
        <f t="shared" si="13"/>
        <v>-272004.63231999998</v>
      </c>
      <c r="I78" s="35">
        <f t="shared" si="13"/>
        <v>-13018.685819999999</v>
      </c>
      <c r="J78" s="35">
        <f t="shared" si="13"/>
        <v>-21067.696950000001</v>
      </c>
      <c r="K78" s="35">
        <f t="shared" si="13"/>
        <v>3934.5324400000004</v>
      </c>
      <c r="L78" s="35">
        <f t="shared" si="13"/>
        <v>10160.918749999999</v>
      </c>
      <c r="M78" s="35">
        <f t="shared" si="13"/>
        <v>0</v>
      </c>
      <c r="N78" s="35">
        <f t="shared" si="13"/>
        <v>-337.99054000000001</v>
      </c>
      <c r="O78" s="35">
        <f t="shared" si="13"/>
        <v>-266.48181999999997</v>
      </c>
      <c r="P78" s="35">
        <f t="shared" si="13"/>
        <v>16939.0566</v>
      </c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</row>
    <row r="79" spans="2:27" ht="16" customHeight="1" x14ac:dyDescent="0.45">
      <c r="B79" s="11" t="s">
        <v>1506</v>
      </c>
      <c r="C79" s="11" t="s">
        <v>22</v>
      </c>
      <c r="D79" s="29"/>
      <c r="E79" s="60"/>
      <c r="F79" s="29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</row>
    <row r="80" spans="2:27" ht="16" customHeight="1" x14ac:dyDescent="0.45">
      <c r="B80" s="34" t="s">
        <v>1507</v>
      </c>
      <c r="C80" s="34" t="s">
        <v>837</v>
      </c>
      <c r="D80" s="69"/>
      <c r="E80" s="70">
        <f>-(-(E82+E84)-E89-E94-E96)</f>
        <v>-78015.414319999996</v>
      </c>
      <c r="F80" s="69"/>
      <c r="G80" s="35">
        <f t="shared" ref="G80:P80" si="14">-(-(G82+G84)-G89-G94-G96)</f>
        <v>608.83880999999997</v>
      </c>
      <c r="H80" s="35">
        <f t="shared" si="14"/>
        <v>-8041.5283000000009</v>
      </c>
      <c r="I80" s="35">
        <f t="shared" si="14"/>
        <v>-30436.963069999998</v>
      </c>
      <c r="J80" s="35">
        <f t="shared" si="14"/>
        <v>-3485.6437099999998</v>
      </c>
      <c r="K80" s="35">
        <f t="shared" si="14"/>
        <v>-4497.2159399999991</v>
      </c>
      <c r="L80" s="35">
        <f t="shared" si="14"/>
        <v>-29814.237249999998</v>
      </c>
      <c r="M80" s="35">
        <f t="shared" si="14"/>
        <v>808.09900000000005</v>
      </c>
      <c r="N80" s="35">
        <f t="shared" si="14"/>
        <v>194.30539000000002</v>
      </c>
      <c r="O80" s="35">
        <f t="shared" si="14"/>
        <v>-567.83060999999998</v>
      </c>
      <c r="P80" s="35">
        <f t="shared" si="14"/>
        <v>-2783.23864</v>
      </c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</row>
    <row r="81" spans="2:27" ht="16" customHeight="1" x14ac:dyDescent="0.45">
      <c r="B81" s="11" t="s">
        <v>1508</v>
      </c>
      <c r="C81" s="11" t="s">
        <v>22</v>
      </c>
      <c r="D81" s="29"/>
      <c r="E81" s="60"/>
      <c r="F81" s="29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</row>
    <row r="82" spans="2:27" ht="16" customHeight="1" x14ac:dyDescent="0.45">
      <c r="B82" s="14" t="s">
        <v>838</v>
      </c>
      <c r="C82" s="14" t="s">
        <v>839</v>
      </c>
      <c r="D82" s="61"/>
      <c r="E82" s="62">
        <v>-1630.9726000000001</v>
      </c>
      <c r="F82" s="61"/>
      <c r="G82" s="15"/>
      <c r="H82" s="15">
        <v>-1630.9726000000001</v>
      </c>
      <c r="I82" s="15"/>
      <c r="J82" s="15"/>
      <c r="K82" s="15"/>
      <c r="L82" s="15"/>
      <c r="M82" s="15"/>
      <c r="N82" s="15"/>
      <c r="O82" s="15"/>
      <c r="P82" s="15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</row>
    <row r="83" spans="2:27" ht="16" customHeight="1" x14ac:dyDescent="0.45">
      <c r="B83" s="11" t="s">
        <v>1509</v>
      </c>
      <c r="C83" s="11" t="s">
        <v>22</v>
      </c>
      <c r="D83" s="29"/>
      <c r="E83" s="60"/>
      <c r="F83" s="29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</row>
    <row r="84" spans="2:27" ht="16" customHeight="1" x14ac:dyDescent="0.45">
      <c r="B84" s="34" t="s">
        <v>1510</v>
      </c>
      <c r="C84" s="34" t="s">
        <v>840</v>
      </c>
      <c r="D84" s="69"/>
      <c r="E84" s="70">
        <f>-(-(E85+E86)-E87)</f>
        <v>-14692.671189999999</v>
      </c>
      <c r="F84" s="69"/>
      <c r="G84" s="35">
        <f t="shared" ref="G84:P84" si="15">-(-(G85+G86)-G87)</f>
        <v>-0.77564</v>
      </c>
      <c r="H84" s="35">
        <f t="shared" si="15"/>
        <v>-4974.4062000000004</v>
      </c>
      <c r="I84" s="35">
        <f t="shared" si="15"/>
        <v>-11.64922</v>
      </c>
      <c r="J84" s="35">
        <f t="shared" si="15"/>
        <v>-3268.4585099999999</v>
      </c>
      <c r="K84" s="35">
        <f t="shared" si="15"/>
        <v>-2710.3940299999999</v>
      </c>
      <c r="L84" s="35">
        <f t="shared" si="15"/>
        <v>-1310.8413</v>
      </c>
      <c r="M84" s="35">
        <f t="shared" si="15"/>
        <v>0</v>
      </c>
      <c r="N84" s="35">
        <f t="shared" si="15"/>
        <v>-50.210590000000003</v>
      </c>
      <c r="O84" s="35">
        <f t="shared" si="15"/>
        <v>0</v>
      </c>
      <c r="P84" s="35">
        <f t="shared" si="15"/>
        <v>-2365.9357</v>
      </c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</row>
    <row r="85" spans="2:27" ht="16" customHeight="1" x14ac:dyDescent="0.45">
      <c r="B85" s="14" t="s">
        <v>841</v>
      </c>
      <c r="C85" s="14" t="s">
        <v>842</v>
      </c>
      <c r="D85" s="61"/>
      <c r="E85" s="62">
        <v>4477.3370800000002</v>
      </c>
      <c r="F85" s="61"/>
      <c r="G85" s="15">
        <v>-0.77744999999999997</v>
      </c>
      <c r="H85" s="15">
        <v>6703.7740199999998</v>
      </c>
      <c r="I85" s="15">
        <v>-12.16155</v>
      </c>
      <c r="J85" s="15">
        <v>4.6306099999999999</v>
      </c>
      <c r="K85" s="15">
        <v>104.59097</v>
      </c>
      <c r="L85" s="15">
        <v>17.648710000000001</v>
      </c>
      <c r="M85" s="15"/>
      <c r="N85" s="15">
        <v>44.74832</v>
      </c>
      <c r="O85" s="15">
        <v>0</v>
      </c>
      <c r="P85" s="15">
        <v>-2385.1165500000002</v>
      </c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</row>
    <row r="86" spans="2:27" ht="16" customHeight="1" x14ac:dyDescent="0.45">
      <c r="B86" s="14" t="s">
        <v>843</v>
      </c>
      <c r="C86" s="14" t="s">
        <v>844</v>
      </c>
      <c r="D86" s="61"/>
      <c r="E86" s="62">
        <v>-12026.92376</v>
      </c>
      <c r="F86" s="61"/>
      <c r="G86" s="15">
        <v>1.81E-3</v>
      </c>
      <c r="H86" s="15">
        <v>-12241.38213</v>
      </c>
      <c r="I86" s="15">
        <v>0.51232999999999995</v>
      </c>
      <c r="J86" s="15">
        <v>235.20732000000001</v>
      </c>
      <c r="K86" s="15">
        <v>0.80501999999999996</v>
      </c>
      <c r="L86" s="15">
        <v>72.890799999999999</v>
      </c>
      <c r="M86" s="15"/>
      <c r="N86" s="15">
        <v>-94.958910000000003</v>
      </c>
      <c r="O86" s="15"/>
      <c r="P86" s="15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</row>
    <row r="87" spans="2:27" ht="16" customHeight="1" x14ac:dyDescent="0.45">
      <c r="B87" s="14" t="s">
        <v>845</v>
      </c>
      <c r="C87" s="14" t="s">
        <v>846</v>
      </c>
      <c r="D87" s="61"/>
      <c r="E87" s="62">
        <v>-7143.0845099999997</v>
      </c>
      <c r="F87" s="61"/>
      <c r="G87" s="15"/>
      <c r="H87" s="15">
        <v>563.20191</v>
      </c>
      <c r="I87" s="15"/>
      <c r="J87" s="15">
        <v>-3508.2964400000001</v>
      </c>
      <c r="K87" s="15">
        <v>-2815.7900199999999</v>
      </c>
      <c r="L87" s="15">
        <v>-1401.3808100000001</v>
      </c>
      <c r="M87" s="15"/>
      <c r="N87" s="15"/>
      <c r="O87" s="15"/>
      <c r="P87" s="15">
        <v>19.18085</v>
      </c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</row>
    <row r="88" spans="2:27" ht="16" customHeight="1" x14ac:dyDescent="0.45">
      <c r="B88" s="11" t="s">
        <v>1511</v>
      </c>
      <c r="C88" s="11" t="s">
        <v>22</v>
      </c>
      <c r="D88" s="29"/>
      <c r="E88" s="60"/>
      <c r="F88" s="29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</row>
    <row r="89" spans="2:27" ht="16" customHeight="1" x14ac:dyDescent="0.45">
      <c r="B89" s="34" t="s">
        <v>1512</v>
      </c>
      <c r="C89" s="34" t="s">
        <v>847</v>
      </c>
      <c r="D89" s="69"/>
      <c r="E89" s="70">
        <f>-(-(E90+E91)-E92)</f>
        <v>-28149.807769999999</v>
      </c>
      <c r="F89" s="69"/>
      <c r="G89" s="35">
        <f t="shared" ref="G89:P89" si="16">-(-(G90+G91)-G92)</f>
        <v>609.61444999999992</v>
      </c>
      <c r="H89" s="35">
        <f t="shared" si="16"/>
        <v>1352.3195799999994</v>
      </c>
      <c r="I89" s="35">
        <f t="shared" si="16"/>
        <v>-771.78831000000014</v>
      </c>
      <c r="J89" s="35">
        <f t="shared" si="16"/>
        <v>205.80519000000004</v>
      </c>
      <c r="K89" s="35">
        <f t="shared" si="16"/>
        <v>-1370.2713099999999</v>
      </c>
      <c r="L89" s="35">
        <f t="shared" si="16"/>
        <v>-28243.799800000001</v>
      </c>
      <c r="M89" s="35">
        <f t="shared" si="16"/>
        <v>808.09900000000005</v>
      </c>
      <c r="N89" s="35">
        <f t="shared" si="16"/>
        <v>244.51598000000001</v>
      </c>
      <c r="O89" s="35">
        <f t="shared" si="16"/>
        <v>-567.83060999999998</v>
      </c>
      <c r="P89" s="35">
        <f t="shared" si="16"/>
        <v>-416.47194000000002</v>
      </c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</row>
    <row r="90" spans="2:27" ht="16" customHeight="1" x14ac:dyDescent="0.45">
      <c r="B90" s="14" t="s">
        <v>848</v>
      </c>
      <c r="C90" s="14" t="s">
        <v>849</v>
      </c>
      <c r="D90" s="61"/>
      <c r="E90" s="62">
        <v>-10092.09189</v>
      </c>
      <c r="F90" s="61"/>
      <c r="G90" s="15">
        <v>4.8599999999999997E-2</v>
      </c>
      <c r="H90" s="15">
        <v>-6094.9634500000002</v>
      </c>
      <c r="I90" s="15">
        <v>-63.473570000000002</v>
      </c>
      <c r="J90" s="15">
        <v>-42.700670000000002</v>
      </c>
      <c r="K90" s="15">
        <v>-18.2683</v>
      </c>
      <c r="L90" s="15">
        <v>-3887.2159499999998</v>
      </c>
      <c r="M90" s="15"/>
      <c r="N90" s="15"/>
      <c r="O90" s="15">
        <v>2.0000000000000001E-4</v>
      </c>
      <c r="P90" s="15">
        <v>14.481249999999999</v>
      </c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</row>
    <row r="91" spans="2:27" ht="16" customHeight="1" x14ac:dyDescent="0.45">
      <c r="B91" s="14" t="s">
        <v>850</v>
      </c>
      <c r="C91" s="14" t="s">
        <v>636</v>
      </c>
      <c r="D91" s="61"/>
      <c r="E91" s="62">
        <v>-29.64</v>
      </c>
      <c r="F91" s="61"/>
      <c r="G91" s="15">
        <v>568.55999999999995</v>
      </c>
      <c r="H91" s="15">
        <v>15156.654</v>
      </c>
      <c r="I91" s="15">
        <v>955.81399999999996</v>
      </c>
      <c r="J91" s="15">
        <v>906.83900000000006</v>
      </c>
      <c r="K91" s="15">
        <v>1474.998</v>
      </c>
      <c r="L91" s="15">
        <v>-20130.194</v>
      </c>
      <c r="M91" s="15">
        <v>808.09900000000005</v>
      </c>
      <c r="N91" s="15">
        <v>272.04000000000002</v>
      </c>
      <c r="O91" s="15">
        <v>-42.45</v>
      </c>
      <c r="P91" s="15">
        <v>0</v>
      </c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</row>
    <row r="92" spans="2:27" ht="16" customHeight="1" x14ac:dyDescent="0.45">
      <c r="B92" s="14" t="s">
        <v>851</v>
      </c>
      <c r="C92" s="14" t="s">
        <v>852</v>
      </c>
      <c r="D92" s="61"/>
      <c r="E92" s="62">
        <v>-18028.07588</v>
      </c>
      <c r="F92" s="61"/>
      <c r="G92" s="15">
        <v>41.005850000000002</v>
      </c>
      <c r="H92" s="15">
        <v>-7709.3709699999999</v>
      </c>
      <c r="I92" s="15">
        <v>-1664.1287400000001</v>
      </c>
      <c r="J92" s="15">
        <v>-658.33313999999996</v>
      </c>
      <c r="K92" s="15">
        <v>-2827.00101</v>
      </c>
      <c r="L92" s="15">
        <v>-4226.3898499999996</v>
      </c>
      <c r="M92" s="15"/>
      <c r="N92" s="15">
        <v>-27.52402</v>
      </c>
      <c r="O92" s="15">
        <v>-525.38081</v>
      </c>
      <c r="P92" s="15">
        <v>-430.95319000000001</v>
      </c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</row>
    <row r="93" spans="2:27" ht="16" customHeight="1" x14ac:dyDescent="0.45">
      <c r="B93" s="11" t="s">
        <v>1513</v>
      </c>
      <c r="C93" s="11" t="s">
        <v>22</v>
      </c>
      <c r="D93" s="29"/>
      <c r="E93" s="60"/>
      <c r="F93" s="29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</row>
    <row r="94" spans="2:27" ht="16" customHeight="1" x14ac:dyDescent="0.45">
      <c r="B94" s="14" t="s">
        <v>853</v>
      </c>
      <c r="C94" s="14" t="s">
        <v>854</v>
      </c>
      <c r="D94" s="61"/>
      <c r="E94" s="62">
        <v>-2449.28296</v>
      </c>
      <c r="F94" s="61"/>
      <c r="G94" s="15"/>
      <c r="H94" s="15">
        <v>-1397.19759</v>
      </c>
      <c r="I94" s="15"/>
      <c r="J94" s="15">
        <v>-422.99038999999999</v>
      </c>
      <c r="K94" s="15">
        <v>-416.55059999999997</v>
      </c>
      <c r="L94" s="15">
        <v>-212.54437999999999</v>
      </c>
      <c r="M94" s="15"/>
      <c r="N94" s="15"/>
      <c r="O94" s="15"/>
      <c r="P94" s="15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</row>
    <row r="95" spans="2:27" ht="16" customHeight="1" x14ac:dyDescent="0.45">
      <c r="B95" s="11" t="s">
        <v>1514</v>
      </c>
      <c r="C95" s="11" t="s">
        <v>22</v>
      </c>
      <c r="D95" s="29"/>
      <c r="E95" s="60"/>
      <c r="F95" s="29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</row>
    <row r="96" spans="2:27" ht="16" customHeight="1" x14ac:dyDescent="0.45">
      <c r="B96" s="14" t="s">
        <v>855</v>
      </c>
      <c r="C96" s="14" t="s">
        <v>856</v>
      </c>
      <c r="D96" s="61"/>
      <c r="E96" s="62">
        <v>-31092.679800000002</v>
      </c>
      <c r="F96" s="61"/>
      <c r="G96" s="15"/>
      <c r="H96" s="15">
        <v>-1391.2714900000001</v>
      </c>
      <c r="I96" s="15">
        <v>-29653.525539999999</v>
      </c>
      <c r="J96" s="15"/>
      <c r="K96" s="15"/>
      <c r="L96" s="15">
        <v>-47.051769999999998</v>
      </c>
      <c r="M96" s="15"/>
      <c r="N96" s="15"/>
      <c r="O96" s="15"/>
      <c r="P96" s="15">
        <v>-0.83099999999999996</v>
      </c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</row>
    <row r="97" spans="2:27" ht="16" customHeight="1" x14ac:dyDescent="0.45">
      <c r="B97" s="11" t="s">
        <v>1515</v>
      </c>
      <c r="C97" s="11" t="s">
        <v>22</v>
      </c>
      <c r="D97" s="29"/>
      <c r="E97" s="60"/>
      <c r="F97" s="29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</row>
    <row r="98" spans="2:27" ht="16" customHeight="1" x14ac:dyDescent="0.45">
      <c r="B98" s="34" t="s">
        <v>1516</v>
      </c>
      <c r="C98" s="34" t="s">
        <v>857</v>
      </c>
      <c r="D98" s="69"/>
      <c r="E98" s="70">
        <f>E78+E80</f>
        <v>-354362.53512999997</v>
      </c>
      <c r="F98" s="69"/>
      <c r="G98" s="35">
        <f t="shared" ref="G98:P98" si="17">G78+G80</f>
        <v>-77.302339999999958</v>
      </c>
      <c r="H98" s="35">
        <f t="shared" si="17"/>
        <v>-280046.16061999998</v>
      </c>
      <c r="I98" s="35">
        <f t="shared" si="17"/>
        <v>-43455.648889999997</v>
      </c>
      <c r="J98" s="35">
        <f t="shared" si="17"/>
        <v>-24553.340660000002</v>
      </c>
      <c r="K98" s="35">
        <f t="shared" si="17"/>
        <v>-562.68349999999873</v>
      </c>
      <c r="L98" s="35">
        <f t="shared" si="17"/>
        <v>-19653.318500000001</v>
      </c>
      <c r="M98" s="35">
        <f t="shared" si="17"/>
        <v>808.09900000000005</v>
      </c>
      <c r="N98" s="35">
        <f t="shared" si="17"/>
        <v>-143.68514999999999</v>
      </c>
      <c r="O98" s="35">
        <f t="shared" si="17"/>
        <v>-834.31242999999995</v>
      </c>
      <c r="P98" s="35">
        <f t="shared" si="17"/>
        <v>14155.81796</v>
      </c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</row>
    <row r="99" spans="2:27" ht="16" customHeight="1" x14ac:dyDescent="0.45">
      <c r="B99" s="11" t="s">
        <v>1517</v>
      </c>
      <c r="C99" s="11" t="s">
        <v>22</v>
      </c>
      <c r="D99" s="29"/>
      <c r="E99" s="60"/>
      <c r="F99" s="29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</row>
    <row r="100" spans="2:27" ht="16" customHeight="1" x14ac:dyDescent="0.45">
      <c r="B100" s="14" t="s">
        <v>858</v>
      </c>
      <c r="C100" s="14" t="s">
        <v>859</v>
      </c>
      <c r="D100" s="61"/>
      <c r="E100" s="62">
        <v>-19485.7088</v>
      </c>
      <c r="F100" s="61"/>
      <c r="G100" s="15"/>
      <c r="H100" s="15">
        <v>-8364.5143100000005</v>
      </c>
      <c r="I100" s="15">
        <v>-2998.8018299999999</v>
      </c>
      <c r="J100" s="15">
        <v>-1454.0011999999999</v>
      </c>
      <c r="K100" s="15">
        <v>-4576.4817999999996</v>
      </c>
      <c r="L100" s="15">
        <v>-1454.7167099999999</v>
      </c>
      <c r="M100" s="15"/>
      <c r="N100" s="15">
        <v>-525.54245000000003</v>
      </c>
      <c r="O100" s="15">
        <v>-67</v>
      </c>
      <c r="P100" s="15">
        <v>-44.650500000000001</v>
      </c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</row>
    <row r="101" spans="2:27" ht="16" customHeight="1" x14ac:dyDescent="0.45">
      <c r="B101" s="11" t="s">
        <v>1518</v>
      </c>
      <c r="C101" s="11" t="s">
        <v>22</v>
      </c>
      <c r="D101" s="29"/>
      <c r="E101" s="60"/>
      <c r="F101" s="29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</row>
    <row r="102" spans="2:27" ht="16" customHeight="1" x14ac:dyDescent="0.45">
      <c r="B102" s="40" t="s">
        <v>1519</v>
      </c>
      <c r="C102" s="40" t="s">
        <v>860</v>
      </c>
      <c r="D102" s="53"/>
      <c r="E102" s="53">
        <f>E16+E18+E19+E21+E25+E29+E38+E43+E54+E58+E60+E98+E100</f>
        <v>-109469.13487999994</v>
      </c>
      <c r="F102" s="53"/>
      <c r="G102" s="24">
        <f t="shared" ref="G102:P102" si="18">G16+G18+G19+G21+G25+G29+G38+G43+G54+G58+G60+G98+G100</f>
        <v>-150.38314999999994</v>
      </c>
      <c r="H102" s="24">
        <f t="shared" si="18"/>
        <v>-77379.772820000013</v>
      </c>
      <c r="I102" s="24">
        <f t="shared" si="18"/>
        <v>-44667.780459999994</v>
      </c>
      <c r="J102" s="24">
        <f t="shared" si="18"/>
        <v>-22324.923149999999</v>
      </c>
      <c r="K102" s="24">
        <f t="shared" si="18"/>
        <v>-7301.0516199999993</v>
      </c>
      <c r="L102" s="24">
        <f t="shared" si="18"/>
        <v>26350.629410000001</v>
      </c>
      <c r="M102" s="24">
        <f t="shared" si="18"/>
        <v>808.09900000000005</v>
      </c>
      <c r="N102" s="24">
        <f t="shared" si="18"/>
        <v>-175.05416000000002</v>
      </c>
      <c r="O102" s="24">
        <f t="shared" si="18"/>
        <v>189.62990999999988</v>
      </c>
      <c r="P102" s="24">
        <f t="shared" si="18"/>
        <v>15181.472160000001</v>
      </c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</row>
    <row r="103" spans="2:27" ht="16" customHeight="1" x14ac:dyDescent="0.45">
      <c r="B103" s="11" t="s">
        <v>1520</v>
      </c>
      <c r="C103" s="11" t="s">
        <v>22</v>
      </c>
      <c r="D103" s="29"/>
      <c r="E103" s="60"/>
      <c r="F103" s="29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</row>
    <row r="104" spans="2:27" ht="16" customHeight="1" x14ac:dyDescent="0.45">
      <c r="B104" s="34" t="s">
        <v>1521</v>
      </c>
      <c r="C104" s="34" t="s">
        <v>861</v>
      </c>
      <c r="D104" s="69"/>
      <c r="E104" s="70"/>
      <c r="F104" s="69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</row>
    <row r="105" spans="2:27" ht="16" customHeight="1" x14ac:dyDescent="0.45">
      <c r="B105" s="11" t="s">
        <v>1522</v>
      </c>
      <c r="C105" s="11" t="s">
        <v>22</v>
      </c>
      <c r="D105" s="29"/>
      <c r="E105" s="60"/>
      <c r="F105" s="29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</row>
    <row r="106" spans="2:27" ht="16" customHeight="1" x14ac:dyDescent="0.45">
      <c r="B106" s="34" t="s">
        <v>1523</v>
      </c>
      <c r="C106" s="34" t="s">
        <v>862</v>
      </c>
      <c r="D106" s="69"/>
      <c r="E106" s="70">
        <f>-(-(E107+E108)-E109-E110-E111-E112)</f>
        <v>-174077.75907</v>
      </c>
      <c r="F106" s="69"/>
      <c r="G106" s="35">
        <f t="shared" ref="G106:P106" si="19">-(-(G107+G108)-G109-G110-G111-G112)</f>
        <v>0</v>
      </c>
      <c r="H106" s="35">
        <f t="shared" si="19"/>
        <v>-112953.33797000001</v>
      </c>
      <c r="I106" s="35">
        <f t="shared" si="19"/>
        <v>-1735.7096200000001</v>
      </c>
      <c r="J106" s="35">
        <f t="shared" si="19"/>
        <v>-27202.179990000001</v>
      </c>
      <c r="K106" s="35">
        <f t="shared" si="19"/>
        <v>-19716.5988</v>
      </c>
      <c r="L106" s="35">
        <f t="shared" si="19"/>
        <v>-12278.371419999999</v>
      </c>
      <c r="M106" s="35">
        <f t="shared" si="19"/>
        <v>0</v>
      </c>
      <c r="N106" s="35">
        <f t="shared" si="19"/>
        <v>0</v>
      </c>
      <c r="O106" s="35">
        <f t="shared" si="19"/>
        <v>-191.56127000000001</v>
      </c>
      <c r="P106" s="35">
        <f t="shared" si="19"/>
        <v>0</v>
      </c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</row>
    <row r="107" spans="2:27" ht="16" customHeight="1" x14ac:dyDescent="0.45">
      <c r="B107" s="14" t="s">
        <v>863</v>
      </c>
      <c r="C107" s="14" t="s">
        <v>864</v>
      </c>
      <c r="D107" s="61"/>
      <c r="E107" s="62">
        <v>-128454.11156</v>
      </c>
      <c r="F107" s="61"/>
      <c r="G107" s="15"/>
      <c r="H107" s="15">
        <v>-87517.057119999998</v>
      </c>
      <c r="I107" s="15">
        <v>-1038.6556</v>
      </c>
      <c r="J107" s="15">
        <v>-16195.39244</v>
      </c>
      <c r="K107" s="15">
        <v>-16974.770410000001</v>
      </c>
      <c r="L107" s="15">
        <v>-6728.2359900000001</v>
      </c>
      <c r="M107" s="15"/>
      <c r="N107" s="15"/>
      <c r="O107" s="15"/>
      <c r="P107" s="15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</row>
    <row r="108" spans="2:27" ht="16" customHeight="1" x14ac:dyDescent="0.45">
      <c r="B108" s="14" t="s">
        <v>865</v>
      </c>
      <c r="C108" s="14" t="s">
        <v>866</v>
      </c>
      <c r="D108" s="61"/>
      <c r="E108" s="62">
        <v>-521.40497000000005</v>
      </c>
      <c r="F108" s="61"/>
      <c r="G108" s="15"/>
      <c r="H108" s="15">
        <v>-128.15558999999999</v>
      </c>
      <c r="I108" s="15">
        <v>-56.413400000000003</v>
      </c>
      <c r="J108" s="15">
        <v>-350.52431000000001</v>
      </c>
      <c r="K108" s="15">
        <v>13.688330000000001</v>
      </c>
      <c r="L108" s="15">
        <v>0</v>
      </c>
      <c r="M108" s="15"/>
      <c r="N108" s="15"/>
      <c r="O108" s="15"/>
      <c r="P108" s="15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</row>
    <row r="109" spans="2:27" ht="16" customHeight="1" x14ac:dyDescent="0.45">
      <c r="B109" s="14" t="s">
        <v>867</v>
      </c>
      <c r="C109" s="14" t="s">
        <v>868</v>
      </c>
      <c r="D109" s="61"/>
      <c r="E109" s="62">
        <v>-5760.6065699999999</v>
      </c>
      <c r="F109" s="61"/>
      <c r="G109" s="15"/>
      <c r="H109" s="15">
        <v>-3985.77387</v>
      </c>
      <c r="I109" s="15">
        <v>-12.176970000000001</v>
      </c>
      <c r="J109" s="15">
        <v>-373.15302000000003</v>
      </c>
      <c r="K109" s="15">
        <v>-256.25468999999998</v>
      </c>
      <c r="L109" s="15">
        <v>-1133.24802</v>
      </c>
      <c r="M109" s="15"/>
      <c r="N109" s="15"/>
      <c r="O109" s="15"/>
      <c r="P109" s="15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</row>
    <row r="110" spans="2:27" ht="16" customHeight="1" x14ac:dyDescent="0.45">
      <c r="B110" s="14" t="s">
        <v>869</v>
      </c>
      <c r="C110" s="14" t="s">
        <v>870</v>
      </c>
      <c r="D110" s="61"/>
      <c r="E110" s="62">
        <v>-4132.0432099999998</v>
      </c>
      <c r="F110" s="61"/>
      <c r="G110" s="15"/>
      <c r="H110" s="15">
        <v>-4061.2697499999999</v>
      </c>
      <c r="I110" s="15"/>
      <c r="J110" s="15"/>
      <c r="K110" s="15"/>
      <c r="L110" s="15">
        <v>-70.77346</v>
      </c>
      <c r="M110" s="15"/>
      <c r="N110" s="15"/>
      <c r="O110" s="15"/>
      <c r="P110" s="15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</row>
    <row r="111" spans="2:27" ht="16" customHeight="1" x14ac:dyDescent="0.45">
      <c r="B111" s="14" t="s">
        <v>871</v>
      </c>
      <c r="C111" s="14" t="s">
        <v>872</v>
      </c>
      <c r="D111" s="61"/>
      <c r="E111" s="62">
        <v>-34948.348080000003</v>
      </c>
      <c r="F111" s="61"/>
      <c r="G111" s="15"/>
      <c r="H111" s="15">
        <v>-17138.5877</v>
      </c>
      <c r="I111" s="15">
        <v>-628.46365000000003</v>
      </c>
      <c r="J111" s="15">
        <v>-10144.359479999999</v>
      </c>
      <c r="K111" s="15">
        <v>-2499.2620299999999</v>
      </c>
      <c r="L111" s="15">
        <v>-4346.1139499999999</v>
      </c>
      <c r="M111" s="15"/>
      <c r="N111" s="15"/>
      <c r="O111" s="15">
        <v>-191.56127000000001</v>
      </c>
      <c r="P111" s="15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</row>
    <row r="112" spans="2:27" ht="16" customHeight="1" x14ac:dyDescent="0.45">
      <c r="B112" s="14" t="s">
        <v>873</v>
      </c>
      <c r="C112" s="14" t="s">
        <v>874</v>
      </c>
      <c r="D112" s="61"/>
      <c r="E112" s="62">
        <v>-261.24468000000002</v>
      </c>
      <c r="F112" s="61"/>
      <c r="G112" s="15"/>
      <c r="H112" s="15">
        <v>-122.49393999999999</v>
      </c>
      <c r="I112" s="15"/>
      <c r="J112" s="15">
        <v>-138.75074000000001</v>
      </c>
      <c r="K112" s="15"/>
      <c r="L112" s="15"/>
      <c r="M112" s="15"/>
      <c r="N112" s="15"/>
      <c r="O112" s="15"/>
      <c r="P112" s="15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</row>
    <row r="113" spans="2:27" ht="16" customHeight="1" x14ac:dyDescent="0.45">
      <c r="B113" s="11" t="s">
        <v>1524</v>
      </c>
      <c r="C113" s="11" t="s">
        <v>22</v>
      </c>
      <c r="D113" s="29"/>
      <c r="E113" s="60"/>
      <c r="F113" s="29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</row>
    <row r="114" spans="2:27" ht="16" customHeight="1" x14ac:dyDescent="0.45">
      <c r="B114" s="34" t="s">
        <v>1525</v>
      </c>
      <c r="C114" s="34" t="s">
        <v>875</v>
      </c>
      <c r="D114" s="69"/>
      <c r="E114" s="70">
        <f>-(-(E115+E116)-E117-E118)</f>
        <v>-32346.7942</v>
      </c>
      <c r="F114" s="69"/>
      <c r="G114" s="35">
        <f t="shared" ref="G114:P114" si="20">-(-(G115+G116)-G117-G118)</f>
        <v>0</v>
      </c>
      <c r="H114" s="35">
        <f t="shared" si="20"/>
        <v>-32342.010699999999</v>
      </c>
      <c r="I114" s="35">
        <f t="shared" si="20"/>
        <v>-4.7835099999999997</v>
      </c>
      <c r="J114" s="35">
        <f t="shared" si="20"/>
        <v>1.0000000000000001E-5</v>
      </c>
      <c r="K114" s="35">
        <f t="shared" si="20"/>
        <v>0</v>
      </c>
      <c r="L114" s="35">
        <f t="shared" si="20"/>
        <v>0</v>
      </c>
      <c r="M114" s="35">
        <f t="shared" si="20"/>
        <v>0</v>
      </c>
      <c r="N114" s="35">
        <f t="shared" si="20"/>
        <v>0</v>
      </c>
      <c r="O114" s="35">
        <f t="shared" si="20"/>
        <v>0</v>
      </c>
      <c r="P114" s="35">
        <f t="shared" si="20"/>
        <v>0</v>
      </c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</row>
    <row r="115" spans="2:27" ht="16" customHeight="1" x14ac:dyDescent="0.45">
      <c r="B115" s="14" t="s">
        <v>876</v>
      </c>
      <c r="C115" s="14" t="s">
        <v>877</v>
      </c>
      <c r="D115" s="61"/>
      <c r="E115" s="62">
        <v>1.0000000000000001E-5</v>
      </c>
      <c r="F115" s="61"/>
      <c r="G115" s="15"/>
      <c r="H115" s="15"/>
      <c r="I115" s="15"/>
      <c r="J115" s="15">
        <v>1.0000000000000001E-5</v>
      </c>
      <c r="K115" s="15"/>
      <c r="L115" s="15"/>
      <c r="M115" s="15"/>
      <c r="N115" s="15"/>
      <c r="O115" s="15"/>
      <c r="P115" s="15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</row>
    <row r="116" spans="2:27" ht="16" customHeight="1" x14ac:dyDescent="0.45">
      <c r="B116" s="14" t="s">
        <v>878</v>
      </c>
      <c r="C116" s="14" t="s">
        <v>879</v>
      </c>
      <c r="D116" s="61"/>
      <c r="E116" s="62">
        <v>-8231.9418399999995</v>
      </c>
      <c r="F116" s="61"/>
      <c r="G116" s="15"/>
      <c r="H116" s="15">
        <v>-8231.9418399999995</v>
      </c>
      <c r="I116" s="15"/>
      <c r="J116" s="15"/>
      <c r="K116" s="15"/>
      <c r="L116" s="15"/>
      <c r="M116" s="15"/>
      <c r="N116" s="15"/>
      <c r="O116" s="15"/>
      <c r="P116" s="15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</row>
    <row r="117" spans="2:27" ht="16" customHeight="1" x14ac:dyDescent="0.45">
      <c r="B117" s="14" t="s">
        <v>880</v>
      </c>
      <c r="C117" s="14" t="s">
        <v>881</v>
      </c>
      <c r="D117" s="61"/>
      <c r="E117" s="62">
        <v>-381.42811</v>
      </c>
      <c r="F117" s="61"/>
      <c r="G117" s="15"/>
      <c r="H117" s="15">
        <v>-381.42811</v>
      </c>
      <c r="I117" s="15"/>
      <c r="J117" s="15"/>
      <c r="K117" s="15"/>
      <c r="L117" s="15"/>
      <c r="M117" s="15"/>
      <c r="N117" s="15"/>
      <c r="O117" s="15"/>
      <c r="P117" s="15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</row>
    <row r="118" spans="2:27" ht="16" customHeight="1" x14ac:dyDescent="0.45">
      <c r="B118" s="14" t="s">
        <v>882</v>
      </c>
      <c r="C118" s="14" t="s">
        <v>883</v>
      </c>
      <c r="D118" s="61"/>
      <c r="E118" s="62">
        <v>-23733.42426</v>
      </c>
      <c r="F118" s="61"/>
      <c r="G118" s="15"/>
      <c r="H118" s="15">
        <v>-23728.640749999999</v>
      </c>
      <c r="I118" s="15">
        <v>-4.7835099999999997</v>
      </c>
      <c r="J118" s="15">
        <v>0</v>
      </c>
      <c r="K118" s="15"/>
      <c r="L118" s="15"/>
      <c r="M118" s="15"/>
      <c r="N118" s="15"/>
      <c r="O118" s="15"/>
      <c r="P118" s="15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</row>
    <row r="119" spans="2:27" ht="16" customHeight="1" x14ac:dyDescent="0.45">
      <c r="B119" s="11" t="s">
        <v>1526</v>
      </c>
      <c r="C119" s="11" t="s">
        <v>22</v>
      </c>
      <c r="D119" s="29"/>
      <c r="E119" s="60"/>
      <c r="F119" s="29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</row>
    <row r="120" spans="2:27" ht="16" customHeight="1" x14ac:dyDescent="0.45">
      <c r="B120" s="34" t="s">
        <v>1527</v>
      </c>
      <c r="C120" s="34" t="s">
        <v>884</v>
      </c>
      <c r="D120" s="69"/>
      <c r="E120" s="70">
        <f>E106+E114</f>
        <v>-206424.55327</v>
      </c>
      <c r="F120" s="69"/>
      <c r="G120" s="35">
        <f t="shared" ref="G120:P120" si="21">G106+G114</f>
        <v>0</v>
      </c>
      <c r="H120" s="35">
        <f t="shared" si="21"/>
        <v>-145295.34867000001</v>
      </c>
      <c r="I120" s="35">
        <f t="shared" si="21"/>
        <v>-1740.4931300000001</v>
      </c>
      <c r="J120" s="35">
        <f t="shared" si="21"/>
        <v>-27202.179980000001</v>
      </c>
      <c r="K120" s="35">
        <f t="shared" si="21"/>
        <v>-19716.5988</v>
      </c>
      <c r="L120" s="35">
        <f t="shared" si="21"/>
        <v>-12278.371419999999</v>
      </c>
      <c r="M120" s="35">
        <f t="shared" si="21"/>
        <v>0</v>
      </c>
      <c r="N120" s="35">
        <f t="shared" si="21"/>
        <v>0</v>
      </c>
      <c r="O120" s="35">
        <f t="shared" si="21"/>
        <v>-191.56127000000001</v>
      </c>
      <c r="P120" s="35">
        <f t="shared" si="21"/>
        <v>0</v>
      </c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</row>
    <row r="121" spans="2:27" ht="16" customHeight="1" x14ac:dyDescent="0.45">
      <c r="B121" s="11" t="s">
        <v>1528</v>
      </c>
      <c r="C121" s="11" t="s">
        <v>22</v>
      </c>
      <c r="D121" s="29"/>
      <c r="E121" s="60"/>
      <c r="F121" s="29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</row>
    <row r="122" spans="2:27" ht="16" customHeight="1" x14ac:dyDescent="0.45">
      <c r="B122" s="34" t="s">
        <v>1529</v>
      </c>
      <c r="C122" s="34" t="s">
        <v>885</v>
      </c>
      <c r="D122" s="69"/>
      <c r="E122" s="70">
        <f>E123+E124</f>
        <v>0</v>
      </c>
      <c r="F122" s="69"/>
      <c r="G122" s="35">
        <f t="shared" ref="G122:P122" si="22">G123+G124</f>
        <v>0</v>
      </c>
      <c r="H122" s="35">
        <f t="shared" si="22"/>
        <v>0</v>
      </c>
      <c r="I122" s="35">
        <f t="shared" si="22"/>
        <v>0</v>
      </c>
      <c r="J122" s="35">
        <f t="shared" si="22"/>
        <v>0</v>
      </c>
      <c r="K122" s="35">
        <f t="shared" si="22"/>
        <v>0</v>
      </c>
      <c r="L122" s="35">
        <f t="shared" si="22"/>
        <v>0</v>
      </c>
      <c r="M122" s="35">
        <f t="shared" si="22"/>
        <v>0</v>
      </c>
      <c r="N122" s="35">
        <f t="shared" si="22"/>
        <v>0</v>
      </c>
      <c r="O122" s="35">
        <f t="shared" si="22"/>
        <v>0</v>
      </c>
      <c r="P122" s="35">
        <f t="shared" si="22"/>
        <v>0</v>
      </c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</row>
    <row r="123" spans="2:27" ht="16" customHeight="1" x14ac:dyDescent="0.45">
      <c r="B123" s="14" t="s">
        <v>886</v>
      </c>
      <c r="C123" s="14" t="s">
        <v>887</v>
      </c>
      <c r="D123" s="61"/>
      <c r="E123" s="62"/>
      <c r="F123" s="61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</row>
    <row r="124" spans="2:27" ht="16" customHeight="1" x14ac:dyDescent="0.45">
      <c r="B124" s="14" t="s">
        <v>888</v>
      </c>
      <c r="C124" s="14" t="s">
        <v>889</v>
      </c>
      <c r="D124" s="61"/>
      <c r="E124" s="62"/>
      <c r="F124" s="61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</row>
    <row r="125" spans="2:27" ht="16" customHeight="1" x14ac:dyDescent="0.45">
      <c r="B125" s="11" t="s">
        <v>1530</v>
      </c>
      <c r="C125" s="11" t="s">
        <v>22</v>
      </c>
      <c r="D125" s="29"/>
      <c r="E125" s="60"/>
      <c r="F125" s="29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</row>
    <row r="126" spans="2:27" ht="16" customHeight="1" x14ac:dyDescent="0.45">
      <c r="B126" s="34" t="s">
        <v>1531</v>
      </c>
      <c r="C126" s="34" t="s">
        <v>890</v>
      </c>
      <c r="D126" s="69"/>
      <c r="E126" s="70">
        <f>E120+E122</f>
        <v>-206424.55327</v>
      </c>
      <c r="F126" s="69"/>
      <c r="G126" s="35">
        <f t="shared" ref="G126:P126" si="23">G120+G122</f>
        <v>0</v>
      </c>
      <c r="H126" s="35">
        <f t="shared" si="23"/>
        <v>-145295.34867000001</v>
      </c>
      <c r="I126" s="35">
        <f t="shared" si="23"/>
        <v>-1740.4931300000001</v>
      </c>
      <c r="J126" s="35">
        <f t="shared" si="23"/>
        <v>-27202.179980000001</v>
      </c>
      <c r="K126" s="35">
        <f t="shared" si="23"/>
        <v>-19716.5988</v>
      </c>
      <c r="L126" s="35">
        <f t="shared" si="23"/>
        <v>-12278.371419999999</v>
      </c>
      <c r="M126" s="35">
        <f t="shared" si="23"/>
        <v>0</v>
      </c>
      <c r="N126" s="35">
        <f t="shared" si="23"/>
        <v>0</v>
      </c>
      <c r="O126" s="35">
        <f t="shared" si="23"/>
        <v>-191.56127000000001</v>
      </c>
      <c r="P126" s="35">
        <f t="shared" si="23"/>
        <v>0</v>
      </c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</row>
    <row r="127" spans="2:27" ht="16" customHeight="1" x14ac:dyDescent="0.45">
      <c r="B127" s="11" t="s">
        <v>1532</v>
      </c>
      <c r="C127" s="11" t="s">
        <v>22</v>
      </c>
      <c r="D127" s="29"/>
      <c r="E127" s="60"/>
      <c r="F127" s="29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</row>
    <row r="128" spans="2:27" ht="16" customHeight="1" x14ac:dyDescent="0.45">
      <c r="B128" s="34" t="s">
        <v>891</v>
      </c>
      <c r="C128" s="34" t="s">
        <v>892</v>
      </c>
      <c r="D128" s="69"/>
      <c r="E128" s="70">
        <f>E129+E130</f>
        <v>2158.8922699999998</v>
      </c>
      <c r="F128" s="69"/>
      <c r="G128" s="35">
        <f t="shared" ref="G128:P128" si="24">G129+G130</f>
        <v>0</v>
      </c>
      <c r="H128" s="35">
        <f t="shared" si="24"/>
        <v>2158.8922699999998</v>
      </c>
      <c r="I128" s="35">
        <f t="shared" si="24"/>
        <v>0</v>
      </c>
      <c r="J128" s="35">
        <f t="shared" si="24"/>
        <v>0</v>
      </c>
      <c r="K128" s="35">
        <f t="shared" si="24"/>
        <v>0</v>
      </c>
      <c r="L128" s="35">
        <f t="shared" si="24"/>
        <v>0</v>
      </c>
      <c r="M128" s="35">
        <f t="shared" si="24"/>
        <v>0</v>
      </c>
      <c r="N128" s="35">
        <f t="shared" si="24"/>
        <v>0</v>
      </c>
      <c r="O128" s="35">
        <f t="shared" si="24"/>
        <v>0</v>
      </c>
      <c r="P128" s="35">
        <f t="shared" si="24"/>
        <v>0</v>
      </c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</row>
    <row r="129" spans="2:27" ht="16" customHeight="1" x14ac:dyDescent="0.45">
      <c r="B129" s="14" t="s">
        <v>1484</v>
      </c>
      <c r="C129" s="14" t="s">
        <v>894</v>
      </c>
      <c r="D129" s="61"/>
      <c r="E129" s="62"/>
      <c r="F129" s="61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</row>
    <row r="130" spans="2:27" ht="16" customHeight="1" x14ac:dyDescent="0.45">
      <c r="B130" s="14" t="s">
        <v>1499</v>
      </c>
      <c r="C130" s="14" t="s">
        <v>896</v>
      </c>
      <c r="D130" s="61"/>
      <c r="E130" s="62">
        <v>2158.8922699999998</v>
      </c>
      <c r="F130" s="61"/>
      <c r="G130" s="15"/>
      <c r="H130" s="15">
        <v>2158.8922699999998</v>
      </c>
      <c r="I130" s="15"/>
      <c r="J130" s="15"/>
      <c r="K130" s="15"/>
      <c r="L130" s="15"/>
      <c r="M130" s="15"/>
      <c r="N130" s="15"/>
      <c r="O130" s="15"/>
      <c r="P130" s="15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</row>
    <row r="131" spans="2:27" ht="16" customHeight="1" x14ac:dyDescent="0.45">
      <c r="B131" s="11" t="s">
        <v>1533</v>
      </c>
      <c r="C131" s="11" t="s">
        <v>22</v>
      </c>
      <c r="D131" s="29"/>
      <c r="E131" s="60"/>
      <c r="F131" s="29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</row>
    <row r="132" spans="2:27" ht="16" customHeight="1" x14ac:dyDescent="0.45">
      <c r="B132" s="34" t="s">
        <v>1534</v>
      </c>
      <c r="C132" s="34" t="s">
        <v>897</v>
      </c>
      <c r="D132" s="69"/>
      <c r="E132" s="70">
        <f>E126+E128</f>
        <v>-204265.66099999999</v>
      </c>
      <c r="F132" s="69"/>
      <c r="G132" s="35">
        <f t="shared" ref="G132:P132" si="25">G126+G128</f>
        <v>0</v>
      </c>
      <c r="H132" s="35">
        <f t="shared" si="25"/>
        <v>-143136.4564</v>
      </c>
      <c r="I132" s="35">
        <f t="shared" si="25"/>
        <v>-1740.4931300000001</v>
      </c>
      <c r="J132" s="35">
        <f t="shared" si="25"/>
        <v>-27202.179980000001</v>
      </c>
      <c r="K132" s="35">
        <f t="shared" si="25"/>
        <v>-19716.5988</v>
      </c>
      <c r="L132" s="35">
        <f t="shared" si="25"/>
        <v>-12278.371419999999</v>
      </c>
      <c r="M132" s="35">
        <f t="shared" si="25"/>
        <v>0</v>
      </c>
      <c r="N132" s="35">
        <f t="shared" si="25"/>
        <v>0</v>
      </c>
      <c r="O132" s="35">
        <f t="shared" si="25"/>
        <v>-191.56127000000001</v>
      </c>
      <c r="P132" s="35">
        <f t="shared" si="25"/>
        <v>0</v>
      </c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</row>
    <row r="133" spans="2:27" ht="16" customHeight="1" x14ac:dyDescent="0.45">
      <c r="B133" s="11" t="s">
        <v>1535</v>
      </c>
      <c r="C133" s="11" t="s">
        <v>22</v>
      </c>
      <c r="D133" s="29"/>
      <c r="E133" s="60"/>
      <c r="F133" s="29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</row>
    <row r="134" spans="2:27" ht="16" customHeight="1" x14ac:dyDescent="0.45">
      <c r="B134" s="34" t="s">
        <v>1536</v>
      </c>
      <c r="C134" s="34" t="s">
        <v>898</v>
      </c>
      <c r="D134" s="69"/>
      <c r="E134" s="70">
        <f>E135+E136</f>
        <v>0</v>
      </c>
      <c r="F134" s="69"/>
      <c r="G134" s="35">
        <f t="shared" ref="G134:P134" si="26">G135+G136</f>
        <v>0</v>
      </c>
      <c r="H134" s="35">
        <f t="shared" si="26"/>
        <v>0</v>
      </c>
      <c r="I134" s="35">
        <f t="shared" si="26"/>
        <v>0</v>
      </c>
      <c r="J134" s="35">
        <f t="shared" si="26"/>
        <v>0</v>
      </c>
      <c r="K134" s="35">
        <f t="shared" si="26"/>
        <v>0</v>
      </c>
      <c r="L134" s="35">
        <f t="shared" si="26"/>
        <v>0</v>
      </c>
      <c r="M134" s="35">
        <f t="shared" si="26"/>
        <v>0</v>
      </c>
      <c r="N134" s="35">
        <f t="shared" si="26"/>
        <v>0</v>
      </c>
      <c r="O134" s="35">
        <f t="shared" si="26"/>
        <v>0</v>
      </c>
      <c r="P134" s="35">
        <f t="shared" si="26"/>
        <v>0</v>
      </c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</row>
    <row r="135" spans="2:27" ht="16" customHeight="1" x14ac:dyDescent="0.45">
      <c r="B135" s="14" t="s">
        <v>899</v>
      </c>
      <c r="C135" s="14" t="s">
        <v>900</v>
      </c>
      <c r="D135" s="61"/>
      <c r="E135" s="62"/>
      <c r="F135" s="61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</row>
    <row r="136" spans="2:27" ht="16" customHeight="1" x14ac:dyDescent="0.45">
      <c r="B136" s="14" t="s">
        <v>901</v>
      </c>
      <c r="C136" s="14" t="s">
        <v>902</v>
      </c>
      <c r="D136" s="61"/>
      <c r="E136" s="62"/>
      <c r="F136" s="61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</row>
    <row r="137" spans="2:27" ht="16" customHeight="1" x14ac:dyDescent="0.45">
      <c r="B137" s="11" t="s">
        <v>1537</v>
      </c>
      <c r="C137" s="11" t="s">
        <v>22</v>
      </c>
      <c r="D137" s="29"/>
      <c r="E137" s="60"/>
      <c r="F137" s="29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</row>
    <row r="138" spans="2:27" ht="16" customHeight="1" x14ac:dyDescent="0.45">
      <c r="B138" s="34" t="s">
        <v>1538</v>
      </c>
      <c r="C138" s="34" t="s">
        <v>903</v>
      </c>
      <c r="D138" s="69"/>
      <c r="E138" s="70">
        <f>E139+E140</f>
        <v>0</v>
      </c>
      <c r="F138" s="69"/>
      <c r="G138" s="35">
        <f t="shared" ref="G138:P138" si="27">G139+G140</f>
        <v>0</v>
      </c>
      <c r="H138" s="35">
        <f t="shared" si="27"/>
        <v>0</v>
      </c>
      <c r="I138" s="35">
        <f t="shared" si="27"/>
        <v>0</v>
      </c>
      <c r="J138" s="35">
        <f t="shared" si="27"/>
        <v>0</v>
      </c>
      <c r="K138" s="35">
        <f t="shared" si="27"/>
        <v>0</v>
      </c>
      <c r="L138" s="35">
        <f t="shared" si="27"/>
        <v>0</v>
      </c>
      <c r="M138" s="35">
        <f t="shared" si="27"/>
        <v>0</v>
      </c>
      <c r="N138" s="35">
        <f t="shared" si="27"/>
        <v>0</v>
      </c>
      <c r="O138" s="35">
        <f t="shared" si="27"/>
        <v>0</v>
      </c>
      <c r="P138" s="35">
        <f t="shared" si="27"/>
        <v>0</v>
      </c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</row>
    <row r="139" spans="2:27" ht="16" customHeight="1" x14ac:dyDescent="0.45">
      <c r="B139" s="14" t="s">
        <v>904</v>
      </c>
      <c r="C139" s="14" t="s">
        <v>905</v>
      </c>
      <c r="D139" s="61"/>
      <c r="E139" s="62"/>
      <c r="F139" s="61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</row>
    <row r="140" spans="2:27" ht="16" customHeight="1" x14ac:dyDescent="0.45">
      <c r="B140" s="14" t="s">
        <v>906</v>
      </c>
      <c r="C140" s="14" t="s">
        <v>907</v>
      </c>
      <c r="D140" s="61"/>
      <c r="E140" s="62">
        <f>E141+E142</f>
        <v>0</v>
      </c>
      <c r="F140" s="61"/>
      <c r="G140" s="15">
        <f t="shared" ref="G140:P140" si="28">G141+G142</f>
        <v>0</v>
      </c>
      <c r="H140" s="15">
        <f t="shared" si="28"/>
        <v>0</v>
      </c>
      <c r="I140" s="15">
        <f t="shared" si="28"/>
        <v>0</v>
      </c>
      <c r="J140" s="15">
        <f t="shared" si="28"/>
        <v>0</v>
      </c>
      <c r="K140" s="15">
        <f t="shared" si="28"/>
        <v>0</v>
      </c>
      <c r="L140" s="15">
        <f t="shared" si="28"/>
        <v>0</v>
      </c>
      <c r="M140" s="15">
        <f t="shared" si="28"/>
        <v>0</v>
      </c>
      <c r="N140" s="15">
        <f t="shared" si="28"/>
        <v>0</v>
      </c>
      <c r="O140" s="15">
        <f t="shared" si="28"/>
        <v>0</v>
      </c>
      <c r="P140" s="15">
        <f t="shared" si="28"/>
        <v>0</v>
      </c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</row>
    <row r="141" spans="2:27" ht="16" customHeight="1" x14ac:dyDescent="0.45">
      <c r="B141" s="14" t="s">
        <v>1484</v>
      </c>
      <c r="C141" s="14" t="s">
        <v>909</v>
      </c>
      <c r="D141" s="61"/>
      <c r="E141" s="62"/>
      <c r="F141" s="61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</row>
    <row r="142" spans="2:27" ht="16" customHeight="1" x14ac:dyDescent="0.45">
      <c r="B142" s="14" t="s">
        <v>1499</v>
      </c>
      <c r="C142" s="14" t="s">
        <v>911</v>
      </c>
      <c r="D142" s="61"/>
      <c r="E142" s="62"/>
      <c r="F142" s="61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</row>
    <row r="143" spans="2:27" ht="16" customHeight="1" x14ac:dyDescent="0.45">
      <c r="B143" s="11" t="s">
        <v>1539</v>
      </c>
      <c r="C143" s="11" t="s">
        <v>22</v>
      </c>
      <c r="D143" s="29"/>
      <c r="E143" s="60"/>
      <c r="F143" s="29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</row>
    <row r="144" spans="2:27" ht="16" customHeight="1" x14ac:dyDescent="0.45">
      <c r="B144" s="34" t="s">
        <v>1540</v>
      </c>
      <c r="C144" s="34" t="s">
        <v>912</v>
      </c>
      <c r="D144" s="69"/>
      <c r="E144" s="70">
        <f>E145+E146</f>
        <v>329000</v>
      </c>
      <c r="F144" s="69"/>
      <c r="G144" s="35">
        <f t="shared" ref="G144:P144" si="29">G145+G146</f>
        <v>0</v>
      </c>
      <c r="H144" s="35">
        <f t="shared" si="29"/>
        <v>329000</v>
      </c>
      <c r="I144" s="35">
        <f t="shared" si="29"/>
        <v>0</v>
      </c>
      <c r="J144" s="35">
        <f t="shared" si="29"/>
        <v>0</v>
      </c>
      <c r="K144" s="35">
        <f t="shared" si="29"/>
        <v>0</v>
      </c>
      <c r="L144" s="35">
        <f t="shared" si="29"/>
        <v>0</v>
      </c>
      <c r="M144" s="35">
        <f t="shared" si="29"/>
        <v>0</v>
      </c>
      <c r="N144" s="35">
        <f t="shared" si="29"/>
        <v>0</v>
      </c>
      <c r="O144" s="35">
        <f t="shared" si="29"/>
        <v>0</v>
      </c>
      <c r="P144" s="35">
        <f t="shared" si="29"/>
        <v>0</v>
      </c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</row>
    <row r="145" spans="2:27" ht="16" customHeight="1" x14ac:dyDescent="0.45">
      <c r="B145" s="14" t="s">
        <v>913</v>
      </c>
      <c r="C145" s="14" t="s">
        <v>914</v>
      </c>
      <c r="D145" s="61"/>
      <c r="E145" s="62">
        <v>329000</v>
      </c>
      <c r="F145" s="61"/>
      <c r="G145" s="15"/>
      <c r="H145" s="15">
        <v>329000</v>
      </c>
      <c r="I145" s="15"/>
      <c r="J145" s="15"/>
      <c r="K145" s="15"/>
      <c r="L145" s="15"/>
      <c r="M145" s="15"/>
      <c r="N145" s="15"/>
      <c r="O145" s="15"/>
      <c r="P145" s="15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</row>
    <row r="146" spans="2:27" ht="16" customHeight="1" x14ac:dyDescent="0.45">
      <c r="B146" s="14" t="s">
        <v>915</v>
      </c>
      <c r="C146" s="14" t="s">
        <v>916</v>
      </c>
      <c r="D146" s="61"/>
      <c r="E146" s="62"/>
      <c r="F146" s="61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</row>
    <row r="147" spans="2:27" ht="16" customHeight="1" x14ac:dyDescent="0.45">
      <c r="B147" s="11" t="s">
        <v>1541</v>
      </c>
      <c r="C147" s="11" t="s">
        <v>22</v>
      </c>
      <c r="D147" s="29"/>
      <c r="E147" s="60"/>
      <c r="F147" s="29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</row>
    <row r="148" spans="2:27" ht="16" customHeight="1" x14ac:dyDescent="0.45">
      <c r="B148" s="34" t="s">
        <v>1542</v>
      </c>
      <c r="C148" s="34" t="s">
        <v>917</v>
      </c>
      <c r="D148" s="69"/>
      <c r="E148" s="70">
        <f>E149+E150</f>
        <v>-87260.482879999996</v>
      </c>
      <c r="F148" s="69"/>
      <c r="G148" s="35">
        <f t="shared" ref="G148:P148" si="30">G149+G150</f>
        <v>-3470.8232800000001</v>
      </c>
      <c r="H148" s="35">
        <f t="shared" si="30"/>
        <v>-79559.895789999995</v>
      </c>
      <c r="I148" s="35">
        <f t="shared" si="30"/>
        <v>0</v>
      </c>
      <c r="J148" s="35">
        <f t="shared" si="30"/>
        <v>2.5379799999999997</v>
      </c>
      <c r="K148" s="35">
        <f t="shared" si="30"/>
        <v>4.8860799999999998</v>
      </c>
      <c r="L148" s="35">
        <f t="shared" si="30"/>
        <v>2.0000000000000001E-4</v>
      </c>
      <c r="M148" s="35">
        <f t="shared" si="30"/>
        <v>0</v>
      </c>
      <c r="N148" s="35">
        <f t="shared" si="30"/>
        <v>0</v>
      </c>
      <c r="O148" s="35">
        <f t="shared" si="30"/>
        <v>0</v>
      </c>
      <c r="P148" s="35">
        <f t="shared" si="30"/>
        <v>-4237.1880700000002</v>
      </c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</row>
    <row r="149" spans="2:27" ht="16" customHeight="1" x14ac:dyDescent="0.45">
      <c r="B149" s="14" t="s">
        <v>918</v>
      </c>
      <c r="C149" s="14" t="s">
        <v>919</v>
      </c>
      <c r="D149" s="61"/>
      <c r="E149" s="62">
        <v>-87325.869030000002</v>
      </c>
      <c r="F149" s="61"/>
      <c r="G149" s="15">
        <v>-3470.8232800000001</v>
      </c>
      <c r="H149" s="15">
        <v>-79617.857139999993</v>
      </c>
      <c r="I149" s="15"/>
      <c r="J149" s="15">
        <v>-4.8999999999999998E-4</v>
      </c>
      <c r="K149" s="15">
        <v>-2.5000000000000001E-4</v>
      </c>
      <c r="L149" s="15">
        <v>2.0000000000000001E-4</v>
      </c>
      <c r="M149" s="15"/>
      <c r="N149" s="15"/>
      <c r="O149" s="15"/>
      <c r="P149" s="15">
        <v>-4237.1880700000002</v>
      </c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</row>
    <row r="150" spans="2:27" ht="16" customHeight="1" x14ac:dyDescent="0.45">
      <c r="B150" s="14" t="s">
        <v>920</v>
      </c>
      <c r="C150" s="14" t="s">
        <v>921</v>
      </c>
      <c r="D150" s="61"/>
      <c r="E150" s="62">
        <v>65.386150000000001</v>
      </c>
      <c r="F150" s="61"/>
      <c r="G150" s="15"/>
      <c r="H150" s="15">
        <v>57.961350000000003</v>
      </c>
      <c r="I150" s="15"/>
      <c r="J150" s="15">
        <v>2.5384699999999998</v>
      </c>
      <c r="K150" s="15">
        <v>4.8863300000000001</v>
      </c>
      <c r="L150" s="15"/>
      <c r="M150" s="15"/>
      <c r="N150" s="15"/>
      <c r="O150" s="15"/>
      <c r="P150" s="15"/>
      <c r="Q150" s="13"/>
      <c r="R150" s="13"/>
      <c r="S150" s="13"/>
      <c r="T150" s="13"/>
      <c r="U150" s="13"/>
      <c r="V150" s="13"/>
      <c r="W150" s="13"/>
      <c r="X150" s="13"/>
    </row>
    <row r="151" spans="2:27" ht="16" customHeight="1" x14ac:dyDescent="0.45">
      <c r="B151" s="11" t="s">
        <v>1543</v>
      </c>
      <c r="C151" s="11" t="s">
        <v>22</v>
      </c>
      <c r="D151" s="29"/>
      <c r="E151" s="60"/>
      <c r="F151" s="29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3"/>
      <c r="R151" s="13"/>
      <c r="S151" s="13"/>
      <c r="T151" s="13"/>
      <c r="U151" s="13"/>
      <c r="V151" s="13"/>
      <c r="W151" s="13"/>
      <c r="X151" s="13"/>
    </row>
    <row r="152" spans="2:27" ht="16" customHeight="1" x14ac:dyDescent="0.45">
      <c r="B152" s="34" t="s">
        <v>1544</v>
      </c>
      <c r="C152" s="34" t="s">
        <v>922</v>
      </c>
      <c r="D152" s="69"/>
      <c r="E152" s="70">
        <f>-(-E153)</f>
        <v>3632.4903599999998</v>
      </c>
      <c r="F152" s="69"/>
      <c r="G152" s="35">
        <f t="shared" ref="G152:P152" si="31">-(-G153)</f>
        <v>0</v>
      </c>
      <c r="H152" s="35">
        <f t="shared" si="31"/>
        <v>3620.8340199999998</v>
      </c>
      <c r="I152" s="35">
        <f t="shared" si="31"/>
        <v>0</v>
      </c>
      <c r="J152" s="35">
        <f t="shared" si="31"/>
        <v>0</v>
      </c>
      <c r="K152" s="35">
        <f t="shared" si="31"/>
        <v>0</v>
      </c>
      <c r="L152" s="35">
        <f t="shared" si="31"/>
        <v>0</v>
      </c>
      <c r="M152" s="35">
        <f t="shared" si="31"/>
        <v>0</v>
      </c>
      <c r="N152" s="35">
        <f t="shared" si="31"/>
        <v>0</v>
      </c>
      <c r="O152" s="35">
        <f t="shared" si="31"/>
        <v>0</v>
      </c>
      <c r="P152" s="35">
        <f t="shared" si="31"/>
        <v>11.65634</v>
      </c>
      <c r="Q152" s="13"/>
      <c r="R152" s="13"/>
      <c r="S152" s="13"/>
      <c r="T152" s="13"/>
      <c r="U152" s="13"/>
      <c r="V152" s="13"/>
      <c r="W152" s="13"/>
      <c r="X152" s="13"/>
    </row>
    <row r="153" spans="2:27" ht="16" customHeight="1" x14ac:dyDescent="0.45">
      <c r="B153" s="14" t="s">
        <v>923</v>
      </c>
      <c r="C153" s="14" t="s">
        <v>924</v>
      </c>
      <c r="D153" s="61"/>
      <c r="E153" s="62">
        <v>3632.4903599999998</v>
      </c>
      <c r="F153" s="61"/>
      <c r="G153" s="15"/>
      <c r="H153" s="15">
        <v>3620.8340199999998</v>
      </c>
      <c r="I153" s="15">
        <v>0</v>
      </c>
      <c r="J153" s="15"/>
      <c r="K153" s="15"/>
      <c r="L153" s="15">
        <v>0</v>
      </c>
      <c r="M153" s="15"/>
      <c r="N153" s="15"/>
      <c r="O153" s="15"/>
      <c r="P153" s="15">
        <v>11.65634</v>
      </c>
      <c r="Q153" s="13"/>
      <c r="R153" s="13"/>
      <c r="S153" s="13"/>
      <c r="T153" s="13"/>
      <c r="U153" s="13"/>
      <c r="V153" s="13"/>
      <c r="W153" s="13"/>
      <c r="X153" s="13"/>
    </row>
    <row r="154" spans="2:27" ht="16" customHeight="1" x14ac:dyDescent="0.45">
      <c r="B154" s="11" t="s">
        <v>1545</v>
      </c>
      <c r="C154" s="11" t="s">
        <v>22</v>
      </c>
      <c r="D154" s="29"/>
      <c r="E154" s="60"/>
      <c r="F154" s="29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3"/>
      <c r="R154" s="13"/>
      <c r="S154" s="13"/>
      <c r="T154" s="13"/>
      <c r="U154" s="13"/>
      <c r="V154" s="13"/>
      <c r="W154" s="13"/>
      <c r="X154" s="13"/>
    </row>
    <row r="155" spans="2:27" ht="16" customHeight="1" x14ac:dyDescent="0.45">
      <c r="B155" s="34" t="s">
        <v>1546</v>
      </c>
      <c r="C155" s="34" t="s">
        <v>925</v>
      </c>
      <c r="D155" s="69"/>
      <c r="E155" s="70">
        <f>E156+E157</f>
        <v>0</v>
      </c>
      <c r="F155" s="69"/>
      <c r="G155" s="35">
        <f t="shared" ref="G155:P155" si="32">G156+G157</f>
        <v>0</v>
      </c>
      <c r="H155" s="35">
        <f t="shared" si="32"/>
        <v>0</v>
      </c>
      <c r="I155" s="35">
        <f t="shared" si="32"/>
        <v>0</v>
      </c>
      <c r="J155" s="35">
        <f t="shared" si="32"/>
        <v>0</v>
      </c>
      <c r="K155" s="35">
        <f t="shared" si="32"/>
        <v>0</v>
      </c>
      <c r="L155" s="35">
        <f t="shared" si="32"/>
        <v>0</v>
      </c>
      <c r="M155" s="35">
        <f t="shared" si="32"/>
        <v>0</v>
      </c>
      <c r="N155" s="35">
        <f t="shared" si="32"/>
        <v>0</v>
      </c>
      <c r="O155" s="35">
        <f t="shared" si="32"/>
        <v>0</v>
      </c>
      <c r="P155" s="35">
        <f t="shared" si="32"/>
        <v>0</v>
      </c>
      <c r="Q155" s="13"/>
      <c r="R155" s="13"/>
      <c r="S155" s="13"/>
      <c r="T155" s="13"/>
      <c r="U155" s="13"/>
      <c r="V155" s="13"/>
      <c r="W155" s="13"/>
      <c r="X155" s="13"/>
    </row>
    <row r="156" spans="2:27" ht="16" customHeight="1" x14ac:dyDescent="0.45">
      <c r="B156" s="14" t="s">
        <v>926</v>
      </c>
      <c r="C156" s="14" t="s">
        <v>927</v>
      </c>
      <c r="D156" s="61"/>
      <c r="E156" s="62"/>
      <c r="F156" s="61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3"/>
      <c r="R156" s="13"/>
      <c r="S156" s="13"/>
      <c r="T156" s="13"/>
      <c r="U156" s="13"/>
      <c r="V156" s="13"/>
      <c r="W156" s="13"/>
      <c r="X156" s="13"/>
    </row>
    <row r="157" spans="2:27" ht="16" customHeight="1" x14ac:dyDescent="0.45">
      <c r="B157" s="14" t="s">
        <v>928</v>
      </c>
      <c r="C157" s="14" t="s">
        <v>929</v>
      </c>
      <c r="D157" s="61"/>
      <c r="E157" s="62"/>
      <c r="F157" s="61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3"/>
      <c r="R157" s="13"/>
      <c r="S157" s="13"/>
      <c r="T157" s="13"/>
      <c r="U157" s="13"/>
      <c r="V157" s="13"/>
      <c r="W157" s="13"/>
      <c r="X157" s="13"/>
    </row>
    <row r="158" spans="2:27" ht="16" customHeight="1" x14ac:dyDescent="0.45">
      <c r="B158" s="11" t="s">
        <v>1547</v>
      </c>
      <c r="C158" s="11" t="s">
        <v>22</v>
      </c>
      <c r="D158" s="29"/>
      <c r="E158" s="60"/>
      <c r="F158" s="29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3"/>
      <c r="R158" s="13"/>
      <c r="S158" s="13"/>
      <c r="T158" s="13"/>
      <c r="U158" s="13"/>
      <c r="V158" s="13"/>
      <c r="W158" s="13"/>
      <c r="X158" s="13"/>
    </row>
    <row r="159" spans="2:27" ht="16" customHeight="1" x14ac:dyDescent="0.45">
      <c r="B159" s="34" t="s">
        <v>1548</v>
      </c>
      <c r="C159" s="34" t="s">
        <v>930</v>
      </c>
      <c r="D159" s="69"/>
      <c r="E159" s="70">
        <f>-(-E134-E138-E144-E148-E152-E155)</f>
        <v>245372.00748</v>
      </c>
      <c r="F159" s="69"/>
      <c r="G159" s="35">
        <f t="shared" ref="G159:P159" si="33">-(-G134-G138-G144-G148-G152-G155)</f>
        <v>-3470.8232800000001</v>
      </c>
      <c r="H159" s="35">
        <f t="shared" si="33"/>
        <v>253060.93823000003</v>
      </c>
      <c r="I159" s="35">
        <f t="shared" si="33"/>
        <v>0</v>
      </c>
      <c r="J159" s="35">
        <f t="shared" si="33"/>
        <v>2.5379799999999997</v>
      </c>
      <c r="K159" s="35">
        <f t="shared" si="33"/>
        <v>4.8860799999999998</v>
      </c>
      <c r="L159" s="35">
        <f t="shared" si="33"/>
        <v>2.0000000000000001E-4</v>
      </c>
      <c r="M159" s="35">
        <f t="shared" si="33"/>
        <v>0</v>
      </c>
      <c r="N159" s="35">
        <f t="shared" si="33"/>
        <v>0</v>
      </c>
      <c r="O159" s="35">
        <f t="shared" si="33"/>
        <v>0</v>
      </c>
      <c r="P159" s="35">
        <f t="shared" si="33"/>
        <v>-4225.5317300000006</v>
      </c>
      <c r="Q159" s="13"/>
      <c r="R159" s="13"/>
      <c r="S159" s="13"/>
      <c r="T159" s="13"/>
      <c r="U159" s="13"/>
      <c r="V159" s="13"/>
      <c r="W159" s="13"/>
      <c r="X159" s="13"/>
    </row>
    <row r="160" spans="2:27" ht="16" customHeight="1" x14ac:dyDescent="0.45">
      <c r="B160" s="11" t="s">
        <v>1549</v>
      </c>
      <c r="C160" s="11" t="s">
        <v>22</v>
      </c>
      <c r="D160" s="29"/>
      <c r="E160" s="60"/>
      <c r="F160" s="29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3"/>
      <c r="R160" s="13"/>
      <c r="S160" s="13"/>
      <c r="T160" s="13"/>
      <c r="U160" s="13"/>
      <c r="V160" s="13"/>
      <c r="W160" s="13"/>
      <c r="X160" s="13"/>
    </row>
    <row r="161" spans="2:24" ht="16" customHeight="1" x14ac:dyDescent="0.45">
      <c r="B161" s="40" t="s">
        <v>1550</v>
      </c>
      <c r="C161" s="40" t="s">
        <v>931</v>
      </c>
      <c r="D161" s="53"/>
      <c r="E161" s="53">
        <f>E132+E159</f>
        <v>41106.346480000007</v>
      </c>
      <c r="F161" s="53"/>
      <c r="G161" s="24">
        <f t="shared" ref="G161:P161" si="34">G132+G159</f>
        <v>-3470.8232800000001</v>
      </c>
      <c r="H161" s="24">
        <f t="shared" si="34"/>
        <v>109924.48183000003</v>
      </c>
      <c r="I161" s="24">
        <f t="shared" si="34"/>
        <v>-1740.4931300000001</v>
      </c>
      <c r="J161" s="24">
        <f t="shared" si="34"/>
        <v>-27199.642</v>
      </c>
      <c r="K161" s="24">
        <f t="shared" si="34"/>
        <v>-19711.71272</v>
      </c>
      <c r="L161" s="24">
        <f t="shared" si="34"/>
        <v>-12278.371219999999</v>
      </c>
      <c r="M161" s="24">
        <f t="shared" si="34"/>
        <v>0</v>
      </c>
      <c r="N161" s="24">
        <f t="shared" si="34"/>
        <v>0</v>
      </c>
      <c r="O161" s="24">
        <f t="shared" si="34"/>
        <v>-191.56127000000001</v>
      </c>
      <c r="P161" s="24">
        <f t="shared" si="34"/>
        <v>-4225.5317300000006</v>
      </c>
      <c r="Q161" s="13"/>
      <c r="R161" s="13"/>
      <c r="S161" s="13"/>
      <c r="T161" s="13"/>
      <c r="U161" s="13"/>
      <c r="V161" s="13"/>
      <c r="W161" s="13"/>
      <c r="X161" s="13"/>
    </row>
    <row r="162" spans="2:24" ht="16" customHeight="1" x14ac:dyDescent="0.45">
      <c r="B162" s="11" t="s">
        <v>1551</v>
      </c>
      <c r="C162" s="11" t="s">
        <v>22</v>
      </c>
      <c r="D162" s="29"/>
      <c r="E162" s="60"/>
      <c r="F162" s="29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3"/>
      <c r="R162" s="13"/>
      <c r="S162" s="13"/>
      <c r="T162" s="13"/>
      <c r="U162" s="13"/>
      <c r="V162" s="13"/>
      <c r="W162" s="13"/>
      <c r="X162" s="13"/>
    </row>
    <row r="163" spans="2:24" ht="16" customHeight="1" x14ac:dyDescent="0.45">
      <c r="B163" s="34" t="s">
        <v>1552</v>
      </c>
      <c r="C163" s="34" t="s">
        <v>932</v>
      </c>
      <c r="D163" s="69"/>
      <c r="E163" s="70"/>
      <c r="F163" s="69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13"/>
      <c r="R163" s="13"/>
      <c r="S163" s="13"/>
      <c r="T163" s="13"/>
      <c r="U163" s="13"/>
      <c r="V163" s="13"/>
      <c r="W163" s="13"/>
      <c r="X163" s="13"/>
    </row>
    <row r="164" spans="2:24" ht="16" customHeight="1" x14ac:dyDescent="0.45">
      <c r="B164" s="11" t="s">
        <v>1553</v>
      </c>
      <c r="C164" s="11" t="s">
        <v>22</v>
      </c>
      <c r="D164" s="29"/>
      <c r="E164" s="60"/>
      <c r="F164" s="29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3"/>
      <c r="R164" s="13"/>
      <c r="S164" s="13"/>
      <c r="T164" s="13"/>
      <c r="U164" s="13"/>
      <c r="V164" s="13"/>
      <c r="W164" s="13"/>
      <c r="X164" s="13"/>
    </row>
    <row r="165" spans="2:24" ht="16" customHeight="1" x14ac:dyDescent="0.45">
      <c r="B165" s="34" t="s">
        <v>1554</v>
      </c>
      <c r="C165" s="34" t="s">
        <v>933</v>
      </c>
      <c r="D165" s="69"/>
      <c r="E165" s="70">
        <f>-(-(E166+E167)-E168)</f>
        <v>0</v>
      </c>
      <c r="F165" s="69"/>
      <c r="G165" s="35">
        <f t="shared" ref="G165:P165" si="35">-(-(G166+G167)-G168)</f>
        <v>0</v>
      </c>
      <c r="H165" s="35">
        <f t="shared" si="35"/>
        <v>0</v>
      </c>
      <c r="I165" s="35">
        <f t="shared" si="35"/>
        <v>0</v>
      </c>
      <c r="J165" s="35">
        <f t="shared" si="35"/>
        <v>0</v>
      </c>
      <c r="K165" s="35">
        <f t="shared" si="35"/>
        <v>0</v>
      </c>
      <c r="L165" s="35">
        <f t="shared" si="35"/>
        <v>0</v>
      </c>
      <c r="M165" s="35">
        <f t="shared" si="35"/>
        <v>0</v>
      </c>
      <c r="N165" s="35">
        <f t="shared" si="35"/>
        <v>0</v>
      </c>
      <c r="O165" s="35">
        <f t="shared" si="35"/>
        <v>0</v>
      </c>
      <c r="P165" s="35">
        <f t="shared" si="35"/>
        <v>0</v>
      </c>
      <c r="Q165" s="13"/>
      <c r="R165" s="13"/>
      <c r="S165" s="13"/>
      <c r="T165" s="13"/>
      <c r="U165" s="13"/>
      <c r="V165" s="13"/>
      <c r="W165" s="13"/>
      <c r="X165" s="13"/>
    </row>
    <row r="166" spans="2:24" ht="16" customHeight="1" x14ac:dyDescent="0.45">
      <c r="B166" s="14" t="s">
        <v>934</v>
      </c>
      <c r="C166" s="14" t="s">
        <v>935</v>
      </c>
      <c r="D166" s="61"/>
      <c r="E166" s="62"/>
      <c r="F166" s="61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3"/>
      <c r="R166" s="13"/>
      <c r="S166" s="13"/>
      <c r="T166" s="13"/>
      <c r="U166" s="13"/>
      <c r="V166" s="13"/>
      <c r="W166" s="13"/>
      <c r="X166" s="13"/>
    </row>
    <row r="167" spans="2:24" ht="16" customHeight="1" x14ac:dyDescent="0.45">
      <c r="B167" s="14" t="s">
        <v>936</v>
      </c>
      <c r="C167" s="14" t="s">
        <v>937</v>
      </c>
      <c r="D167" s="61"/>
      <c r="E167" s="62"/>
      <c r="F167" s="61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3"/>
      <c r="R167" s="13"/>
      <c r="S167" s="13"/>
      <c r="T167" s="13"/>
      <c r="U167" s="13"/>
      <c r="V167" s="13"/>
      <c r="W167" s="13"/>
      <c r="X167" s="13"/>
    </row>
    <row r="168" spans="2:24" ht="16" customHeight="1" x14ac:dyDescent="0.45">
      <c r="B168" s="14" t="s">
        <v>938</v>
      </c>
      <c r="C168" s="14" t="s">
        <v>939</v>
      </c>
      <c r="D168" s="61"/>
      <c r="E168" s="62"/>
      <c r="F168" s="61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3"/>
      <c r="R168" s="13"/>
      <c r="S168" s="13"/>
      <c r="T168" s="13"/>
      <c r="U168" s="13"/>
      <c r="V168" s="13"/>
      <c r="W168" s="13"/>
      <c r="X168" s="13"/>
    </row>
    <row r="169" spans="2:24" ht="16" customHeight="1" x14ac:dyDescent="0.45">
      <c r="B169" s="11" t="s">
        <v>1555</v>
      </c>
      <c r="C169" s="11" t="s">
        <v>22</v>
      </c>
      <c r="D169" s="29"/>
      <c r="E169" s="60"/>
      <c r="F169" s="29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3"/>
      <c r="R169" s="13"/>
      <c r="S169" s="13"/>
      <c r="T169" s="13"/>
      <c r="U169" s="13"/>
      <c r="V169" s="13"/>
      <c r="W169" s="13"/>
      <c r="X169" s="13"/>
    </row>
    <row r="170" spans="2:24" ht="16" customHeight="1" x14ac:dyDescent="0.45">
      <c r="B170" s="34" t="s">
        <v>1556</v>
      </c>
      <c r="C170" s="34" t="s">
        <v>940</v>
      </c>
      <c r="D170" s="69"/>
      <c r="E170" s="70">
        <f>E171+E172</f>
        <v>0</v>
      </c>
      <c r="F170" s="69"/>
      <c r="G170" s="35">
        <f t="shared" ref="G170:P170" si="36">G171+G172</f>
        <v>0</v>
      </c>
      <c r="H170" s="35">
        <f t="shared" si="36"/>
        <v>0</v>
      </c>
      <c r="I170" s="35">
        <f t="shared" si="36"/>
        <v>0</v>
      </c>
      <c r="J170" s="35">
        <f t="shared" si="36"/>
        <v>0</v>
      </c>
      <c r="K170" s="35">
        <f t="shared" si="36"/>
        <v>0</v>
      </c>
      <c r="L170" s="35">
        <f t="shared" si="36"/>
        <v>0</v>
      </c>
      <c r="M170" s="35">
        <f t="shared" si="36"/>
        <v>0</v>
      </c>
      <c r="N170" s="35">
        <f t="shared" si="36"/>
        <v>0</v>
      </c>
      <c r="O170" s="35">
        <f t="shared" si="36"/>
        <v>0</v>
      </c>
      <c r="P170" s="35">
        <f t="shared" si="36"/>
        <v>0</v>
      </c>
      <c r="Q170" s="13"/>
      <c r="R170" s="13"/>
      <c r="S170" s="13"/>
      <c r="T170" s="13"/>
      <c r="U170" s="13"/>
      <c r="V170" s="13"/>
      <c r="W170" s="13"/>
      <c r="X170" s="13"/>
    </row>
    <row r="171" spans="2:24" ht="16" customHeight="1" x14ac:dyDescent="0.45">
      <c r="B171" s="14" t="s">
        <v>941</v>
      </c>
      <c r="C171" s="14" t="s">
        <v>942</v>
      </c>
      <c r="D171" s="61"/>
      <c r="E171" s="62"/>
      <c r="F171" s="61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3"/>
      <c r="R171" s="13"/>
      <c r="S171" s="13"/>
      <c r="T171" s="13"/>
      <c r="U171" s="13"/>
      <c r="V171" s="13"/>
      <c r="W171" s="13"/>
      <c r="X171" s="13"/>
    </row>
    <row r="172" spans="2:24" ht="16" customHeight="1" x14ac:dyDescent="0.45">
      <c r="B172" s="14" t="s">
        <v>943</v>
      </c>
      <c r="C172" s="14" t="s">
        <v>944</v>
      </c>
      <c r="D172" s="61"/>
      <c r="E172" s="62"/>
      <c r="F172" s="61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3"/>
      <c r="R172" s="13"/>
      <c r="S172" s="13"/>
      <c r="T172" s="13"/>
      <c r="U172" s="13"/>
      <c r="V172" s="13"/>
      <c r="W172" s="13"/>
      <c r="X172" s="13"/>
    </row>
    <row r="173" spans="2:24" ht="16" customHeight="1" x14ac:dyDescent="0.45">
      <c r="B173" s="11" t="s">
        <v>1557</v>
      </c>
      <c r="C173" s="11" t="s">
        <v>22</v>
      </c>
      <c r="D173" s="29"/>
      <c r="E173" s="60"/>
      <c r="F173" s="29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3"/>
      <c r="R173" s="13"/>
      <c r="S173" s="13"/>
      <c r="T173" s="13"/>
      <c r="U173" s="13"/>
      <c r="V173" s="13"/>
      <c r="W173" s="13"/>
      <c r="X173" s="13"/>
    </row>
    <row r="174" spans="2:24" ht="16" customHeight="1" x14ac:dyDescent="0.45">
      <c r="B174" s="14" t="s">
        <v>945</v>
      </c>
      <c r="C174" s="14" t="s">
        <v>946</v>
      </c>
      <c r="D174" s="61"/>
      <c r="E174" s="62"/>
      <c r="F174" s="61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3"/>
      <c r="R174" s="13"/>
      <c r="S174" s="13"/>
      <c r="T174" s="13"/>
      <c r="U174" s="13"/>
      <c r="V174" s="13"/>
      <c r="W174" s="13"/>
      <c r="X174" s="13"/>
    </row>
    <row r="175" spans="2:24" ht="16" customHeight="1" x14ac:dyDescent="0.45">
      <c r="B175" s="11" t="s">
        <v>1558</v>
      </c>
      <c r="C175" s="11" t="s">
        <v>22</v>
      </c>
      <c r="D175" s="29"/>
      <c r="E175" s="60"/>
      <c r="F175" s="29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3"/>
      <c r="R175" s="13"/>
      <c r="S175" s="13"/>
      <c r="T175" s="13"/>
      <c r="U175" s="13"/>
      <c r="V175" s="13"/>
      <c r="W175" s="13"/>
      <c r="X175" s="13"/>
    </row>
    <row r="176" spans="2:24" ht="16" customHeight="1" x14ac:dyDescent="0.45">
      <c r="B176" s="14" t="s">
        <v>947</v>
      </c>
      <c r="C176" s="14" t="s">
        <v>948</v>
      </c>
      <c r="D176" s="61"/>
      <c r="E176" s="62"/>
      <c r="F176" s="61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3"/>
      <c r="R176" s="13"/>
      <c r="S176" s="13"/>
      <c r="T176" s="13"/>
      <c r="U176" s="13"/>
      <c r="V176" s="13"/>
      <c r="W176" s="13"/>
      <c r="X176" s="13"/>
    </row>
    <row r="177" spans="2:24" ht="16" customHeight="1" x14ac:dyDescent="0.45">
      <c r="B177" s="11" t="s">
        <v>1559</v>
      </c>
      <c r="C177" s="11" t="s">
        <v>22</v>
      </c>
      <c r="D177" s="29"/>
      <c r="E177" s="60"/>
      <c r="F177" s="29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3"/>
      <c r="R177" s="13"/>
      <c r="S177" s="13"/>
      <c r="T177" s="13"/>
      <c r="U177" s="13"/>
      <c r="V177" s="13"/>
      <c r="W177" s="13"/>
      <c r="X177" s="13"/>
    </row>
    <row r="178" spans="2:24" ht="16" customHeight="1" x14ac:dyDescent="0.45">
      <c r="B178" s="14" t="s">
        <v>949</v>
      </c>
      <c r="C178" s="14" t="s">
        <v>950</v>
      </c>
      <c r="D178" s="61"/>
      <c r="E178" s="62"/>
      <c r="F178" s="61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3"/>
      <c r="R178" s="13"/>
      <c r="S178" s="13"/>
      <c r="T178" s="13"/>
      <c r="U178" s="13"/>
      <c r="V178" s="13"/>
      <c r="W178" s="13"/>
      <c r="X178" s="13"/>
    </row>
    <row r="179" spans="2:24" ht="16" customHeight="1" x14ac:dyDescent="0.45">
      <c r="B179" s="11" t="s">
        <v>1560</v>
      </c>
      <c r="C179" s="11" t="s">
        <v>22</v>
      </c>
      <c r="D179" s="29"/>
      <c r="E179" s="60"/>
      <c r="F179" s="29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3"/>
      <c r="R179" s="13"/>
      <c r="S179" s="13"/>
      <c r="T179" s="13"/>
      <c r="U179" s="13"/>
      <c r="V179" s="13"/>
      <c r="W179" s="13"/>
      <c r="X179" s="13"/>
    </row>
    <row r="180" spans="2:24" ht="16" customHeight="1" x14ac:dyDescent="0.45">
      <c r="B180" s="34" t="s">
        <v>1561</v>
      </c>
      <c r="C180" s="34" t="s">
        <v>951</v>
      </c>
      <c r="D180" s="69"/>
      <c r="E180" s="70">
        <f>E181+E182</f>
        <v>0</v>
      </c>
      <c r="F180" s="69"/>
      <c r="G180" s="35">
        <f t="shared" ref="G180:P180" si="37">G181+G182</f>
        <v>0</v>
      </c>
      <c r="H180" s="35">
        <f t="shared" si="37"/>
        <v>0</v>
      </c>
      <c r="I180" s="35">
        <f t="shared" si="37"/>
        <v>0</v>
      </c>
      <c r="J180" s="35">
        <f t="shared" si="37"/>
        <v>0</v>
      </c>
      <c r="K180" s="35">
        <f t="shared" si="37"/>
        <v>0</v>
      </c>
      <c r="L180" s="35">
        <f t="shared" si="37"/>
        <v>0</v>
      </c>
      <c r="M180" s="35">
        <f t="shared" si="37"/>
        <v>0</v>
      </c>
      <c r="N180" s="35">
        <f t="shared" si="37"/>
        <v>0</v>
      </c>
      <c r="O180" s="35">
        <f t="shared" si="37"/>
        <v>0</v>
      </c>
      <c r="P180" s="35">
        <f t="shared" si="37"/>
        <v>0</v>
      </c>
      <c r="Q180" s="13"/>
      <c r="R180" s="13"/>
      <c r="S180" s="13"/>
      <c r="T180" s="13"/>
      <c r="U180" s="13"/>
      <c r="V180" s="13"/>
      <c r="W180" s="13"/>
      <c r="X180" s="13"/>
    </row>
    <row r="181" spans="2:24" ht="16" customHeight="1" x14ac:dyDescent="0.45">
      <c r="B181" s="14" t="s">
        <v>952</v>
      </c>
      <c r="C181" s="14" t="s">
        <v>953</v>
      </c>
      <c r="D181" s="61"/>
      <c r="E181" s="62"/>
      <c r="F181" s="61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3"/>
      <c r="R181" s="13"/>
      <c r="S181" s="13"/>
      <c r="T181" s="13"/>
      <c r="U181" s="13"/>
      <c r="V181" s="13"/>
      <c r="W181" s="13"/>
      <c r="X181" s="13"/>
    </row>
    <row r="182" spans="2:24" ht="16" customHeight="1" x14ac:dyDescent="0.45">
      <c r="B182" s="14" t="s">
        <v>954</v>
      </c>
      <c r="C182" s="14" t="s">
        <v>955</v>
      </c>
      <c r="D182" s="61"/>
      <c r="E182" s="62"/>
      <c r="F182" s="61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3"/>
      <c r="R182" s="13"/>
      <c r="S182" s="13"/>
      <c r="T182" s="13"/>
      <c r="U182" s="13"/>
      <c r="V182" s="13"/>
      <c r="W182" s="13"/>
      <c r="X182" s="13"/>
    </row>
    <row r="183" spans="2:24" ht="16" customHeight="1" x14ac:dyDescent="0.45">
      <c r="B183" s="11" t="s">
        <v>1562</v>
      </c>
      <c r="C183" s="11" t="s">
        <v>22</v>
      </c>
      <c r="D183" s="29"/>
      <c r="E183" s="60"/>
      <c r="F183" s="29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3"/>
      <c r="R183" s="13"/>
      <c r="S183" s="13"/>
      <c r="T183" s="13"/>
      <c r="U183" s="13"/>
      <c r="V183" s="13"/>
      <c r="W183" s="13"/>
      <c r="X183" s="13"/>
    </row>
    <row r="184" spans="2:24" ht="16" customHeight="1" x14ac:dyDescent="0.45">
      <c r="B184" s="34" t="s">
        <v>1563</v>
      </c>
      <c r="C184" s="34" t="s">
        <v>956</v>
      </c>
      <c r="D184" s="69"/>
      <c r="E184" s="70">
        <f>-(-(E185+E186)-E187-E188-E189)</f>
        <v>0</v>
      </c>
      <c r="F184" s="69"/>
      <c r="G184" s="35">
        <f t="shared" ref="G184:P184" si="38">-(-(G185+G186)-G187-G188-G189)</f>
        <v>0</v>
      </c>
      <c r="H184" s="35">
        <f t="shared" si="38"/>
        <v>0</v>
      </c>
      <c r="I184" s="35">
        <f t="shared" si="38"/>
        <v>0</v>
      </c>
      <c r="J184" s="35">
        <f t="shared" si="38"/>
        <v>0</v>
      </c>
      <c r="K184" s="35">
        <f t="shared" si="38"/>
        <v>0</v>
      </c>
      <c r="L184" s="35">
        <f t="shared" si="38"/>
        <v>0</v>
      </c>
      <c r="M184" s="35">
        <f t="shared" si="38"/>
        <v>0</v>
      </c>
      <c r="N184" s="35">
        <f t="shared" si="38"/>
        <v>0</v>
      </c>
      <c r="O184" s="35">
        <f t="shared" si="38"/>
        <v>0</v>
      </c>
      <c r="P184" s="35">
        <f t="shared" si="38"/>
        <v>0</v>
      </c>
      <c r="Q184" s="13"/>
      <c r="R184" s="13"/>
      <c r="S184" s="13"/>
      <c r="T184" s="13"/>
      <c r="U184" s="13"/>
      <c r="V184" s="13"/>
      <c r="W184" s="13"/>
      <c r="X184" s="13"/>
    </row>
    <row r="185" spans="2:24" ht="16" customHeight="1" x14ac:dyDescent="0.45">
      <c r="B185" s="14" t="s">
        <v>957</v>
      </c>
      <c r="C185" s="14" t="s">
        <v>958</v>
      </c>
      <c r="D185" s="61"/>
      <c r="E185" s="62"/>
      <c r="F185" s="61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3"/>
      <c r="R185" s="13"/>
      <c r="S185" s="13"/>
      <c r="T185" s="13"/>
      <c r="U185" s="13"/>
      <c r="V185" s="13"/>
      <c r="W185" s="13"/>
      <c r="X185" s="13"/>
    </row>
    <row r="186" spans="2:24" ht="16" customHeight="1" x14ac:dyDescent="0.45">
      <c r="B186" s="14" t="s">
        <v>959</v>
      </c>
      <c r="C186" s="14" t="s">
        <v>960</v>
      </c>
      <c r="D186" s="61"/>
      <c r="E186" s="62">
        <v>200</v>
      </c>
      <c r="F186" s="61"/>
      <c r="G186" s="15"/>
      <c r="H186" s="15">
        <v>200</v>
      </c>
      <c r="I186" s="15"/>
      <c r="J186" s="15"/>
      <c r="K186" s="15"/>
      <c r="L186" s="15"/>
      <c r="M186" s="15"/>
      <c r="N186" s="15"/>
      <c r="O186" s="15"/>
      <c r="P186" s="15"/>
      <c r="Q186" s="13"/>
      <c r="R186" s="13"/>
      <c r="S186" s="13"/>
      <c r="T186" s="13"/>
      <c r="U186" s="13"/>
      <c r="V186" s="13"/>
      <c r="W186" s="13"/>
      <c r="X186" s="13"/>
    </row>
    <row r="187" spans="2:24" ht="16" customHeight="1" x14ac:dyDescent="0.45">
      <c r="B187" s="14" t="s">
        <v>961</v>
      </c>
      <c r="C187" s="14" t="s">
        <v>962</v>
      </c>
      <c r="D187" s="61"/>
      <c r="E187" s="62"/>
      <c r="F187" s="61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3"/>
      <c r="R187" s="13"/>
      <c r="S187" s="13"/>
      <c r="T187" s="13"/>
      <c r="U187" s="13"/>
      <c r="V187" s="13"/>
      <c r="W187" s="13"/>
      <c r="X187" s="13"/>
    </row>
    <row r="188" spans="2:24" ht="16" customHeight="1" x14ac:dyDescent="0.45">
      <c r="B188" s="14" t="s">
        <v>963</v>
      </c>
      <c r="C188" s="14" t="s">
        <v>964</v>
      </c>
      <c r="D188" s="61"/>
      <c r="E188" s="62">
        <v>-200</v>
      </c>
      <c r="F188" s="61"/>
      <c r="G188" s="15"/>
      <c r="H188" s="15">
        <v>-200</v>
      </c>
      <c r="I188" s="15"/>
      <c r="J188" s="15"/>
      <c r="K188" s="15"/>
      <c r="L188" s="15"/>
      <c r="M188" s="15"/>
      <c r="N188" s="15"/>
      <c r="O188" s="15"/>
      <c r="P188" s="15"/>
      <c r="Q188" s="13"/>
      <c r="R188" s="13"/>
      <c r="S188" s="13"/>
      <c r="T188" s="13"/>
      <c r="U188" s="13"/>
      <c r="V188" s="13"/>
      <c r="W188" s="13"/>
      <c r="X188" s="13"/>
    </row>
    <row r="189" spans="2:24" ht="16" customHeight="1" x14ac:dyDescent="0.45">
      <c r="B189" s="14" t="s">
        <v>965</v>
      </c>
      <c r="C189" s="14" t="s">
        <v>966</v>
      </c>
      <c r="D189" s="61"/>
      <c r="E189" s="62"/>
      <c r="F189" s="61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3"/>
      <c r="R189" s="13"/>
      <c r="S189" s="13"/>
      <c r="T189" s="13"/>
      <c r="U189" s="13"/>
      <c r="V189" s="13"/>
      <c r="W189" s="13"/>
      <c r="X189" s="13"/>
    </row>
    <row r="190" spans="2:24" ht="16" customHeight="1" x14ac:dyDescent="0.45">
      <c r="B190" s="11" t="s">
        <v>1564</v>
      </c>
      <c r="C190" s="11" t="s">
        <v>22</v>
      </c>
      <c r="D190" s="29"/>
      <c r="E190" s="60"/>
      <c r="F190" s="29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3"/>
      <c r="R190" s="13"/>
      <c r="S190" s="13"/>
      <c r="T190" s="13"/>
      <c r="U190" s="13"/>
      <c r="V190" s="13"/>
      <c r="W190" s="13"/>
      <c r="X190" s="13"/>
    </row>
    <row r="191" spans="2:24" ht="16" customHeight="1" x14ac:dyDescent="0.45">
      <c r="B191" s="34" t="s">
        <v>1565</v>
      </c>
      <c r="C191" s="34" t="s">
        <v>967</v>
      </c>
      <c r="D191" s="69"/>
      <c r="E191" s="70">
        <f>E193+E198+E202</f>
        <v>69236.507869999987</v>
      </c>
      <c r="F191" s="69"/>
      <c r="G191" s="35">
        <f t="shared" ref="G191:P191" si="39">G193+G198+G202</f>
        <v>3621.2074200000002</v>
      </c>
      <c r="H191" s="35">
        <f t="shared" si="39"/>
        <v>-31661.47034</v>
      </c>
      <c r="I191" s="35">
        <f t="shared" si="39"/>
        <v>46408.270920000003</v>
      </c>
      <c r="J191" s="35">
        <f t="shared" si="39"/>
        <v>49524.564140000002</v>
      </c>
      <c r="K191" s="35">
        <f t="shared" si="39"/>
        <v>27012.764340000002</v>
      </c>
      <c r="L191" s="35">
        <f t="shared" si="39"/>
        <v>-14072.25719</v>
      </c>
      <c r="M191" s="35">
        <f t="shared" si="39"/>
        <v>-808.09899999999993</v>
      </c>
      <c r="N191" s="35">
        <f t="shared" si="39"/>
        <v>175.05416</v>
      </c>
      <c r="O191" s="35">
        <f t="shared" si="39"/>
        <v>1.9323600000000001</v>
      </c>
      <c r="P191" s="35">
        <f t="shared" si="39"/>
        <v>-10965.458939999999</v>
      </c>
      <c r="Q191" s="13"/>
      <c r="R191" s="13"/>
      <c r="S191" s="13"/>
      <c r="T191" s="13"/>
      <c r="U191" s="13"/>
      <c r="V191" s="13"/>
      <c r="W191" s="13"/>
      <c r="X191" s="13"/>
    </row>
    <row r="192" spans="2:24" ht="16" customHeight="1" x14ac:dyDescent="0.45">
      <c r="B192" s="11" t="s">
        <v>1566</v>
      </c>
      <c r="C192" s="11" t="s">
        <v>22</v>
      </c>
      <c r="D192" s="29"/>
      <c r="E192" s="60"/>
      <c r="F192" s="29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3"/>
      <c r="R192" s="13"/>
      <c r="S192" s="13"/>
      <c r="T192" s="13"/>
      <c r="U192" s="13"/>
      <c r="V192" s="13"/>
      <c r="W192" s="13"/>
      <c r="X192" s="13"/>
    </row>
    <row r="193" spans="2:24" ht="16" customHeight="1" x14ac:dyDescent="0.45">
      <c r="B193" s="34" t="s">
        <v>1567</v>
      </c>
      <c r="C193" s="34" t="s">
        <v>968</v>
      </c>
      <c r="D193" s="69"/>
      <c r="E193" s="70">
        <f>-(-(E194+E195)-E196)</f>
        <v>76157.919899999994</v>
      </c>
      <c r="F193" s="69"/>
      <c r="G193" s="35">
        <f t="shared" ref="G193:P193" si="40">-(-(G194+G195)-G196)</f>
        <v>3578.0104200000001</v>
      </c>
      <c r="H193" s="35">
        <f t="shared" si="40"/>
        <v>72569.525269999998</v>
      </c>
      <c r="I193" s="35">
        <f t="shared" si="40"/>
        <v>4.2999999999999999E-4</v>
      </c>
      <c r="J193" s="35">
        <f t="shared" si="40"/>
        <v>0</v>
      </c>
      <c r="K193" s="35">
        <f t="shared" si="40"/>
        <v>-2.0000000000000002E-5</v>
      </c>
      <c r="L193" s="35">
        <f t="shared" si="40"/>
        <v>3.8000000000000002E-4</v>
      </c>
      <c r="M193" s="35">
        <f t="shared" si="40"/>
        <v>-1E-3</v>
      </c>
      <c r="N193" s="35">
        <f t="shared" si="40"/>
        <v>0</v>
      </c>
      <c r="O193" s="35">
        <f t="shared" si="40"/>
        <v>-6.4000000000000005E-4</v>
      </c>
      <c r="P193" s="35">
        <f t="shared" si="40"/>
        <v>10.385059999999999</v>
      </c>
      <c r="Q193" s="13"/>
      <c r="R193" s="13"/>
      <c r="S193" s="13"/>
      <c r="T193" s="13"/>
      <c r="U193" s="13"/>
      <c r="V193" s="13"/>
      <c r="W193" s="13"/>
      <c r="X193" s="13"/>
    </row>
    <row r="194" spans="2:24" ht="16" customHeight="1" x14ac:dyDescent="0.45">
      <c r="B194" s="14" t="s">
        <v>969</v>
      </c>
      <c r="C194" s="14" t="s">
        <v>970</v>
      </c>
      <c r="D194" s="61"/>
      <c r="E194" s="62">
        <v>76361.240319999997</v>
      </c>
      <c r="F194" s="61"/>
      <c r="G194" s="15">
        <v>3578.0104200000001</v>
      </c>
      <c r="H194" s="15">
        <v>72772.845690000002</v>
      </c>
      <c r="I194" s="15">
        <v>4.2999999999999999E-4</v>
      </c>
      <c r="J194" s="15">
        <v>0</v>
      </c>
      <c r="K194" s="15">
        <v>-2.0000000000000002E-5</v>
      </c>
      <c r="L194" s="15">
        <v>3.8000000000000002E-4</v>
      </c>
      <c r="M194" s="15">
        <v>-1E-3</v>
      </c>
      <c r="N194" s="15">
        <v>0</v>
      </c>
      <c r="O194" s="15">
        <v>-6.4000000000000005E-4</v>
      </c>
      <c r="P194" s="15">
        <v>10.385059999999999</v>
      </c>
      <c r="Q194" s="13"/>
      <c r="R194" s="13"/>
      <c r="S194" s="13"/>
      <c r="T194" s="13"/>
      <c r="U194" s="13"/>
      <c r="V194" s="13"/>
      <c r="W194" s="13"/>
      <c r="X194" s="13"/>
    </row>
    <row r="195" spans="2:24" ht="16" customHeight="1" x14ac:dyDescent="0.45">
      <c r="B195" s="14" t="s">
        <v>971</v>
      </c>
      <c r="C195" s="14" t="s">
        <v>972</v>
      </c>
      <c r="D195" s="61"/>
      <c r="E195" s="62">
        <v>-203.32042000000001</v>
      </c>
      <c r="F195" s="61"/>
      <c r="G195" s="15"/>
      <c r="H195" s="15">
        <v>-203.32042000000001</v>
      </c>
      <c r="I195" s="15"/>
      <c r="J195" s="15"/>
      <c r="K195" s="15"/>
      <c r="L195" s="15"/>
      <c r="M195" s="15"/>
      <c r="N195" s="15"/>
      <c r="O195" s="15"/>
      <c r="P195" s="15"/>
      <c r="Q195" s="13"/>
      <c r="R195" s="13"/>
      <c r="S195" s="13"/>
      <c r="T195" s="13"/>
      <c r="U195" s="13"/>
      <c r="V195" s="13"/>
      <c r="W195" s="13"/>
      <c r="X195" s="13"/>
    </row>
    <row r="196" spans="2:24" ht="16" customHeight="1" x14ac:dyDescent="0.45">
      <c r="B196" s="14" t="s">
        <v>973</v>
      </c>
      <c r="C196" s="14" t="s">
        <v>974</v>
      </c>
      <c r="D196" s="61"/>
      <c r="E196" s="62"/>
      <c r="F196" s="61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3"/>
      <c r="R196" s="13"/>
      <c r="S196" s="13"/>
      <c r="T196" s="13"/>
      <c r="U196" s="13"/>
      <c r="V196" s="13"/>
      <c r="W196" s="13"/>
      <c r="X196" s="13"/>
    </row>
    <row r="197" spans="2:24" ht="16" customHeight="1" x14ac:dyDescent="0.45">
      <c r="B197" s="11" t="s">
        <v>1568</v>
      </c>
      <c r="C197" s="11" t="s">
        <v>22</v>
      </c>
      <c r="D197" s="29"/>
      <c r="E197" s="60"/>
      <c r="F197" s="29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3"/>
      <c r="R197" s="13"/>
      <c r="S197" s="13"/>
      <c r="T197" s="13"/>
      <c r="U197" s="13"/>
      <c r="V197" s="13"/>
      <c r="W197" s="13"/>
      <c r="X197" s="13"/>
    </row>
    <row r="198" spans="2:24" ht="16" customHeight="1" x14ac:dyDescent="0.45">
      <c r="B198" s="34" t="s">
        <v>975</v>
      </c>
      <c r="C198" s="34" t="s">
        <v>976</v>
      </c>
      <c r="D198" s="69"/>
      <c r="E198" s="70">
        <f>E199+E200</f>
        <v>-6889.3020300000007</v>
      </c>
      <c r="F198" s="69"/>
      <c r="G198" s="35">
        <f t="shared" ref="G198:P198" si="41">G199+G200</f>
        <v>0</v>
      </c>
      <c r="H198" s="35">
        <f t="shared" si="41"/>
        <v>-5534.6096099999995</v>
      </c>
      <c r="I198" s="35">
        <f t="shared" si="41"/>
        <v>-376.04451000000006</v>
      </c>
      <c r="J198" s="35">
        <f t="shared" si="41"/>
        <v>-546.76886000000002</v>
      </c>
      <c r="K198" s="35">
        <f t="shared" si="41"/>
        <v>-101.38464</v>
      </c>
      <c r="L198" s="35">
        <f t="shared" si="41"/>
        <v>-181.69457</v>
      </c>
      <c r="M198" s="35">
        <f t="shared" si="41"/>
        <v>0</v>
      </c>
      <c r="N198" s="35">
        <f t="shared" si="41"/>
        <v>-148.79983999999999</v>
      </c>
      <c r="O198" s="35">
        <f t="shared" si="41"/>
        <v>0</v>
      </c>
      <c r="P198" s="35">
        <f t="shared" si="41"/>
        <v>0</v>
      </c>
      <c r="Q198" s="13"/>
      <c r="R198" s="13"/>
      <c r="S198" s="13"/>
      <c r="T198" s="13"/>
      <c r="U198" s="13"/>
      <c r="V198" s="13"/>
      <c r="W198" s="13"/>
      <c r="X198" s="13"/>
    </row>
    <row r="199" spans="2:24" ht="16" customHeight="1" x14ac:dyDescent="0.45">
      <c r="B199" s="14" t="s">
        <v>1484</v>
      </c>
      <c r="C199" s="14" t="s">
        <v>978</v>
      </c>
      <c r="D199" s="61"/>
      <c r="E199" s="62">
        <v>-8474.1310300000005</v>
      </c>
      <c r="F199" s="61"/>
      <c r="G199" s="15"/>
      <c r="H199" s="15">
        <v>-6309.94632</v>
      </c>
      <c r="I199" s="15">
        <v>-1063.4434000000001</v>
      </c>
      <c r="J199" s="15">
        <v>-602.12405999999999</v>
      </c>
      <c r="K199" s="15">
        <v>-111.3165</v>
      </c>
      <c r="L199" s="15">
        <v>-209.69612000000001</v>
      </c>
      <c r="M199" s="15"/>
      <c r="N199" s="15">
        <v>-177.60462999999999</v>
      </c>
      <c r="O199" s="15"/>
      <c r="P199" s="15"/>
      <c r="Q199" s="13"/>
      <c r="R199" s="13"/>
      <c r="S199" s="13"/>
      <c r="T199" s="13"/>
      <c r="U199" s="13"/>
      <c r="V199" s="13"/>
      <c r="W199" s="13"/>
      <c r="X199" s="13"/>
    </row>
    <row r="200" spans="2:24" ht="16" customHeight="1" x14ac:dyDescent="0.45">
      <c r="B200" s="14" t="s">
        <v>1499</v>
      </c>
      <c r="C200" s="14" t="s">
        <v>980</v>
      </c>
      <c r="D200" s="61"/>
      <c r="E200" s="62">
        <v>1584.829</v>
      </c>
      <c r="F200" s="61"/>
      <c r="G200" s="15"/>
      <c r="H200" s="15">
        <v>775.33671000000004</v>
      </c>
      <c r="I200" s="15">
        <v>687.39889000000005</v>
      </c>
      <c r="J200" s="15">
        <v>55.355200000000004</v>
      </c>
      <c r="K200" s="15">
        <v>9.9318600000000004</v>
      </c>
      <c r="L200" s="15">
        <v>28.001550000000002</v>
      </c>
      <c r="M200" s="15"/>
      <c r="N200" s="15">
        <v>28.804790000000001</v>
      </c>
      <c r="O200" s="15"/>
      <c r="P200" s="15"/>
      <c r="Q200" s="13"/>
      <c r="R200" s="13"/>
      <c r="S200" s="13"/>
      <c r="T200" s="13"/>
      <c r="U200" s="13"/>
      <c r="V200" s="13"/>
      <c r="W200" s="13"/>
      <c r="X200" s="13"/>
    </row>
    <row r="201" spans="2:24" ht="16" customHeight="1" x14ac:dyDescent="0.45">
      <c r="B201" s="11" t="s">
        <v>1569</v>
      </c>
      <c r="C201" s="11" t="s">
        <v>22</v>
      </c>
      <c r="D201" s="29"/>
      <c r="E201" s="60"/>
      <c r="F201" s="29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3"/>
      <c r="R201" s="13"/>
      <c r="S201" s="13"/>
      <c r="T201" s="13"/>
      <c r="U201" s="13"/>
      <c r="V201" s="13"/>
      <c r="W201" s="13"/>
      <c r="X201" s="13"/>
    </row>
    <row r="202" spans="2:24" ht="16" customHeight="1" x14ac:dyDescent="0.45">
      <c r="B202" s="34" t="s">
        <v>1570</v>
      </c>
      <c r="C202" s="34" t="s">
        <v>981</v>
      </c>
      <c r="D202" s="69"/>
      <c r="E202" s="70">
        <f>E204+E208</f>
        <v>-32.11</v>
      </c>
      <c r="F202" s="69"/>
      <c r="G202" s="35">
        <f t="shared" ref="G202:P202" si="42">G204+G208</f>
        <v>43.197000000000003</v>
      </c>
      <c r="H202" s="35">
        <f t="shared" si="42"/>
        <v>-98696.385999999999</v>
      </c>
      <c r="I202" s="35">
        <f t="shared" si="42"/>
        <v>46784.315000000002</v>
      </c>
      <c r="J202" s="35">
        <f t="shared" si="42"/>
        <v>50071.332999999999</v>
      </c>
      <c r="K202" s="35">
        <f t="shared" si="42"/>
        <v>27114.149000000001</v>
      </c>
      <c r="L202" s="35">
        <f t="shared" si="42"/>
        <v>-13890.563</v>
      </c>
      <c r="M202" s="35">
        <f t="shared" si="42"/>
        <v>-808.09799999999996</v>
      </c>
      <c r="N202" s="35">
        <f t="shared" si="42"/>
        <v>323.85399999999998</v>
      </c>
      <c r="O202" s="35">
        <f t="shared" si="42"/>
        <v>1.9330000000000001</v>
      </c>
      <c r="P202" s="35">
        <f t="shared" si="42"/>
        <v>-10975.843999999999</v>
      </c>
      <c r="Q202" s="13"/>
      <c r="R202" s="13"/>
      <c r="S202" s="13"/>
      <c r="T202" s="13"/>
      <c r="U202" s="13"/>
      <c r="V202" s="13"/>
      <c r="W202" s="13"/>
      <c r="X202" s="13"/>
    </row>
    <row r="203" spans="2:24" ht="16" customHeight="1" x14ac:dyDescent="0.45">
      <c r="B203" s="11" t="s">
        <v>1571</v>
      </c>
      <c r="C203" s="11" t="s">
        <v>22</v>
      </c>
      <c r="D203" s="29"/>
      <c r="E203" s="60"/>
      <c r="F203" s="29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3"/>
      <c r="R203" s="13"/>
      <c r="S203" s="13"/>
      <c r="T203" s="13"/>
      <c r="U203" s="13"/>
      <c r="V203" s="13"/>
      <c r="W203" s="13"/>
      <c r="X203" s="13"/>
    </row>
    <row r="204" spans="2:24" ht="16" customHeight="1" x14ac:dyDescent="0.45">
      <c r="B204" s="34" t="s">
        <v>1572</v>
      </c>
      <c r="C204" s="34" t="s">
        <v>982</v>
      </c>
      <c r="D204" s="69"/>
      <c r="E204" s="70">
        <f>E205+E206</f>
        <v>0</v>
      </c>
      <c r="F204" s="69"/>
      <c r="G204" s="35">
        <f t="shared" ref="G204:P204" si="43">G205+G206</f>
        <v>0</v>
      </c>
      <c r="H204" s="35">
        <f t="shared" si="43"/>
        <v>0</v>
      </c>
      <c r="I204" s="35">
        <f t="shared" si="43"/>
        <v>0</v>
      </c>
      <c r="J204" s="35">
        <f t="shared" si="43"/>
        <v>0</v>
      </c>
      <c r="K204" s="35">
        <f t="shared" si="43"/>
        <v>0</v>
      </c>
      <c r="L204" s="35">
        <f t="shared" si="43"/>
        <v>0</v>
      </c>
      <c r="M204" s="35">
        <f t="shared" si="43"/>
        <v>0</v>
      </c>
      <c r="N204" s="35">
        <f t="shared" si="43"/>
        <v>0</v>
      </c>
      <c r="O204" s="35">
        <f t="shared" si="43"/>
        <v>0</v>
      </c>
      <c r="P204" s="35">
        <f t="shared" si="43"/>
        <v>0</v>
      </c>
      <c r="Q204" s="13"/>
      <c r="R204" s="13"/>
      <c r="S204" s="13"/>
      <c r="T204" s="13"/>
      <c r="U204" s="13"/>
      <c r="V204" s="13"/>
      <c r="W204" s="13"/>
      <c r="X204" s="13"/>
    </row>
    <row r="205" spans="2:24" ht="16" customHeight="1" x14ac:dyDescent="0.45">
      <c r="B205" s="14" t="s">
        <v>983</v>
      </c>
      <c r="C205" s="14" t="s">
        <v>984</v>
      </c>
      <c r="D205" s="61"/>
      <c r="E205" s="62"/>
      <c r="F205" s="61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3"/>
      <c r="R205" s="13"/>
      <c r="S205" s="13"/>
      <c r="T205" s="13"/>
      <c r="U205" s="13"/>
      <c r="V205" s="13"/>
      <c r="W205" s="13"/>
      <c r="X205" s="13"/>
    </row>
    <row r="206" spans="2:24" ht="16" customHeight="1" x14ac:dyDescent="0.45">
      <c r="B206" s="14" t="s">
        <v>985</v>
      </c>
      <c r="C206" s="14" t="s">
        <v>986</v>
      </c>
      <c r="D206" s="61"/>
      <c r="E206" s="62"/>
      <c r="F206" s="61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3"/>
      <c r="R206" s="13"/>
      <c r="S206" s="13"/>
      <c r="T206" s="13"/>
      <c r="U206" s="13"/>
      <c r="V206" s="13"/>
      <c r="W206" s="13"/>
      <c r="X206" s="13"/>
    </row>
    <row r="207" spans="2:24" ht="16" customHeight="1" x14ac:dyDescent="0.45">
      <c r="B207" s="11" t="s">
        <v>1573</v>
      </c>
      <c r="C207" s="11" t="s">
        <v>22</v>
      </c>
      <c r="D207" s="29"/>
      <c r="E207" s="60"/>
      <c r="F207" s="29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3"/>
      <c r="R207" s="13"/>
      <c r="S207" s="13"/>
      <c r="T207" s="13"/>
      <c r="U207" s="13"/>
      <c r="V207" s="13"/>
      <c r="W207" s="13"/>
      <c r="X207" s="13"/>
    </row>
    <row r="208" spans="2:24" ht="16" customHeight="1" x14ac:dyDescent="0.45">
      <c r="B208" s="34" t="s">
        <v>1574</v>
      </c>
      <c r="C208" s="34" t="s">
        <v>987</v>
      </c>
      <c r="D208" s="69"/>
      <c r="E208" s="70">
        <f>-(-(E209+E210)-E211)</f>
        <v>-32.11</v>
      </c>
      <c r="F208" s="69"/>
      <c r="G208" s="35">
        <f t="shared" ref="G208:P208" si="44">-(-(G209+G210)-G211)</f>
        <v>43.197000000000003</v>
      </c>
      <c r="H208" s="35">
        <f t="shared" si="44"/>
        <v>-98696.385999999999</v>
      </c>
      <c r="I208" s="35">
        <f t="shared" si="44"/>
        <v>46784.315000000002</v>
      </c>
      <c r="J208" s="35">
        <f t="shared" si="44"/>
        <v>50071.332999999999</v>
      </c>
      <c r="K208" s="35">
        <f t="shared" si="44"/>
        <v>27114.149000000001</v>
      </c>
      <c r="L208" s="35">
        <f t="shared" si="44"/>
        <v>-13890.563</v>
      </c>
      <c r="M208" s="35">
        <f t="shared" si="44"/>
        <v>-808.09799999999996</v>
      </c>
      <c r="N208" s="35">
        <f t="shared" si="44"/>
        <v>323.85399999999998</v>
      </c>
      <c r="O208" s="35">
        <f t="shared" si="44"/>
        <v>1.9330000000000001</v>
      </c>
      <c r="P208" s="35">
        <f t="shared" si="44"/>
        <v>-10975.843999999999</v>
      </c>
      <c r="Q208" s="13"/>
      <c r="R208" s="13"/>
      <c r="S208" s="13"/>
      <c r="T208" s="13"/>
      <c r="U208" s="13"/>
      <c r="V208" s="13"/>
      <c r="W208" s="13"/>
      <c r="X208" s="13"/>
    </row>
    <row r="209" spans="2:24" ht="16" customHeight="1" x14ac:dyDescent="0.45">
      <c r="B209" s="14" t="s">
        <v>988</v>
      </c>
      <c r="C209" s="14" t="s">
        <v>989</v>
      </c>
      <c r="D209" s="61"/>
      <c r="E209" s="62"/>
      <c r="F209" s="61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3"/>
      <c r="R209" s="13"/>
      <c r="S209" s="13"/>
      <c r="T209" s="13"/>
      <c r="U209" s="13"/>
      <c r="V209" s="13"/>
      <c r="W209" s="13"/>
      <c r="X209" s="13"/>
    </row>
    <row r="210" spans="2:24" ht="16" customHeight="1" x14ac:dyDescent="0.45">
      <c r="B210" s="14" t="s">
        <v>990</v>
      </c>
      <c r="C210" s="14" t="s">
        <v>991</v>
      </c>
      <c r="D210" s="61"/>
      <c r="E210" s="62"/>
      <c r="F210" s="61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3"/>
      <c r="R210" s="13"/>
      <c r="S210" s="13"/>
      <c r="T210" s="13"/>
      <c r="U210" s="13"/>
      <c r="V210" s="13"/>
      <c r="W210" s="13"/>
      <c r="X210" s="13"/>
    </row>
    <row r="211" spans="2:24" ht="16" customHeight="1" x14ac:dyDescent="0.45">
      <c r="B211" s="14" t="s">
        <v>992</v>
      </c>
      <c r="C211" s="14" t="s">
        <v>993</v>
      </c>
      <c r="D211" s="61"/>
      <c r="E211" s="62">
        <v>-32.11</v>
      </c>
      <c r="F211" s="61"/>
      <c r="G211" s="15">
        <v>43.197000000000003</v>
      </c>
      <c r="H211" s="15">
        <v>-98696.385999999999</v>
      </c>
      <c r="I211" s="15">
        <v>46784.315000000002</v>
      </c>
      <c r="J211" s="15">
        <v>50071.332999999999</v>
      </c>
      <c r="K211" s="15">
        <v>27114.149000000001</v>
      </c>
      <c r="L211" s="15">
        <v>-13890.563</v>
      </c>
      <c r="M211" s="15">
        <v>-808.09799999999996</v>
      </c>
      <c r="N211" s="15">
        <v>323.85399999999998</v>
      </c>
      <c r="O211" s="15">
        <v>1.9330000000000001</v>
      </c>
      <c r="P211" s="15">
        <v>-10975.843999999999</v>
      </c>
      <c r="Q211" s="13"/>
      <c r="R211" s="13"/>
      <c r="S211" s="13"/>
      <c r="T211" s="13"/>
      <c r="U211" s="13"/>
      <c r="V211" s="13"/>
      <c r="W211" s="13"/>
      <c r="X211" s="13"/>
    </row>
    <row r="212" spans="2:24" ht="16" customHeight="1" x14ac:dyDescent="0.45">
      <c r="B212" s="11" t="s">
        <v>1575</v>
      </c>
      <c r="C212" s="11" t="s">
        <v>22</v>
      </c>
      <c r="D212" s="29"/>
      <c r="E212" s="60"/>
      <c r="F212" s="29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3"/>
      <c r="R212" s="13"/>
      <c r="S212" s="13"/>
      <c r="T212" s="13"/>
      <c r="U212" s="13"/>
      <c r="V212" s="13"/>
      <c r="W212" s="13"/>
      <c r="X212" s="13"/>
    </row>
    <row r="213" spans="2:24" ht="16" customHeight="1" x14ac:dyDescent="0.45">
      <c r="B213" s="40" t="s">
        <v>1576</v>
      </c>
      <c r="C213" s="40" t="s">
        <v>994</v>
      </c>
      <c r="D213" s="53"/>
      <c r="E213" s="53">
        <f>E165+E170+E174+E176+E178+E180+E184+E191</f>
        <v>69236.507869999987</v>
      </c>
      <c r="F213" s="53"/>
      <c r="G213" s="24">
        <f t="shared" ref="G213:P213" si="45">G165+G170+G174+G176+G178+G180+G184+G191</f>
        <v>3621.2074200000002</v>
      </c>
      <c r="H213" s="24">
        <f t="shared" si="45"/>
        <v>-31661.47034</v>
      </c>
      <c r="I213" s="24">
        <f t="shared" si="45"/>
        <v>46408.270920000003</v>
      </c>
      <c r="J213" s="24">
        <f t="shared" si="45"/>
        <v>49524.564140000002</v>
      </c>
      <c r="K213" s="24">
        <f t="shared" si="45"/>
        <v>27012.764340000002</v>
      </c>
      <c r="L213" s="24">
        <f t="shared" si="45"/>
        <v>-14072.25719</v>
      </c>
      <c r="M213" s="24">
        <f t="shared" si="45"/>
        <v>-808.09899999999993</v>
      </c>
      <c r="N213" s="24">
        <f t="shared" si="45"/>
        <v>175.05416</v>
      </c>
      <c r="O213" s="24">
        <f t="shared" si="45"/>
        <v>1.9323600000000001</v>
      </c>
      <c r="P213" s="24">
        <f t="shared" si="45"/>
        <v>-10965.458939999999</v>
      </c>
      <c r="Q213" s="13"/>
      <c r="R213" s="13"/>
      <c r="S213" s="13"/>
      <c r="T213" s="13"/>
      <c r="U213" s="13"/>
      <c r="V213" s="13"/>
      <c r="W213" s="13"/>
      <c r="X213" s="13"/>
    </row>
    <row r="214" spans="2:24" ht="16" customHeight="1" x14ac:dyDescent="0.45">
      <c r="B214" s="11" t="s">
        <v>1577</v>
      </c>
      <c r="C214" s="11" t="s">
        <v>22</v>
      </c>
      <c r="D214" s="29"/>
      <c r="E214" s="60"/>
      <c r="F214" s="29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3"/>
      <c r="R214" s="13"/>
      <c r="S214" s="13"/>
      <c r="T214" s="13"/>
      <c r="U214" s="13"/>
      <c r="V214" s="13"/>
      <c r="W214" s="13"/>
      <c r="X214" s="13"/>
    </row>
    <row r="215" spans="2:24" ht="16" customHeight="1" x14ac:dyDescent="0.45">
      <c r="B215" s="40" t="s">
        <v>995</v>
      </c>
      <c r="C215" s="40" t="s">
        <v>996</v>
      </c>
      <c r="D215" s="53"/>
      <c r="E215" s="53">
        <f>E102+E161+E213</f>
        <v>873.71947000005457</v>
      </c>
      <c r="F215" s="53"/>
      <c r="G215" s="24">
        <f t="shared" ref="G215:P215" si="46">G102+G161+G213</f>
        <v>9.9000000000160071E-4</v>
      </c>
      <c r="H215" s="24">
        <f t="shared" si="46"/>
        <v>883.23867000002065</v>
      </c>
      <c r="I215" s="24">
        <f t="shared" si="46"/>
        <v>-2.6699999943957664E-3</v>
      </c>
      <c r="J215" s="24">
        <f t="shared" si="46"/>
        <v>-1.009999992675148E-3</v>
      </c>
      <c r="K215" s="24">
        <f t="shared" si="46"/>
        <v>0</v>
      </c>
      <c r="L215" s="24">
        <f t="shared" si="46"/>
        <v>1.0000000020227162E-3</v>
      </c>
      <c r="M215" s="24">
        <f t="shared" si="46"/>
        <v>0</v>
      </c>
      <c r="N215" s="24">
        <f t="shared" si="46"/>
        <v>0</v>
      </c>
      <c r="O215" s="24">
        <f t="shared" si="46"/>
        <v>9.9999999987421262E-4</v>
      </c>
      <c r="P215" s="24">
        <f t="shared" si="46"/>
        <v>-9.5185099999980594</v>
      </c>
      <c r="Q215" s="13"/>
      <c r="R215" s="13"/>
      <c r="S215" s="13"/>
      <c r="T215" s="13"/>
      <c r="U215" s="13"/>
      <c r="V215" s="13"/>
      <c r="W215" s="13"/>
      <c r="X215" s="13"/>
    </row>
    <row r="216" spans="2:24" ht="16" customHeight="1" x14ac:dyDescent="0.45">
      <c r="B216" s="11" t="s">
        <v>1578</v>
      </c>
      <c r="C216" s="11" t="s">
        <v>22</v>
      </c>
      <c r="D216" s="29"/>
      <c r="E216" s="60"/>
      <c r="F216" s="29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3"/>
      <c r="R216" s="13"/>
      <c r="S216" s="13"/>
      <c r="T216" s="13"/>
      <c r="U216" s="13"/>
      <c r="V216" s="13"/>
      <c r="W216" s="13"/>
      <c r="X216" s="13"/>
    </row>
    <row r="217" spans="2:24" ht="16" customHeight="1" x14ac:dyDescent="0.45">
      <c r="B217" s="14" t="s">
        <v>997</v>
      </c>
      <c r="C217" s="14" t="s">
        <v>998</v>
      </c>
      <c r="D217" s="61"/>
      <c r="E217" s="62">
        <v>1955.4903200000001</v>
      </c>
      <c r="F217" s="61"/>
      <c r="G217" s="15"/>
      <c r="H217" s="15">
        <v>1945.9718</v>
      </c>
      <c r="I217" s="15"/>
      <c r="J217" s="15"/>
      <c r="K217" s="15"/>
      <c r="L217" s="15"/>
      <c r="M217" s="15"/>
      <c r="N217" s="15"/>
      <c r="O217" s="15"/>
      <c r="P217" s="15">
        <v>9.5185200000000005</v>
      </c>
      <c r="Q217" s="13"/>
      <c r="R217" s="13"/>
      <c r="S217" s="13"/>
      <c r="T217" s="13"/>
      <c r="U217" s="13"/>
      <c r="V217" s="13"/>
      <c r="W217" s="13"/>
      <c r="X217" s="13"/>
    </row>
    <row r="218" spans="2:24" ht="16" customHeight="1" x14ac:dyDescent="0.45">
      <c r="B218" s="14" t="s">
        <v>999</v>
      </c>
      <c r="C218" s="14" t="s">
        <v>996</v>
      </c>
      <c r="D218" s="61"/>
      <c r="E218" s="62">
        <f>E220-E219-E217</f>
        <v>873.71523999999977</v>
      </c>
      <c r="F218" s="61"/>
      <c r="G218" s="15">
        <f t="shared" ref="G218:P218" si="47">G220-G219-G217</f>
        <v>0</v>
      </c>
      <c r="H218" s="15">
        <f t="shared" si="47"/>
        <v>883.23375999999985</v>
      </c>
      <c r="I218" s="15">
        <f t="shared" si="47"/>
        <v>0</v>
      </c>
      <c r="J218" s="15">
        <f t="shared" si="47"/>
        <v>0</v>
      </c>
      <c r="K218" s="15">
        <f t="shared" si="47"/>
        <v>0</v>
      </c>
      <c r="L218" s="15">
        <f t="shared" si="47"/>
        <v>0</v>
      </c>
      <c r="M218" s="15">
        <f t="shared" si="47"/>
        <v>0</v>
      </c>
      <c r="N218" s="15">
        <f t="shared" si="47"/>
        <v>0</v>
      </c>
      <c r="O218" s="15">
        <f t="shared" si="47"/>
        <v>0</v>
      </c>
      <c r="P218" s="15">
        <f t="shared" si="47"/>
        <v>-9.5185200000000005</v>
      </c>
      <c r="Q218" s="13"/>
      <c r="R218" s="13"/>
      <c r="S218" s="13"/>
      <c r="T218" s="13"/>
      <c r="U218" s="13"/>
      <c r="V218" s="13"/>
      <c r="W218" s="13"/>
      <c r="X218" s="13"/>
    </row>
    <row r="219" spans="2:24" ht="16" customHeight="1" x14ac:dyDescent="0.45">
      <c r="B219" s="14" t="s">
        <v>1000</v>
      </c>
      <c r="C219" s="14" t="s">
        <v>1001</v>
      </c>
      <c r="D219" s="61"/>
      <c r="E219" s="62"/>
      <c r="F219" s="61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3"/>
      <c r="R219" s="13"/>
      <c r="S219" s="13"/>
      <c r="T219" s="13"/>
      <c r="U219" s="13"/>
      <c r="V219" s="13"/>
      <c r="W219" s="13"/>
      <c r="X219" s="13"/>
    </row>
    <row r="220" spans="2:24" ht="16" customHeight="1" x14ac:dyDescent="0.45">
      <c r="B220" s="14" t="s">
        <v>1002</v>
      </c>
      <c r="C220" s="14" t="s">
        <v>1003</v>
      </c>
      <c r="D220" s="61"/>
      <c r="E220" s="62">
        <v>2829.2055599999999</v>
      </c>
      <c r="F220" s="61"/>
      <c r="G220" s="15"/>
      <c r="H220" s="15">
        <v>2829.2055599999999</v>
      </c>
      <c r="I220" s="15"/>
      <c r="J220" s="15"/>
      <c r="K220" s="15"/>
      <c r="L220" s="15"/>
      <c r="M220" s="15"/>
      <c r="N220" s="15"/>
      <c r="O220" s="15"/>
      <c r="P220" s="15"/>
      <c r="Q220" s="13"/>
      <c r="R220" s="13"/>
      <c r="S220" s="13"/>
      <c r="T220" s="13"/>
      <c r="U220" s="13"/>
      <c r="V220" s="13"/>
      <c r="W220" s="13"/>
      <c r="X220" s="13"/>
    </row>
    <row r="221" spans="2:24" ht="16" customHeight="1" x14ac:dyDescent="0.45">
      <c r="B221" s="11" t="s">
        <v>1579</v>
      </c>
      <c r="C221" s="11" t="s">
        <v>22</v>
      </c>
      <c r="D221" s="29"/>
      <c r="E221" s="60"/>
      <c r="F221" s="29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3"/>
      <c r="R221" s="13"/>
      <c r="S221" s="13"/>
      <c r="T221" s="13"/>
      <c r="U221" s="13"/>
      <c r="V221" s="13"/>
      <c r="W221" s="13"/>
      <c r="X221" s="13"/>
    </row>
    <row r="222" spans="2:24" ht="16" customHeight="1" x14ac:dyDescent="0.45">
      <c r="B222" s="11" t="s">
        <v>1580</v>
      </c>
      <c r="C222" s="11" t="s">
        <v>22</v>
      </c>
      <c r="D222" s="29"/>
      <c r="E222" s="60"/>
      <c r="F222" s="29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3"/>
      <c r="R222" s="13"/>
      <c r="S222" s="13"/>
      <c r="T222" s="13"/>
      <c r="U222" s="13"/>
      <c r="V222" s="13"/>
      <c r="W222" s="13"/>
      <c r="X222" s="13"/>
    </row>
    <row r="223" spans="2:24" ht="16" customHeight="1" x14ac:dyDescent="0.45">
      <c r="B223" s="36" t="s">
        <v>1581</v>
      </c>
      <c r="C223" s="36" t="s">
        <v>751</v>
      </c>
      <c r="D223" s="71"/>
      <c r="E223" s="72">
        <f>E215-E218</f>
        <v>4.2300000548038952E-3</v>
      </c>
      <c r="F223" s="71"/>
      <c r="G223" s="37">
        <f t="shared" ref="G223:P223" si="48">G215-G218</f>
        <v>9.9000000000160071E-4</v>
      </c>
      <c r="H223" s="37">
        <f t="shared" si="48"/>
        <v>4.9100000207999983E-3</v>
      </c>
      <c r="I223" s="37">
        <f t="shared" si="48"/>
        <v>-2.6699999943957664E-3</v>
      </c>
      <c r="J223" s="37">
        <f t="shared" si="48"/>
        <v>-1.009999992675148E-3</v>
      </c>
      <c r="K223" s="37">
        <f t="shared" si="48"/>
        <v>0</v>
      </c>
      <c r="L223" s="37">
        <f t="shared" si="48"/>
        <v>1.0000000020227162E-3</v>
      </c>
      <c r="M223" s="37">
        <f t="shared" si="48"/>
        <v>0</v>
      </c>
      <c r="N223" s="37">
        <f t="shared" si="48"/>
        <v>0</v>
      </c>
      <c r="O223" s="37">
        <f t="shared" si="48"/>
        <v>9.9999999987421262E-4</v>
      </c>
      <c r="P223" s="37">
        <f t="shared" si="48"/>
        <v>1.0000001941179448E-5</v>
      </c>
      <c r="Q223" s="13"/>
      <c r="R223" s="13"/>
      <c r="S223" s="13"/>
      <c r="T223" s="13"/>
      <c r="U223" s="13"/>
      <c r="V223" s="13"/>
      <c r="W223" s="13"/>
      <c r="X223" s="13"/>
    </row>
    <row r="224" spans="2:24" ht="16" customHeight="1" x14ac:dyDescent="0.45">
      <c r="B224" s="11" t="s">
        <v>1582</v>
      </c>
      <c r="C224" s="11" t="s">
        <v>22</v>
      </c>
      <c r="D224" s="29"/>
      <c r="E224" s="60"/>
      <c r="F224" s="29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3"/>
      <c r="R224" s="13"/>
      <c r="S224" s="13"/>
      <c r="T224" s="13"/>
      <c r="U224" s="13"/>
      <c r="V224" s="13"/>
      <c r="W224" s="13"/>
      <c r="X224" s="13"/>
    </row>
    <row r="225" spans="2:24" ht="16" customHeight="1" x14ac:dyDescent="0.45">
      <c r="B225" s="11" t="s">
        <v>1583</v>
      </c>
      <c r="C225" s="11" t="s">
        <v>22</v>
      </c>
      <c r="D225" s="29"/>
      <c r="E225" s="60"/>
      <c r="F225" s="29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3"/>
      <c r="R225" s="13"/>
      <c r="S225" s="13"/>
      <c r="T225" s="13"/>
      <c r="U225" s="13"/>
      <c r="V225" s="13"/>
      <c r="W225" s="13"/>
      <c r="X225" s="13"/>
    </row>
    <row r="226" spans="2:24" ht="16" customHeight="1" x14ac:dyDescent="0.45">
      <c r="B226" s="34" t="s">
        <v>1584</v>
      </c>
      <c r="C226" s="34" t="s">
        <v>1004</v>
      </c>
      <c r="D226" s="69"/>
      <c r="E226" s="70"/>
      <c r="F226" s="69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13"/>
      <c r="R226" s="13"/>
      <c r="S226" s="13"/>
      <c r="T226" s="13"/>
      <c r="U226" s="13"/>
      <c r="V226" s="13"/>
      <c r="W226" s="13"/>
      <c r="X226" s="13"/>
    </row>
    <row r="227" spans="2:24" ht="16" customHeight="1" x14ac:dyDescent="0.45">
      <c r="B227" s="11" t="s">
        <v>1585</v>
      </c>
      <c r="C227" s="11" t="s">
        <v>22</v>
      </c>
      <c r="D227" s="29"/>
      <c r="E227" s="60"/>
      <c r="F227" s="29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3"/>
      <c r="R227" s="13"/>
      <c r="S227" s="13"/>
      <c r="T227" s="13"/>
      <c r="U227" s="13"/>
      <c r="V227" s="13"/>
      <c r="W227" s="13"/>
      <c r="X227" s="13"/>
    </row>
    <row r="228" spans="2:24" ht="16" customHeight="1" x14ac:dyDescent="0.45">
      <c r="B228" s="14" t="s">
        <v>1586</v>
      </c>
      <c r="C228" s="14" t="s">
        <v>890</v>
      </c>
      <c r="D228" s="61"/>
      <c r="E228" s="62">
        <f>E126</f>
        <v>-206424.55327</v>
      </c>
      <c r="F228" s="61"/>
      <c r="G228" s="15">
        <f t="shared" ref="G228:P228" si="49">G126</f>
        <v>0</v>
      </c>
      <c r="H228" s="15">
        <f t="shared" si="49"/>
        <v>-145295.34867000001</v>
      </c>
      <c r="I228" s="15">
        <f t="shared" si="49"/>
        <v>-1740.4931300000001</v>
      </c>
      <c r="J228" s="15">
        <f t="shared" si="49"/>
        <v>-27202.179980000001</v>
      </c>
      <c r="K228" s="15">
        <f t="shared" si="49"/>
        <v>-19716.5988</v>
      </c>
      <c r="L228" s="15">
        <f t="shared" si="49"/>
        <v>-12278.371419999999</v>
      </c>
      <c r="M228" s="15">
        <f t="shared" si="49"/>
        <v>0</v>
      </c>
      <c r="N228" s="15">
        <f t="shared" si="49"/>
        <v>0</v>
      </c>
      <c r="O228" s="15">
        <f t="shared" si="49"/>
        <v>-191.56127000000001</v>
      </c>
      <c r="P228" s="15">
        <f t="shared" si="49"/>
        <v>0</v>
      </c>
      <c r="Q228" s="13"/>
      <c r="R228" s="13"/>
      <c r="S228" s="13"/>
      <c r="T228" s="13"/>
      <c r="U228" s="13"/>
      <c r="V228" s="13"/>
      <c r="W228" s="13"/>
      <c r="X228" s="13"/>
    </row>
    <row r="229" spans="2:24" ht="16" customHeight="1" x14ac:dyDescent="0.45">
      <c r="B229" s="14" t="s">
        <v>1587</v>
      </c>
      <c r="C229" s="14" t="s">
        <v>892</v>
      </c>
      <c r="D229" s="61"/>
      <c r="E229" s="62">
        <f>E128</f>
        <v>2158.8922699999998</v>
      </c>
      <c r="F229" s="61"/>
      <c r="G229" s="15">
        <f t="shared" ref="G229:P229" si="50">G128</f>
        <v>0</v>
      </c>
      <c r="H229" s="15">
        <f t="shared" si="50"/>
        <v>2158.8922699999998</v>
      </c>
      <c r="I229" s="15">
        <f t="shared" si="50"/>
        <v>0</v>
      </c>
      <c r="J229" s="15">
        <f t="shared" si="50"/>
        <v>0</v>
      </c>
      <c r="K229" s="15">
        <f t="shared" si="50"/>
        <v>0</v>
      </c>
      <c r="L229" s="15">
        <f t="shared" si="50"/>
        <v>0</v>
      </c>
      <c r="M229" s="15">
        <f t="shared" si="50"/>
        <v>0</v>
      </c>
      <c r="N229" s="15">
        <f t="shared" si="50"/>
        <v>0</v>
      </c>
      <c r="O229" s="15">
        <f t="shared" si="50"/>
        <v>0</v>
      </c>
      <c r="P229" s="15">
        <f t="shared" si="50"/>
        <v>0</v>
      </c>
      <c r="Q229" s="13"/>
      <c r="R229" s="13"/>
      <c r="S229" s="13"/>
      <c r="T229" s="13"/>
      <c r="U229" s="13"/>
      <c r="V229" s="13"/>
      <c r="W229" s="13"/>
      <c r="X229" s="13"/>
    </row>
    <row r="230" spans="2:24" ht="16" customHeight="1" x14ac:dyDescent="0.45">
      <c r="B230" s="34" t="s">
        <v>1588</v>
      </c>
      <c r="C230" s="34" t="s">
        <v>1005</v>
      </c>
      <c r="D230" s="69"/>
      <c r="E230" s="70">
        <f>E102+E228+E229</f>
        <v>-313734.79587999993</v>
      </c>
      <c r="F230" s="69"/>
      <c r="G230" s="35">
        <f t="shared" ref="G230:P230" si="51">G102+G228+G229</f>
        <v>-150.38314999999994</v>
      </c>
      <c r="H230" s="35">
        <f t="shared" si="51"/>
        <v>-220516.22922000001</v>
      </c>
      <c r="I230" s="35">
        <f t="shared" si="51"/>
        <v>-46408.273589999997</v>
      </c>
      <c r="J230" s="35">
        <f t="shared" si="51"/>
        <v>-49527.103130000003</v>
      </c>
      <c r="K230" s="35">
        <f t="shared" si="51"/>
        <v>-27017.650419999998</v>
      </c>
      <c r="L230" s="35">
        <f t="shared" si="51"/>
        <v>14072.257990000002</v>
      </c>
      <c r="M230" s="35">
        <f t="shared" si="51"/>
        <v>808.09900000000005</v>
      </c>
      <c r="N230" s="35">
        <f t="shared" si="51"/>
        <v>-175.05416000000002</v>
      </c>
      <c r="O230" s="35">
        <f t="shared" si="51"/>
        <v>-1.9313600000001259</v>
      </c>
      <c r="P230" s="35">
        <f t="shared" si="51"/>
        <v>15181.472160000001</v>
      </c>
      <c r="Q230" s="13"/>
      <c r="R230" s="13"/>
      <c r="S230" s="13"/>
      <c r="T230" s="13"/>
      <c r="U230" s="13"/>
      <c r="V230" s="13"/>
      <c r="W230" s="13"/>
      <c r="X230" s="13"/>
    </row>
    <row r="231" spans="2:24" ht="16" customHeight="1" x14ac:dyDescent="0.45">
      <c r="B231" s="14" t="s">
        <v>1589</v>
      </c>
      <c r="C231" s="14" t="s">
        <v>976</v>
      </c>
      <c r="D231" s="61"/>
      <c r="E231" s="62">
        <f>E198</f>
        <v>-6889.3020300000007</v>
      </c>
      <c r="F231" s="61"/>
      <c r="G231" s="15">
        <f t="shared" ref="G231:P231" si="52">G198</f>
        <v>0</v>
      </c>
      <c r="H231" s="15">
        <f t="shared" si="52"/>
        <v>-5534.6096099999995</v>
      </c>
      <c r="I231" s="15">
        <f t="shared" si="52"/>
        <v>-376.04451000000006</v>
      </c>
      <c r="J231" s="15">
        <f t="shared" si="52"/>
        <v>-546.76886000000002</v>
      </c>
      <c r="K231" s="15">
        <f t="shared" si="52"/>
        <v>-101.38464</v>
      </c>
      <c r="L231" s="15">
        <f t="shared" si="52"/>
        <v>-181.69457</v>
      </c>
      <c r="M231" s="15">
        <f t="shared" si="52"/>
        <v>0</v>
      </c>
      <c r="N231" s="15">
        <f t="shared" si="52"/>
        <v>-148.79983999999999</v>
      </c>
      <c r="O231" s="15">
        <f t="shared" si="52"/>
        <v>0</v>
      </c>
      <c r="P231" s="15">
        <f t="shared" si="52"/>
        <v>0</v>
      </c>
      <c r="Q231" s="13"/>
      <c r="R231" s="13"/>
      <c r="S231" s="13"/>
      <c r="T231" s="13"/>
      <c r="U231" s="13"/>
      <c r="V231" s="13"/>
      <c r="W231" s="13"/>
      <c r="X231" s="13"/>
    </row>
    <row r="232" spans="2:24" ht="16" customHeight="1" x14ac:dyDescent="0.45">
      <c r="B232" s="34" t="s">
        <v>1590</v>
      </c>
      <c r="C232" s="34" t="s">
        <v>1006</v>
      </c>
      <c r="D232" s="69"/>
      <c r="E232" s="70">
        <f>E230+E231</f>
        <v>-320624.09790999995</v>
      </c>
      <c r="F232" s="69"/>
      <c r="G232" s="35">
        <f t="shared" ref="G232:P232" si="53">G230+G231</f>
        <v>-150.38314999999994</v>
      </c>
      <c r="H232" s="35">
        <f t="shared" si="53"/>
        <v>-226050.83883000002</v>
      </c>
      <c r="I232" s="35">
        <f t="shared" si="53"/>
        <v>-46784.318099999997</v>
      </c>
      <c r="J232" s="35">
        <f t="shared" si="53"/>
        <v>-50073.87199</v>
      </c>
      <c r="K232" s="35">
        <f t="shared" si="53"/>
        <v>-27119.035059999998</v>
      </c>
      <c r="L232" s="35">
        <f t="shared" si="53"/>
        <v>13890.563420000002</v>
      </c>
      <c r="M232" s="35">
        <f t="shared" si="53"/>
        <v>808.09900000000005</v>
      </c>
      <c r="N232" s="35">
        <f t="shared" si="53"/>
        <v>-323.85400000000004</v>
      </c>
      <c r="O232" s="35">
        <f t="shared" si="53"/>
        <v>-1.9313600000001259</v>
      </c>
      <c r="P232" s="35">
        <f t="shared" si="53"/>
        <v>15181.472160000001</v>
      </c>
      <c r="Q232" s="13"/>
      <c r="R232" s="13"/>
      <c r="S232" s="13"/>
      <c r="T232" s="13"/>
      <c r="U232" s="13"/>
      <c r="V232" s="13"/>
      <c r="W232" s="13"/>
      <c r="X232" s="13"/>
    </row>
    <row r="233" spans="2:24" ht="16" customHeight="1" x14ac:dyDescent="0.45">
      <c r="B233" s="14" t="s">
        <v>1591</v>
      </c>
      <c r="C233" s="14" t="s">
        <v>813</v>
      </c>
      <c r="D233" s="61"/>
      <c r="E233" s="62">
        <f>E61</f>
        <v>-45327.306960000002</v>
      </c>
      <c r="F233" s="61"/>
      <c r="G233" s="15">
        <f t="shared" ref="G233:P233" si="54">G61</f>
        <v>0</v>
      </c>
      <c r="H233" s="15">
        <f t="shared" si="54"/>
        <v>-45327.306960000002</v>
      </c>
      <c r="I233" s="15">
        <f t="shared" si="54"/>
        <v>0</v>
      </c>
      <c r="J233" s="15">
        <f t="shared" si="54"/>
        <v>0</v>
      </c>
      <c r="K233" s="15">
        <f t="shared" si="54"/>
        <v>0</v>
      </c>
      <c r="L233" s="15">
        <f t="shared" si="54"/>
        <v>0</v>
      </c>
      <c r="M233" s="15">
        <f t="shared" si="54"/>
        <v>0</v>
      </c>
      <c r="N233" s="15">
        <f t="shared" si="54"/>
        <v>0</v>
      </c>
      <c r="O233" s="15">
        <f t="shared" si="54"/>
        <v>0</v>
      </c>
      <c r="P233" s="15">
        <f t="shared" si="54"/>
        <v>0</v>
      </c>
      <c r="Q233" s="13"/>
      <c r="R233" s="13"/>
      <c r="S233" s="13"/>
      <c r="T233" s="13"/>
      <c r="U233" s="13"/>
      <c r="V233" s="13"/>
      <c r="W233" s="13"/>
      <c r="X233" s="13"/>
    </row>
    <row r="234" spans="2:24" ht="16" customHeight="1" x14ac:dyDescent="0.45">
      <c r="B234" s="34" t="s">
        <v>1592</v>
      </c>
      <c r="C234" s="34" t="s">
        <v>1007</v>
      </c>
      <c r="D234" s="69"/>
      <c r="E234" s="70">
        <f>E232-E233</f>
        <v>-275296.79094999994</v>
      </c>
      <c r="F234" s="69"/>
      <c r="G234" s="35">
        <f t="shared" ref="G234:P234" si="55">G232-G233</f>
        <v>-150.38314999999994</v>
      </c>
      <c r="H234" s="35">
        <f t="shared" si="55"/>
        <v>-180723.53187000001</v>
      </c>
      <c r="I234" s="35">
        <f t="shared" si="55"/>
        <v>-46784.318099999997</v>
      </c>
      <c r="J234" s="35">
        <f t="shared" si="55"/>
        <v>-50073.87199</v>
      </c>
      <c r="K234" s="35">
        <f t="shared" si="55"/>
        <v>-27119.035059999998</v>
      </c>
      <c r="L234" s="35">
        <f t="shared" si="55"/>
        <v>13890.563420000002</v>
      </c>
      <c r="M234" s="35">
        <f t="shared" si="55"/>
        <v>808.09900000000005</v>
      </c>
      <c r="N234" s="35">
        <f t="shared" si="55"/>
        <v>-323.85400000000004</v>
      </c>
      <c r="O234" s="35">
        <f t="shared" si="55"/>
        <v>-1.9313600000001259</v>
      </c>
      <c r="P234" s="35">
        <f t="shared" si="55"/>
        <v>15181.472160000001</v>
      </c>
      <c r="Q234" s="13"/>
      <c r="R234" s="13"/>
      <c r="S234" s="13"/>
      <c r="T234" s="13"/>
      <c r="U234" s="13"/>
      <c r="V234" s="13"/>
      <c r="W234" s="13"/>
      <c r="X234" s="13"/>
    </row>
    <row r="235" spans="2:24" ht="16" customHeight="1" x14ac:dyDescent="0.45">
      <c r="B235" s="11" t="s">
        <v>1593</v>
      </c>
      <c r="C235" s="11" t="s">
        <v>22</v>
      </c>
      <c r="D235" s="29"/>
      <c r="E235" s="60"/>
      <c r="F235" s="29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3"/>
      <c r="R235" s="13"/>
      <c r="S235" s="13"/>
      <c r="T235" s="13"/>
      <c r="U235" s="13"/>
      <c r="V235" s="13"/>
      <c r="W235" s="13"/>
      <c r="X235" s="13"/>
    </row>
    <row r="236" spans="2:24" ht="16" customHeight="1" x14ac:dyDescent="0.45">
      <c r="B236" s="44" t="s">
        <v>1594</v>
      </c>
      <c r="C236" s="44" t="s">
        <v>1008</v>
      </c>
      <c r="D236" s="73"/>
      <c r="E236" s="74">
        <v>-0.764491209</v>
      </c>
      <c r="F236" s="73"/>
      <c r="G236" s="45">
        <v>2.0583691040000001</v>
      </c>
      <c r="H236" s="45">
        <v>-0.571513575</v>
      </c>
      <c r="I236" s="45">
        <v>91.841380861000005</v>
      </c>
      <c r="J236" s="45">
        <v>-42.417206874999998</v>
      </c>
      <c r="K236" s="45">
        <v>3.9238372159999999</v>
      </c>
      <c r="L236" s="45">
        <v>0.28752084500000002</v>
      </c>
      <c r="M236" s="45">
        <v>0</v>
      </c>
      <c r="N236" s="45">
        <v>1.9612798419999999</v>
      </c>
      <c r="O236" s="45">
        <v>-1.883001E-3</v>
      </c>
      <c r="P236" s="45">
        <v>14.786710751999999</v>
      </c>
      <c r="Q236" s="13"/>
      <c r="R236" s="13"/>
      <c r="S236" s="13"/>
      <c r="T236" s="13"/>
      <c r="U236" s="13"/>
      <c r="V236" s="13"/>
      <c r="W236" s="13"/>
      <c r="X236" s="13"/>
    </row>
    <row r="237" spans="2:24" ht="16" customHeight="1" x14ac:dyDescent="0.45">
      <c r="B237" s="44" t="s">
        <v>1595</v>
      </c>
      <c r="C237" s="44" t="s">
        <v>1009</v>
      </c>
      <c r="D237" s="73"/>
      <c r="E237" s="74">
        <v>-1.601005674</v>
      </c>
      <c r="F237" s="73"/>
      <c r="G237" s="45">
        <v>15.229058964</v>
      </c>
      <c r="H237" s="45">
        <v>-1.028307836</v>
      </c>
      <c r="I237" s="45">
        <v>33.380756191000003</v>
      </c>
      <c r="J237" s="45">
        <v>1.9370774580000001</v>
      </c>
      <c r="K237" s="45">
        <v>0.90109564399999997</v>
      </c>
      <c r="L237" s="45">
        <v>0.38444608899999999</v>
      </c>
      <c r="M237" s="45">
        <v>0</v>
      </c>
      <c r="N237" s="45">
        <v>5.5477363369999999</v>
      </c>
      <c r="O237" s="45">
        <v>-2.2227670000000001E-3</v>
      </c>
      <c r="P237" s="45">
        <v>14.807981547000001</v>
      </c>
      <c r="Q237" s="13"/>
      <c r="R237" s="13"/>
      <c r="S237" s="13"/>
      <c r="T237" s="13"/>
      <c r="U237" s="13"/>
      <c r="V237" s="13"/>
      <c r="W237" s="13"/>
      <c r="X237" s="13"/>
    </row>
    <row r="238" spans="2:24" ht="16" customHeight="1" x14ac:dyDescent="0.45">
      <c r="B238" s="44" t="s">
        <v>1596</v>
      </c>
      <c r="C238" s="44" t="s">
        <v>1010</v>
      </c>
      <c r="D238" s="73"/>
      <c r="E238" s="74">
        <v>-0.244677272</v>
      </c>
      <c r="F238" s="73"/>
      <c r="G238" s="45">
        <v>-0.13709789</v>
      </c>
      <c r="H238" s="45">
        <v>-0.18458609000000001</v>
      </c>
      <c r="I238" s="45">
        <v>-4.5501645369999997</v>
      </c>
      <c r="J238" s="45">
        <v>-37.170881997999999</v>
      </c>
      <c r="K238" s="45">
        <v>-7.4907634549999997</v>
      </c>
      <c r="L238" s="45">
        <v>2.4032310570000002</v>
      </c>
      <c r="M238" s="45">
        <v>0</v>
      </c>
      <c r="N238" s="45">
        <v>-28.632356595000001</v>
      </c>
      <c r="O238" s="45">
        <v>-2.1221599999999999E-4</v>
      </c>
      <c r="P238" s="45">
        <v>0.27845126799999997</v>
      </c>
      <c r="Q238" s="13"/>
      <c r="R238" s="13"/>
      <c r="S238" s="13"/>
      <c r="T238" s="13"/>
      <c r="U238" s="13"/>
      <c r="V238" s="13"/>
      <c r="W238" s="13"/>
      <c r="X238" s="13"/>
    </row>
    <row r="239" spans="2:24" ht="16" customHeight="1" x14ac:dyDescent="0.45">
      <c r="B239" s="11" t="s">
        <v>1597</v>
      </c>
      <c r="C239" s="11" t="s">
        <v>22</v>
      </c>
      <c r="D239" s="29"/>
      <c r="E239" s="2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3"/>
      <c r="R239" s="13"/>
      <c r="S239" s="13"/>
      <c r="T239" s="13"/>
      <c r="U239" s="13"/>
      <c r="V239" s="13"/>
      <c r="W239" s="13"/>
      <c r="X239" s="13"/>
    </row>
    <row r="240" spans="2:24" ht="16" customHeight="1" x14ac:dyDescent="0.45">
      <c r="B240" s="13"/>
      <c r="C240" s="9"/>
      <c r="D240" s="9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</row>
    <row r="241" spans="2:16" ht="16" customHeight="1" x14ac:dyDescent="0.45">
      <c r="B241" s="13"/>
      <c r="C241" s="9"/>
      <c r="D241" s="9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</row>
    <row r="242" spans="2:16" ht="16" customHeight="1" x14ac:dyDescent="0.45">
      <c r="B242" s="13"/>
      <c r="C242" s="9"/>
      <c r="D242" s="9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</row>
    <row r="243" spans="2:16" ht="16" customHeight="1" x14ac:dyDescent="0.45">
      <c r="B243" s="13"/>
      <c r="C243" s="9"/>
      <c r="D243" s="9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</row>
    <row r="244" spans="2:16" ht="16" customHeight="1" x14ac:dyDescent="0.45">
      <c r="B244" s="13"/>
      <c r="C244" s="9"/>
      <c r="D244" s="9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</row>
    <row r="245" spans="2:16" ht="16" customHeight="1" x14ac:dyDescent="0.45">
      <c r="B245" s="13"/>
      <c r="C245" s="9"/>
      <c r="D245" s="9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</row>
    <row r="246" spans="2:16" ht="16" customHeight="1" x14ac:dyDescent="0.45">
      <c r="B246" s="13"/>
      <c r="C246" s="9"/>
      <c r="D246" s="9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</row>
    <row r="247" spans="2:16" ht="16" customHeight="1" x14ac:dyDescent="0.45">
      <c r="B247" s="13"/>
      <c r="C247" s="9"/>
      <c r="D247" s="9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</row>
    <row r="248" spans="2:16" ht="16" customHeight="1" x14ac:dyDescent="0.45">
      <c r="B248" s="13"/>
      <c r="C248" s="9"/>
      <c r="D248" s="9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</row>
    <row r="249" spans="2:16" ht="16" customHeight="1" x14ac:dyDescent="0.45">
      <c r="B249" s="13"/>
      <c r="C249" s="9"/>
      <c r="D249" s="9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</row>
    <row r="250" spans="2:16" ht="16" customHeight="1" x14ac:dyDescent="0.45">
      <c r="B250" s="13"/>
      <c r="C250" s="9"/>
      <c r="D250" s="9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</row>
    <row r="251" spans="2:16" ht="16" customHeight="1" x14ac:dyDescent="0.45">
      <c r="B251" s="13"/>
      <c r="C251" s="9"/>
      <c r="D251" s="9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</row>
    <row r="252" spans="2:16" ht="16" customHeight="1" x14ac:dyDescent="0.45">
      <c r="B252" s="13"/>
      <c r="C252" s="9"/>
      <c r="D252" s="9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</row>
    <row r="253" spans="2:16" ht="16" customHeight="1" x14ac:dyDescent="0.45">
      <c r="B253" s="13"/>
      <c r="C253" s="9"/>
      <c r="D253" s="9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</row>
    <row r="254" spans="2:16" ht="16" customHeight="1" x14ac:dyDescent="0.45">
      <c r="B254" s="13"/>
      <c r="C254" s="9"/>
      <c r="D254" s="9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</row>
    <row r="255" spans="2:16" ht="16" customHeight="1" x14ac:dyDescent="0.45">
      <c r="B255" s="13"/>
      <c r="C255" s="9"/>
      <c r="D255" s="9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</row>
    <row r="256" spans="2:16" ht="16" customHeight="1" x14ac:dyDescent="0.45">
      <c r="B256" s="13"/>
      <c r="C256" s="9"/>
      <c r="D256" s="9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</row>
    <row r="257" spans="2:16" ht="16" customHeight="1" x14ac:dyDescent="0.45">
      <c r="B257" s="13"/>
      <c r="C257" s="9"/>
      <c r="D257" s="9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</row>
    <row r="258" spans="2:16" ht="16" customHeight="1" x14ac:dyDescent="0.45">
      <c r="B258" s="13"/>
      <c r="C258" s="9"/>
      <c r="D258" s="9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</row>
    <row r="259" spans="2:16" ht="16" customHeight="1" x14ac:dyDescent="0.45">
      <c r="B259" s="13"/>
      <c r="C259" s="9"/>
      <c r="D259" s="9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</row>
    <row r="260" spans="2:16" ht="16" customHeight="1" x14ac:dyDescent="0.45">
      <c r="B260" s="13"/>
      <c r="C260" s="9"/>
      <c r="D260" s="9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</row>
    <row r="261" spans="2:16" ht="16" customHeight="1" x14ac:dyDescent="0.45">
      <c r="B261" s="13"/>
      <c r="C261" s="9"/>
      <c r="D261" s="9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</row>
    <row r="262" spans="2:16" ht="16" customHeight="1" x14ac:dyDescent="0.45">
      <c r="B262" s="13"/>
      <c r="C262" s="9"/>
      <c r="D262" s="9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</row>
    <row r="263" spans="2:16" ht="16" customHeight="1" x14ac:dyDescent="0.45">
      <c r="B263" s="13"/>
      <c r="C263" s="9"/>
      <c r="D263" s="9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</row>
    <row r="264" spans="2:16" ht="16" customHeight="1" x14ac:dyDescent="0.45">
      <c r="B264" s="13"/>
      <c r="C264" s="9"/>
      <c r="D264" s="9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</row>
    <row r="265" spans="2:16" ht="16" customHeight="1" x14ac:dyDescent="0.45">
      <c r="B265" s="13"/>
      <c r="C265" s="9"/>
      <c r="D265" s="9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</row>
    <row r="266" spans="2:16" ht="16" customHeight="1" x14ac:dyDescent="0.45">
      <c r="B266" s="13"/>
      <c r="C266" s="9"/>
      <c r="D266" s="9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</row>
    <row r="267" spans="2:16" ht="16" customHeight="1" x14ac:dyDescent="0.45">
      <c r="B267" s="13"/>
      <c r="C267" s="9"/>
      <c r="D267" s="9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</row>
    <row r="268" spans="2:16" ht="16" customHeight="1" x14ac:dyDescent="0.45">
      <c r="B268" s="13"/>
      <c r="C268" s="9"/>
      <c r="D268" s="9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</row>
    <row r="269" spans="2:16" ht="16" customHeight="1" x14ac:dyDescent="0.45">
      <c r="B269" s="13"/>
      <c r="C269" s="9"/>
      <c r="D269" s="9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</row>
    <row r="270" spans="2:16" ht="16" customHeight="1" x14ac:dyDescent="0.45">
      <c r="B270" s="13"/>
      <c r="C270" s="9"/>
      <c r="D270" s="9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</row>
    <row r="271" spans="2:16" ht="16" customHeight="1" x14ac:dyDescent="0.45">
      <c r="B271" s="13"/>
      <c r="C271" s="9"/>
      <c r="D271" s="9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</row>
    <row r="272" spans="2:16" ht="16" customHeight="1" x14ac:dyDescent="0.45">
      <c r="B272" s="13"/>
      <c r="C272" s="9"/>
      <c r="D272" s="9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</row>
    <row r="273" spans="2:16" ht="16" customHeight="1" x14ac:dyDescent="0.45">
      <c r="B273" s="13"/>
      <c r="C273" s="9"/>
      <c r="D273" s="9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</row>
    <row r="274" spans="2:16" ht="16" customHeight="1" x14ac:dyDescent="0.45">
      <c r="B274" s="13"/>
      <c r="C274" s="9"/>
      <c r="D274" s="9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</row>
    <row r="275" spans="2:16" ht="16" customHeight="1" x14ac:dyDescent="0.45">
      <c r="B275" s="13"/>
      <c r="C275" s="9"/>
      <c r="D275" s="9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</row>
    <row r="276" spans="2:16" ht="16" customHeight="1" x14ac:dyDescent="0.45">
      <c r="B276" s="13"/>
      <c r="C276" s="9"/>
      <c r="D276" s="9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</row>
    <row r="277" spans="2:16" ht="16" customHeight="1" x14ac:dyDescent="0.45">
      <c r="B277" s="13"/>
      <c r="C277" s="9"/>
      <c r="D277" s="9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</row>
    <row r="278" spans="2:16" ht="16" customHeight="1" x14ac:dyDescent="0.45">
      <c r="B278" s="13"/>
      <c r="C278" s="9"/>
      <c r="D278" s="9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</row>
    <row r="279" spans="2:16" ht="16" customHeight="1" x14ac:dyDescent="0.45">
      <c r="B279" s="13"/>
      <c r="C279" s="9"/>
      <c r="D279" s="9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</row>
    <row r="280" spans="2:16" ht="16" customHeight="1" x14ac:dyDescent="0.45">
      <c r="B280" s="13"/>
      <c r="C280" s="9"/>
      <c r="D280" s="9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</row>
    <row r="281" spans="2:16" ht="16" customHeight="1" x14ac:dyDescent="0.45">
      <c r="B281" s="13"/>
      <c r="C281" s="9"/>
      <c r="D281" s="9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</row>
    <row r="282" spans="2:16" ht="16" customHeight="1" x14ac:dyDescent="0.45">
      <c r="B282" s="13"/>
      <c r="C282" s="9"/>
      <c r="D282" s="9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</row>
    <row r="283" spans="2:16" ht="16" customHeight="1" x14ac:dyDescent="0.45">
      <c r="B283" s="13"/>
      <c r="C283" s="9"/>
      <c r="D283" s="9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</row>
    <row r="284" spans="2:16" ht="16" customHeight="1" x14ac:dyDescent="0.45">
      <c r="B284" s="13"/>
      <c r="C284" s="9"/>
      <c r="D284" s="9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</row>
    <row r="285" spans="2:16" ht="16" customHeight="1" x14ac:dyDescent="0.45">
      <c r="B285" s="13"/>
      <c r="C285" s="9"/>
      <c r="D285" s="9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</row>
    <row r="286" spans="2:16" ht="16" customHeight="1" x14ac:dyDescent="0.45">
      <c r="B286" s="13"/>
      <c r="C286" s="9"/>
      <c r="D286" s="9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</row>
    <row r="287" spans="2:16" ht="16" customHeight="1" x14ac:dyDescent="0.45">
      <c r="B287" s="13"/>
      <c r="C287" s="9"/>
      <c r="D287" s="9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</row>
    <row r="288" spans="2:16" ht="16" customHeight="1" x14ac:dyDescent="0.45">
      <c r="B288" s="13"/>
      <c r="C288" s="9"/>
      <c r="D288" s="9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</row>
    <row r="289" spans="2:16" ht="16" customHeight="1" x14ac:dyDescent="0.45">
      <c r="B289" s="13"/>
      <c r="C289" s="9"/>
      <c r="D289" s="9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</row>
    <row r="290" spans="2:16" ht="16" customHeight="1" x14ac:dyDescent="0.45">
      <c r="B290" s="13"/>
      <c r="C290" s="9"/>
      <c r="D290" s="9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</row>
    <row r="291" spans="2:16" ht="16" customHeight="1" x14ac:dyDescent="0.45">
      <c r="B291" s="13"/>
      <c r="C291" s="9"/>
      <c r="D291" s="9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</row>
    <row r="292" spans="2:16" ht="16" customHeight="1" x14ac:dyDescent="0.45">
      <c r="B292" s="13"/>
      <c r="C292" s="9"/>
      <c r="D292" s="9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</row>
    <row r="293" spans="2:16" ht="16" customHeight="1" x14ac:dyDescent="0.45">
      <c r="B293" s="13"/>
      <c r="C293" s="9"/>
      <c r="D293" s="9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</row>
    <row r="294" spans="2:16" ht="16" customHeight="1" x14ac:dyDescent="0.45">
      <c r="B294" s="13"/>
      <c r="C294" s="9"/>
      <c r="D294" s="9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</row>
    <row r="295" spans="2:16" ht="16" customHeight="1" x14ac:dyDescent="0.45">
      <c r="B295" s="13"/>
      <c r="C295" s="9"/>
      <c r="D295" s="9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</row>
    <row r="296" spans="2:16" ht="16" customHeight="1" x14ac:dyDescent="0.45">
      <c r="B296" s="13"/>
      <c r="C296" s="9"/>
      <c r="D296" s="9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</row>
    <row r="297" spans="2:16" ht="16" customHeight="1" x14ac:dyDescent="0.45">
      <c r="B297" s="13"/>
      <c r="C297" s="9"/>
      <c r="D297" s="9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</row>
    <row r="298" spans="2:16" ht="16" customHeight="1" x14ac:dyDescent="0.45">
      <c r="B298" s="13"/>
      <c r="C298" s="9"/>
      <c r="D298" s="9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</row>
    <row r="299" spans="2:16" ht="16" customHeight="1" x14ac:dyDescent="0.45">
      <c r="B299" s="13"/>
      <c r="C299" s="9"/>
      <c r="D299" s="9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</row>
    <row r="300" spans="2:16" ht="16" customHeight="1" x14ac:dyDescent="0.45">
      <c r="B300" s="13"/>
      <c r="C300" s="9"/>
      <c r="D300" s="9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</row>
    <row r="301" spans="2:16" ht="16" customHeight="1" x14ac:dyDescent="0.45">
      <c r="B301" s="13"/>
      <c r="C301" s="9"/>
      <c r="D301" s="9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</row>
    <row r="302" spans="2:16" ht="16" customHeight="1" x14ac:dyDescent="0.45">
      <c r="B302" s="13"/>
      <c r="C302" s="9"/>
      <c r="D302" s="9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</row>
    <row r="303" spans="2:16" ht="16" customHeight="1" x14ac:dyDescent="0.45">
      <c r="B303" s="13"/>
      <c r="C303" s="9"/>
      <c r="D303" s="9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</row>
    <row r="304" spans="2:16" ht="16" customHeight="1" x14ac:dyDescent="0.45">
      <c r="B304" s="13"/>
      <c r="C304" s="9"/>
      <c r="D304" s="9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</row>
    <row r="305" spans="2:16" ht="16" customHeight="1" x14ac:dyDescent="0.45">
      <c r="B305" s="13"/>
      <c r="C305" s="9"/>
      <c r="D305" s="9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</row>
    <row r="306" spans="2:16" ht="16" customHeight="1" x14ac:dyDescent="0.45">
      <c r="B306" s="13"/>
      <c r="C306" s="9"/>
      <c r="D306" s="9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</row>
    <row r="307" spans="2:16" ht="16" customHeight="1" x14ac:dyDescent="0.45">
      <c r="B307" s="13"/>
      <c r="C307" s="9"/>
      <c r="D307" s="9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</row>
    <row r="308" spans="2:16" ht="16" customHeight="1" x14ac:dyDescent="0.45">
      <c r="B308" s="13"/>
      <c r="C308" s="9"/>
      <c r="D308" s="9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</row>
    <row r="309" spans="2:16" ht="16" customHeight="1" x14ac:dyDescent="0.45">
      <c r="B309" s="13"/>
      <c r="C309" s="9"/>
      <c r="D309" s="9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</row>
    <row r="310" spans="2:16" ht="16" customHeight="1" x14ac:dyDescent="0.45">
      <c r="B310" s="13"/>
      <c r="C310" s="9"/>
      <c r="D310" s="9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</row>
    <row r="311" spans="2:16" ht="16" customHeight="1" x14ac:dyDescent="0.45">
      <c r="B311" s="13"/>
      <c r="C311" s="9"/>
      <c r="D311" s="9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</row>
    <row r="312" spans="2:16" ht="16" customHeight="1" x14ac:dyDescent="0.45">
      <c r="B312" s="13"/>
      <c r="C312" s="9"/>
      <c r="D312" s="9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</row>
    <row r="313" spans="2:16" ht="16" customHeight="1" x14ac:dyDescent="0.45">
      <c r="B313" s="13"/>
      <c r="C313" s="9"/>
      <c r="D313" s="9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</row>
    <row r="314" spans="2:16" ht="16" customHeight="1" x14ac:dyDescent="0.45">
      <c r="B314" s="13"/>
      <c r="C314" s="9"/>
      <c r="D314" s="9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</row>
    <row r="315" spans="2:16" ht="16" customHeight="1" x14ac:dyDescent="0.45">
      <c r="B315" s="13"/>
      <c r="C315" s="9"/>
      <c r="D315" s="9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</row>
    <row r="316" spans="2:16" ht="16" customHeight="1" x14ac:dyDescent="0.45">
      <c r="B316" s="13"/>
      <c r="C316" s="9"/>
      <c r="D316" s="9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</row>
    <row r="317" spans="2:16" ht="16" customHeight="1" x14ac:dyDescent="0.45">
      <c r="B317" s="13"/>
      <c r="C317" s="9"/>
      <c r="D317" s="9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</row>
    <row r="318" spans="2:16" ht="16" customHeight="1" x14ac:dyDescent="0.45">
      <c r="B318" s="13"/>
      <c r="C318" s="9"/>
      <c r="D318" s="9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</row>
    <row r="319" spans="2:16" ht="16" customHeight="1" x14ac:dyDescent="0.45">
      <c r="B319" s="13"/>
      <c r="C319" s="9"/>
      <c r="D319" s="9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</row>
    <row r="320" spans="2:16" ht="16" customHeight="1" x14ac:dyDescent="0.45">
      <c r="B320" s="13"/>
      <c r="C320" s="9"/>
      <c r="D320" s="9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</row>
    <row r="321" spans="2:16" ht="16" customHeight="1" x14ac:dyDescent="0.45">
      <c r="B321" s="13"/>
      <c r="C321" s="9"/>
      <c r="D321" s="9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</row>
    <row r="322" spans="2:16" ht="16" customHeight="1" x14ac:dyDescent="0.45">
      <c r="B322" s="13"/>
      <c r="C322" s="9"/>
      <c r="D322" s="9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</row>
    <row r="323" spans="2:16" ht="16" customHeight="1" x14ac:dyDescent="0.45">
      <c r="B323" s="13"/>
      <c r="C323" s="9"/>
      <c r="D323" s="9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</row>
    <row r="324" spans="2:16" ht="16" customHeight="1" x14ac:dyDescent="0.45">
      <c r="B324" s="13"/>
      <c r="C324" s="9"/>
      <c r="D324" s="9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</row>
    <row r="325" spans="2:16" ht="16" customHeight="1" x14ac:dyDescent="0.45">
      <c r="B325" s="13"/>
      <c r="C325" s="9"/>
      <c r="D325" s="9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</row>
    <row r="326" spans="2:16" ht="16" customHeight="1" x14ac:dyDescent="0.45">
      <c r="B326" s="13"/>
      <c r="C326" s="9"/>
      <c r="D326" s="9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</row>
    <row r="327" spans="2:16" ht="16" customHeight="1" x14ac:dyDescent="0.45">
      <c r="B327" s="13"/>
      <c r="C327" s="9"/>
      <c r="D327" s="9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</row>
    <row r="328" spans="2:16" ht="16" customHeight="1" x14ac:dyDescent="0.45">
      <c r="B328" s="13"/>
      <c r="C328" s="9"/>
      <c r="D328" s="9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</row>
    <row r="329" spans="2:16" ht="16" customHeight="1" x14ac:dyDescent="0.45">
      <c r="B329" s="13"/>
      <c r="C329" s="9"/>
      <c r="D329" s="9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</row>
    <row r="330" spans="2:16" ht="16" customHeight="1" x14ac:dyDescent="0.45">
      <c r="B330" s="13"/>
      <c r="C330" s="9"/>
      <c r="D330" s="9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</row>
    <row r="331" spans="2:16" ht="16" customHeight="1" x14ac:dyDescent="0.45">
      <c r="B331" s="13"/>
      <c r="C331" s="9"/>
      <c r="D331" s="9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</row>
    <row r="332" spans="2:16" ht="16" customHeight="1" x14ac:dyDescent="0.45">
      <c r="B332" s="13"/>
      <c r="C332" s="9"/>
      <c r="D332" s="9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</row>
    <row r="333" spans="2:16" ht="16" customHeight="1" x14ac:dyDescent="0.45">
      <c r="B333" s="13"/>
      <c r="C333" s="9"/>
      <c r="D333" s="9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</row>
    <row r="334" spans="2:16" ht="16" customHeight="1" x14ac:dyDescent="0.45">
      <c r="B334" s="13"/>
      <c r="C334" s="9"/>
      <c r="D334" s="9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</row>
    <row r="335" spans="2:16" ht="16" customHeight="1" x14ac:dyDescent="0.45">
      <c r="B335" s="13"/>
      <c r="C335" s="9"/>
      <c r="D335" s="9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</row>
    <row r="336" spans="2:16" ht="16" customHeight="1" x14ac:dyDescent="0.45">
      <c r="B336" s="13"/>
      <c r="C336" s="9"/>
      <c r="D336" s="9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</row>
    <row r="337" spans="2:16" ht="16" customHeight="1" x14ac:dyDescent="0.45">
      <c r="B337" s="13"/>
      <c r="C337" s="9"/>
      <c r="D337" s="9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</row>
    <row r="338" spans="2:16" ht="16" customHeight="1" x14ac:dyDescent="0.45">
      <c r="B338" s="13"/>
      <c r="C338" s="9"/>
      <c r="D338" s="9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</row>
    <row r="339" spans="2:16" ht="16" customHeight="1" x14ac:dyDescent="0.45">
      <c r="B339" s="13"/>
      <c r="C339" s="9"/>
      <c r="D339" s="9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</row>
    <row r="340" spans="2:16" ht="16" customHeight="1" x14ac:dyDescent="0.45">
      <c r="B340" s="13"/>
      <c r="C340" s="9"/>
      <c r="D340" s="9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</row>
    <row r="341" spans="2:16" ht="16" customHeight="1" x14ac:dyDescent="0.45">
      <c r="B341" s="13"/>
      <c r="C341" s="9"/>
      <c r="D341" s="9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</row>
    <row r="342" spans="2:16" ht="16" customHeight="1" x14ac:dyDescent="0.45">
      <c r="B342" s="13"/>
      <c r="C342" s="9"/>
      <c r="D342" s="9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</row>
    <row r="343" spans="2:16" ht="16" customHeight="1" x14ac:dyDescent="0.45">
      <c r="B343" s="13"/>
      <c r="C343" s="9"/>
      <c r="D343" s="9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</row>
    <row r="344" spans="2:16" ht="16" customHeight="1" x14ac:dyDescent="0.45">
      <c r="B344" s="13"/>
      <c r="C344" s="9"/>
      <c r="D344" s="9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</row>
    <row r="345" spans="2:16" ht="16" customHeight="1" x14ac:dyDescent="0.45">
      <c r="B345" s="13"/>
      <c r="C345" s="9"/>
      <c r="D345" s="9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</row>
    <row r="346" spans="2:16" ht="16" customHeight="1" x14ac:dyDescent="0.45">
      <c r="B346" s="13"/>
      <c r="C346" s="9"/>
      <c r="D346" s="9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</row>
    <row r="347" spans="2:16" ht="16" customHeight="1" x14ac:dyDescent="0.45">
      <c r="B347" s="13"/>
      <c r="C347" s="9"/>
      <c r="D347" s="9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</row>
    <row r="348" spans="2:16" ht="16" customHeight="1" x14ac:dyDescent="0.45">
      <c r="B348" s="13"/>
      <c r="C348" s="9"/>
      <c r="D348" s="9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</row>
    <row r="349" spans="2:16" ht="16" customHeight="1" x14ac:dyDescent="0.45">
      <c r="B349" s="13"/>
      <c r="C349" s="9"/>
      <c r="D349" s="9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</row>
    <row r="350" spans="2:16" ht="16" customHeight="1" x14ac:dyDescent="0.45">
      <c r="B350" s="13"/>
      <c r="C350" s="9"/>
      <c r="D350" s="9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</row>
    <row r="351" spans="2:16" ht="16" customHeight="1" x14ac:dyDescent="0.45">
      <c r="B351" s="13"/>
      <c r="C351" s="9"/>
      <c r="D351" s="9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</row>
    <row r="352" spans="2:16" ht="16" customHeight="1" x14ac:dyDescent="0.45">
      <c r="B352" s="13"/>
      <c r="C352" s="9"/>
      <c r="D352" s="9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</row>
    <row r="353" spans="2:16" ht="16" customHeight="1" x14ac:dyDescent="0.45">
      <c r="B353" s="13"/>
      <c r="C353" s="9"/>
      <c r="D353" s="9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</row>
    <row r="354" spans="2:16" ht="16" customHeight="1" x14ac:dyDescent="0.45">
      <c r="B354" s="13"/>
      <c r="C354" s="9"/>
      <c r="D354" s="9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</row>
    <row r="355" spans="2:16" ht="16" customHeight="1" x14ac:dyDescent="0.45">
      <c r="B355" s="13"/>
      <c r="C355" s="9"/>
      <c r="D355" s="9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</row>
    <row r="356" spans="2:16" ht="16" customHeight="1" x14ac:dyDescent="0.45">
      <c r="B356" s="13"/>
      <c r="C356" s="9"/>
      <c r="D356" s="9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</row>
    <row r="357" spans="2:16" ht="16" customHeight="1" x14ac:dyDescent="0.45">
      <c r="B357" s="13"/>
      <c r="C357" s="9"/>
      <c r="D357" s="9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</row>
    <row r="358" spans="2:16" ht="16" customHeight="1" x14ac:dyDescent="0.45">
      <c r="B358" s="13"/>
      <c r="C358" s="9"/>
      <c r="D358" s="9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</row>
    <row r="359" spans="2:16" ht="16" customHeight="1" x14ac:dyDescent="0.45">
      <c r="B359" s="13"/>
      <c r="C359" s="9"/>
      <c r="D359" s="9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</row>
    <row r="360" spans="2:16" ht="16" customHeight="1" x14ac:dyDescent="0.45">
      <c r="B360" s="13"/>
      <c r="C360" s="9"/>
      <c r="D360" s="9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</row>
    <row r="361" spans="2:16" ht="16" customHeight="1" x14ac:dyDescent="0.45">
      <c r="B361" s="13"/>
      <c r="C361" s="9"/>
      <c r="D361" s="9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</row>
    <row r="362" spans="2:16" ht="16" customHeight="1" x14ac:dyDescent="0.45">
      <c r="B362" s="13"/>
      <c r="C362" s="9"/>
      <c r="D362" s="9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</row>
    <row r="363" spans="2:16" ht="16" customHeight="1" x14ac:dyDescent="0.45">
      <c r="B363" s="13"/>
      <c r="C363" s="9"/>
      <c r="D363" s="9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</row>
    <row r="364" spans="2:16" ht="16" customHeight="1" x14ac:dyDescent="0.45">
      <c r="B364" s="13"/>
      <c r="C364" s="9"/>
      <c r="D364" s="9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</row>
    <row r="365" spans="2:16" ht="16" customHeight="1" x14ac:dyDescent="0.45">
      <c r="B365" s="13"/>
      <c r="C365" s="9"/>
      <c r="D365" s="9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</row>
    <row r="366" spans="2:16" ht="16" customHeight="1" x14ac:dyDescent="0.45">
      <c r="B366" s="13"/>
      <c r="C366" s="9"/>
      <c r="D366" s="9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</row>
    <row r="367" spans="2:16" ht="16" customHeight="1" x14ac:dyDescent="0.45">
      <c r="B367" s="13"/>
      <c r="C367" s="9"/>
      <c r="D367" s="9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</row>
    <row r="368" spans="2:16" ht="16" customHeight="1" x14ac:dyDescent="0.45">
      <c r="B368" s="13"/>
      <c r="C368" s="9"/>
      <c r="D368" s="9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</row>
    <row r="369" spans="2:16" ht="16" customHeight="1" x14ac:dyDescent="0.45">
      <c r="B369" s="13"/>
      <c r="C369" s="9"/>
      <c r="D369" s="9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</row>
    <row r="370" spans="2:16" ht="16" customHeight="1" x14ac:dyDescent="0.45">
      <c r="B370" s="13"/>
      <c r="C370" s="9"/>
      <c r="D370" s="9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</row>
    <row r="371" spans="2:16" ht="16" customHeight="1" x14ac:dyDescent="0.45">
      <c r="B371" s="13"/>
      <c r="C371" s="9"/>
      <c r="D371" s="9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</row>
    <row r="372" spans="2:16" ht="16" customHeight="1" x14ac:dyDescent="0.45">
      <c r="B372" s="13"/>
      <c r="C372" s="9"/>
      <c r="D372" s="9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</row>
    <row r="373" spans="2:16" ht="16" customHeight="1" x14ac:dyDescent="0.45">
      <c r="B373" s="13"/>
      <c r="C373" s="9"/>
      <c r="D373" s="9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</row>
    <row r="374" spans="2:16" ht="16" customHeight="1" x14ac:dyDescent="0.45">
      <c r="B374" s="13"/>
      <c r="C374" s="9"/>
      <c r="D374" s="9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</row>
    <row r="375" spans="2:16" ht="16" customHeight="1" x14ac:dyDescent="0.45">
      <c r="B375" s="13"/>
      <c r="C375" s="9"/>
      <c r="D375" s="9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</row>
    <row r="376" spans="2:16" ht="16" customHeight="1" x14ac:dyDescent="0.45">
      <c r="B376" s="13"/>
      <c r="C376" s="9"/>
      <c r="D376" s="9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</row>
    <row r="377" spans="2:16" ht="16" customHeight="1" x14ac:dyDescent="0.45">
      <c r="B377" s="13"/>
      <c r="C377" s="9"/>
      <c r="D377" s="9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</row>
    <row r="378" spans="2:16" ht="16" customHeight="1" x14ac:dyDescent="0.45">
      <c r="B378" s="13"/>
      <c r="C378" s="9"/>
      <c r="D378" s="9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</row>
    <row r="379" spans="2:16" ht="16" customHeight="1" x14ac:dyDescent="0.45">
      <c r="B379" s="13"/>
      <c r="C379" s="9"/>
      <c r="D379" s="13"/>
      <c r="E379" s="13"/>
      <c r="F379" s="13"/>
      <c r="G379" s="13"/>
    </row>
    <row r="380" spans="2:16" ht="16" customHeight="1" x14ac:dyDescent="0.45">
      <c r="B380" s="13"/>
      <c r="C380" s="9"/>
      <c r="D380" s="13"/>
      <c r="E380" s="13"/>
      <c r="F380" s="13"/>
      <c r="G380" s="13"/>
    </row>
    <row r="381" spans="2:16" ht="16" customHeight="1" x14ac:dyDescent="0.45">
      <c r="B381" s="13"/>
      <c r="C381" s="9"/>
      <c r="D381" s="13"/>
      <c r="E381" s="13"/>
      <c r="F381" s="13"/>
      <c r="G381" s="13"/>
    </row>
    <row r="382" spans="2:16" ht="16" customHeight="1" x14ac:dyDescent="0.45">
      <c r="B382" s="13"/>
      <c r="C382" s="9"/>
      <c r="D382" s="13"/>
      <c r="E382" s="13"/>
      <c r="F382" s="13"/>
      <c r="G382" s="13"/>
    </row>
    <row r="383" spans="2:16" ht="16" customHeight="1" x14ac:dyDescent="0.45">
      <c r="B383" s="13"/>
      <c r="C383" s="9"/>
      <c r="D383" s="13"/>
      <c r="E383" s="13"/>
      <c r="F383" s="13"/>
      <c r="G383" s="13"/>
    </row>
    <row r="384" spans="2:16" ht="16" customHeight="1" x14ac:dyDescent="0.45">
      <c r="B384" s="13"/>
      <c r="C384" s="9"/>
      <c r="D384" s="13"/>
      <c r="E384" s="13"/>
      <c r="F384" s="13"/>
      <c r="G384" s="13"/>
    </row>
    <row r="385" spans="2:7" ht="16" customHeight="1" x14ac:dyDescent="0.45">
      <c r="B385" s="13"/>
      <c r="C385" s="9"/>
      <c r="D385" s="13"/>
      <c r="E385" s="13"/>
      <c r="F385" s="13"/>
      <c r="G385" s="13"/>
    </row>
    <row r="386" spans="2:7" ht="16" customHeight="1" x14ac:dyDescent="0.45">
      <c r="B386" s="13"/>
      <c r="C386" s="9"/>
      <c r="D386" s="13"/>
      <c r="E386" s="13"/>
      <c r="F386" s="13"/>
      <c r="G386" s="13"/>
    </row>
    <row r="387" spans="2:7" ht="16" customHeight="1" x14ac:dyDescent="0.45">
      <c r="B387" s="13"/>
      <c r="C387" s="9"/>
      <c r="D387" s="13"/>
      <c r="E387" s="13"/>
      <c r="F387" s="13"/>
      <c r="G387" s="13"/>
    </row>
    <row r="388" spans="2:7" ht="16" customHeight="1" x14ac:dyDescent="0.45">
      <c r="B388" s="13"/>
      <c r="C388" s="9"/>
      <c r="D388" s="13"/>
      <c r="E388" s="13"/>
      <c r="F388" s="13"/>
      <c r="G388" s="13"/>
    </row>
    <row r="389" spans="2:7" ht="16" customHeight="1" x14ac:dyDescent="0.45">
      <c r="B389" s="13"/>
      <c r="C389" s="9"/>
      <c r="D389" s="13"/>
      <c r="E389" s="13"/>
      <c r="F389" s="13"/>
      <c r="G389" s="13"/>
    </row>
    <row r="390" spans="2:7" ht="16" customHeight="1" x14ac:dyDescent="0.45">
      <c r="B390" s="13"/>
      <c r="C390" s="9"/>
      <c r="D390" s="13"/>
      <c r="E390" s="13"/>
      <c r="F390" s="13"/>
      <c r="G390" s="13"/>
    </row>
    <row r="391" spans="2:7" ht="16" customHeight="1" x14ac:dyDescent="0.45">
      <c r="B391" s="13"/>
      <c r="C391" s="9"/>
      <c r="D391" s="13"/>
      <c r="E391" s="13"/>
      <c r="F391" s="13"/>
      <c r="G391" s="13"/>
    </row>
    <row r="392" spans="2:7" ht="16" customHeight="1" x14ac:dyDescent="0.45">
      <c r="B392" s="13"/>
      <c r="C392" s="9"/>
      <c r="D392" s="13"/>
      <c r="E392" s="13"/>
      <c r="F392" s="13"/>
      <c r="G392" s="13"/>
    </row>
    <row r="393" spans="2:7" ht="16" customHeight="1" x14ac:dyDescent="0.45">
      <c r="B393" s="13"/>
      <c r="C393" s="9"/>
      <c r="D393" s="13"/>
      <c r="E393" s="13"/>
      <c r="F393" s="13"/>
      <c r="G393" s="13"/>
    </row>
    <row r="394" spans="2:7" ht="16" customHeight="1" x14ac:dyDescent="0.45">
      <c r="B394" s="13"/>
      <c r="C394" s="9"/>
      <c r="D394" s="13"/>
      <c r="E394" s="13"/>
      <c r="F394" s="13"/>
      <c r="G394" s="13"/>
    </row>
    <row r="395" spans="2:7" ht="16" customHeight="1" x14ac:dyDescent="0.45">
      <c r="B395" s="13"/>
      <c r="C395" s="9"/>
      <c r="D395" s="13"/>
      <c r="E395" s="13"/>
      <c r="F395" s="13"/>
      <c r="G395" s="13"/>
    </row>
    <row r="396" spans="2:7" ht="16" customHeight="1" x14ac:dyDescent="0.45">
      <c r="B396" s="13"/>
      <c r="C396" s="9"/>
      <c r="D396" s="13"/>
      <c r="E396" s="13"/>
      <c r="F396" s="13"/>
      <c r="G396" s="13"/>
    </row>
    <row r="397" spans="2:7" ht="16" customHeight="1" x14ac:dyDescent="0.45">
      <c r="B397" s="13"/>
      <c r="C397" s="9"/>
      <c r="D397" s="13"/>
      <c r="E397" s="13"/>
      <c r="F397" s="13"/>
      <c r="G397" s="13"/>
    </row>
    <row r="398" spans="2:7" ht="16" customHeight="1" x14ac:dyDescent="0.45">
      <c r="B398" s="13"/>
      <c r="C398" s="9"/>
      <c r="D398" s="13"/>
      <c r="E398" s="13"/>
      <c r="F398" s="13"/>
      <c r="G398" s="13"/>
    </row>
    <row r="399" spans="2:7" ht="16" customHeight="1" x14ac:dyDescent="0.45">
      <c r="B399" s="13"/>
      <c r="C399" s="9"/>
      <c r="D399" s="13"/>
      <c r="E399" s="13"/>
      <c r="F399" s="13"/>
      <c r="G399" s="13"/>
    </row>
    <row r="400" spans="2:7" ht="16" customHeight="1" x14ac:dyDescent="0.45">
      <c r="B400" s="13"/>
      <c r="C400" s="9"/>
      <c r="D400" s="13"/>
      <c r="E400" s="13"/>
      <c r="F400" s="13"/>
      <c r="G400" s="13"/>
    </row>
    <row r="401" spans="2:7" ht="16" customHeight="1" x14ac:dyDescent="0.45">
      <c r="B401" s="13"/>
      <c r="C401" s="9"/>
      <c r="D401" s="13"/>
      <c r="E401" s="13"/>
      <c r="F401" s="13"/>
      <c r="G401" s="13"/>
    </row>
    <row r="402" spans="2:7" ht="16" customHeight="1" x14ac:dyDescent="0.45">
      <c r="B402" s="13"/>
      <c r="C402" s="9"/>
      <c r="D402" s="13"/>
      <c r="E402" s="13"/>
      <c r="F402" s="13"/>
      <c r="G402" s="13"/>
    </row>
    <row r="403" spans="2:7" ht="16" customHeight="1" x14ac:dyDescent="0.45">
      <c r="B403" s="13"/>
      <c r="C403" s="9"/>
      <c r="D403" s="13"/>
      <c r="E403" s="13"/>
      <c r="F403" s="13"/>
      <c r="G403" s="13"/>
    </row>
    <row r="404" spans="2:7" ht="16" customHeight="1" x14ac:dyDescent="0.45">
      <c r="B404" s="13"/>
      <c r="C404" s="9"/>
      <c r="D404" s="13"/>
      <c r="E404" s="13"/>
      <c r="F404" s="13"/>
      <c r="G404" s="13"/>
    </row>
    <row r="405" spans="2:7" ht="16" customHeight="1" x14ac:dyDescent="0.45">
      <c r="B405" s="13"/>
      <c r="C405" s="9"/>
      <c r="D405" s="13"/>
      <c r="E405" s="13"/>
      <c r="F405" s="13"/>
      <c r="G405" s="13"/>
    </row>
    <row r="406" spans="2:7" ht="16" customHeight="1" x14ac:dyDescent="0.45">
      <c r="B406" s="13"/>
      <c r="C406" s="9"/>
      <c r="D406" s="13"/>
      <c r="E406" s="13"/>
      <c r="F406" s="13"/>
      <c r="G406" s="13"/>
    </row>
    <row r="407" spans="2:7" ht="16" customHeight="1" x14ac:dyDescent="0.45">
      <c r="B407" s="13"/>
      <c r="C407" s="9"/>
      <c r="D407" s="13"/>
      <c r="E407" s="13"/>
      <c r="F407" s="13"/>
      <c r="G407" s="13"/>
    </row>
    <row r="408" spans="2:7" ht="16" customHeight="1" x14ac:dyDescent="0.45">
      <c r="B408" s="13"/>
      <c r="C408" s="9"/>
      <c r="D408" s="13"/>
      <c r="E408" s="13"/>
      <c r="F408" s="13"/>
      <c r="G408" s="13"/>
    </row>
    <row r="409" spans="2:7" ht="16" customHeight="1" x14ac:dyDescent="0.45">
      <c r="B409" s="13"/>
      <c r="C409" s="9"/>
      <c r="D409" s="13"/>
      <c r="E409" s="13"/>
      <c r="F409" s="13"/>
      <c r="G409" s="13"/>
    </row>
    <row r="410" spans="2:7" ht="16" customHeight="1" x14ac:dyDescent="0.45">
      <c r="B410" s="13"/>
      <c r="C410" s="9"/>
      <c r="D410" s="13"/>
      <c r="E410" s="13"/>
      <c r="F410" s="13"/>
      <c r="G410" s="13"/>
    </row>
    <row r="411" spans="2:7" ht="16" customHeight="1" x14ac:dyDescent="0.45">
      <c r="B411" s="13"/>
      <c r="C411" s="9"/>
      <c r="D411" s="13"/>
      <c r="E411" s="13"/>
      <c r="F411" s="13"/>
      <c r="G411" s="13"/>
    </row>
    <row r="412" spans="2:7" ht="16" customHeight="1" x14ac:dyDescent="0.45">
      <c r="B412" s="13"/>
      <c r="C412" s="9"/>
      <c r="D412" s="13"/>
      <c r="E412" s="13"/>
      <c r="F412" s="13"/>
      <c r="G412" s="13"/>
    </row>
    <row r="413" spans="2:7" ht="16" customHeight="1" x14ac:dyDescent="0.45">
      <c r="B413" s="13"/>
      <c r="C413" s="9"/>
      <c r="D413" s="13"/>
      <c r="E413" s="13"/>
      <c r="F413" s="13"/>
      <c r="G413" s="13"/>
    </row>
    <row r="414" spans="2:7" ht="16" customHeight="1" x14ac:dyDescent="0.45">
      <c r="B414" s="13"/>
      <c r="C414" s="9"/>
      <c r="D414" s="13"/>
      <c r="E414" s="13"/>
      <c r="F414" s="13"/>
      <c r="G414" s="13"/>
    </row>
    <row r="415" spans="2:7" ht="16" customHeight="1" x14ac:dyDescent="0.45">
      <c r="B415" s="13"/>
      <c r="C415" s="9"/>
      <c r="D415" s="13"/>
      <c r="E415" s="13"/>
      <c r="F415" s="13"/>
      <c r="G415" s="13"/>
    </row>
    <row r="416" spans="2:7" ht="16" customHeight="1" x14ac:dyDescent="0.45">
      <c r="B416" s="13"/>
      <c r="C416" s="9"/>
      <c r="D416" s="13"/>
      <c r="E416" s="13"/>
      <c r="F416" s="13"/>
      <c r="G416" s="13"/>
    </row>
    <row r="417" spans="2:7" ht="16" customHeight="1" x14ac:dyDescent="0.45">
      <c r="B417" s="13"/>
      <c r="C417" s="9"/>
      <c r="D417" s="13"/>
      <c r="E417" s="13"/>
      <c r="F417" s="13"/>
      <c r="G417" s="13"/>
    </row>
    <row r="418" spans="2:7" ht="16" customHeight="1" x14ac:dyDescent="0.45">
      <c r="B418" s="13"/>
      <c r="C418" s="9"/>
      <c r="D418" s="13"/>
      <c r="E418" s="13"/>
      <c r="F418" s="13"/>
      <c r="G418" s="13"/>
    </row>
    <row r="419" spans="2:7" ht="16" customHeight="1" x14ac:dyDescent="0.45">
      <c r="B419" s="13"/>
      <c r="C419" s="9"/>
      <c r="D419" s="13"/>
      <c r="E419" s="13"/>
      <c r="F419" s="13"/>
      <c r="G419" s="13"/>
    </row>
    <row r="420" spans="2:7" ht="16" customHeight="1" x14ac:dyDescent="0.45">
      <c r="B420" s="13"/>
      <c r="C420" s="9"/>
      <c r="D420" s="13"/>
      <c r="E420" s="13"/>
      <c r="F420" s="13"/>
      <c r="G420" s="13"/>
    </row>
    <row r="421" spans="2:7" ht="16" customHeight="1" x14ac:dyDescent="0.45">
      <c r="B421" s="13"/>
      <c r="C421" s="9"/>
      <c r="D421" s="13"/>
      <c r="E421" s="13"/>
      <c r="F421" s="13"/>
      <c r="G421" s="13"/>
    </row>
    <row r="422" spans="2:7" ht="16" customHeight="1" x14ac:dyDescent="0.45">
      <c r="B422" s="13"/>
      <c r="C422" s="9"/>
      <c r="D422" s="13"/>
      <c r="E422" s="13"/>
      <c r="F422" s="13"/>
      <c r="G422" s="13"/>
    </row>
    <row r="423" spans="2:7" ht="16" customHeight="1" x14ac:dyDescent="0.45">
      <c r="B423" s="13"/>
      <c r="C423" s="9"/>
      <c r="D423" s="13"/>
      <c r="E423" s="13"/>
      <c r="F423" s="13"/>
      <c r="G423" s="13"/>
    </row>
    <row r="424" spans="2:7" ht="16" customHeight="1" x14ac:dyDescent="0.45">
      <c r="B424" s="13"/>
      <c r="C424" s="9"/>
      <c r="D424" s="13"/>
      <c r="E424" s="13"/>
      <c r="F424" s="13"/>
      <c r="G424" s="13"/>
    </row>
    <row r="425" spans="2:7" ht="16" customHeight="1" x14ac:dyDescent="0.45">
      <c r="B425" s="13"/>
      <c r="C425" s="9"/>
      <c r="D425" s="13"/>
      <c r="E425" s="13"/>
      <c r="F425" s="13"/>
      <c r="G425" s="13"/>
    </row>
    <row r="426" spans="2:7" ht="16" customHeight="1" x14ac:dyDescent="0.45">
      <c r="B426" s="13"/>
      <c r="C426" s="9"/>
      <c r="D426" s="13"/>
      <c r="E426" s="13"/>
      <c r="F426" s="13"/>
      <c r="G426" s="13"/>
    </row>
    <row r="427" spans="2:7" ht="16" customHeight="1" x14ac:dyDescent="0.45">
      <c r="B427" s="13"/>
      <c r="C427" s="9"/>
      <c r="D427" s="13"/>
      <c r="E427" s="13"/>
      <c r="F427" s="13"/>
      <c r="G427" s="13"/>
    </row>
    <row r="428" spans="2:7" ht="16" customHeight="1" x14ac:dyDescent="0.45">
      <c r="B428" s="13"/>
      <c r="C428" s="9"/>
      <c r="D428" s="13"/>
      <c r="E428" s="13"/>
      <c r="F428" s="13"/>
      <c r="G428" s="13"/>
    </row>
    <row r="429" spans="2:7" ht="16" customHeight="1" x14ac:dyDescent="0.45">
      <c r="B429" s="13"/>
      <c r="C429" s="9"/>
      <c r="D429" s="13"/>
      <c r="E429" s="13"/>
      <c r="F429" s="13"/>
      <c r="G429" s="13"/>
    </row>
    <row r="430" spans="2:7" ht="16" customHeight="1" x14ac:dyDescent="0.45">
      <c r="B430" s="13"/>
      <c r="C430" s="9"/>
      <c r="D430" s="13"/>
      <c r="E430" s="13"/>
      <c r="F430" s="13"/>
      <c r="G430" s="13"/>
    </row>
    <row r="431" spans="2:7" ht="16" customHeight="1" x14ac:dyDescent="0.45">
      <c r="B431" s="13"/>
      <c r="C431" s="9"/>
      <c r="D431" s="13"/>
      <c r="E431" s="13"/>
      <c r="F431" s="13"/>
      <c r="G431" s="13"/>
    </row>
    <row r="432" spans="2:7" ht="16" customHeight="1" x14ac:dyDescent="0.45">
      <c r="B432" s="13"/>
      <c r="C432" s="9"/>
      <c r="D432" s="13"/>
      <c r="E432" s="13"/>
      <c r="F432" s="13"/>
      <c r="G432" s="13"/>
    </row>
    <row r="433" spans="2:7" ht="16" customHeight="1" x14ac:dyDescent="0.45">
      <c r="B433" s="13"/>
      <c r="C433" s="9"/>
      <c r="D433" s="13"/>
      <c r="E433" s="13"/>
      <c r="F433" s="13"/>
      <c r="G433" s="13"/>
    </row>
    <row r="434" spans="2:7" ht="16" customHeight="1" x14ac:dyDescent="0.45">
      <c r="B434" s="13"/>
      <c r="C434" s="9"/>
      <c r="D434" s="13"/>
      <c r="E434" s="13"/>
      <c r="F434" s="13"/>
      <c r="G434" s="13"/>
    </row>
    <row r="435" spans="2:7" ht="16" customHeight="1" x14ac:dyDescent="0.45">
      <c r="B435" s="13"/>
      <c r="C435" s="9"/>
      <c r="D435" s="13"/>
      <c r="E435" s="13"/>
      <c r="F435" s="13"/>
      <c r="G435" s="13"/>
    </row>
    <row r="436" spans="2:7" ht="16" customHeight="1" x14ac:dyDescent="0.45">
      <c r="B436" s="13"/>
      <c r="C436" s="9"/>
      <c r="D436" s="13"/>
      <c r="E436" s="13"/>
      <c r="F436" s="13"/>
      <c r="G436" s="13"/>
    </row>
    <row r="437" spans="2:7" ht="16" customHeight="1" x14ac:dyDescent="0.45">
      <c r="B437" s="13"/>
      <c r="C437" s="9"/>
      <c r="D437" s="13"/>
      <c r="E437" s="13"/>
      <c r="F437" s="13"/>
      <c r="G437" s="13"/>
    </row>
    <row r="438" spans="2:7" ht="16" customHeight="1" x14ac:dyDescent="0.45">
      <c r="B438" s="13"/>
      <c r="C438" s="9"/>
      <c r="D438" s="13"/>
      <c r="E438" s="13"/>
      <c r="F438" s="13"/>
      <c r="G438" s="13"/>
    </row>
    <row r="439" spans="2:7" ht="16" customHeight="1" x14ac:dyDescent="0.45">
      <c r="B439" s="13"/>
      <c r="C439" s="9"/>
      <c r="D439" s="13"/>
      <c r="E439" s="13"/>
      <c r="F439" s="13"/>
      <c r="G439" s="13"/>
    </row>
    <row r="440" spans="2:7" ht="16" customHeight="1" x14ac:dyDescent="0.45">
      <c r="B440" s="13"/>
      <c r="C440" s="9"/>
      <c r="D440" s="13"/>
      <c r="E440" s="13"/>
      <c r="F440" s="13"/>
      <c r="G440" s="13"/>
    </row>
    <row r="441" spans="2:7" ht="16" customHeight="1" x14ac:dyDescent="0.45">
      <c r="B441" s="13"/>
      <c r="C441" s="9"/>
      <c r="D441" s="13"/>
      <c r="E441" s="13"/>
      <c r="F441" s="13"/>
      <c r="G441" s="13"/>
    </row>
    <row r="442" spans="2:7" ht="16" customHeight="1" x14ac:dyDescent="0.45">
      <c r="B442" s="13"/>
      <c r="C442" s="9"/>
      <c r="D442" s="13"/>
      <c r="E442" s="13"/>
      <c r="F442" s="13"/>
      <c r="G442" s="13"/>
    </row>
    <row r="443" spans="2:7" ht="16" customHeight="1" x14ac:dyDescent="0.45">
      <c r="B443" s="13"/>
      <c r="C443" s="9"/>
      <c r="D443" s="13"/>
      <c r="E443" s="13"/>
      <c r="F443" s="13"/>
      <c r="G443" s="13"/>
    </row>
    <row r="444" spans="2:7" ht="16" customHeight="1" x14ac:dyDescent="0.45">
      <c r="B444" s="13"/>
      <c r="C444" s="9"/>
      <c r="D444" s="13"/>
      <c r="E444" s="13"/>
      <c r="F444" s="13"/>
      <c r="G444" s="13"/>
    </row>
    <row r="445" spans="2:7" ht="16" customHeight="1" x14ac:dyDescent="0.45">
      <c r="B445" s="13"/>
      <c r="C445" s="9"/>
      <c r="D445" s="13"/>
      <c r="E445" s="13"/>
      <c r="F445" s="13"/>
      <c r="G445" s="13"/>
    </row>
    <row r="446" spans="2:7" ht="16" customHeight="1" x14ac:dyDescent="0.45">
      <c r="B446" s="13"/>
      <c r="C446" s="9"/>
      <c r="D446" s="13"/>
      <c r="E446" s="13"/>
      <c r="F446" s="13"/>
      <c r="G446" s="13"/>
    </row>
    <row r="447" spans="2:7" ht="16" customHeight="1" x14ac:dyDescent="0.45">
      <c r="B447" s="13"/>
      <c r="C447" s="9"/>
      <c r="D447" s="13"/>
      <c r="E447" s="13"/>
      <c r="F447" s="13"/>
      <c r="G447" s="13"/>
    </row>
    <row r="448" spans="2:7" ht="16" customHeight="1" x14ac:dyDescent="0.45">
      <c r="B448" s="13"/>
      <c r="C448" s="9"/>
      <c r="D448" s="13"/>
      <c r="E448" s="13"/>
      <c r="F448" s="13"/>
      <c r="G448" s="13"/>
    </row>
    <row r="449" spans="2:7" ht="16" customHeight="1" x14ac:dyDescent="0.45">
      <c r="B449" s="13"/>
      <c r="C449" s="9"/>
      <c r="D449" s="13"/>
      <c r="E449" s="13"/>
      <c r="F449" s="13"/>
      <c r="G449" s="13"/>
    </row>
    <row r="450" spans="2:7" ht="16" customHeight="1" x14ac:dyDescent="0.45">
      <c r="B450" s="13"/>
      <c r="C450" s="9"/>
      <c r="D450" s="13"/>
      <c r="E450" s="13"/>
      <c r="F450" s="13"/>
      <c r="G450" s="13"/>
    </row>
    <row r="451" spans="2:7" ht="16" customHeight="1" x14ac:dyDescent="0.45">
      <c r="B451" s="13"/>
      <c r="C451" s="9"/>
      <c r="D451" s="13"/>
      <c r="E451" s="13"/>
      <c r="F451" s="13"/>
      <c r="G451" s="13"/>
    </row>
    <row r="452" spans="2:7" ht="16" customHeight="1" x14ac:dyDescent="0.45">
      <c r="B452" s="13"/>
      <c r="C452" s="9"/>
      <c r="D452" s="13"/>
      <c r="E452" s="13"/>
      <c r="F452" s="13"/>
      <c r="G452" s="13"/>
    </row>
    <row r="453" spans="2:7" ht="16" customHeight="1" x14ac:dyDescent="0.45">
      <c r="B453" s="13"/>
      <c r="C453" s="9"/>
      <c r="D453" s="13"/>
      <c r="E453" s="13"/>
      <c r="F453" s="13"/>
      <c r="G453" s="13"/>
    </row>
    <row r="454" spans="2:7" ht="16" customHeight="1" x14ac:dyDescent="0.45">
      <c r="B454" s="13"/>
      <c r="C454" s="9"/>
      <c r="D454" s="13"/>
      <c r="E454" s="13"/>
      <c r="F454" s="13"/>
      <c r="G454" s="13"/>
    </row>
    <row r="455" spans="2:7" ht="16" customHeight="1" x14ac:dyDescent="0.45">
      <c r="B455" s="13"/>
      <c r="C455" s="9"/>
      <c r="D455" s="13"/>
      <c r="E455" s="13"/>
      <c r="F455" s="13"/>
      <c r="G455" s="13"/>
    </row>
    <row r="456" spans="2:7" ht="16" customHeight="1" x14ac:dyDescent="0.45">
      <c r="B456" s="13"/>
      <c r="C456" s="9"/>
      <c r="D456" s="13"/>
      <c r="E456" s="13"/>
      <c r="F456" s="13"/>
      <c r="G456" s="13"/>
    </row>
    <row r="457" spans="2:7" ht="16" customHeight="1" x14ac:dyDescent="0.45">
      <c r="B457" s="13"/>
      <c r="C457" s="9"/>
      <c r="D457" s="13"/>
      <c r="E457" s="13"/>
      <c r="F457" s="13"/>
      <c r="G457" s="13"/>
    </row>
    <row r="458" spans="2:7" ht="16" customHeight="1" x14ac:dyDescent="0.45">
      <c r="B458" s="13"/>
      <c r="C458" s="9"/>
      <c r="D458" s="13"/>
      <c r="E458" s="13"/>
      <c r="F458" s="13"/>
      <c r="G458" s="13"/>
    </row>
    <row r="459" spans="2:7" ht="16" customHeight="1" x14ac:dyDescent="0.45">
      <c r="B459" s="13"/>
      <c r="C459" s="9"/>
      <c r="D459" s="13"/>
      <c r="E459" s="13"/>
      <c r="F459" s="13"/>
      <c r="G459" s="13"/>
    </row>
    <row r="460" spans="2:7" ht="16" customHeight="1" x14ac:dyDescent="0.45">
      <c r="B460" s="13"/>
      <c r="C460" s="9"/>
      <c r="D460" s="13"/>
      <c r="E460" s="13"/>
      <c r="F460" s="13"/>
      <c r="G460" s="13"/>
    </row>
  </sheetData>
  <mergeCells count="2">
    <mergeCell ref="B4:C4"/>
    <mergeCell ref="B6:C6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3C1F9-4ED4-42A4-8641-B55E47631CAA}">
  <dimension ref="A3:L151"/>
  <sheetViews>
    <sheetView showGridLines="0" workbookViewId="0">
      <pane ySplit="9" topLeftCell="A10" activePane="bottomLeft" state="frozen"/>
      <selection pane="bottomLeft" activeCell="B4" sqref="B4:C4"/>
    </sheetView>
  </sheetViews>
  <sheetFormatPr defaultColWidth="9.1796875" defaultRowHeight="16" customHeight="1" x14ac:dyDescent="0.35"/>
  <cols>
    <col min="1" max="1" width="2.7265625" style="1" customWidth="1"/>
    <col min="2" max="2" width="10.7265625" style="1" customWidth="1"/>
    <col min="3" max="3" width="60.7265625" style="1" customWidth="1"/>
    <col min="4" max="4" width="1.54296875" style="1" customWidth="1"/>
    <col min="5" max="6" width="15.7265625" style="1" customWidth="1"/>
    <col min="7" max="7" width="1.54296875" style="1" customWidth="1"/>
    <col min="8" max="9" width="15.7265625" style="1" customWidth="1"/>
    <col min="10" max="10" width="1.54296875" style="1" customWidth="1"/>
    <col min="11" max="12" width="15.7265625" style="1" customWidth="1"/>
    <col min="13" max="16384" width="9.1796875" style="1"/>
  </cols>
  <sheetData>
    <row r="3" spans="1:12" ht="16" customHeight="1" x14ac:dyDescent="0.35">
      <c r="B3" s="2" t="s">
        <v>1598</v>
      </c>
    </row>
    <row r="4" spans="1:12" ht="16" customHeight="1" x14ac:dyDescent="0.35">
      <c r="B4" s="33" t="s">
        <v>270</v>
      </c>
      <c r="C4" s="33"/>
    </row>
    <row r="5" spans="1:12" ht="16" customHeight="1" x14ac:dyDescent="0.35">
      <c r="B5" s="4" t="s">
        <v>1599</v>
      </c>
    </row>
    <row r="6" spans="1:12" ht="16" customHeight="1" x14ac:dyDescent="0.35">
      <c r="A6" s="79"/>
      <c r="B6" s="56">
        <v>46189.338230127316</v>
      </c>
      <c r="C6" s="56"/>
    </row>
    <row r="7" spans="1:12" ht="16" customHeight="1" x14ac:dyDescent="0.35">
      <c r="A7" s="79"/>
    </row>
    <row r="8" spans="1:12" ht="16" customHeight="1" x14ac:dyDescent="0.35">
      <c r="E8" s="80" t="s">
        <v>1600</v>
      </c>
      <c r="F8" s="81"/>
      <c r="G8" s="81"/>
      <c r="H8" s="80" t="s">
        <v>1601</v>
      </c>
      <c r="I8" s="81"/>
      <c r="J8" s="81"/>
      <c r="K8" s="81"/>
      <c r="L8" s="81"/>
    </row>
    <row r="9" spans="1:12" ht="16" customHeight="1" thickBot="1" x14ac:dyDescent="0.4">
      <c r="E9" s="82" t="s">
        <v>1602</v>
      </c>
      <c r="F9" s="83" t="s">
        <v>1603</v>
      </c>
      <c r="G9" s="81"/>
      <c r="H9" s="82" t="s">
        <v>1604</v>
      </c>
      <c r="I9" s="83" t="s">
        <v>1603</v>
      </c>
      <c r="J9" s="81"/>
      <c r="K9" s="83" t="s">
        <v>1605</v>
      </c>
      <c r="L9" s="83" t="s">
        <v>1606</v>
      </c>
    </row>
    <row r="10" spans="1:12" ht="16" customHeight="1" x14ac:dyDescent="0.35">
      <c r="B10" s="14" t="s">
        <v>13</v>
      </c>
      <c r="C10" s="14" t="s">
        <v>14</v>
      </c>
      <c r="D10" s="61"/>
      <c r="E10" s="30">
        <v>97145.869120000003</v>
      </c>
      <c r="F10" s="45">
        <f>IFERROR(E10/E13, 0)</f>
        <v>7.4134746446294586E-2</v>
      </c>
      <c r="G10" s="63"/>
      <c r="H10" s="30">
        <v>88129.196079999994</v>
      </c>
      <c r="I10" s="45">
        <f>IFERROR(H10/H13, 0)</f>
        <v>7.9296249280918579E-2</v>
      </c>
      <c r="J10" s="63"/>
      <c r="K10" s="15">
        <f>E10-H10</f>
        <v>9016.6730400000088</v>
      </c>
      <c r="L10" s="45">
        <f>IF(ROUND(K10, 2)=0, 0, IFERROR(K10/ABS(H10), IF(K10&lt;0, -1, 1)))</f>
        <v>0.10231198559686225</v>
      </c>
    </row>
    <row r="11" spans="1:12" ht="16" customHeight="1" x14ac:dyDescent="0.35">
      <c r="B11" s="14" t="s">
        <v>15</v>
      </c>
      <c r="C11" s="14" t="s">
        <v>16</v>
      </c>
      <c r="D11" s="61"/>
      <c r="E11" s="30"/>
      <c r="F11" s="45">
        <f>IFERROR(E11/E13, 0)</f>
        <v>0</v>
      </c>
      <c r="G11" s="63"/>
      <c r="H11" s="15"/>
      <c r="I11" s="45">
        <f>IFERROR(H11/H13, 0)</f>
        <v>0</v>
      </c>
      <c r="J11" s="63"/>
      <c r="K11" s="15">
        <f>E11-H11</f>
        <v>0</v>
      </c>
      <c r="L11" s="45">
        <f>IF(ROUND(K11, 2)=0, 0, IFERROR(K11/ABS(H11), IF(K11&lt;0, -1, 1)))</f>
        <v>0</v>
      </c>
    </row>
    <row r="12" spans="1:12" ht="16" customHeight="1" x14ac:dyDescent="0.35">
      <c r="B12" s="14" t="s">
        <v>17</v>
      </c>
      <c r="C12" s="14" t="s">
        <v>18</v>
      </c>
      <c r="D12" s="61"/>
      <c r="E12" s="15">
        <v>1213250.0488100001</v>
      </c>
      <c r="F12" s="45">
        <f>IFERROR(E12/E13, 0)</f>
        <v>0.92586525355370541</v>
      </c>
      <c r="G12" s="63"/>
      <c r="H12" s="15">
        <v>1023262.53908</v>
      </c>
      <c r="I12" s="45">
        <f>IFERROR(H12/H13, 0)</f>
        <v>0.9207037507190815</v>
      </c>
      <c r="J12" s="63"/>
      <c r="K12" s="15">
        <f>E12-H12</f>
        <v>189987.50973000005</v>
      </c>
      <c r="L12" s="45">
        <f>IF(ROUND(K12, 2)=0, 0, IFERROR(K12/ABS(H12), IF(K12&lt;0, -1, 1)))</f>
        <v>0.18566839151642839</v>
      </c>
    </row>
    <row r="13" spans="1:12" ht="16" customHeight="1" x14ac:dyDescent="0.35">
      <c r="B13" s="16" t="s">
        <v>19</v>
      </c>
      <c r="C13" s="16" t="s">
        <v>20</v>
      </c>
      <c r="D13" s="64"/>
      <c r="E13" s="17">
        <v>1310395.91793</v>
      </c>
      <c r="F13" s="84">
        <f>IFERROR(E13/E13, 0)</f>
        <v>1</v>
      </c>
      <c r="G13" s="65"/>
      <c r="H13" s="17">
        <v>1111391.7351599999</v>
      </c>
      <c r="I13" s="84">
        <f>IFERROR(H13/H13, 0)</f>
        <v>1</v>
      </c>
      <c r="J13" s="65"/>
      <c r="K13" s="17">
        <f>E13-H13</f>
        <v>199004.18277000007</v>
      </c>
      <c r="L13" s="84">
        <f>IF(ROUND(K13, 2)=0, 0, IFERROR(K13/ABS(H13), IF(K13&lt;0, -1, 1)))</f>
        <v>0.17905854117346906</v>
      </c>
    </row>
    <row r="14" spans="1:12" ht="16" customHeight="1" x14ac:dyDescent="0.35">
      <c r="B14" s="11" t="s">
        <v>21</v>
      </c>
      <c r="C14" s="11" t="s">
        <v>22</v>
      </c>
      <c r="D14" s="29"/>
      <c r="E14" s="12"/>
      <c r="F14" s="85"/>
      <c r="G14" s="12"/>
      <c r="H14" s="12"/>
      <c r="I14" s="85"/>
      <c r="J14" s="12"/>
      <c r="K14" s="12"/>
      <c r="L14" s="85"/>
    </row>
    <row r="15" spans="1:12" ht="16" customHeight="1" x14ac:dyDescent="0.35">
      <c r="B15" s="14" t="s">
        <v>23</v>
      </c>
      <c r="C15" s="14" t="s">
        <v>24</v>
      </c>
      <c r="D15" s="61"/>
      <c r="E15" s="15">
        <v>-138573.78228000001</v>
      </c>
      <c r="F15" s="45">
        <f>IFERROR(E15/E13, 0)</f>
        <v>-0.1057495527755471</v>
      </c>
      <c r="G15" s="63"/>
      <c r="H15" s="15">
        <v>-122660.41989</v>
      </c>
      <c r="I15" s="45">
        <f>IFERROR(H15/H13, 0)</f>
        <v>-0.11036650355541952</v>
      </c>
      <c r="J15" s="63"/>
      <c r="K15" s="15">
        <f t="shared" ref="K15:K22" si="0">E15-H15</f>
        <v>-15913.362390000009</v>
      </c>
      <c r="L15" s="45">
        <f t="shared" ref="L15:L22" si="1">IF(ROUND(K15, 2)=0, 0, IFERROR(K15/ABS(H15), IF(K15&lt;0, -1, 1)))</f>
        <v>-0.12973510448008307</v>
      </c>
    </row>
    <row r="16" spans="1:12" ht="16" customHeight="1" x14ac:dyDescent="0.35">
      <c r="B16" s="14" t="s">
        <v>25</v>
      </c>
      <c r="C16" s="14" t="s">
        <v>26</v>
      </c>
      <c r="D16" s="61"/>
      <c r="E16" s="15">
        <v>-2312.0261700000001</v>
      </c>
      <c r="F16" s="45">
        <f>IFERROR(E16/E13, 0)</f>
        <v>-1.764372231601767E-3</v>
      </c>
      <c r="G16" s="63"/>
      <c r="H16" s="15">
        <v>-2780.0209599999998</v>
      </c>
      <c r="I16" s="45">
        <f>IFERROR(H16/H13, 0)</f>
        <v>-2.5013871095593294E-3</v>
      </c>
      <c r="J16" s="63"/>
      <c r="K16" s="15">
        <f t="shared" si="0"/>
        <v>467.99478999999974</v>
      </c>
      <c r="L16" s="45">
        <f t="shared" si="1"/>
        <v>0.16834218041291307</v>
      </c>
    </row>
    <row r="17" spans="2:12" ht="16" customHeight="1" x14ac:dyDescent="0.35">
      <c r="B17" s="14" t="s">
        <v>27</v>
      </c>
      <c r="C17" s="14" t="s">
        <v>28</v>
      </c>
      <c r="D17" s="61"/>
      <c r="E17" s="15">
        <v>-39348.453110000002</v>
      </c>
      <c r="F17" s="45">
        <f>IFERROR(E17/E13, 0)</f>
        <v>-3.002791184831969E-2</v>
      </c>
      <c r="G17" s="63"/>
      <c r="H17" s="15">
        <v>-38500.036760000003</v>
      </c>
      <c r="I17" s="45">
        <f>IFERROR(H17/H13, 0)</f>
        <v>-3.4641284024356539E-2</v>
      </c>
      <c r="J17" s="63"/>
      <c r="K17" s="15">
        <f t="shared" si="0"/>
        <v>-848.41634999999951</v>
      </c>
      <c r="L17" s="45">
        <f t="shared" si="1"/>
        <v>-2.2036767270868431E-2</v>
      </c>
    </row>
    <row r="18" spans="2:12" ht="16" customHeight="1" x14ac:dyDescent="0.35">
      <c r="B18" s="14" t="s">
        <v>29</v>
      </c>
      <c r="C18" s="14" t="s">
        <v>30</v>
      </c>
      <c r="D18" s="61"/>
      <c r="E18" s="15">
        <v>-5312.5511100000003</v>
      </c>
      <c r="F18" s="45">
        <f>IFERROR(E18/E13, 0)</f>
        <v>-4.0541572492015284E-3</v>
      </c>
      <c r="G18" s="63"/>
      <c r="H18" s="15">
        <v>-3462.4647599999998</v>
      </c>
      <c r="I18" s="45">
        <f>IFERROR(H18/H13, 0)</f>
        <v>-3.1154314455123524E-3</v>
      </c>
      <c r="J18" s="63"/>
      <c r="K18" s="15">
        <f t="shared" si="0"/>
        <v>-1850.0863500000005</v>
      </c>
      <c r="L18" s="45">
        <f t="shared" si="1"/>
        <v>-0.53432640567871093</v>
      </c>
    </row>
    <row r="19" spans="2:12" ht="16" customHeight="1" x14ac:dyDescent="0.35">
      <c r="B19" s="14" t="s">
        <v>31</v>
      </c>
      <c r="C19" s="14" t="s">
        <v>32</v>
      </c>
      <c r="D19" s="61"/>
      <c r="E19" s="15">
        <v>-79576.840670000005</v>
      </c>
      <c r="F19" s="45">
        <f>IFERROR(E19/E13, 0)</f>
        <v>-6.072732643711648E-2</v>
      </c>
      <c r="G19" s="63"/>
      <c r="H19" s="15">
        <v>-61082.420599999998</v>
      </c>
      <c r="I19" s="45">
        <f>IFERROR(H19/H13, 0)</f>
        <v>-5.4960297676864001E-2</v>
      </c>
      <c r="J19" s="63"/>
      <c r="K19" s="15">
        <f t="shared" si="0"/>
        <v>-18494.420070000007</v>
      </c>
      <c r="L19" s="45">
        <f t="shared" si="1"/>
        <v>-0.30277811338079175</v>
      </c>
    </row>
    <row r="20" spans="2:12" ht="16" customHeight="1" x14ac:dyDescent="0.35">
      <c r="B20" s="14" t="s">
        <v>33</v>
      </c>
      <c r="C20" s="14" t="s">
        <v>34</v>
      </c>
      <c r="D20" s="61"/>
      <c r="E20" s="15"/>
      <c r="F20" s="45">
        <f>IFERROR(E20/E13, 0)</f>
        <v>0</v>
      </c>
      <c r="G20" s="63"/>
      <c r="H20" s="15"/>
      <c r="I20" s="45">
        <f>IFERROR(H20/H13, 0)</f>
        <v>0</v>
      </c>
      <c r="J20" s="63"/>
      <c r="K20" s="15">
        <f t="shared" si="0"/>
        <v>0</v>
      </c>
      <c r="L20" s="45">
        <f t="shared" si="1"/>
        <v>0</v>
      </c>
    </row>
    <row r="21" spans="2:12" ht="16" customHeight="1" x14ac:dyDescent="0.35">
      <c r="B21" s="14" t="s">
        <v>35</v>
      </c>
      <c r="C21" s="14" t="s">
        <v>36</v>
      </c>
      <c r="D21" s="61"/>
      <c r="E21" s="15"/>
      <c r="F21" s="45">
        <f>IFERROR(E21/E13, 0)</f>
        <v>0</v>
      </c>
      <c r="G21" s="63"/>
      <c r="H21" s="15"/>
      <c r="I21" s="45">
        <f>IFERROR(H21/H13, 0)</f>
        <v>0</v>
      </c>
      <c r="J21" s="63"/>
      <c r="K21" s="15">
        <f t="shared" si="0"/>
        <v>0</v>
      </c>
      <c r="L21" s="45">
        <f t="shared" si="1"/>
        <v>0</v>
      </c>
    </row>
    <row r="22" spans="2:12" ht="16" customHeight="1" x14ac:dyDescent="0.35">
      <c r="B22" s="16" t="s">
        <v>39</v>
      </c>
      <c r="C22" s="16" t="s">
        <v>40</v>
      </c>
      <c r="D22" s="64"/>
      <c r="E22" s="17">
        <v>-265123.65334000002</v>
      </c>
      <c r="F22" s="84">
        <f>IFERROR(E22/E13, 0)</f>
        <v>-0.20232332054178656</v>
      </c>
      <c r="G22" s="65"/>
      <c r="H22" s="17">
        <v>-228485.36296999999</v>
      </c>
      <c r="I22" s="84">
        <f>IFERROR(H22/H13, 0)</f>
        <v>-0.20558490381171174</v>
      </c>
      <c r="J22" s="65"/>
      <c r="K22" s="17">
        <f t="shared" si="0"/>
        <v>-36638.290370000032</v>
      </c>
      <c r="L22" s="84">
        <f t="shared" si="1"/>
        <v>-0.16035289916934689</v>
      </c>
    </row>
    <row r="23" spans="2:12" ht="16" customHeight="1" x14ac:dyDescent="0.35">
      <c r="B23" s="11" t="s">
        <v>41</v>
      </c>
      <c r="C23" s="11" t="s">
        <v>22</v>
      </c>
      <c r="D23" s="29"/>
      <c r="E23" s="12"/>
      <c r="F23" s="85"/>
      <c r="G23" s="12"/>
      <c r="H23" s="12"/>
      <c r="I23" s="85"/>
      <c r="J23" s="12"/>
      <c r="K23" s="12"/>
      <c r="L23" s="85"/>
    </row>
    <row r="24" spans="2:12" ht="16" customHeight="1" x14ac:dyDescent="0.35">
      <c r="B24" s="14" t="s">
        <v>42</v>
      </c>
      <c r="C24" s="14" t="s">
        <v>43</v>
      </c>
      <c r="D24" s="61"/>
      <c r="E24" s="15">
        <v>-117833.28932</v>
      </c>
      <c r="F24" s="45">
        <f>IFERROR(E24/E13, 0)</f>
        <v>-8.992189895259925E-2</v>
      </c>
      <c r="G24" s="63"/>
      <c r="H24" s="15">
        <v>-54703.876250000001</v>
      </c>
      <c r="I24" s="45">
        <f>IFERROR(H24/H13, 0)</f>
        <v>-4.9221057273855499E-2</v>
      </c>
      <c r="J24" s="63"/>
      <c r="K24" s="15">
        <f t="shared" ref="K24:K38" si="2">E24-H24</f>
        <v>-63129.413069999995</v>
      </c>
      <c r="L24" s="45">
        <f t="shared" ref="L24:L38" si="3">IF(ROUND(K24, 2)=0, 0, IFERROR(K24/ABS(H24), IF(K24&lt;0, -1, 1)))</f>
        <v>-1.154020837234546</v>
      </c>
    </row>
    <row r="25" spans="2:12" ht="16" customHeight="1" x14ac:dyDescent="0.35">
      <c r="B25" s="14" t="s">
        <v>44</v>
      </c>
      <c r="C25" s="14" t="s">
        <v>45</v>
      </c>
      <c r="D25" s="61"/>
      <c r="E25" s="15">
        <v>-75713.894549999997</v>
      </c>
      <c r="F25" s="45">
        <f>IFERROR(E25/E13, 0)</f>
        <v>-5.7779403548206529E-2</v>
      </c>
      <c r="G25" s="63"/>
      <c r="H25" s="15">
        <v>-64381.559869999997</v>
      </c>
      <c r="I25" s="45">
        <f>IFERROR(H25/H13, 0)</f>
        <v>-5.7928773296781262E-2</v>
      </c>
      <c r="J25" s="63"/>
      <c r="K25" s="15">
        <f t="shared" si="2"/>
        <v>-11332.33468</v>
      </c>
      <c r="L25" s="45">
        <f t="shared" si="3"/>
        <v>-0.17601833044869344</v>
      </c>
    </row>
    <row r="26" spans="2:12" ht="16" customHeight="1" x14ac:dyDescent="0.35">
      <c r="B26" s="14" t="s">
        <v>46</v>
      </c>
      <c r="C26" s="14" t="s">
        <v>47</v>
      </c>
      <c r="D26" s="61"/>
      <c r="E26" s="15">
        <v>-20591.710650000001</v>
      </c>
      <c r="F26" s="45">
        <f>IFERROR(E26/E13, 0)</f>
        <v>-1.5714113855397394E-2</v>
      </c>
      <c r="G26" s="63"/>
      <c r="H26" s="15">
        <v>-21644.97741</v>
      </c>
      <c r="I26" s="45">
        <f>IFERROR(H26/H13, 0)</f>
        <v>-1.9475560889323972E-2</v>
      </c>
      <c r="J26" s="63"/>
      <c r="K26" s="15">
        <f t="shared" si="2"/>
        <v>1053.2667599999986</v>
      </c>
      <c r="L26" s="45">
        <f t="shared" si="3"/>
        <v>4.8661023758490428E-2</v>
      </c>
    </row>
    <row r="27" spans="2:12" ht="16" customHeight="1" x14ac:dyDescent="0.35">
      <c r="B27" s="14" t="s">
        <v>48</v>
      </c>
      <c r="C27" s="14" t="s">
        <v>49</v>
      </c>
      <c r="D27" s="61"/>
      <c r="E27" s="15">
        <v>-53203.67366</v>
      </c>
      <c r="F27" s="45">
        <f>IFERROR(E27/E13, 0)</f>
        <v>-4.0601220541074734E-2</v>
      </c>
      <c r="G27" s="63"/>
      <c r="H27" s="15">
        <v>-34223.063730000002</v>
      </c>
      <c r="I27" s="45">
        <f>IFERROR(H27/H13, 0)</f>
        <v>-3.0792980231289131E-2</v>
      </c>
      <c r="J27" s="63"/>
      <c r="K27" s="15">
        <f t="shared" si="2"/>
        <v>-18980.609929999999</v>
      </c>
      <c r="L27" s="45">
        <f t="shared" si="3"/>
        <v>-0.55461457453797625</v>
      </c>
    </row>
    <row r="28" spans="2:12" ht="16" customHeight="1" x14ac:dyDescent="0.35">
      <c r="B28" s="14" t="s">
        <v>50</v>
      </c>
      <c r="C28" s="14" t="s">
        <v>51</v>
      </c>
      <c r="D28" s="61"/>
      <c r="E28" s="15">
        <v>-56826.477440000002</v>
      </c>
      <c r="F28" s="45">
        <f>IFERROR(E28/E13, 0)</f>
        <v>-4.3365884052636076E-2</v>
      </c>
      <c r="G28" s="63"/>
      <c r="H28" s="15">
        <v>-46248.83728</v>
      </c>
      <c r="I28" s="45">
        <f>IFERROR(H28/H13, 0)</f>
        <v>-4.1613443592273834E-2</v>
      </c>
      <c r="J28" s="63"/>
      <c r="K28" s="15">
        <f t="shared" si="2"/>
        <v>-10577.640160000003</v>
      </c>
      <c r="L28" s="45">
        <f t="shared" si="3"/>
        <v>-0.22871148297114557</v>
      </c>
    </row>
    <row r="29" spans="2:12" ht="16" customHeight="1" x14ac:dyDescent="0.35">
      <c r="B29" s="14" t="s">
        <v>52</v>
      </c>
      <c r="C29" s="14" t="s">
        <v>53</v>
      </c>
      <c r="D29" s="61"/>
      <c r="E29" s="15">
        <v>-134986.15779999999</v>
      </c>
      <c r="F29" s="45">
        <f>IFERROR(E29/E13, 0)</f>
        <v>-0.10301173557777429</v>
      </c>
      <c r="G29" s="63"/>
      <c r="H29" s="15">
        <v>-118681.49821999999</v>
      </c>
      <c r="I29" s="45">
        <f>IFERROR(H29/H13, 0)</f>
        <v>-0.10678637825475118</v>
      </c>
      <c r="J29" s="63"/>
      <c r="K29" s="15">
        <f t="shared" si="2"/>
        <v>-16304.659579999992</v>
      </c>
      <c r="L29" s="45">
        <f t="shared" si="3"/>
        <v>-0.13738164604036285</v>
      </c>
    </row>
    <row r="30" spans="2:12" ht="16" customHeight="1" x14ac:dyDescent="0.35">
      <c r="B30" s="14" t="s">
        <v>54</v>
      </c>
      <c r="C30" s="14" t="s">
        <v>55</v>
      </c>
      <c r="D30" s="61"/>
      <c r="E30" s="15">
        <v>-161003.67264999999</v>
      </c>
      <c r="F30" s="45">
        <f>IFERROR(E30/E13, 0)</f>
        <v>-0.12286643330233622</v>
      </c>
      <c r="G30" s="63"/>
      <c r="H30" s="15">
        <v>-142847.13485</v>
      </c>
      <c r="I30" s="45">
        <f>IFERROR(H30/H13, 0)</f>
        <v>-0.12852995962709335</v>
      </c>
      <c r="J30" s="63"/>
      <c r="K30" s="15">
        <f t="shared" si="2"/>
        <v>-18156.537799999991</v>
      </c>
      <c r="L30" s="45">
        <f t="shared" si="3"/>
        <v>-0.1271046690510502</v>
      </c>
    </row>
    <row r="31" spans="2:12" ht="16" customHeight="1" x14ac:dyDescent="0.35">
      <c r="B31" s="14" t="s">
        <v>56</v>
      </c>
      <c r="C31" s="14" t="s">
        <v>57</v>
      </c>
      <c r="D31" s="61"/>
      <c r="E31" s="15">
        <v>-32306.614539999999</v>
      </c>
      <c r="F31" s="45">
        <f>IFERROR(E31/E13, 0)</f>
        <v>-2.4654086675601032E-2</v>
      </c>
      <c r="G31" s="63"/>
      <c r="H31" s="15">
        <v>-41185.825440000001</v>
      </c>
      <c r="I31" s="45">
        <f>IFERROR(H31/H13, 0)</f>
        <v>-3.7057883496021085E-2</v>
      </c>
      <c r="J31" s="63"/>
      <c r="K31" s="15">
        <f t="shared" si="2"/>
        <v>8879.2109000000019</v>
      </c>
      <c r="L31" s="45">
        <f t="shared" si="3"/>
        <v>0.21558899949535651</v>
      </c>
    </row>
    <row r="32" spans="2:12" ht="16" customHeight="1" x14ac:dyDescent="0.35">
      <c r="B32" s="14" t="s">
        <v>58</v>
      </c>
      <c r="C32" s="14" t="s">
        <v>59</v>
      </c>
      <c r="D32" s="61"/>
      <c r="E32" s="15">
        <v>1368.3778299999999</v>
      </c>
      <c r="F32" s="45">
        <f>IFERROR(E32/E13, 0)</f>
        <v>1.0442476287331485E-3</v>
      </c>
      <c r="G32" s="63"/>
      <c r="H32" s="15">
        <v>-9747.1612299999997</v>
      </c>
      <c r="I32" s="45">
        <f>IFERROR(H32/H13, 0)</f>
        <v>-8.7702300832719106E-3</v>
      </c>
      <c r="J32" s="63"/>
      <c r="K32" s="15">
        <f t="shared" si="2"/>
        <v>11115.539059999999</v>
      </c>
      <c r="L32" s="45">
        <f t="shared" si="3"/>
        <v>1.1403873186983282</v>
      </c>
    </row>
    <row r="33" spans="2:12" ht="16" customHeight="1" x14ac:dyDescent="0.35">
      <c r="B33" s="14" t="s">
        <v>60</v>
      </c>
      <c r="C33" s="14" t="s">
        <v>61</v>
      </c>
      <c r="D33" s="61"/>
      <c r="E33" s="15"/>
      <c r="F33" s="45">
        <f>IFERROR(E33/E13, 0)</f>
        <v>0</v>
      </c>
      <c r="G33" s="63"/>
      <c r="H33" s="15"/>
      <c r="I33" s="45">
        <f>IFERROR(H33/H13, 0)</f>
        <v>0</v>
      </c>
      <c r="J33" s="63"/>
      <c r="K33" s="15">
        <f t="shared" si="2"/>
        <v>0</v>
      </c>
      <c r="L33" s="45">
        <f t="shared" si="3"/>
        <v>0</v>
      </c>
    </row>
    <row r="34" spans="2:12" ht="16" customHeight="1" x14ac:dyDescent="0.35">
      <c r="B34" s="14" t="s">
        <v>62</v>
      </c>
      <c r="C34" s="14" t="s">
        <v>36</v>
      </c>
      <c r="D34" s="61"/>
      <c r="E34" s="15">
        <v>2158.8922699999998</v>
      </c>
      <c r="F34" s="45">
        <f>IFERROR(E34/E13, 0)</f>
        <v>1.6475114432669697E-3</v>
      </c>
      <c r="G34" s="63"/>
      <c r="H34" s="15">
        <v>82.081249999999997</v>
      </c>
      <c r="I34" s="45">
        <f>IFERROR(H34/H13, 0)</f>
        <v>7.385447219308616E-5</v>
      </c>
      <c r="J34" s="63"/>
      <c r="K34" s="15">
        <f t="shared" si="2"/>
        <v>2076.8110199999996</v>
      </c>
      <c r="L34" s="45">
        <f t="shared" si="3"/>
        <v>25.301893185106216</v>
      </c>
    </row>
    <row r="35" spans="2:12" ht="16" customHeight="1" x14ac:dyDescent="0.35">
      <c r="B35" s="14" t="s">
        <v>63</v>
      </c>
      <c r="C35" s="14" t="s">
        <v>64</v>
      </c>
      <c r="D35" s="61"/>
      <c r="E35" s="15">
        <v>84.691779999999994</v>
      </c>
      <c r="F35" s="45">
        <f>IFERROR(E35/E13, 0)</f>
        <v>6.4630680576131146E-5</v>
      </c>
      <c r="G35" s="63"/>
      <c r="H35" s="15">
        <v>-2.6930499999999999</v>
      </c>
      <c r="I35" s="45">
        <f>IFERROR(H35/H13, 0)</f>
        <v>-2.4231330095434791E-6</v>
      </c>
      <c r="J35" s="63"/>
      <c r="K35" s="15">
        <f t="shared" si="2"/>
        <v>87.384829999999994</v>
      </c>
      <c r="L35" s="45">
        <f t="shared" si="3"/>
        <v>32.448276118155995</v>
      </c>
    </row>
    <row r="36" spans="2:12" ht="16" customHeight="1" x14ac:dyDescent="0.35">
      <c r="B36" s="14" t="s">
        <v>65</v>
      </c>
      <c r="C36" s="14" t="s">
        <v>66</v>
      </c>
      <c r="D36" s="61"/>
      <c r="E36" s="15"/>
      <c r="F36" s="45">
        <f>IFERROR(E36/E13, 0)</f>
        <v>0</v>
      </c>
      <c r="G36" s="63"/>
      <c r="H36" s="15"/>
      <c r="I36" s="45">
        <f>IFERROR(H36/H13, 0)</f>
        <v>0</v>
      </c>
      <c r="J36" s="63"/>
      <c r="K36" s="15">
        <f t="shared" si="2"/>
        <v>0</v>
      </c>
      <c r="L36" s="45">
        <f t="shared" si="3"/>
        <v>0</v>
      </c>
    </row>
    <row r="37" spans="2:12" ht="16" customHeight="1" x14ac:dyDescent="0.35">
      <c r="B37" s="14" t="s">
        <v>67</v>
      </c>
      <c r="C37" s="14" t="s">
        <v>68</v>
      </c>
      <c r="D37" s="61"/>
      <c r="E37" s="15">
        <v>18050.170999999998</v>
      </c>
      <c r="F37" s="45">
        <f>IFERROR(E37/E13, 0)</f>
        <v>1.3774593428613091E-2</v>
      </c>
      <c r="G37" s="63"/>
      <c r="H37" s="15">
        <v>477.91300000000001</v>
      </c>
      <c r="I37" s="45">
        <f>IFERROR(H37/H13, 0)</f>
        <v>4.3001309518573839E-4</v>
      </c>
      <c r="J37" s="63"/>
      <c r="K37" s="15">
        <f t="shared" si="2"/>
        <v>17572.257999999998</v>
      </c>
      <c r="L37" s="45">
        <f t="shared" si="3"/>
        <v>36.768738243153038</v>
      </c>
    </row>
    <row r="38" spans="2:12" ht="16" customHeight="1" x14ac:dyDescent="0.35">
      <c r="B38" s="16" t="s">
        <v>69</v>
      </c>
      <c r="C38" s="16" t="s">
        <v>70</v>
      </c>
      <c r="D38" s="64"/>
      <c r="E38" s="17">
        <v>-630803.35773000005</v>
      </c>
      <c r="F38" s="84">
        <f>IFERROR(E38/E13, 0)</f>
        <v>-0.48138379332443626</v>
      </c>
      <c r="G38" s="65"/>
      <c r="H38" s="17">
        <v>-533106.63308000006</v>
      </c>
      <c r="I38" s="84">
        <f>IFERROR(H38/H13, 0)</f>
        <v>-0.47967482231029202</v>
      </c>
      <c r="J38" s="65"/>
      <c r="K38" s="17">
        <f t="shared" si="2"/>
        <v>-97696.724649999989</v>
      </c>
      <c r="L38" s="84">
        <f t="shared" si="3"/>
        <v>-0.18325925544306487</v>
      </c>
    </row>
    <row r="39" spans="2:12" ht="16" customHeight="1" x14ac:dyDescent="0.35">
      <c r="B39" s="11" t="s">
        <v>71</v>
      </c>
      <c r="C39" s="11" t="s">
        <v>22</v>
      </c>
      <c r="D39" s="29"/>
      <c r="E39" s="12"/>
      <c r="F39" s="85"/>
      <c r="G39" s="12"/>
      <c r="H39" s="12"/>
      <c r="I39" s="85"/>
      <c r="J39" s="12"/>
      <c r="K39" s="12"/>
      <c r="L39" s="85"/>
    </row>
    <row r="40" spans="2:12" ht="16" customHeight="1" x14ac:dyDescent="0.35">
      <c r="B40" s="16" t="s">
        <v>72</v>
      </c>
      <c r="C40" s="16" t="s">
        <v>73</v>
      </c>
      <c r="D40" s="64"/>
      <c r="E40" s="17">
        <v>-895927.01107000001</v>
      </c>
      <c r="F40" s="84">
        <f>IFERROR(E40/E13, 0)</f>
        <v>-0.68370711386622274</v>
      </c>
      <c r="G40" s="65"/>
      <c r="H40" s="17">
        <v>-761591.99604999996</v>
      </c>
      <c r="I40" s="84">
        <f>IFERROR(H40/H13, 0)</f>
        <v>-0.6852597261220037</v>
      </c>
      <c r="J40" s="65"/>
      <c r="K40" s="17">
        <f>E40-H40</f>
        <v>-134335.01502000005</v>
      </c>
      <c r="L40" s="84">
        <f>IF(ROUND(K40, 2)=0, 0, IFERROR(K40/ABS(H40), IF(K40&lt;0, -1, 1)))</f>
        <v>-0.17638711503893051</v>
      </c>
    </row>
    <row r="41" spans="2:12" ht="16" customHeight="1" thickBot="1" x14ac:dyDescent="0.4">
      <c r="B41" s="11" t="s">
        <v>74</v>
      </c>
      <c r="C41" s="11" t="s">
        <v>22</v>
      </c>
      <c r="D41" s="29"/>
      <c r="E41" s="12"/>
      <c r="F41" s="85"/>
      <c r="G41" s="12"/>
      <c r="H41" s="12"/>
      <c r="I41" s="85"/>
      <c r="J41" s="12"/>
      <c r="K41" s="12"/>
      <c r="L41" s="85"/>
    </row>
    <row r="42" spans="2:12" ht="16" customHeight="1" thickBot="1" x14ac:dyDescent="0.4">
      <c r="B42" s="18" t="s">
        <v>75</v>
      </c>
      <c r="C42" s="18" t="s">
        <v>76</v>
      </c>
      <c r="D42" s="66"/>
      <c r="E42" s="19">
        <v>414468.90685999999</v>
      </c>
      <c r="F42" s="86">
        <f>IFERROR(E42/E13, 0)</f>
        <v>0.31629288613377726</v>
      </c>
      <c r="G42" s="68"/>
      <c r="H42" s="19">
        <v>349799.73911000002</v>
      </c>
      <c r="I42" s="86">
        <f>IFERROR(H42/H13, 0)</f>
        <v>0.31474027387799641</v>
      </c>
      <c r="J42" s="68"/>
      <c r="K42" s="19">
        <f>E42-H42</f>
        <v>64669.167749999964</v>
      </c>
      <c r="L42" s="86">
        <f>IF(ROUND(K42, 2)=0, 0, IFERROR(K42/ABS(H42), IF(K42&lt;0, -1, 1)))</f>
        <v>0.18487483128071666</v>
      </c>
    </row>
    <row r="43" spans="2:12" ht="16" customHeight="1" x14ac:dyDescent="0.35">
      <c r="B43" s="11" t="s">
        <v>77</v>
      </c>
      <c r="C43" s="11" t="s">
        <v>22</v>
      </c>
      <c r="D43" s="29"/>
      <c r="E43" s="12"/>
      <c r="F43" s="85"/>
      <c r="G43" s="12"/>
      <c r="H43" s="12"/>
      <c r="I43" s="85"/>
      <c r="J43" s="12"/>
      <c r="K43" s="12"/>
      <c r="L43" s="85"/>
    </row>
    <row r="44" spans="2:12" ht="16" customHeight="1" x14ac:dyDescent="0.35">
      <c r="B44" s="14" t="s">
        <v>78</v>
      </c>
      <c r="C44" s="14" t="s">
        <v>28</v>
      </c>
      <c r="D44" s="61"/>
      <c r="E44" s="15">
        <v>-12174.12407</v>
      </c>
      <c r="F44" s="45">
        <f>IFERROR(E44/E13, 0)</f>
        <v>-9.2904166621879912E-3</v>
      </c>
      <c r="G44" s="63"/>
      <c r="H44" s="15">
        <v>-11934.644910000001</v>
      </c>
      <c r="I44" s="45">
        <f>IFERROR(H44/H13, 0)</f>
        <v>-1.073846829379368E-2</v>
      </c>
      <c r="J44" s="63"/>
      <c r="K44" s="15">
        <f t="shared" ref="K44:K50" si="4">E44-H44</f>
        <v>-239.47915999999896</v>
      </c>
      <c r="L44" s="45">
        <f t="shared" ref="L44:L50" si="5">IF(ROUND(K44, 2)=0, 0, IFERROR(K44/ABS(H44), IF(K44&lt;0, -1, 1)))</f>
        <v>-2.0065880619484552E-2</v>
      </c>
    </row>
    <row r="45" spans="2:12" ht="16" customHeight="1" x14ac:dyDescent="0.35">
      <c r="B45" s="14" t="s">
        <v>79</v>
      </c>
      <c r="C45" s="14" t="s">
        <v>80</v>
      </c>
      <c r="D45" s="61"/>
      <c r="E45" s="15">
        <v>-2007.41284</v>
      </c>
      <c r="F45" s="45">
        <f>IFERROR(E45/E13, 0)</f>
        <v>-1.5319132275465725E-3</v>
      </c>
      <c r="G45" s="63"/>
      <c r="H45" s="15">
        <v>-728.68895999999995</v>
      </c>
      <c r="I45" s="45">
        <f>IFERROR(H45/H13, 0)</f>
        <v>-6.5565447082895155E-4</v>
      </c>
      <c r="J45" s="63"/>
      <c r="K45" s="15">
        <f t="shared" si="4"/>
        <v>-1278.72388</v>
      </c>
      <c r="L45" s="45">
        <f t="shared" si="5"/>
        <v>-1.7548281230993263</v>
      </c>
    </row>
    <row r="46" spans="2:12" ht="16" customHeight="1" x14ac:dyDescent="0.35">
      <c r="B46" s="14" t="s">
        <v>81</v>
      </c>
      <c r="C46" s="14" t="s">
        <v>82</v>
      </c>
      <c r="D46" s="61"/>
      <c r="E46" s="15">
        <v>-346.44763</v>
      </c>
      <c r="F46" s="45">
        <f>IFERROR(E46/E13, 0)</f>
        <v>-2.6438393561792741E-4</v>
      </c>
      <c r="G46" s="63"/>
      <c r="H46" s="15">
        <v>-395.70319000000001</v>
      </c>
      <c r="I46" s="45">
        <f>IFERROR(H46/H13, 0)</f>
        <v>-3.5604294820766608E-4</v>
      </c>
      <c r="J46" s="63"/>
      <c r="K46" s="15">
        <f t="shared" si="4"/>
        <v>49.255560000000003</v>
      </c>
      <c r="L46" s="45">
        <f t="shared" si="5"/>
        <v>0.12447602456780801</v>
      </c>
    </row>
    <row r="47" spans="2:12" ht="16" customHeight="1" x14ac:dyDescent="0.35">
      <c r="B47" s="14" t="s">
        <v>83</v>
      </c>
      <c r="C47" s="14" t="s">
        <v>84</v>
      </c>
      <c r="D47" s="61"/>
      <c r="E47" s="15">
        <v>-656.76592000000005</v>
      </c>
      <c r="F47" s="45">
        <f>IFERROR(E47/E13, 0)</f>
        <v>-5.0119655518881417E-4</v>
      </c>
      <c r="G47" s="63"/>
      <c r="H47" s="15">
        <v>-1177.2200499999999</v>
      </c>
      <c r="I47" s="45">
        <f>IFERROR(H47/H13, 0)</f>
        <v>-1.0592305239974843E-3</v>
      </c>
      <c r="J47" s="63"/>
      <c r="K47" s="15">
        <f t="shared" si="4"/>
        <v>520.45412999999985</v>
      </c>
      <c r="L47" s="45">
        <f t="shared" si="5"/>
        <v>0.44210437122609308</v>
      </c>
    </row>
    <row r="48" spans="2:12" ht="16" customHeight="1" x14ac:dyDescent="0.35">
      <c r="B48" s="14" t="s">
        <v>85</v>
      </c>
      <c r="C48" s="14" t="s">
        <v>86</v>
      </c>
      <c r="D48" s="61"/>
      <c r="E48" s="15"/>
      <c r="F48" s="45">
        <f>IFERROR(E48/E13, 0)</f>
        <v>0</v>
      </c>
      <c r="G48" s="63"/>
      <c r="H48" s="15"/>
      <c r="I48" s="45">
        <f>IFERROR(H48/H13, 0)</f>
        <v>0</v>
      </c>
      <c r="J48" s="63"/>
      <c r="K48" s="15">
        <f t="shared" si="4"/>
        <v>0</v>
      </c>
      <c r="L48" s="45">
        <f t="shared" si="5"/>
        <v>0</v>
      </c>
    </row>
    <row r="49" spans="2:12" ht="16" customHeight="1" x14ac:dyDescent="0.35">
      <c r="B49" s="14" t="s">
        <v>87</v>
      </c>
      <c r="C49" s="14" t="s">
        <v>88</v>
      </c>
      <c r="D49" s="61"/>
      <c r="E49" s="15"/>
      <c r="F49" s="45">
        <f>IFERROR(E49/E13, 0)</f>
        <v>0</v>
      </c>
      <c r="G49" s="63"/>
      <c r="H49" s="15"/>
      <c r="I49" s="45">
        <f>IFERROR(H49/H13, 0)</f>
        <v>0</v>
      </c>
      <c r="J49" s="63"/>
      <c r="K49" s="15">
        <f t="shared" si="4"/>
        <v>0</v>
      </c>
      <c r="L49" s="45">
        <f t="shared" si="5"/>
        <v>0</v>
      </c>
    </row>
    <row r="50" spans="2:12" ht="16" customHeight="1" x14ac:dyDescent="0.35">
      <c r="B50" s="16" t="s">
        <v>91</v>
      </c>
      <c r="C50" s="16" t="s">
        <v>92</v>
      </c>
      <c r="D50" s="64"/>
      <c r="E50" s="17">
        <v>-15184.750459999999</v>
      </c>
      <c r="F50" s="84">
        <f>IFERROR(E50/E13, 0)</f>
        <v>-1.1587910380541305E-2</v>
      </c>
      <c r="G50" s="65"/>
      <c r="H50" s="17">
        <v>-14236.25711</v>
      </c>
      <c r="I50" s="84">
        <f>IFERROR(H50/H13, 0)</f>
        <v>-1.280939623682778E-2</v>
      </c>
      <c r="J50" s="65"/>
      <c r="K50" s="17">
        <f t="shared" si="4"/>
        <v>-948.49334999999883</v>
      </c>
      <c r="L50" s="84">
        <f t="shared" si="5"/>
        <v>-6.6625191064703854E-2</v>
      </c>
    </row>
    <row r="51" spans="2:12" ht="16" customHeight="1" x14ac:dyDescent="0.35">
      <c r="B51" s="11" t="s">
        <v>93</v>
      </c>
      <c r="C51" s="11" t="s">
        <v>22</v>
      </c>
      <c r="D51" s="29"/>
      <c r="E51" s="12"/>
      <c r="F51" s="85"/>
      <c r="G51" s="12"/>
      <c r="H51" s="12"/>
      <c r="I51" s="85"/>
      <c r="J51" s="12"/>
      <c r="K51" s="12"/>
      <c r="L51" s="85"/>
    </row>
    <row r="52" spans="2:12" ht="16" customHeight="1" x14ac:dyDescent="0.35">
      <c r="B52" s="14" t="s">
        <v>94</v>
      </c>
      <c r="C52" s="14" t="s">
        <v>28</v>
      </c>
      <c r="D52" s="61"/>
      <c r="E52" s="15">
        <v>-17419.420620000001</v>
      </c>
      <c r="F52" s="45">
        <f>IFERROR(E52/E13, 0)</f>
        <v>-1.3293250064085233E-2</v>
      </c>
      <c r="G52" s="63"/>
      <c r="H52" s="15">
        <v>-30399.814610000001</v>
      </c>
      <c r="I52" s="45">
        <f>IFERROR(H52/H13, 0)</f>
        <v>-2.7352924849331849E-2</v>
      </c>
      <c r="J52" s="63"/>
      <c r="K52" s="15">
        <f t="shared" ref="K52:K57" si="6">E52-H52</f>
        <v>12980.39399</v>
      </c>
      <c r="L52" s="45">
        <f t="shared" ref="L52:L57" si="7">IF(ROUND(K52, 2)=0, 0, IFERROR(K52/ABS(H52), IF(K52&lt;0, -1, 1)))</f>
        <v>0.42698924834002466</v>
      </c>
    </row>
    <row r="53" spans="2:12" ht="16" customHeight="1" x14ac:dyDescent="0.35">
      <c r="B53" s="14" t="s">
        <v>95</v>
      </c>
      <c r="C53" s="14" t="s">
        <v>80</v>
      </c>
      <c r="D53" s="61"/>
      <c r="E53" s="15">
        <v>-14406.346600000001</v>
      </c>
      <c r="F53" s="45">
        <f>IFERROR(E53/E13, 0)</f>
        <v>-1.0993888490401702E-2</v>
      </c>
      <c r="G53" s="63"/>
      <c r="H53" s="15">
        <v>-14945.15819</v>
      </c>
      <c r="I53" s="45">
        <f>IFERROR(H53/H13, 0)</f>
        <v>-1.3447246112414577E-2</v>
      </c>
      <c r="J53" s="63"/>
      <c r="K53" s="15">
        <f t="shared" si="6"/>
        <v>538.81158999999934</v>
      </c>
      <c r="L53" s="45">
        <f t="shared" si="7"/>
        <v>3.6052585268754475E-2</v>
      </c>
    </row>
    <row r="54" spans="2:12" ht="16" customHeight="1" x14ac:dyDescent="0.35">
      <c r="B54" s="14" t="s">
        <v>96</v>
      </c>
      <c r="C54" s="14" t="s">
        <v>97</v>
      </c>
      <c r="D54" s="61"/>
      <c r="E54" s="15">
        <v>-172.04365999999999</v>
      </c>
      <c r="F54" s="45">
        <f>IFERROR(E54/E13, 0)</f>
        <v>-1.3129135831846386E-4</v>
      </c>
      <c r="G54" s="63"/>
      <c r="H54" s="15">
        <v>19722.469219999999</v>
      </c>
      <c r="I54" s="45">
        <f>IFERROR(H54/H13, 0)</f>
        <v>1.7745740404629409E-2</v>
      </c>
      <c r="J54" s="63"/>
      <c r="K54" s="15">
        <f t="shared" si="6"/>
        <v>-19894.512879999998</v>
      </c>
      <c r="L54" s="45">
        <f t="shared" si="7"/>
        <v>-1.0087232312587684</v>
      </c>
    </row>
    <row r="55" spans="2:12" ht="16" customHeight="1" x14ac:dyDescent="0.35">
      <c r="B55" s="14" t="s">
        <v>98</v>
      </c>
      <c r="C55" s="14" t="s">
        <v>99</v>
      </c>
      <c r="D55" s="61"/>
      <c r="E55" s="15"/>
      <c r="F55" s="45">
        <f>IFERROR(E55/E13, 0)</f>
        <v>0</v>
      </c>
      <c r="G55" s="63"/>
      <c r="H55" s="15"/>
      <c r="I55" s="45">
        <f>IFERROR(H55/H13, 0)</f>
        <v>0</v>
      </c>
      <c r="J55" s="63"/>
      <c r="K55" s="15">
        <f t="shared" si="6"/>
        <v>0</v>
      </c>
      <c r="L55" s="45">
        <f t="shared" si="7"/>
        <v>0</v>
      </c>
    </row>
    <row r="56" spans="2:12" ht="16" customHeight="1" x14ac:dyDescent="0.35">
      <c r="B56" s="14" t="s">
        <v>100</v>
      </c>
      <c r="C56" s="14" t="s">
        <v>88</v>
      </c>
      <c r="D56" s="61"/>
      <c r="E56" s="15"/>
      <c r="F56" s="45">
        <f>IFERROR(E56/E13, 0)</f>
        <v>0</v>
      </c>
      <c r="G56" s="63"/>
      <c r="H56" s="15"/>
      <c r="I56" s="45">
        <f>IFERROR(H56/H13, 0)</f>
        <v>0</v>
      </c>
      <c r="J56" s="63"/>
      <c r="K56" s="15">
        <f t="shared" si="6"/>
        <v>0</v>
      </c>
      <c r="L56" s="45">
        <f t="shared" si="7"/>
        <v>0</v>
      </c>
    </row>
    <row r="57" spans="2:12" ht="16" customHeight="1" x14ac:dyDescent="0.35">
      <c r="B57" s="16" t="s">
        <v>103</v>
      </c>
      <c r="C57" s="16" t="s">
        <v>104</v>
      </c>
      <c r="D57" s="64"/>
      <c r="E57" s="17">
        <v>-31997.810880000001</v>
      </c>
      <c r="F57" s="84">
        <f>IFERROR(E57/E13, 0)</f>
        <v>-2.4418429912805399E-2</v>
      </c>
      <c r="G57" s="65"/>
      <c r="H57" s="17">
        <v>-25622.503580000001</v>
      </c>
      <c r="I57" s="84">
        <f>IFERROR(H57/H13, 0)</f>
        <v>-2.3054430557117013E-2</v>
      </c>
      <c r="J57" s="65"/>
      <c r="K57" s="17">
        <f t="shared" si="6"/>
        <v>-6375.3073000000004</v>
      </c>
      <c r="L57" s="84">
        <f t="shared" si="7"/>
        <v>-0.24881672004043878</v>
      </c>
    </row>
    <row r="58" spans="2:12" ht="16" customHeight="1" thickBot="1" x14ac:dyDescent="0.4">
      <c r="B58" s="11" t="s">
        <v>105</v>
      </c>
      <c r="C58" s="11" t="s">
        <v>22</v>
      </c>
      <c r="D58" s="29"/>
      <c r="E58" s="12"/>
      <c r="F58" s="85"/>
      <c r="G58" s="12"/>
      <c r="H58" s="12"/>
      <c r="I58" s="85"/>
      <c r="J58" s="12"/>
      <c r="K58" s="12"/>
      <c r="L58" s="85"/>
    </row>
    <row r="59" spans="2:12" ht="16" customHeight="1" thickBot="1" x14ac:dyDescent="0.4">
      <c r="B59" s="18" t="s">
        <v>106</v>
      </c>
      <c r="C59" s="18" t="s">
        <v>107</v>
      </c>
      <c r="D59" s="66"/>
      <c r="E59" s="19">
        <v>-47182.56134</v>
      </c>
      <c r="F59" s="86">
        <f>IFERROR(E59/E13, 0)</f>
        <v>-3.6006340293346706E-2</v>
      </c>
      <c r="G59" s="68"/>
      <c r="H59" s="19">
        <v>-39858.760690000003</v>
      </c>
      <c r="I59" s="86">
        <f>IFERROR(H59/H13, 0)</f>
        <v>-3.5863826793944793E-2</v>
      </c>
      <c r="J59" s="68"/>
      <c r="K59" s="19">
        <f>E59-H59</f>
        <v>-7323.8006499999974</v>
      </c>
      <c r="L59" s="86">
        <f>IF(ROUND(K59, 2)=0, 0, IFERROR(K59/ABS(H59), IF(K59&lt;0, -1, 1)))</f>
        <v>-0.18374381248229413</v>
      </c>
    </row>
    <row r="60" spans="2:12" ht="16" customHeight="1" x14ac:dyDescent="0.35">
      <c r="B60" s="11" t="s">
        <v>108</v>
      </c>
      <c r="C60" s="11" t="s">
        <v>22</v>
      </c>
      <c r="D60" s="29"/>
      <c r="E60" s="12"/>
      <c r="F60" s="85"/>
      <c r="G60" s="12"/>
      <c r="H60" s="12"/>
      <c r="I60" s="85"/>
      <c r="J60" s="12"/>
      <c r="K60" s="12"/>
      <c r="L60" s="85"/>
    </row>
    <row r="61" spans="2:12" ht="16" customHeight="1" x14ac:dyDescent="0.35">
      <c r="B61" s="14" t="s">
        <v>109</v>
      </c>
      <c r="C61" s="14" t="s">
        <v>110</v>
      </c>
      <c r="D61" s="61"/>
      <c r="E61" s="15"/>
      <c r="F61" s="45">
        <f>IFERROR(E61/E13, 0)</f>
        <v>0</v>
      </c>
      <c r="G61" s="63"/>
      <c r="H61" s="15"/>
      <c r="I61" s="45">
        <f>IFERROR(H61/H13, 0)</f>
        <v>0</v>
      </c>
      <c r="J61" s="63"/>
      <c r="K61" s="15">
        <f>E61-H61</f>
        <v>0</v>
      </c>
      <c r="L61" s="45">
        <f>IF(ROUND(K61, 2)=0, 0, IFERROR(K61/ABS(H61), IF(K61&lt;0, -1, 1)))</f>
        <v>0</v>
      </c>
    </row>
    <row r="62" spans="2:12" ht="16" customHeight="1" x14ac:dyDescent="0.35">
      <c r="B62" s="14" t="s">
        <v>111</v>
      </c>
      <c r="C62" s="14" t="s">
        <v>112</v>
      </c>
      <c r="D62" s="61"/>
      <c r="E62" s="15"/>
      <c r="F62" s="45">
        <f>IFERROR(E62/E13, 0)</f>
        <v>0</v>
      </c>
      <c r="G62" s="63"/>
      <c r="H62" s="15"/>
      <c r="I62" s="45">
        <f>IFERROR(H62/H13, 0)</f>
        <v>0</v>
      </c>
      <c r="J62" s="63"/>
      <c r="K62" s="15">
        <f>E62-H62</f>
        <v>0</v>
      </c>
      <c r="L62" s="45">
        <f>IF(ROUND(K62, 2)=0, 0, IFERROR(K62/ABS(H62), IF(K62&lt;0, -1, 1)))</f>
        <v>0</v>
      </c>
    </row>
    <row r="63" spans="2:12" ht="16" customHeight="1" x14ac:dyDescent="0.35">
      <c r="B63" s="16" t="s">
        <v>113</v>
      </c>
      <c r="C63" s="16" t="s">
        <v>114</v>
      </c>
      <c r="D63" s="64"/>
      <c r="E63" s="17"/>
      <c r="F63" s="84">
        <f>IFERROR(E63/E13, 0)</f>
        <v>0</v>
      </c>
      <c r="G63" s="65"/>
      <c r="H63" s="17"/>
      <c r="I63" s="84">
        <f>IFERROR(H63/H13, 0)</f>
        <v>0</v>
      </c>
      <c r="J63" s="65"/>
      <c r="K63" s="17">
        <f>E63-H63</f>
        <v>0</v>
      </c>
      <c r="L63" s="84">
        <f>IF(ROUND(K63, 2)=0, 0, IFERROR(K63/ABS(H63), IF(K63&lt;0, -1, 1)))</f>
        <v>0</v>
      </c>
    </row>
    <row r="64" spans="2:12" ht="16" customHeight="1" thickBot="1" x14ac:dyDescent="0.4">
      <c r="B64" s="11" t="s">
        <v>115</v>
      </c>
      <c r="C64" s="11" t="s">
        <v>22</v>
      </c>
      <c r="D64" s="29"/>
      <c r="E64" s="12"/>
      <c r="F64" s="85"/>
      <c r="G64" s="12"/>
      <c r="H64" s="12"/>
      <c r="I64" s="85"/>
      <c r="J64" s="12"/>
      <c r="K64" s="12"/>
      <c r="L64" s="85"/>
    </row>
    <row r="65" spans="2:12" ht="16" customHeight="1" thickBot="1" x14ac:dyDescent="0.4">
      <c r="B65" s="18" t="s">
        <v>116</v>
      </c>
      <c r="C65" s="18" t="s">
        <v>117</v>
      </c>
      <c r="D65" s="66"/>
      <c r="E65" s="19">
        <v>367286.34551999997</v>
      </c>
      <c r="F65" s="86">
        <f>IFERROR(E65/E13, 0)</f>
        <v>0.2802865458404305</v>
      </c>
      <c r="G65" s="68"/>
      <c r="H65" s="19">
        <v>309940.97842</v>
      </c>
      <c r="I65" s="86">
        <f>IFERROR(H65/H13, 0)</f>
        <v>0.27887644708405157</v>
      </c>
      <c r="J65" s="68"/>
      <c r="K65" s="19">
        <f>E65-H65</f>
        <v>57345.367099999974</v>
      </c>
      <c r="L65" s="86">
        <f>IF(ROUND(K65, 2)=0, 0, IFERROR(K65/ABS(H65), IF(K65&lt;0, -1, 1)))</f>
        <v>0.18502028157855091</v>
      </c>
    </row>
    <row r="66" spans="2:12" ht="16" customHeight="1" x14ac:dyDescent="0.35">
      <c r="B66" s="11" t="s">
        <v>118</v>
      </c>
      <c r="C66" s="11" t="s">
        <v>22</v>
      </c>
      <c r="D66" s="29"/>
      <c r="E66" s="12"/>
      <c r="F66" s="85"/>
      <c r="G66" s="12"/>
      <c r="H66" s="12"/>
      <c r="I66" s="85"/>
      <c r="J66" s="12"/>
      <c r="K66" s="12"/>
      <c r="L66" s="85"/>
    </row>
    <row r="67" spans="2:12" ht="16" customHeight="1" x14ac:dyDescent="0.35">
      <c r="B67" s="14" t="s">
        <v>119</v>
      </c>
      <c r="C67" s="14" t="s">
        <v>120</v>
      </c>
      <c r="D67" s="61"/>
      <c r="E67" s="15">
        <v>-7181.7586300000003</v>
      </c>
      <c r="F67" s="45">
        <f>IFERROR(E67/E13, 0)</f>
        <v>-5.4806021079070871E-3</v>
      </c>
      <c r="G67" s="63"/>
      <c r="H67" s="15">
        <v>-22211.593150000001</v>
      </c>
      <c r="I67" s="45">
        <f>IFERROR(H67/H13, 0)</f>
        <v>-1.9985386292981872E-2</v>
      </c>
      <c r="J67" s="63"/>
      <c r="K67" s="15">
        <f>E67-H67</f>
        <v>15029.83452</v>
      </c>
      <c r="L67" s="45">
        <f>IF(ROUND(K67, 2)=0, 0, IFERROR(K67/ABS(H67), IF(K67&lt;0, -1, 1)))</f>
        <v>0.67666620842998826</v>
      </c>
    </row>
    <row r="68" spans="2:12" ht="16" customHeight="1" x14ac:dyDescent="0.35">
      <c r="B68" s="14" t="s">
        <v>121</v>
      </c>
      <c r="C68" s="14" t="s">
        <v>64</v>
      </c>
      <c r="D68" s="61"/>
      <c r="E68" s="15"/>
      <c r="F68" s="45">
        <f>IFERROR(E68/E13, 0)</f>
        <v>0</v>
      </c>
      <c r="G68" s="63"/>
      <c r="H68" s="15"/>
      <c r="I68" s="45">
        <f>IFERROR(H68/H13, 0)</f>
        <v>0</v>
      </c>
      <c r="J68" s="63"/>
      <c r="K68" s="15">
        <f>E68-H68</f>
        <v>0</v>
      </c>
      <c r="L68" s="45">
        <f>IF(ROUND(K68, 2)=0, 0, IFERROR(K68/ABS(H68), IF(K68&lt;0, -1, 1)))</f>
        <v>0</v>
      </c>
    </row>
    <row r="69" spans="2:12" ht="16" customHeight="1" x14ac:dyDescent="0.35">
      <c r="B69" s="14" t="s">
        <v>122</v>
      </c>
      <c r="C69" s="14" t="s">
        <v>123</v>
      </c>
      <c r="D69" s="61"/>
      <c r="E69" s="15"/>
      <c r="F69" s="45">
        <f>IFERROR(E69/E13, 0)</f>
        <v>0</v>
      </c>
      <c r="G69" s="63"/>
      <c r="H69" s="15"/>
      <c r="I69" s="45">
        <f>IFERROR(H69/H13, 0)</f>
        <v>0</v>
      </c>
      <c r="J69" s="63"/>
      <c r="K69" s="15">
        <f>E69-H69</f>
        <v>0</v>
      </c>
      <c r="L69" s="45">
        <f>IF(ROUND(K69, 2)=0, 0, IFERROR(K69/ABS(H69), IF(K69&lt;0, -1, 1)))</f>
        <v>0</v>
      </c>
    </row>
    <row r="70" spans="2:12" ht="16" customHeight="1" thickBot="1" x14ac:dyDescent="0.4">
      <c r="B70" s="11" t="s">
        <v>124</v>
      </c>
      <c r="C70" s="11" t="s">
        <v>22</v>
      </c>
      <c r="D70" s="29"/>
      <c r="E70" s="12"/>
      <c r="F70" s="85"/>
      <c r="G70" s="12"/>
      <c r="H70" s="12"/>
      <c r="I70" s="85"/>
      <c r="J70" s="12"/>
      <c r="K70" s="12"/>
      <c r="L70" s="85"/>
    </row>
    <row r="71" spans="2:12" ht="16" customHeight="1" thickBot="1" x14ac:dyDescent="0.4">
      <c r="B71" s="18" t="s">
        <v>125</v>
      </c>
      <c r="C71" s="18" t="s">
        <v>126</v>
      </c>
      <c r="D71" s="66"/>
      <c r="E71" s="19">
        <v>360104.58688999998</v>
      </c>
      <c r="F71" s="86">
        <f>IFERROR(E71/E13, 0)</f>
        <v>0.27480594373252343</v>
      </c>
      <c r="G71" s="68"/>
      <c r="H71" s="19">
        <v>287729.38527000003</v>
      </c>
      <c r="I71" s="86">
        <f>IFERROR(H71/H13, 0)</f>
        <v>0.25889106079106977</v>
      </c>
      <c r="J71" s="68"/>
      <c r="K71" s="19">
        <f>E71-H71</f>
        <v>72375.201619999949</v>
      </c>
      <c r="L71" s="86">
        <f>IF(ROUND(K71, 2)=0, 0, IFERROR(K71/ABS(H71), IF(K71&lt;0, -1, 1)))</f>
        <v>0.25153913824993707</v>
      </c>
    </row>
    <row r="72" spans="2:12" ht="16" customHeight="1" x14ac:dyDescent="0.35">
      <c r="B72" s="11" t="s">
        <v>127</v>
      </c>
      <c r="C72" s="11" t="s">
        <v>22</v>
      </c>
      <c r="D72" s="29"/>
      <c r="E72" s="12"/>
      <c r="F72" s="85"/>
      <c r="G72" s="12"/>
      <c r="H72" s="12"/>
      <c r="I72" s="85"/>
      <c r="J72" s="12"/>
      <c r="K72" s="12"/>
      <c r="L72" s="85"/>
    </row>
    <row r="73" spans="2:12" ht="16" customHeight="1" x14ac:dyDescent="0.35">
      <c r="B73" s="14" t="s">
        <v>128</v>
      </c>
      <c r="C73" s="14" t="s">
        <v>129</v>
      </c>
      <c r="D73" s="61"/>
      <c r="E73" s="15">
        <v>-144052.22508999999</v>
      </c>
      <c r="F73" s="45">
        <f>IFERROR(E73/E13, 0)</f>
        <v>-0.10993030664927263</v>
      </c>
      <c r="G73" s="63"/>
      <c r="H73" s="15">
        <v>-132262.17960999999</v>
      </c>
      <c r="I73" s="45">
        <f>IFERROR(H73/H13, 0)</f>
        <v>-0.11900590532190619</v>
      </c>
      <c r="J73" s="63"/>
      <c r="K73" s="15">
        <f>E73-H73</f>
        <v>-11790.045480000001</v>
      </c>
      <c r="L73" s="45">
        <f>IF(ROUND(K73, 2)=0, 0, IFERROR(K73/ABS(H73), IF(K73&lt;0, -1, 1)))</f>
        <v>-8.9141472753323556E-2</v>
      </c>
    </row>
    <row r="74" spans="2:12" ht="16" customHeight="1" x14ac:dyDescent="0.35">
      <c r="B74" s="14" t="s">
        <v>130</v>
      </c>
      <c r="C74" s="14" t="s">
        <v>131</v>
      </c>
      <c r="D74" s="61"/>
      <c r="E74" s="15">
        <v>-252.79517999999999</v>
      </c>
      <c r="F74" s="45">
        <f>IFERROR(E74/E13, 0)</f>
        <v>-1.9291511560821578E-4</v>
      </c>
      <c r="G74" s="63"/>
      <c r="H74" s="15">
        <v>-252.05404999999999</v>
      </c>
      <c r="I74" s="45">
        <f>IFERROR(H74/H13, 0)</f>
        <v>-2.2679136619970761E-4</v>
      </c>
      <c r="J74" s="63"/>
      <c r="K74" s="15">
        <f>E74-H74</f>
        <v>-0.74112999999999829</v>
      </c>
      <c r="L74" s="45">
        <f>IF(ROUND(K74, 2)=0, 0, IFERROR(K74/ABS(H74), IF(K74&lt;0, -1, 1)))</f>
        <v>-2.9403614026435928E-3</v>
      </c>
    </row>
    <row r="75" spans="2:12" ht="16" customHeight="1" x14ac:dyDescent="0.35">
      <c r="B75" s="14" t="s">
        <v>132</v>
      </c>
      <c r="C75" s="14" t="s">
        <v>133</v>
      </c>
      <c r="D75" s="61"/>
      <c r="E75" s="15">
        <v>-565.29398000000003</v>
      </c>
      <c r="F75" s="45">
        <f>IFERROR(E75/E13, 0)</f>
        <v>-4.3139174372046346E-4</v>
      </c>
      <c r="G75" s="63"/>
      <c r="H75" s="15"/>
      <c r="I75" s="45">
        <f>IFERROR(H75/H13, 0)</f>
        <v>0</v>
      </c>
      <c r="J75" s="63"/>
      <c r="K75" s="15">
        <f>E75-H75</f>
        <v>-565.29398000000003</v>
      </c>
      <c r="L75" s="45">
        <f>IF(ROUND(K75, 2)=0, 0, IFERROR(K75/ABS(H75), IF(K75&lt;0, -1, 1)))</f>
        <v>-1</v>
      </c>
    </row>
    <row r="76" spans="2:12" ht="16" customHeight="1" x14ac:dyDescent="0.35">
      <c r="B76" s="14" t="s">
        <v>134</v>
      </c>
      <c r="C76" s="14" t="s">
        <v>135</v>
      </c>
      <c r="D76" s="61"/>
      <c r="E76" s="15"/>
      <c r="F76" s="45">
        <f>IFERROR(E76/E13, 0)</f>
        <v>0</v>
      </c>
      <c r="G76" s="63"/>
      <c r="H76" s="15"/>
      <c r="I76" s="45">
        <f>IFERROR(H76/H13, 0)</f>
        <v>0</v>
      </c>
      <c r="J76" s="63"/>
      <c r="K76" s="15">
        <f>E76-H76</f>
        <v>0</v>
      </c>
      <c r="L76" s="45">
        <f>IF(ROUND(K76, 2)=0, 0, IFERROR(K76/ABS(H76), IF(K76&lt;0, -1, 1)))</f>
        <v>0</v>
      </c>
    </row>
    <row r="77" spans="2:12" ht="16" customHeight="1" thickBot="1" x14ac:dyDescent="0.4">
      <c r="B77" s="11" t="s">
        <v>136</v>
      </c>
      <c r="C77" s="11" t="s">
        <v>22</v>
      </c>
      <c r="D77" s="29"/>
      <c r="E77" s="12"/>
      <c r="F77" s="85"/>
      <c r="G77" s="12"/>
      <c r="H77" s="12"/>
      <c r="I77" s="85"/>
      <c r="J77" s="12"/>
      <c r="K77" s="12"/>
      <c r="L77" s="85"/>
    </row>
    <row r="78" spans="2:12" ht="16" customHeight="1" thickBot="1" x14ac:dyDescent="0.4">
      <c r="B78" s="18" t="s">
        <v>137</v>
      </c>
      <c r="C78" s="18" t="s">
        <v>138</v>
      </c>
      <c r="D78" s="66"/>
      <c r="E78" s="19">
        <v>215234.27264000001</v>
      </c>
      <c r="F78" s="86">
        <f>IFERROR(E78/E13, 0)</f>
        <v>0.16425133022392213</v>
      </c>
      <c r="G78" s="68"/>
      <c r="H78" s="19">
        <v>155215.15161</v>
      </c>
      <c r="I78" s="86">
        <f>IFERROR(H78/H13, 0)</f>
        <v>0.13965836410296381</v>
      </c>
      <c r="J78" s="68"/>
      <c r="K78" s="19">
        <f>E78-H78</f>
        <v>60019.121030000009</v>
      </c>
      <c r="L78" s="86">
        <f>IF(ROUND(K78, 2)=0, 0, IFERROR(K78/ABS(H78), IF(K78&lt;0, -1, 1)))</f>
        <v>0.38668339016803288</v>
      </c>
    </row>
    <row r="79" spans="2:12" ht="16" customHeight="1" x14ac:dyDescent="0.35">
      <c r="B79" s="11" t="s">
        <v>139</v>
      </c>
      <c r="C79" s="11" t="s">
        <v>22</v>
      </c>
      <c r="D79" s="29"/>
      <c r="E79" s="12"/>
      <c r="F79" s="85"/>
      <c r="G79" s="12"/>
      <c r="H79" s="12"/>
      <c r="I79" s="85"/>
      <c r="J79" s="12"/>
      <c r="K79" s="12"/>
      <c r="L79" s="85"/>
    </row>
    <row r="80" spans="2:12" ht="16" customHeight="1" x14ac:dyDescent="0.35">
      <c r="B80" s="14" t="s">
        <v>140</v>
      </c>
      <c r="C80" s="14" t="s">
        <v>141</v>
      </c>
      <c r="D80" s="61"/>
      <c r="E80" s="15"/>
      <c r="F80" s="45">
        <f>IFERROR(E80/E13, 0)</f>
        <v>0</v>
      </c>
      <c r="G80" s="63"/>
      <c r="H80" s="15"/>
      <c r="I80" s="45">
        <f>IFERROR(H80/H13, 0)</f>
        <v>0</v>
      </c>
      <c r="J80" s="63"/>
      <c r="K80" s="15">
        <f t="shared" ref="K80:K85" si="8">E80-H80</f>
        <v>0</v>
      </c>
      <c r="L80" s="45">
        <f t="shared" ref="L80:L85" si="9">IF(ROUND(K80, 2)=0, 0, IFERROR(K80/ABS(H80), IF(K80&lt;0, -1, 1)))</f>
        <v>0</v>
      </c>
    </row>
    <row r="81" spans="2:12" ht="16" customHeight="1" x14ac:dyDescent="0.35">
      <c r="B81" s="14" t="s">
        <v>142</v>
      </c>
      <c r="C81" s="14" t="s">
        <v>143</v>
      </c>
      <c r="D81" s="61"/>
      <c r="E81" s="15"/>
      <c r="F81" s="45">
        <f>IFERROR(E81/E13, 0)</f>
        <v>0</v>
      </c>
      <c r="G81" s="63"/>
      <c r="H81" s="15"/>
      <c r="I81" s="45">
        <f>IFERROR(H81/H13, 0)</f>
        <v>0</v>
      </c>
      <c r="J81" s="63"/>
      <c r="K81" s="15">
        <f t="shared" si="8"/>
        <v>0</v>
      </c>
      <c r="L81" s="45">
        <f t="shared" si="9"/>
        <v>0</v>
      </c>
    </row>
    <row r="82" spans="2:12" ht="16" customHeight="1" x14ac:dyDescent="0.35">
      <c r="B82" s="14" t="s">
        <v>144</v>
      </c>
      <c r="C82" s="14" t="s">
        <v>145</v>
      </c>
      <c r="D82" s="61"/>
      <c r="E82" s="15"/>
      <c r="F82" s="45">
        <f>IFERROR(E82/E13, 0)</f>
        <v>0</v>
      </c>
      <c r="G82" s="63"/>
      <c r="H82" s="15">
        <v>-842.49275999999998</v>
      </c>
      <c r="I82" s="45">
        <f>IFERROR(H82/H13, 0)</f>
        <v>-7.580520291332846E-4</v>
      </c>
      <c r="J82" s="63"/>
      <c r="K82" s="15">
        <f t="shared" si="8"/>
        <v>842.49275999999998</v>
      </c>
      <c r="L82" s="45">
        <f t="shared" si="9"/>
        <v>1</v>
      </c>
    </row>
    <row r="83" spans="2:12" ht="16" customHeight="1" x14ac:dyDescent="0.35">
      <c r="B83" s="14" t="s">
        <v>146</v>
      </c>
      <c r="C83" s="14" t="s">
        <v>147</v>
      </c>
      <c r="D83" s="61"/>
      <c r="E83" s="15"/>
      <c r="F83" s="45">
        <f>IFERROR(E83/E13, 0)</f>
        <v>0</v>
      </c>
      <c r="G83" s="63"/>
      <c r="H83" s="15"/>
      <c r="I83" s="45">
        <f>IFERROR(H83/H13, 0)</f>
        <v>0</v>
      </c>
      <c r="J83" s="63"/>
      <c r="K83" s="15">
        <f t="shared" si="8"/>
        <v>0</v>
      </c>
      <c r="L83" s="45">
        <f t="shared" si="9"/>
        <v>0</v>
      </c>
    </row>
    <row r="84" spans="2:12" ht="16" customHeight="1" x14ac:dyDescent="0.35">
      <c r="B84" s="14" t="s">
        <v>148</v>
      </c>
      <c r="C84" s="14" t="s">
        <v>149</v>
      </c>
      <c r="D84" s="61"/>
      <c r="E84" s="15"/>
      <c r="F84" s="45">
        <f>IFERROR(E84/E13, 0)</f>
        <v>0</v>
      </c>
      <c r="G84" s="63"/>
      <c r="H84" s="15"/>
      <c r="I84" s="45">
        <f>IFERROR(H84/H13, 0)</f>
        <v>0</v>
      </c>
      <c r="J84" s="63"/>
      <c r="K84" s="15">
        <f t="shared" si="8"/>
        <v>0</v>
      </c>
      <c r="L84" s="45">
        <f t="shared" si="9"/>
        <v>0</v>
      </c>
    </row>
    <row r="85" spans="2:12" ht="16" customHeight="1" x14ac:dyDescent="0.35">
      <c r="B85" s="16" t="s">
        <v>150</v>
      </c>
      <c r="C85" s="16" t="s">
        <v>151</v>
      </c>
      <c r="D85" s="64"/>
      <c r="E85" s="17"/>
      <c r="F85" s="84">
        <f>IFERROR(E85/E13, 0)</f>
        <v>0</v>
      </c>
      <c r="G85" s="65"/>
      <c r="H85" s="17">
        <v>-842.49275999999998</v>
      </c>
      <c r="I85" s="84">
        <f>IFERROR(H85/H13, 0)</f>
        <v>-7.580520291332846E-4</v>
      </c>
      <c r="J85" s="65"/>
      <c r="K85" s="17">
        <f t="shared" si="8"/>
        <v>842.49275999999998</v>
      </c>
      <c r="L85" s="84">
        <f t="shared" si="9"/>
        <v>1</v>
      </c>
    </row>
    <row r="86" spans="2:12" ht="16" customHeight="1" x14ac:dyDescent="0.35">
      <c r="B86" s="11" t="s">
        <v>152</v>
      </c>
      <c r="C86" s="11" t="s">
        <v>22</v>
      </c>
      <c r="D86" s="29"/>
      <c r="E86" s="12"/>
      <c r="F86" s="85"/>
      <c r="G86" s="12"/>
      <c r="H86" s="12"/>
      <c r="I86" s="85"/>
      <c r="J86" s="12"/>
      <c r="K86" s="12"/>
      <c r="L86" s="85"/>
    </row>
    <row r="87" spans="2:12" ht="16" customHeight="1" x14ac:dyDescent="0.35">
      <c r="B87" s="14" t="s">
        <v>153</v>
      </c>
      <c r="C87" s="14" t="s">
        <v>154</v>
      </c>
      <c r="D87" s="61"/>
      <c r="E87" s="15"/>
      <c r="F87" s="45">
        <f>IFERROR(E87/E13, 0)</f>
        <v>0</v>
      </c>
      <c r="G87" s="63"/>
      <c r="H87" s="15"/>
      <c r="I87" s="45">
        <f>IFERROR(H87/H13, 0)</f>
        <v>0</v>
      </c>
      <c r="J87" s="63"/>
      <c r="K87" s="15">
        <f t="shared" ref="K87:K92" si="10">E87-H87</f>
        <v>0</v>
      </c>
      <c r="L87" s="45">
        <f t="shared" ref="L87:L92" si="11">IF(ROUND(K87, 2)=0, 0, IFERROR(K87/ABS(H87), IF(K87&lt;0, -1, 1)))</f>
        <v>0</v>
      </c>
    </row>
    <row r="88" spans="2:12" ht="16" customHeight="1" x14ac:dyDescent="0.35">
      <c r="B88" s="14" t="s">
        <v>155</v>
      </c>
      <c r="C88" s="14" t="s">
        <v>156</v>
      </c>
      <c r="D88" s="61"/>
      <c r="E88" s="15"/>
      <c r="F88" s="45">
        <f>IFERROR(E88/E13, 0)</f>
        <v>0</v>
      </c>
      <c r="G88" s="63"/>
      <c r="H88" s="15"/>
      <c r="I88" s="45">
        <f>IFERROR(H88/H13, 0)</f>
        <v>0</v>
      </c>
      <c r="J88" s="63"/>
      <c r="K88" s="15">
        <f t="shared" si="10"/>
        <v>0</v>
      </c>
      <c r="L88" s="45">
        <f t="shared" si="11"/>
        <v>0</v>
      </c>
    </row>
    <row r="89" spans="2:12" ht="16" customHeight="1" x14ac:dyDescent="0.35">
      <c r="B89" s="14" t="s">
        <v>157</v>
      </c>
      <c r="C89" s="14" t="s">
        <v>158</v>
      </c>
      <c r="D89" s="61"/>
      <c r="E89" s="15"/>
      <c r="F89" s="45">
        <f>IFERROR(E89/E13, 0)</f>
        <v>0</v>
      </c>
      <c r="G89" s="63"/>
      <c r="H89" s="15"/>
      <c r="I89" s="45">
        <f>IFERROR(H89/H13, 0)</f>
        <v>0</v>
      </c>
      <c r="J89" s="63"/>
      <c r="K89" s="15">
        <f t="shared" si="10"/>
        <v>0</v>
      </c>
      <c r="L89" s="45">
        <f t="shared" si="11"/>
        <v>0</v>
      </c>
    </row>
    <row r="90" spans="2:12" ht="16" customHeight="1" x14ac:dyDescent="0.35">
      <c r="B90" s="14" t="s">
        <v>159</v>
      </c>
      <c r="C90" s="14" t="s">
        <v>160</v>
      </c>
      <c r="D90" s="61"/>
      <c r="E90" s="15"/>
      <c r="F90" s="45">
        <f>IFERROR(E90/E13, 0)</f>
        <v>0</v>
      </c>
      <c r="G90" s="63"/>
      <c r="H90" s="15"/>
      <c r="I90" s="45">
        <f>IFERROR(H90/H13, 0)</f>
        <v>0</v>
      </c>
      <c r="J90" s="63"/>
      <c r="K90" s="15">
        <f t="shared" si="10"/>
        <v>0</v>
      </c>
      <c r="L90" s="45">
        <f t="shared" si="11"/>
        <v>0</v>
      </c>
    </row>
    <row r="91" spans="2:12" ht="16" customHeight="1" x14ac:dyDescent="0.35">
      <c r="B91" s="14" t="s">
        <v>161</v>
      </c>
      <c r="C91" s="14" t="s">
        <v>162</v>
      </c>
      <c r="D91" s="61"/>
      <c r="E91" s="15"/>
      <c r="F91" s="45">
        <f>IFERROR(E91/E13, 0)</f>
        <v>0</v>
      </c>
      <c r="G91" s="63"/>
      <c r="H91" s="15"/>
      <c r="I91" s="45">
        <f>IFERROR(H91/H13, 0)</f>
        <v>0</v>
      </c>
      <c r="J91" s="63"/>
      <c r="K91" s="15">
        <f t="shared" si="10"/>
        <v>0</v>
      </c>
      <c r="L91" s="45">
        <f t="shared" si="11"/>
        <v>0</v>
      </c>
    </row>
    <row r="92" spans="2:12" ht="16" customHeight="1" x14ac:dyDescent="0.35">
      <c r="B92" s="16" t="s">
        <v>163</v>
      </c>
      <c r="C92" s="16" t="s">
        <v>164</v>
      </c>
      <c r="D92" s="64"/>
      <c r="E92" s="17"/>
      <c r="F92" s="84">
        <f>IFERROR(E92/E13, 0)</f>
        <v>0</v>
      </c>
      <c r="G92" s="65"/>
      <c r="H92" s="17"/>
      <c r="I92" s="84">
        <f>IFERROR(H92/H13, 0)</f>
        <v>0</v>
      </c>
      <c r="J92" s="65"/>
      <c r="K92" s="17">
        <f t="shared" si="10"/>
        <v>0</v>
      </c>
      <c r="L92" s="84">
        <f t="shared" si="11"/>
        <v>0</v>
      </c>
    </row>
    <row r="93" spans="2:12" ht="16" customHeight="1" x14ac:dyDescent="0.35">
      <c r="B93" s="11" t="s">
        <v>165</v>
      </c>
      <c r="C93" s="11" t="s">
        <v>22</v>
      </c>
      <c r="D93" s="29"/>
      <c r="E93" s="12"/>
      <c r="F93" s="85"/>
      <c r="G93" s="12"/>
      <c r="H93" s="12"/>
      <c r="I93" s="85"/>
      <c r="J93" s="12"/>
      <c r="K93" s="12"/>
      <c r="L93" s="85"/>
    </row>
    <row r="94" spans="2:12" ht="16" customHeight="1" thickBot="1" x14ac:dyDescent="0.4">
      <c r="B94" s="14" t="s">
        <v>166</v>
      </c>
      <c r="C94" s="14" t="s">
        <v>167</v>
      </c>
      <c r="D94" s="61"/>
      <c r="E94" s="15"/>
      <c r="F94" s="45">
        <f>IFERROR(E94/E13, 0)</f>
        <v>0</v>
      </c>
      <c r="G94" s="63"/>
      <c r="H94" s="15"/>
      <c r="I94" s="45">
        <f>IFERROR(H94/H13, 0)</f>
        <v>0</v>
      </c>
      <c r="J94" s="63"/>
      <c r="K94" s="15">
        <f>E94-H94</f>
        <v>0</v>
      </c>
      <c r="L94" s="45">
        <f>IF(ROUND(K94, 2)=0, 0, IFERROR(K94/ABS(H94), IF(K94&lt;0, -1, 1)))</f>
        <v>0</v>
      </c>
    </row>
    <row r="95" spans="2:12" ht="16" customHeight="1" thickBot="1" x14ac:dyDescent="0.4">
      <c r="B95" s="18" t="s">
        <v>169</v>
      </c>
      <c r="C95" s="18" t="s">
        <v>170</v>
      </c>
      <c r="D95" s="66"/>
      <c r="E95" s="19">
        <v>215234.27264000001</v>
      </c>
      <c r="F95" s="86">
        <f>IFERROR(E95/E13, 0)</f>
        <v>0.16425133022392213</v>
      </c>
      <c r="G95" s="68"/>
      <c r="H95" s="19">
        <v>154372.65885000001</v>
      </c>
      <c r="I95" s="86">
        <f>IFERROR(H95/H13, 0)</f>
        <v>0.13890031207383052</v>
      </c>
      <c r="J95" s="68"/>
      <c r="K95" s="19">
        <f>E95-H95</f>
        <v>60861.613790000003</v>
      </c>
      <c r="L95" s="86">
        <f>IF(ROUND(K95, 2)=0, 0, IFERROR(K95/ABS(H95), IF(K95&lt;0, -1, 1)))</f>
        <v>0.39425125047005694</v>
      </c>
    </row>
    <row r="96" spans="2:12" ht="16" customHeight="1" x14ac:dyDescent="0.35">
      <c r="B96" s="11" t="s">
        <v>171</v>
      </c>
      <c r="C96" s="11" t="s">
        <v>22</v>
      </c>
      <c r="D96" s="29"/>
      <c r="E96" s="12"/>
      <c r="F96" s="85"/>
      <c r="G96" s="12"/>
      <c r="H96" s="12"/>
      <c r="I96" s="85"/>
      <c r="J96" s="12"/>
      <c r="K96" s="12"/>
      <c r="L96" s="85"/>
    </row>
    <row r="97" spans="2:12" ht="16" customHeight="1" x14ac:dyDescent="0.35">
      <c r="B97" s="14" t="s">
        <v>172</v>
      </c>
      <c r="C97" s="14" t="s">
        <v>173</v>
      </c>
      <c r="D97" s="61"/>
      <c r="E97" s="15"/>
      <c r="F97" s="45">
        <f>IFERROR(E97/E13, 0)</f>
        <v>0</v>
      </c>
      <c r="G97" s="63"/>
      <c r="H97" s="15"/>
      <c r="I97" s="45">
        <f>IFERROR(H97/H13, 0)</f>
        <v>0</v>
      </c>
      <c r="J97" s="63"/>
      <c r="K97" s="15">
        <f>E97-H97</f>
        <v>0</v>
      </c>
      <c r="L97" s="45">
        <f>IF(ROUND(K97, 2)=0, 0, IFERROR(K97/ABS(H97), IF(K97&lt;0, -1, 1)))</f>
        <v>0</v>
      </c>
    </row>
    <row r="98" spans="2:12" ht="16" customHeight="1" x14ac:dyDescent="0.35">
      <c r="B98" s="14" t="s">
        <v>174</v>
      </c>
      <c r="C98" s="14" t="s">
        <v>175</v>
      </c>
      <c r="D98" s="61"/>
      <c r="E98" s="15"/>
      <c r="F98" s="45">
        <f>IFERROR(E98/E13, 0)</f>
        <v>0</v>
      </c>
      <c r="G98" s="63"/>
      <c r="H98" s="15"/>
      <c r="I98" s="45">
        <f>IFERROR(H98/H13, 0)</f>
        <v>0</v>
      </c>
      <c r="J98" s="63"/>
      <c r="K98" s="15">
        <f>E98-H98</f>
        <v>0</v>
      </c>
      <c r="L98" s="45">
        <f>IF(ROUND(K98, 2)=0, 0, IFERROR(K98/ABS(H98), IF(K98&lt;0, -1, 1)))</f>
        <v>0</v>
      </c>
    </row>
    <row r="99" spans="2:12" ht="16" customHeight="1" x14ac:dyDescent="0.35">
      <c r="B99" s="14" t="s">
        <v>176</v>
      </c>
      <c r="C99" s="14" t="s">
        <v>177</v>
      </c>
      <c r="D99" s="61"/>
      <c r="E99" s="15"/>
      <c r="F99" s="45">
        <f>IFERROR(E99/E13, 0)</f>
        <v>0</v>
      </c>
      <c r="G99" s="63"/>
      <c r="H99" s="15"/>
      <c r="I99" s="45">
        <f>IFERROR(H99/H13, 0)</f>
        <v>0</v>
      </c>
      <c r="J99" s="63"/>
      <c r="K99" s="15">
        <f>E99-H99</f>
        <v>0</v>
      </c>
      <c r="L99" s="45">
        <f>IF(ROUND(K99, 2)=0, 0, IFERROR(K99/ABS(H99), IF(K99&lt;0, -1, 1)))</f>
        <v>0</v>
      </c>
    </row>
    <row r="100" spans="2:12" ht="16" customHeight="1" x14ac:dyDescent="0.35">
      <c r="B100" s="14" t="s">
        <v>178</v>
      </c>
      <c r="C100" s="14" t="s">
        <v>179</v>
      </c>
      <c r="D100" s="61"/>
      <c r="E100" s="15"/>
      <c r="F100" s="45">
        <f>IFERROR(E100/E13, 0)</f>
        <v>0</v>
      </c>
      <c r="G100" s="63"/>
      <c r="H100" s="15"/>
      <c r="I100" s="45">
        <f>IFERROR(H100/H13, 0)</f>
        <v>0</v>
      </c>
      <c r="J100" s="63"/>
      <c r="K100" s="15">
        <f>E100-H100</f>
        <v>0</v>
      </c>
      <c r="L100" s="45">
        <f>IF(ROUND(K100, 2)=0, 0, IFERROR(K100/ABS(H100), IF(K100&lt;0, -1, 1)))</f>
        <v>0</v>
      </c>
    </row>
    <row r="101" spans="2:12" ht="16" customHeight="1" x14ac:dyDescent="0.35">
      <c r="B101" s="16" t="s">
        <v>180</v>
      </c>
      <c r="C101" s="16" t="s">
        <v>181</v>
      </c>
      <c r="D101" s="64"/>
      <c r="E101" s="17"/>
      <c r="F101" s="84">
        <f>IFERROR(E101/E13, 0)</f>
        <v>0</v>
      </c>
      <c r="G101" s="65"/>
      <c r="H101" s="17"/>
      <c r="I101" s="84">
        <f>IFERROR(H101/H13, 0)</f>
        <v>0</v>
      </c>
      <c r="J101" s="65"/>
      <c r="K101" s="17">
        <f>E101-H101</f>
        <v>0</v>
      </c>
      <c r="L101" s="84">
        <f>IF(ROUND(K101, 2)=0, 0, IFERROR(K101/ABS(H101), IF(K101&lt;0, -1, 1)))</f>
        <v>0</v>
      </c>
    </row>
    <row r="102" spans="2:12" ht="16" customHeight="1" x14ac:dyDescent="0.35">
      <c r="B102" s="11" t="s">
        <v>182</v>
      </c>
      <c r="C102" s="11" t="s">
        <v>22</v>
      </c>
      <c r="D102" s="29"/>
      <c r="E102" s="12"/>
      <c r="F102" s="85"/>
      <c r="G102" s="12"/>
      <c r="H102" s="12"/>
      <c r="I102" s="85"/>
      <c r="J102" s="12"/>
      <c r="K102" s="12"/>
      <c r="L102" s="85"/>
    </row>
    <row r="103" spans="2:12" ht="16" customHeight="1" x14ac:dyDescent="0.35">
      <c r="B103" s="14" t="s">
        <v>183</v>
      </c>
      <c r="C103" s="14" t="s">
        <v>184</v>
      </c>
      <c r="D103" s="61"/>
      <c r="E103" s="15"/>
      <c r="F103" s="45">
        <f>IFERROR(E103/E13, 0)</f>
        <v>0</v>
      </c>
      <c r="G103" s="63"/>
      <c r="H103" s="15"/>
      <c r="I103" s="45">
        <f>IFERROR(H103/H13, 0)</f>
        <v>0</v>
      </c>
      <c r="J103" s="63"/>
      <c r="K103" s="15">
        <f>E103-H103</f>
        <v>0</v>
      </c>
      <c r="L103" s="45">
        <f>IF(ROUND(K103, 2)=0, 0, IFERROR(K103/ABS(H103), IF(K103&lt;0, -1, 1)))</f>
        <v>0</v>
      </c>
    </row>
    <row r="104" spans="2:12" ht="16" customHeight="1" x14ac:dyDescent="0.35">
      <c r="B104" s="14" t="s">
        <v>185</v>
      </c>
      <c r="C104" s="14" t="s">
        <v>186</v>
      </c>
      <c r="D104" s="61"/>
      <c r="E104" s="15"/>
      <c r="F104" s="45">
        <f>IFERROR(E104/E13, 0)</f>
        <v>0</v>
      </c>
      <c r="G104" s="63"/>
      <c r="H104" s="15"/>
      <c r="I104" s="45">
        <f>IFERROR(H104/H13, 0)</f>
        <v>0</v>
      </c>
      <c r="J104" s="63"/>
      <c r="K104" s="15">
        <f>E104-H104</f>
        <v>0</v>
      </c>
      <c r="L104" s="45">
        <f>IF(ROUND(K104, 2)=0, 0, IFERROR(K104/ABS(H104), IF(K104&lt;0, -1, 1)))</f>
        <v>0</v>
      </c>
    </row>
    <row r="105" spans="2:12" ht="16" customHeight="1" x14ac:dyDescent="0.35">
      <c r="B105" s="14" t="s">
        <v>187</v>
      </c>
      <c r="C105" s="14" t="s">
        <v>188</v>
      </c>
      <c r="D105" s="61"/>
      <c r="E105" s="15"/>
      <c r="F105" s="45">
        <f>IFERROR(E105/E13, 0)</f>
        <v>0</v>
      </c>
      <c r="G105" s="63"/>
      <c r="H105" s="15">
        <v>-0.51780999999999999</v>
      </c>
      <c r="I105" s="45">
        <f>IFERROR(H105/H13, 0)</f>
        <v>-4.6591132866887319E-7</v>
      </c>
      <c r="J105" s="63"/>
      <c r="K105" s="15">
        <f>E105-H105</f>
        <v>0.51780999999999999</v>
      </c>
      <c r="L105" s="45">
        <f>IF(ROUND(K105, 2)=0, 0, IFERROR(K105/ABS(H105), IF(K105&lt;0, -1, 1)))</f>
        <v>1</v>
      </c>
    </row>
    <row r="106" spans="2:12" ht="16" customHeight="1" x14ac:dyDescent="0.35">
      <c r="B106" s="14" t="s">
        <v>189</v>
      </c>
      <c r="C106" s="14" t="s">
        <v>190</v>
      </c>
      <c r="D106" s="61"/>
      <c r="E106" s="15"/>
      <c r="F106" s="45">
        <f>IFERROR(E106/E13, 0)</f>
        <v>0</v>
      </c>
      <c r="G106" s="63"/>
      <c r="H106" s="15"/>
      <c r="I106" s="45">
        <f>IFERROR(H106/H13, 0)</f>
        <v>0</v>
      </c>
      <c r="J106" s="63"/>
      <c r="K106" s="15">
        <f>E106-H106</f>
        <v>0</v>
      </c>
      <c r="L106" s="45">
        <f>IF(ROUND(K106, 2)=0, 0, IFERROR(K106/ABS(H106), IF(K106&lt;0, -1, 1)))</f>
        <v>0</v>
      </c>
    </row>
    <row r="107" spans="2:12" ht="16" customHeight="1" x14ac:dyDescent="0.35">
      <c r="B107" s="16" t="s">
        <v>191</v>
      </c>
      <c r="C107" s="16" t="s">
        <v>192</v>
      </c>
      <c r="D107" s="64"/>
      <c r="E107" s="17"/>
      <c r="F107" s="84">
        <f>IFERROR(E107/E13, 0)</f>
        <v>0</v>
      </c>
      <c r="G107" s="65"/>
      <c r="H107" s="17">
        <v>-0.51780999999999999</v>
      </c>
      <c r="I107" s="84">
        <f>IFERROR(H107/H13, 0)</f>
        <v>-4.6591132866887319E-7</v>
      </c>
      <c r="J107" s="65"/>
      <c r="K107" s="17">
        <f>E107-H107</f>
        <v>0.51780999999999999</v>
      </c>
      <c r="L107" s="84">
        <f>IF(ROUND(K107, 2)=0, 0, IFERROR(K107/ABS(H107), IF(K107&lt;0, -1, 1)))</f>
        <v>1</v>
      </c>
    </row>
    <row r="108" spans="2:12" ht="16" customHeight="1" x14ac:dyDescent="0.35">
      <c r="B108" s="11" t="s">
        <v>193</v>
      </c>
      <c r="C108" s="11" t="s">
        <v>22</v>
      </c>
      <c r="D108" s="29"/>
      <c r="E108" s="12"/>
      <c r="F108" s="85"/>
      <c r="G108" s="12"/>
      <c r="H108" s="12"/>
      <c r="I108" s="85"/>
      <c r="J108" s="12"/>
      <c r="K108" s="12"/>
      <c r="L108" s="85"/>
    </row>
    <row r="109" spans="2:12" ht="16" customHeight="1" x14ac:dyDescent="0.35">
      <c r="B109" s="14" t="s">
        <v>194</v>
      </c>
      <c r="C109" s="14" t="s">
        <v>195</v>
      </c>
      <c r="D109" s="61"/>
      <c r="E109" s="15"/>
      <c r="F109" s="45">
        <f>IFERROR(E109/E13, 0)</f>
        <v>0</v>
      </c>
      <c r="G109" s="63"/>
      <c r="H109" s="15">
        <v>-9117.6294099999996</v>
      </c>
      <c r="I109" s="45">
        <f>IFERROR(H109/H13, 0)</f>
        <v>-8.2037945051727356E-3</v>
      </c>
      <c r="J109" s="63"/>
      <c r="K109" s="15">
        <f t="shared" ref="K109:K114" si="12">E109-H109</f>
        <v>9117.6294099999996</v>
      </c>
      <c r="L109" s="45">
        <f t="shared" ref="L109:L114" si="13">IF(ROUND(K109, 2)=0, 0, IFERROR(K109/ABS(H109), IF(K109&lt;0, -1, 1)))</f>
        <v>1</v>
      </c>
    </row>
    <row r="110" spans="2:12" ht="16" customHeight="1" x14ac:dyDescent="0.35">
      <c r="B110" s="14" t="s">
        <v>196</v>
      </c>
      <c r="C110" s="14" t="s">
        <v>197</v>
      </c>
      <c r="D110" s="61"/>
      <c r="E110" s="15"/>
      <c r="F110" s="45">
        <f>IFERROR(E110/E13, 0)</f>
        <v>0</v>
      </c>
      <c r="G110" s="63"/>
      <c r="H110" s="15"/>
      <c r="I110" s="45">
        <f>IFERROR(H110/H13, 0)</f>
        <v>0</v>
      </c>
      <c r="J110" s="63"/>
      <c r="K110" s="15">
        <f t="shared" si="12"/>
        <v>0</v>
      </c>
      <c r="L110" s="45">
        <f t="shared" si="13"/>
        <v>0</v>
      </c>
    </row>
    <row r="111" spans="2:12" ht="16" customHeight="1" x14ac:dyDescent="0.35">
      <c r="B111" s="14" t="s">
        <v>198</v>
      </c>
      <c r="C111" s="14" t="s">
        <v>199</v>
      </c>
      <c r="D111" s="61"/>
      <c r="E111" s="15">
        <v>5686.5890799999997</v>
      </c>
      <c r="F111" s="45">
        <f>IFERROR(E111/E13, 0)</f>
        <v>4.3395961496758657E-3</v>
      </c>
      <c r="G111" s="63"/>
      <c r="H111" s="15">
        <v>-6819.4524799999999</v>
      </c>
      <c r="I111" s="45">
        <f>IFERROR(H111/H13, 0)</f>
        <v>-6.1359575244801035E-3</v>
      </c>
      <c r="J111" s="63"/>
      <c r="K111" s="15">
        <f t="shared" si="12"/>
        <v>12506.04156</v>
      </c>
      <c r="L111" s="45">
        <f t="shared" si="13"/>
        <v>1.8338776605127103</v>
      </c>
    </row>
    <row r="112" spans="2:12" ht="16" customHeight="1" x14ac:dyDescent="0.35">
      <c r="B112" s="14" t="s">
        <v>200</v>
      </c>
      <c r="C112" s="14" t="s">
        <v>201</v>
      </c>
      <c r="D112" s="61"/>
      <c r="E112" s="15">
        <v>-2277.085</v>
      </c>
      <c r="F112" s="45">
        <f>IFERROR(E112/E13, 0)</f>
        <v>-1.7377076415172712E-3</v>
      </c>
      <c r="G112" s="63"/>
      <c r="H112" s="15">
        <v>-2510</v>
      </c>
      <c r="I112" s="45">
        <f>IFERROR(H112/H13, 0)</f>
        <v>-2.2584296073055207E-3</v>
      </c>
      <c r="J112" s="63"/>
      <c r="K112" s="15">
        <f t="shared" si="12"/>
        <v>232.91499999999996</v>
      </c>
      <c r="L112" s="45">
        <f t="shared" si="13"/>
        <v>9.2794820717131465E-2</v>
      </c>
    </row>
    <row r="113" spans="2:12" ht="16" customHeight="1" x14ac:dyDescent="0.35">
      <c r="B113" s="14" t="s">
        <v>202</v>
      </c>
      <c r="C113" s="14" t="s">
        <v>203</v>
      </c>
      <c r="D113" s="61"/>
      <c r="E113" s="15">
        <v>73.328819999999993</v>
      </c>
      <c r="F113" s="45">
        <f>IFERROR(E113/E13, 0)</f>
        <v>5.5959286042218229E-5</v>
      </c>
      <c r="G113" s="63"/>
      <c r="H113" s="15">
        <v>-114.66491000000001</v>
      </c>
      <c r="I113" s="45">
        <f>IFERROR(H113/H13, 0)</f>
        <v>-1.0317236161873422E-4</v>
      </c>
      <c r="J113" s="63"/>
      <c r="K113" s="15">
        <f t="shared" si="12"/>
        <v>187.99373</v>
      </c>
      <c r="L113" s="45">
        <f t="shared" si="13"/>
        <v>1.6395053203285992</v>
      </c>
    </row>
    <row r="114" spans="2:12" ht="16" customHeight="1" x14ac:dyDescent="0.35">
      <c r="B114" s="16" t="s">
        <v>204</v>
      </c>
      <c r="C114" s="16" t="s">
        <v>205</v>
      </c>
      <c r="D114" s="64"/>
      <c r="E114" s="17">
        <v>3482.8328999999999</v>
      </c>
      <c r="F114" s="84">
        <f>IFERROR(E114/E13, 0)</f>
        <v>2.6578477942008128E-3</v>
      </c>
      <c r="G114" s="65"/>
      <c r="H114" s="17">
        <v>-18561.746800000001</v>
      </c>
      <c r="I114" s="84">
        <f>IFERROR(H114/H13, 0)</f>
        <v>-1.6701353998577095E-2</v>
      </c>
      <c r="J114" s="65"/>
      <c r="K114" s="17">
        <f t="shared" si="12"/>
        <v>22044.579700000002</v>
      </c>
      <c r="L114" s="84">
        <f t="shared" si="13"/>
        <v>1.1876349751737805</v>
      </c>
    </row>
    <row r="115" spans="2:12" ht="16" customHeight="1" thickBot="1" x14ac:dyDescent="0.4">
      <c r="B115" s="11" t="s">
        <v>206</v>
      </c>
      <c r="C115" s="11" t="s">
        <v>22</v>
      </c>
      <c r="D115" s="29"/>
      <c r="E115" s="12"/>
      <c r="F115" s="85"/>
      <c r="G115" s="12"/>
      <c r="H115" s="12"/>
      <c r="I115" s="85"/>
      <c r="J115" s="12"/>
      <c r="K115" s="12"/>
      <c r="L115" s="85"/>
    </row>
    <row r="116" spans="2:12" ht="16" customHeight="1" thickBot="1" x14ac:dyDescent="0.4">
      <c r="B116" s="18" t="s">
        <v>207</v>
      </c>
      <c r="C116" s="18" t="s">
        <v>208</v>
      </c>
      <c r="D116" s="66"/>
      <c r="E116" s="19">
        <v>3482.8328999999999</v>
      </c>
      <c r="F116" s="86">
        <f>IFERROR(E116/E13, 0)</f>
        <v>2.6578477942008128E-3</v>
      </c>
      <c r="G116" s="68"/>
      <c r="H116" s="19">
        <v>-18562.264609999998</v>
      </c>
      <c r="I116" s="86">
        <f>IFERROR(H116/H13, 0)</f>
        <v>-1.6701819909905762E-2</v>
      </c>
      <c r="J116" s="68"/>
      <c r="K116" s="19">
        <f>E116-H116</f>
        <v>22045.09751</v>
      </c>
      <c r="L116" s="86">
        <f>IF(ROUND(K116, 2)=0, 0, IFERROR(K116/ABS(H116), IF(K116&lt;0, -1, 1)))</f>
        <v>1.1876297409381669</v>
      </c>
    </row>
    <row r="117" spans="2:12" ht="16" customHeight="1" x14ac:dyDescent="0.35">
      <c r="B117" s="11" t="s">
        <v>209</v>
      </c>
      <c r="C117" s="11" t="s">
        <v>22</v>
      </c>
      <c r="D117" s="29"/>
      <c r="E117" s="12"/>
      <c r="F117" s="85"/>
      <c r="G117" s="12"/>
      <c r="H117" s="12"/>
      <c r="I117" s="85"/>
      <c r="J117" s="12"/>
      <c r="K117" s="12"/>
      <c r="L117" s="85"/>
    </row>
    <row r="118" spans="2:12" ht="16" customHeight="1" x14ac:dyDescent="0.35">
      <c r="B118" s="14" t="s">
        <v>210</v>
      </c>
      <c r="C118" s="14" t="s">
        <v>211</v>
      </c>
      <c r="D118" s="61"/>
      <c r="E118" s="15">
        <v>-45327.306960000002</v>
      </c>
      <c r="F118" s="45">
        <f>IFERROR(E118/E13, 0)</f>
        <v>-3.4590543468421685E-2</v>
      </c>
      <c r="G118" s="63"/>
      <c r="H118" s="15">
        <v>-70938.579759999993</v>
      </c>
      <c r="I118" s="45">
        <f>IFERROR(H118/H13, 0)</f>
        <v>-6.3828601127564999E-2</v>
      </c>
      <c r="J118" s="63"/>
      <c r="K118" s="15">
        <f t="shared" ref="K118:K126" si="14">E118-H118</f>
        <v>25611.272799999992</v>
      </c>
      <c r="L118" s="45">
        <f t="shared" ref="L118:L126" si="15">IF(ROUND(K118, 2)=0, 0, IFERROR(K118/ABS(H118), IF(K118&lt;0, -1, 1)))</f>
        <v>0.36103447357768181</v>
      </c>
    </row>
    <row r="119" spans="2:12" ht="16" customHeight="1" x14ac:dyDescent="0.35">
      <c r="B119" s="14" t="s">
        <v>212</v>
      </c>
      <c r="C119" s="14" t="s">
        <v>213</v>
      </c>
      <c r="D119" s="61"/>
      <c r="E119" s="15"/>
      <c r="F119" s="45">
        <f>IFERROR(E119/E13, 0)</f>
        <v>0</v>
      </c>
      <c r="G119" s="63"/>
      <c r="H119" s="15"/>
      <c r="I119" s="45">
        <f>IFERROR(H119/H13, 0)</f>
        <v>0</v>
      </c>
      <c r="J119" s="63"/>
      <c r="K119" s="15">
        <f t="shared" si="14"/>
        <v>0</v>
      </c>
      <c r="L119" s="45">
        <f t="shared" si="15"/>
        <v>0</v>
      </c>
    </row>
    <row r="120" spans="2:12" ht="16" customHeight="1" x14ac:dyDescent="0.35">
      <c r="B120" s="14" t="s">
        <v>214</v>
      </c>
      <c r="C120" s="14" t="s">
        <v>215</v>
      </c>
      <c r="D120" s="61"/>
      <c r="E120" s="15"/>
      <c r="F120" s="45">
        <f>IFERROR(E120/E13, 0)</f>
        <v>0</v>
      </c>
      <c r="G120" s="63"/>
      <c r="H120" s="15">
        <v>-837.46416999999997</v>
      </c>
      <c r="I120" s="45">
        <f>IFERROR(H120/H13, 0)</f>
        <v>-7.535274408707346E-4</v>
      </c>
      <c r="J120" s="63"/>
      <c r="K120" s="15">
        <f t="shared" si="14"/>
        <v>837.46416999999997</v>
      </c>
      <c r="L120" s="45">
        <f t="shared" si="15"/>
        <v>1</v>
      </c>
    </row>
    <row r="121" spans="2:12" ht="16" customHeight="1" x14ac:dyDescent="0.35">
      <c r="B121" s="14" t="s">
        <v>216</v>
      </c>
      <c r="C121" s="14" t="s">
        <v>217</v>
      </c>
      <c r="D121" s="61"/>
      <c r="E121" s="15"/>
      <c r="F121" s="45">
        <f>IFERROR(E121/E13, 0)</f>
        <v>0</v>
      </c>
      <c r="G121" s="63"/>
      <c r="H121" s="15"/>
      <c r="I121" s="45">
        <f>IFERROR(H121/H13, 0)</f>
        <v>0</v>
      </c>
      <c r="J121" s="63"/>
      <c r="K121" s="15">
        <f t="shared" si="14"/>
        <v>0</v>
      </c>
      <c r="L121" s="45">
        <f t="shared" si="15"/>
        <v>0</v>
      </c>
    </row>
    <row r="122" spans="2:12" ht="16" customHeight="1" x14ac:dyDescent="0.35">
      <c r="B122" s="14" t="s">
        <v>218</v>
      </c>
      <c r="C122" s="14" t="s">
        <v>219</v>
      </c>
      <c r="D122" s="61"/>
      <c r="E122" s="15"/>
      <c r="F122" s="45">
        <f>IFERROR(E122/E13, 0)</f>
        <v>0</v>
      </c>
      <c r="G122" s="63"/>
      <c r="H122" s="15"/>
      <c r="I122" s="45">
        <f>IFERROR(H122/H13, 0)</f>
        <v>0</v>
      </c>
      <c r="J122" s="63"/>
      <c r="K122" s="15">
        <f t="shared" si="14"/>
        <v>0</v>
      </c>
      <c r="L122" s="45">
        <f t="shared" si="15"/>
        <v>0</v>
      </c>
    </row>
    <row r="123" spans="2:12" ht="16" customHeight="1" x14ac:dyDescent="0.35">
      <c r="B123" s="14" t="s">
        <v>220</v>
      </c>
      <c r="C123" s="14" t="s">
        <v>221</v>
      </c>
      <c r="D123" s="61"/>
      <c r="E123" s="15"/>
      <c r="F123" s="45">
        <f>IFERROR(E123/E13, 0)</f>
        <v>0</v>
      </c>
      <c r="G123" s="63"/>
      <c r="H123" s="15"/>
      <c r="I123" s="45">
        <f>IFERROR(H123/H13, 0)</f>
        <v>0</v>
      </c>
      <c r="J123" s="63"/>
      <c r="K123" s="15">
        <f t="shared" si="14"/>
        <v>0</v>
      </c>
      <c r="L123" s="45">
        <f t="shared" si="15"/>
        <v>0</v>
      </c>
    </row>
    <row r="124" spans="2:12" ht="16" customHeight="1" x14ac:dyDescent="0.35">
      <c r="B124" s="14" t="s">
        <v>222</v>
      </c>
      <c r="C124" s="14" t="s">
        <v>223</v>
      </c>
      <c r="D124" s="61"/>
      <c r="E124" s="15"/>
      <c r="F124" s="45">
        <f>IFERROR(E124/E13, 0)</f>
        <v>0</v>
      </c>
      <c r="G124" s="63"/>
      <c r="H124" s="15"/>
      <c r="I124" s="45">
        <f>IFERROR(H124/H13, 0)</f>
        <v>0</v>
      </c>
      <c r="J124" s="63"/>
      <c r="K124" s="15">
        <f t="shared" si="14"/>
        <v>0</v>
      </c>
      <c r="L124" s="45">
        <f t="shared" si="15"/>
        <v>0</v>
      </c>
    </row>
    <row r="125" spans="2:12" ht="16" customHeight="1" x14ac:dyDescent="0.35">
      <c r="B125" s="14" t="s">
        <v>224</v>
      </c>
      <c r="C125" s="14" t="s">
        <v>225</v>
      </c>
      <c r="D125" s="61"/>
      <c r="E125" s="15"/>
      <c r="F125" s="45">
        <f>IFERROR(E125/E13, 0)</f>
        <v>0</v>
      </c>
      <c r="G125" s="63"/>
      <c r="H125" s="15"/>
      <c r="I125" s="45">
        <f>IFERROR(H125/H13, 0)</f>
        <v>0</v>
      </c>
      <c r="J125" s="63"/>
      <c r="K125" s="15">
        <f t="shared" si="14"/>
        <v>0</v>
      </c>
      <c r="L125" s="45">
        <f t="shared" si="15"/>
        <v>0</v>
      </c>
    </row>
    <row r="126" spans="2:12" ht="16" customHeight="1" x14ac:dyDescent="0.35">
      <c r="B126" s="16" t="s">
        <v>226</v>
      </c>
      <c r="C126" s="16" t="s">
        <v>227</v>
      </c>
      <c r="D126" s="64"/>
      <c r="E126" s="17">
        <v>-45327.306960000002</v>
      </c>
      <c r="F126" s="84">
        <f>IFERROR(E126/E13, 0)</f>
        <v>-3.4590543468421685E-2</v>
      </c>
      <c r="G126" s="65"/>
      <c r="H126" s="17">
        <v>-71776.04393</v>
      </c>
      <c r="I126" s="84">
        <f>IFERROR(H126/H13, 0)</f>
        <v>-6.4582128568435745E-2</v>
      </c>
      <c r="J126" s="65"/>
      <c r="K126" s="17">
        <f t="shared" si="14"/>
        <v>26448.736969999998</v>
      </c>
      <c r="L126" s="84">
        <f t="shared" si="15"/>
        <v>0.36848975677447871</v>
      </c>
    </row>
    <row r="127" spans="2:12" ht="16" customHeight="1" thickBot="1" x14ac:dyDescent="0.4">
      <c r="B127" s="11" t="s">
        <v>228</v>
      </c>
      <c r="C127" s="11" t="s">
        <v>22</v>
      </c>
      <c r="D127" s="29"/>
      <c r="E127" s="12"/>
      <c r="F127" s="85"/>
      <c r="G127" s="12"/>
      <c r="H127" s="12"/>
      <c r="I127" s="85"/>
      <c r="J127" s="12"/>
      <c r="K127" s="12"/>
      <c r="L127" s="85"/>
    </row>
    <row r="128" spans="2:12" ht="16" customHeight="1" thickBot="1" x14ac:dyDescent="0.4">
      <c r="B128" s="18" t="s">
        <v>229</v>
      </c>
      <c r="C128" s="18" t="s">
        <v>230</v>
      </c>
      <c r="D128" s="66"/>
      <c r="E128" s="19">
        <v>-41844.47406</v>
      </c>
      <c r="F128" s="86">
        <f>IFERROR(E128/E13, 0)</f>
        <v>-3.1932695674220871E-2</v>
      </c>
      <c r="G128" s="68"/>
      <c r="H128" s="19">
        <v>-90338.308539999998</v>
      </c>
      <c r="I128" s="86">
        <f>IFERROR(H128/H13, 0)</f>
        <v>-8.12839484783415E-2</v>
      </c>
      <c r="J128" s="68"/>
      <c r="K128" s="19">
        <f>E128-H128</f>
        <v>48493.834479999998</v>
      </c>
      <c r="L128" s="86">
        <f>IF(ROUND(K128, 2)=0, 0, IFERROR(K128/ABS(H128), IF(K128&lt;0, -1, 1)))</f>
        <v>0.53680255102991992</v>
      </c>
    </row>
    <row r="129" spans="2:12" ht="16" customHeight="1" thickBot="1" x14ac:dyDescent="0.4">
      <c r="B129" s="11" t="s">
        <v>231</v>
      </c>
      <c r="C129" s="11" t="s">
        <v>22</v>
      </c>
      <c r="D129" s="29"/>
      <c r="E129" s="12"/>
      <c r="F129" s="85"/>
      <c r="G129" s="12"/>
      <c r="H129" s="12"/>
      <c r="I129" s="85"/>
      <c r="J129" s="12"/>
      <c r="K129" s="12"/>
      <c r="L129" s="85"/>
    </row>
    <row r="130" spans="2:12" ht="16" customHeight="1" thickBot="1" x14ac:dyDescent="0.4">
      <c r="B130" s="18" t="s">
        <v>232</v>
      </c>
      <c r="C130" s="18" t="s">
        <v>233</v>
      </c>
      <c r="D130" s="66"/>
      <c r="E130" s="19">
        <v>173389.79858</v>
      </c>
      <c r="F130" s="86">
        <f>IFERROR(E130/E13, 0)</f>
        <v>0.13231863454970128</v>
      </c>
      <c r="G130" s="68"/>
      <c r="H130" s="19">
        <v>64034.350310000002</v>
      </c>
      <c r="I130" s="86">
        <f>IFERROR(H130/H13, 0)</f>
        <v>5.761636359548903E-2</v>
      </c>
      <c r="J130" s="68"/>
      <c r="K130" s="19">
        <f>E130-H130</f>
        <v>109355.44826999999</v>
      </c>
      <c r="L130" s="86">
        <f>IF(ROUND(K130, 2)=0, 0, IFERROR(K130/ABS(H130), IF(K130&lt;0, -1, 1)))</f>
        <v>1.7077622829089962</v>
      </c>
    </row>
    <row r="131" spans="2:12" ht="16" customHeight="1" x14ac:dyDescent="0.35">
      <c r="B131" s="11" t="s">
        <v>234</v>
      </c>
      <c r="C131" s="11" t="s">
        <v>22</v>
      </c>
      <c r="D131" s="29"/>
      <c r="E131" s="12"/>
      <c r="F131" s="85"/>
      <c r="G131" s="12"/>
      <c r="H131" s="12"/>
      <c r="I131" s="85"/>
      <c r="J131" s="12"/>
      <c r="K131" s="12"/>
      <c r="L131" s="85"/>
    </row>
    <row r="132" spans="2:12" ht="16" customHeight="1" x14ac:dyDescent="0.35">
      <c r="B132" s="14" t="s">
        <v>235</v>
      </c>
      <c r="C132" s="14" t="s">
        <v>236</v>
      </c>
      <c r="D132" s="61"/>
      <c r="E132" s="15"/>
      <c r="F132" s="45">
        <f>IFERROR(E132/E13, 0)</f>
        <v>0</v>
      </c>
      <c r="G132" s="63"/>
      <c r="H132" s="15"/>
      <c r="I132" s="45">
        <f>IFERROR(H132/H13, 0)</f>
        <v>0</v>
      </c>
      <c r="J132" s="63"/>
      <c r="K132" s="15">
        <f>E132-H132</f>
        <v>0</v>
      </c>
      <c r="L132" s="45">
        <f>IF(ROUND(K132, 2)=0, 0, IFERROR(K132/ABS(H132), IF(K132&lt;0, -1, 1)))</f>
        <v>0</v>
      </c>
    </row>
    <row r="133" spans="2:12" ht="16" customHeight="1" x14ac:dyDescent="0.35">
      <c r="B133" s="14" t="s">
        <v>237</v>
      </c>
      <c r="C133" s="14" t="s">
        <v>238</v>
      </c>
      <c r="D133" s="61"/>
      <c r="E133" s="15"/>
      <c r="F133" s="45">
        <f>IFERROR(E133/E13, 0)</f>
        <v>0</v>
      </c>
      <c r="G133" s="63"/>
      <c r="H133" s="15"/>
      <c r="I133" s="45">
        <f>IFERROR(H133/H13, 0)</f>
        <v>0</v>
      </c>
      <c r="J133" s="63"/>
      <c r="K133" s="15">
        <f>E133-H133</f>
        <v>0</v>
      </c>
      <c r="L133" s="45">
        <f>IF(ROUND(K133, 2)=0, 0, IFERROR(K133/ABS(H133), IF(K133&lt;0, -1, 1)))</f>
        <v>0</v>
      </c>
    </row>
    <row r="134" spans="2:12" ht="16" customHeight="1" x14ac:dyDescent="0.35">
      <c r="B134" s="14" t="s">
        <v>239</v>
      </c>
      <c r="C134" s="14" t="s">
        <v>240</v>
      </c>
      <c r="D134" s="61"/>
      <c r="E134" s="15"/>
      <c r="F134" s="45">
        <f>IFERROR(E134/E13, 0)</f>
        <v>0</v>
      </c>
      <c r="G134" s="63"/>
      <c r="H134" s="15"/>
      <c r="I134" s="45">
        <f>IFERROR(H134/H13, 0)</f>
        <v>0</v>
      </c>
      <c r="J134" s="63"/>
      <c r="K134" s="15">
        <f>E134-H134</f>
        <v>0</v>
      </c>
      <c r="L134" s="45">
        <f>IF(ROUND(K134, 2)=0, 0, IFERROR(K134/ABS(H134), IF(K134&lt;0, -1, 1)))</f>
        <v>0</v>
      </c>
    </row>
    <row r="135" spans="2:12" ht="16" customHeight="1" x14ac:dyDescent="0.35">
      <c r="B135" s="14" t="s">
        <v>241</v>
      </c>
      <c r="C135" s="14" t="s">
        <v>242</v>
      </c>
      <c r="D135" s="61"/>
      <c r="E135" s="15">
        <v>-1480.83</v>
      </c>
      <c r="F135" s="45">
        <f>IFERROR(E135/E13, 0)</f>
        <v>-1.1300630441059604E-3</v>
      </c>
      <c r="G135" s="63"/>
      <c r="H135" s="15"/>
      <c r="I135" s="45">
        <f>IFERROR(H135/H13, 0)</f>
        <v>0</v>
      </c>
      <c r="J135" s="63"/>
      <c r="K135" s="15">
        <f>E135-H135</f>
        <v>-1480.83</v>
      </c>
      <c r="L135" s="45">
        <f>IF(ROUND(K135, 2)=0, 0, IFERROR(K135/ABS(H135), IF(K135&lt;0, -1, 1)))</f>
        <v>-1</v>
      </c>
    </row>
    <row r="136" spans="2:12" ht="16" customHeight="1" x14ac:dyDescent="0.35">
      <c r="B136" s="16" t="s">
        <v>243</v>
      </c>
      <c r="C136" s="16" t="s">
        <v>244</v>
      </c>
      <c r="D136" s="64"/>
      <c r="E136" s="17">
        <v>-1480.83</v>
      </c>
      <c r="F136" s="84">
        <f>IFERROR(E136/E13, 0)</f>
        <v>-1.1300630441059604E-3</v>
      </c>
      <c r="G136" s="65"/>
      <c r="H136" s="17"/>
      <c r="I136" s="84">
        <f>IFERROR(H136/H13, 0)</f>
        <v>0</v>
      </c>
      <c r="J136" s="65"/>
      <c r="K136" s="17">
        <f>E136-H136</f>
        <v>-1480.83</v>
      </c>
      <c r="L136" s="84">
        <f>IF(ROUND(K136, 2)=0, 0, IFERROR(K136/ABS(H136), IF(K136&lt;0, -1, 1)))</f>
        <v>-1</v>
      </c>
    </row>
    <row r="137" spans="2:12" ht="16" customHeight="1" thickBot="1" x14ac:dyDescent="0.4">
      <c r="B137" s="11" t="s">
        <v>245</v>
      </c>
      <c r="C137" s="11" t="s">
        <v>22</v>
      </c>
      <c r="D137" s="29"/>
      <c r="E137" s="12"/>
      <c r="F137" s="85"/>
      <c r="G137" s="12"/>
      <c r="H137" s="12"/>
      <c r="I137" s="85"/>
      <c r="J137" s="12"/>
      <c r="K137" s="12"/>
      <c r="L137" s="85"/>
    </row>
    <row r="138" spans="2:12" ht="16" customHeight="1" thickBot="1" x14ac:dyDescent="0.4">
      <c r="B138" s="18" t="s">
        <v>246</v>
      </c>
      <c r="C138" s="18" t="s">
        <v>247</v>
      </c>
      <c r="D138" s="66"/>
      <c r="E138" s="19">
        <v>171908.96857999999</v>
      </c>
      <c r="F138" s="86">
        <f>IFERROR(E138/E13, 0)</f>
        <v>0.13118857150559529</v>
      </c>
      <c r="G138" s="68"/>
      <c r="H138" s="19">
        <v>64034.350310000002</v>
      </c>
      <c r="I138" s="86">
        <f>IFERROR(H138/H13, 0)</f>
        <v>5.761636359548903E-2</v>
      </c>
      <c r="J138" s="68"/>
      <c r="K138" s="19">
        <f>E138-H138</f>
        <v>107874.61826999998</v>
      </c>
      <c r="L138" s="86">
        <f>IF(ROUND(K138, 2)=0, 0, IFERROR(K138/ABS(H138), IF(K138&lt;0, -1, 1)))</f>
        <v>1.6846367261909052</v>
      </c>
    </row>
    <row r="139" spans="2:12" ht="16" customHeight="1" x14ac:dyDescent="0.35">
      <c r="B139" s="11" t="s">
        <v>248</v>
      </c>
      <c r="C139" s="11" t="s">
        <v>22</v>
      </c>
      <c r="D139" s="29"/>
      <c r="E139" s="12"/>
      <c r="F139" s="85"/>
      <c r="G139" s="12"/>
      <c r="H139" s="12"/>
      <c r="I139" s="85"/>
      <c r="J139" s="12"/>
      <c r="K139" s="12"/>
      <c r="L139" s="85"/>
    </row>
    <row r="140" spans="2:12" ht="16" customHeight="1" x14ac:dyDescent="0.35">
      <c r="B140" s="14" t="s">
        <v>249</v>
      </c>
      <c r="C140" s="14" t="s">
        <v>250</v>
      </c>
      <c r="D140" s="61"/>
      <c r="E140" s="15">
        <v>4594.6062599999996</v>
      </c>
      <c r="F140" s="45">
        <f>IFERROR(E140/E13, 0)</f>
        <v>3.5062733309319106E-3</v>
      </c>
      <c r="G140" s="63"/>
      <c r="H140" s="15">
        <v>15332.456270000001</v>
      </c>
      <c r="I140" s="45">
        <f>IFERROR(H140/H13, 0)</f>
        <v>1.3795726371667399E-2</v>
      </c>
      <c r="J140" s="63"/>
      <c r="K140" s="15">
        <f>E140-H140</f>
        <v>-10737.850010000002</v>
      </c>
      <c r="L140" s="45">
        <f>IF(ROUND(K140, 2)=0, 0, IFERROR(K140/ABS(H140), IF(K140&lt;0, -1, 1)))</f>
        <v>-0.70033462485786058</v>
      </c>
    </row>
    <row r="141" spans="2:12" ht="16" customHeight="1" x14ac:dyDescent="0.35">
      <c r="B141" s="14" t="s">
        <v>251</v>
      </c>
      <c r="C141" s="14" t="s">
        <v>252</v>
      </c>
      <c r="D141" s="61"/>
      <c r="E141" s="15">
        <v>19457.502</v>
      </c>
      <c r="F141" s="45">
        <f>IFERROR(E141/E13, 0)</f>
        <v>1.4848567317529907E-2</v>
      </c>
      <c r="G141" s="63"/>
      <c r="H141" s="15">
        <v>12198.8074</v>
      </c>
      <c r="I141" s="45">
        <f>IFERROR(H141/H13, 0)</f>
        <v>1.0976154504373578E-2</v>
      </c>
      <c r="J141" s="63"/>
      <c r="K141" s="15">
        <f>E141-H141</f>
        <v>7258.6946000000007</v>
      </c>
      <c r="L141" s="45">
        <f>IF(ROUND(K141, 2)=0, 0, IFERROR(K141/ABS(H141), IF(K141&lt;0, -1, 1)))</f>
        <v>0.59503313414063741</v>
      </c>
    </row>
    <row r="142" spans="2:12" ht="16" customHeight="1" x14ac:dyDescent="0.35">
      <c r="B142" s="16" t="s">
        <v>253</v>
      </c>
      <c r="C142" s="16" t="s">
        <v>254</v>
      </c>
      <c r="D142" s="64"/>
      <c r="E142" s="17">
        <v>24052.108260000001</v>
      </c>
      <c r="F142" s="84">
        <f>IFERROR(E142/E13, 0)</f>
        <v>1.835484064846182E-2</v>
      </c>
      <c r="G142" s="65"/>
      <c r="H142" s="17">
        <v>27531.26367</v>
      </c>
      <c r="I142" s="84">
        <f>IFERROR(H142/H13, 0)</f>
        <v>2.4771880876040975E-2</v>
      </c>
      <c r="J142" s="65"/>
      <c r="K142" s="17">
        <f>E142-H142</f>
        <v>-3479.1554099999994</v>
      </c>
      <c r="L142" s="84">
        <f>IF(ROUND(K142, 2)=0, 0, IFERROR(K142/ABS(H142), IF(K142&lt;0, -1, 1)))</f>
        <v>-0.12637107586859994</v>
      </c>
    </row>
    <row r="143" spans="2:12" ht="16" customHeight="1" x14ac:dyDescent="0.35">
      <c r="B143" s="11" t="s">
        <v>255</v>
      </c>
      <c r="C143" s="11" t="s">
        <v>22</v>
      </c>
      <c r="D143" s="29"/>
      <c r="E143" s="12"/>
      <c r="F143" s="85"/>
      <c r="G143" s="12"/>
      <c r="H143" s="12"/>
      <c r="I143" s="85"/>
      <c r="J143" s="12"/>
      <c r="K143" s="12"/>
      <c r="L143" s="85"/>
    </row>
    <row r="144" spans="2:12" ht="16" customHeight="1" x14ac:dyDescent="0.35">
      <c r="B144" s="14" t="s">
        <v>256</v>
      </c>
      <c r="C144" s="14" t="s">
        <v>257</v>
      </c>
      <c r="D144" s="61"/>
      <c r="E144" s="15"/>
      <c r="F144" s="45">
        <f>IFERROR(E144/E13, 0)</f>
        <v>0</v>
      </c>
      <c r="G144" s="63"/>
      <c r="H144" s="15"/>
      <c r="I144" s="45">
        <f>IFERROR(H144/H13, 0)</f>
        <v>0</v>
      </c>
      <c r="J144" s="63"/>
      <c r="K144" s="15">
        <f>E144-H144</f>
        <v>0</v>
      </c>
      <c r="L144" s="45">
        <f>IF(ROUND(K144, 2)=0, 0, IFERROR(K144/ABS(H144), IF(K144&lt;0, -1, 1)))</f>
        <v>0</v>
      </c>
    </row>
    <row r="145" spans="2:12" ht="16" customHeight="1" thickBot="1" x14ac:dyDescent="0.4">
      <c r="B145" s="11" t="s">
        <v>258</v>
      </c>
      <c r="C145" s="11" t="s">
        <v>22</v>
      </c>
      <c r="D145" s="29"/>
      <c r="E145" s="12"/>
      <c r="F145" s="85"/>
      <c r="G145" s="12"/>
      <c r="H145" s="12"/>
      <c r="I145" s="85"/>
      <c r="J145" s="12"/>
      <c r="K145" s="12"/>
      <c r="L145" s="85"/>
    </row>
    <row r="146" spans="2:12" ht="16" customHeight="1" thickBot="1" x14ac:dyDescent="0.4">
      <c r="B146" s="18" t="s">
        <v>259</v>
      </c>
      <c r="C146" s="18" t="s">
        <v>260</v>
      </c>
      <c r="D146" s="66"/>
      <c r="E146" s="19">
        <v>195961.07683999999</v>
      </c>
      <c r="F146" s="86">
        <f>IFERROR(E146/E13, 0)</f>
        <v>0.14954341215405711</v>
      </c>
      <c r="G146" s="68"/>
      <c r="H146" s="19">
        <v>91565.613979999995</v>
      </c>
      <c r="I146" s="86">
        <f>IFERROR(H146/H13, 0)</f>
        <v>8.2388244471529995E-2</v>
      </c>
      <c r="J146" s="68"/>
      <c r="K146" s="19">
        <f>E146-H146</f>
        <v>104395.46286</v>
      </c>
      <c r="L146" s="86">
        <f>IF(ROUND(K146, 2)=0, 0, IFERROR(K146/ABS(H146), IF(K146&lt;0, -1, 1)))</f>
        <v>1.1401164511691293</v>
      </c>
    </row>
    <row r="147" spans="2:12" ht="16" customHeight="1" x14ac:dyDescent="0.35">
      <c r="B147" s="11" t="s">
        <v>261</v>
      </c>
      <c r="C147" s="11" t="s">
        <v>22</v>
      </c>
      <c r="D147" s="29"/>
      <c r="E147" s="12"/>
      <c r="F147" s="85"/>
      <c r="G147" s="12"/>
      <c r="H147" s="12"/>
      <c r="I147" s="85"/>
      <c r="J147" s="12"/>
      <c r="K147" s="12"/>
      <c r="L147" s="85"/>
    </row>
    <row r="148" spans="2:12" ht="16" customHeight="1" x14ac:dyDescent="0.35">
      <c r="B148" s="14" t="s">
        <v>262</v>
      </c>
      <c r="C148" s="14" t="s">
        <v>263</v>
      </c>
      <c r="D148" s="61"/>
      <c r="E148" s="15"/>
      <c r="F148" s="45">
        <f>IFERROR(E148/E13, 0)</f>
        <v>0</v>
      </c>
      <c r="G148" s="63"/>
      <c r="H148" s="15"/>
      <c r="I148" s="45">
        <f>IFERROR(H148/H13, 0)</f>
        <v>0</v>
      </c>
      <c r="J148" s="63"/>
      <c r="K148" s="15">
        <f>E148-H148</f>
        <v>0</v>
      </c>
      <c r="L148" s="45">
        <f>IF(ROUND(K148, 2)=0, 0, IFERROR(K148/ABS(H148), IF(K148&lt;0, -1, 1)))</f>
        <v>0</v>
      </c>
    </row>
    <row r="149" spans="2:12" ht="16" customHeight="1" thickBot="1" x14ac:dyDescent="0.4">
      <c r="B149" s="11" t="s">
        <v>264</v>
      </c>
      <c r="C149" s="11" t="s">
        <v>22</v>
      </c>
      <c r="D149" s="29"/>
      <c r="E149" s="12"/>
      <c r="F149" s="85"/>
      <c r="G149" s="12"/>
      <c r="H149" s="12"/>
      <c r="I149" s="85"/>
      <c r="J149" s="12"/>
      <c r="K149" s="12"/>
      <c r="L149" s="85"/>
    </row>
    <row r="150" spans="2:12" ht="16" customHeight="1" thickBot="1" x14ac:dyDescent="0.4">
      <c r="B150" s="18" t="s">
        <v>265</v>
      </c>
      <c r="C150" s="18" t="s">
        <v>266</v>
      </c>
      <c r="D150" s="66"/>
      <c r="E150" s="19">
        <v>195961.07683999999</v>
      </c>
      <c r="F150" s="86">
        <f>IFERROR(E150/E13, 0)</f>
        <v>0.14954341215405711</v>
      </c>
      <c r="G150" s="68"/>
      <c r="H150" s="19">
        <v>91565.613979999995</v>
      </c>
      <c r="I150" s="86">
        <f>IFERROR(H150/H13, 0)</f>
        <v>8.2388244471529995E-2</v>
      </c>
      <c r="J150" s="68"/>
      <c r="K150" s="19">
        <f>E150-H150</f>
        <v>104395.46286</v>
      </c>
      <c r="L150" s="86">
        <f>IF(ROUND(K150, 2)=0, 0, IFERROR(K150/ABS(H150), IF(K150&lt;0, -1, 1)))</f>
        <v>1.1401164511691293</v>
      </c>
    </row>
    <row r="151" spans="2:12" ht="16" customHeight="1" x14ac:dyDescent="0.45">
      <c r="B151" s="13"/>
      <c r="C151" s="9"/>
      <c r="D151" s="9"/>
      <c r="E151" s="13"/>
      <c r="F151" s="13"/>
      <c r="G151" s="13"/>
      <c r="H151" s="13"/>
      <c r="I151" s="13"/>
      <c r="J151" s="13"/>
      <c r="K151" s="13"/>
      <c r="L151" s="13"/>
    </row>
  </sheetData>
  <mergeCells count="2">
    <mergeCell ref="B4:C4"/>
    <mergeCell ref="B6:C6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0B418-7F03-4E5B-97DE-B0C88C57F247}">
  <dimension ref="A3:L150"/>
  <sheetViews>
    <sheetView showGridLines="0" workbookViewId="0">
      <pane ySplit="9" topLeftCell="A10" activePane="bottomLeft" state="frozen"/>
      <selection pane="bottomLeft" activeCell="B4" sqref="B4"/>
    </sheetView>
  </sheetViews>
  <sheetFormatPr defaultColWidth="9.1796875" defaultRowHeight="16" customHeight="1" x14ac:dyDescent="0.35"/>
  <cols>
    <col min="1" max="1" width="1.7265625" style="1" customWidth="1"/>
    <col min="2" max="2" width="10.7265625" style="1" customWidth="1"/>
    <col min="3" max="3" width="60.7265625" style="1" customWidth="1"/>
    <col min="4" max="4" width="1.54296875" style="1" customWidth="1"/>
    <col min="5" max="6" width="15.7265625" style="1" customWidth="1"/>
    <col min="7" max="7" width="1.54296875" style="1" customWidth="1"/>
    <col min="8" max="9" width="15.7265625" style="1" customWidth="1"/>
    <col min="10" max="10" width="1.54296875" style="1" customWidth="1"/>
    <col min="11" max="27" width="15.7265625" style="1" customWidth="1"/>
    <col min="28" max="16384" width="9.1796875" style="1"/>
  </cols>
  <sheetData>
    <row r="3" spans="1:12" ht="16" customHeight="1" x14ac:dyDescent="0.35">
      <c r="B3" s="2" t="s">
        <v>1607</v>
      </c>
    </row>
    <row r="4" spans="1:12" ht="16" customHeight="1" x14ac:dyDescent="0.35">
      <c r="B4" s="4" t="s">
        <v>270</v>
      </c>
    </row>
    <row r="5" spans="1:12" ht="16" customHeight="1" x14ac:dyDescent="0.35">
      <c r="B5" s="4" t="s">
        <v>1599</v>
      </c>
    </row>
    <row r="6" spans="1:12" ht="16" customHeight="1" x14ac:dyDescent="0.35">
      <c r="A6" s="20"/>
      <c r="B6" s="56">
        <v>46189.338230127316</v>
      </c>
      <c r="C6" s="56"/>
    </row>
    <row r="7" spans="1:12" ht="16" customHeight="1" x14ac:dyDescent="0.35">
      <c r="A7" s="20"/>
      <c r="B7" s="87"/>
      <c r="C7" s="87"/>
    </row>
    <row r="8" spans="1:12" ht="16" customHeight="1" x14ac:dyDescent="0.35">
      <c r="E8" s="81" t="s">
        <v>1600</v>
      </c>
      <c r="F8" s="81"/>
      <c r="G8" s="81"/>
      <c r="H8" s="81" t="s">
        <v>1601</v>
      </c>
      <c r="I8" s="81"/>
      <c r="J8" s="81"/>
      <c r="K8" s="81"/>
      <c r="L8" s="81"/>
    </row>
    <row r="9" spans="1:12" ht="16" customHeight="1" thickBot="1" x14ac:dyDescent="0.4">
      <c r="E9" s="83" t="s">
        <v>1602</v>
      </c>
      <c r="F9" s="83" t="s">
        <v>1603</v>
      </c>
      <c r="G9" s="81"/>
      <c r="H9" s="82" t="s">
        <v>1604</v>
      </c>
      <c r="I9" s="83" t="s">
        <v>1603</v>
      </c>
      <c r="J9" s="81"/>
      <c r="K9" s="83" t="s">
        <v>1605</v>
      </c>
      <c r="L9" s="83" t="s">
        <v>1606</v>
      </c>
    </row>
    <row r="10" spans="1:12" ht="16" customHeight="1" x14ac:dyDescent="0.35">
      <c r="B10" s="14" t="s">
        <v>13</v>
      </c>
      <c r="C10" s="14" t="s">
        <v>14</v>
      </c>
      <c r="D10" s="61"/>
      <c r="E10" s="15">
        <v>45094.212460000002</v>
      </c>
      <c r="F10" s="45">
        <f>IFERROR(E10/E13, 0)</f>
        <v>6.9552050934820309E-2</v>
      </c>
      <c r="G10" s="63"/>
      <c r="H10" s="15">
        <v>40276.157829999996</v>
      </c>
      <c r="I10" s="45">
        <f>IFERROR(H10/H13, 0)</f>
        <v>7.1760391397800161E-2</v>
      </c>
      <c r="J10" s="63"/>
      <c r="K10" s="15">
        <f>E10-H10</f>
        <v>4818.054630000006</v>
      </c>
      <c r="L10" s="45">
        <f>IF(ROUND(K10, 2)=0, 0, IFERROR(K10/ABS(H10), IF(K10&lt;0, -1, 1)))</f>
        <v>0.11962547793998468</v>
      </c>
    </row>
    <row r="11" spans="1:12" ht="16" customHeight="1" x14ac:dyDescent="0.35">
      <c r="B11" s="14" t="s">
        <v>15</v>
      </c>
      <c r="C11" s="14" t="s">
        <v>16</v>
      </c>
      <c r="D11" s="61"/>
      <c r="E11" s="15"/>
      <c r="F11" s="45">
        <f>IFERROR(E11/E13, 0)</f>
        <v>0</v>
      </c>
      <c r="G11" s="63"/>
      <c r="H11" s="15"/>
      <c r="I11" s="45">
        <f>IFERROR(H11/H13, 0)</f>
        <v>0</v>
      </c>
      <c r="J11" s="63"/>
      <c r="K11" s="15">
        <f>E11-H11</f>
        <v>0</v>
      </c>
      <c r="L11" s="45">
        <f>IF(ROUND(K11, 2)=0, 0, IFERROR(K11/ABS(H11), IF(K11&lt;0, -1, 1)))</f>
        <v>0</v>
      </c>
    </row>
    <row r="12" spans="1:12" ht="16" customHeight="1" x14ac:dyDescent="0.35">
      <c r="B12" s="14" t="s">
        <v>17</v>
      </c>
      <c r="C12" s="14" t="s">
        <v>18</v>
      </c>
      <c r="D12" s="61"/>
      <c r="E12" s="15">
        <v>603257.80382000003</v>
      </c>
      <c r="F12" s="45">
        <f>IFERROR(E12/E13, 0)</f>
        <v>0.9304479490651798</v>
      </c>
      <c r="G12" s="63"/>
      <c r="H12" s="15">
        <v>520982.73507</v>
      </c>
      <c r="I12" s="45">
        <f>IFERROR(H12/H13, 0)</f>
        <v>0.92823960860219989</v>
      </c>
      <c r="J12" s="63"/>
      <c r="K12" s="15">
        <f>E12-H12</f>
        <v>82275.068750000035</v>
      </c>
      <c r="L12" s="45">
        <f>IF(ROUND(K12, 2)=0, 0, IFERROR(K12/ABS(H12), IF(K12&lt;0, -1, 1)))</f>
        <v>0.15792283162501622</v>
      </c>
    </row>
    <row r="13" spans="1:12" ht="16" customHeight="1" x14ac:dyDescent="0.35">
      <c r="B13" s="16" t="s">
        <v>19</v>
      </c>
      <c r="C13" s="16" t="s">
        <v>20</v>
      </c>
      <c r="D13" s="64"/>
      <c r="E13" s="17">
        <v>648352.01627999998</v>
      </c>
      <c r="F13" s="84">
        <f>IFERROR(E13/E13, 0)</f>
        <v>1</v>
      </c>
      <c r="G13" s="65"/>
      <c r="H13" s="17">
        <v>561258.89289999998</v>
      </c>
      <c r="I13" s="84">
        <f>IFERROR(H13/H13, 0)</f>
        <v>1</v>
      </c>
      <c r="J13" s="65"/>
      <c r="K13" s="17">
        <f>E13-H13</f>
        <v>87093.123380000005</v>
      </c>
      <c r="L13" s="84">
        <f>IF(ROUND(K13, 2)=0, 0, IFERROR(K13/ABS(H13), IF(K13&lt;0, -1, 1)))</f>
        <v>0.15517459853507831</v>
      </c>
    </row>
    <row r="14" spans="1:12" ht="16" customHeight="1" x14ac:dyDescent="0.35">
      <c r="B14" s="11" t="s">
        <v>21</v>
      </c>
      <c r="C14" s="11" t="s">
        <v>22</v>
      </c>
      <c r="D14" s="29"/>
      <c r="E14" s="12"/>
      <c r="F14" s="85"/>
      <c r="G14" s="12"/>
      <c r="H14" s="12"/>
      <c r="I14" s="85"/>
      <c r="J14" s="12"/>
      <c r="K14" s="12"/>
      <c r="L14" s="85"/>
    </row>
    <row r="15" spans="1:12" ht="16" customHeight="1" x14ac:dyDescent="0.35">
      <c r="B15" s="14" t="s">
        <v>23</v>
      </c>
      <c r="C15" s="14" t="s">
        <v>24</v>
      </c>
      <c r="D15" s="61"/>
      <c r="E15" s="15">
        <v>-66989.968930000003</v>
      </c>
      <c r="F15" s="45">
        <f>IFERROR(E15/E13, 0)</f>
        <v>-0.10332345276623531</v>
      </c>
      <c r="G15" s="63"/>
      <c r="H15" s="15">
        <v>-63735.954919999996</v>
      </c>
      <c r="I15" s="45">
        <f>IFERROR(H15/H13, 0)</f>
        <v>-0.11355892214140095</v>
      </c>
      <c r="J15" s="63"/>
      <c r="K15" s="15">
        <f t="shared" ref="K15:K22" si="0">E15-H15</f>
        <v>-3254.0140100000062</v>
      </c>
      <c r="L15" s="45">
        <f t="shared" ref="L15:L22" si="1">IF(ROUND(K15, 2)=0, 0, IFERROR(K15/ABS(H15), IF(K15&lt;0, -1, 1)))</f>
        <v>-5.1054605113932547E-2</v>
      </c>
    </row>
    <row r="16" spans="1:12" ht="16" customHeight="1" x14ac:dyDescent="0.35">
      <c r="B16" s="14" t="s">
        <v>25</v>
      </c>
      <c r="C16" s="14" t="s">
        <v>26</v>
      </c>
      <c r="D16" s="61"/>
      <c r="E16" s="15">
        <v>-1125.8533399999999</v>
      </c>
      <c r="F16" s="45">
        <f>IFERROR(E16/E13, 0)</f>
        <v>-1.7364846745749677E-3</v>
      </c>
      <c r="G16" s="63"/>
      <c r="H16" s="15">
        <v>-1311.4719700000001</v>
      </c>
      <c r="I16" s="45">
        <f>IFERROR(H16/H13, 0)</f>
        <v>-2.3366613635708864E-3</v>
      </c>
      <c r="J16" s="63"/>
      <c r="K16" s="15">
        <f t="shared" si="0"/>
        <v>185.61863000000017</v>
      </c>
      <c r="L16" s="45">
        <f t="shared" si="1"/>
        <v>0.14153457660250274</v>
      </c>
    </row>
    <row r="17" spans="2:12" ht="16" customHeight="1" x14ac:dyDescent="0.35">
      <c r="B17" s="14" t="s">
        <v>27</v>
      </c>
      <c r="C17" s="14" t="s">
        <v>28</v>
      </c>
      <c r="D17" s="61"/>
      <c r="E17" s="15">
        <v>-15563.52793</v>
      </c>
      <c r="F17" s="45">
        <f>IFERROR(E17/E13, 0)</f>
        <v>-2.4004749795177117E-2</v>
      </c>
      <c r="G17" s="63"/>
      <c r="H17" s="15">
        <v>-15544.765729999999</v>
      </c>
      <c r="I17" s="45">
        <f>IFERROR(H17/H13, 0)</f>
        <v>-2.7696248427674579E-2</v>
      </c>
      <c r="J17" s="63"/>
      <c r="K17" s="15">
        <f t="shared" si="0"/>
        <v>-18.76220000000103</v>
      </c>
      <c r="L17" s="45">
        <f t="shared" si="1"/>
        <v>-1.2069786271395311E-3</v>
      </c>
    </row>
    <row r="18" spans="2:12" ht="16" customHeight="1" x14ac:dyDescent="0.35">
      <c r="B18" s="14" t="s">
        <v>29</v>
      </c>
      <c r="C18" s="14" t="s">
        <v>30</v>
      </c>
      <c r="D18" s="61"/>
      <c r="E18" s="15">
        <v>-3477.9633100000001</v>
      </c>
      <c r="F18" s="45">
        <f>IFERROR(E18/E13, 0)</f>
        <v>-5.3643132475398869E-3</v>
      </c>
      <c r="G18" s="63"/>
      <c r="H18" s="15">
        <v>-2235.4031199999999</v>
      </c>
      <c r="I18" s="45">
        <f>IFERROR(H18/H13, 0)</f>
        <v>-3.9828377746493606E-3</v>
      </c>
      <c r="J18" s="63"/>
      <c r="K18" s="15">
        <f t="shared" si="0"/>
        <v>-1242.5601900000001</v>
      </c>
      <c r="L18" s="45">
        <f t="shared" si="1"/>
        <v>-0.55585508442879872</v>
      </c>
    </row>
    <row r="19" spans="2:12" ht="16" customHeight="1" x14ac:dyDescent="0.35">
      <c r="B19" s="14" t="s">
        <v>31</v>
      </c>
      <c r="C19" s="14" t="s">
        <v>32</v>
      </c>
      <c r="D19" s="61"/>
      <c r="E19" s="15">
        <v>-31932.99351</v>
      </c>
      <c r="F19" s="45">
        <f>IFERROR(E19/E13, 0)</f>
        <v>-4.9252555260365358E-2</v>
      </c>
      <c r="G19" s="63"/>
      <c r="H19" s="15">
        <v>-18739.502400000001</v>
      </c>
      <c r="I19" s="45">
        <f>IFERROR(H19/H13, 0)</f>
        <v>-3.3388339386791394E-2</v>
      </c>
      <c r="J19" s="63"/>
      <c r="K19" s="15">
        <f t="shared" si="0"/>
        <v>-13193.491109999999</v>
      </c>
      <c r="L19" s="45">
        <f t="shared" si="1"/>
        <v>-0.70404703542181557</v>
      </c>
    </row>
    <row r="20" spans="2:12" ht="16" customHeight="1" x14ac:dyDescent="0.35">
      <c r="B20" s="14" t="s">
        <v>33</v>
      </c>
      <c r="C20" s="14" t="s">
        <v>34</v>
      </c>
      <c r="D20" s="61"/>
      <c r="E20" s="15"/>
      <c r="F20" s="45">
        <f>IFERROR(E20/E13, 0)</f>
        <v>0</v>
      </c>
      <c r="G20" s="63"/>
      <c r="H20" s="15"/>
      <c r="I20" s="45">
        <f>IFERROR(H20/H13, 0)</f>
        <v>0</v>
      </c>
      <c r="J20" s="63"/>
      <c r="K20" s="15">
        <f t="shared" si="0"/>
        <v>0</v>
      </c>
      <c r="L20" s="45">
        <f t="shared" si="1"/>
        <v>0</v>
      </c>
    </row>
    <row r="21" spans="2:12" ht="16" customHeight="1" x14ac:dyDescent="0.35">
      <c r="B21" s="14" t="s">
        <v>35</v>
      </c>
      <c r="C21" s="14" t="s">
        <v>36</v>
      </c>
      <c r="D21" s="61"/>
      <c r="E21" s="15"/>
      <c r="F21" s="45">
        <f>IFERROR(E21/E13, 0)</f>
        <v>0</v>
      </c>
      <c r="G21" s="63"/>
      <c r="H21" s="15"/>
      <c r="I21" s="45">
        <f>IFERROR(H21/H13, 0)</f>
        <v>0</v>
      </c>
      <c r="J21" s="63"/>
      <c r="K21" s="15">
        <f t="shared" si="0"/>
        <v>0</v>
      </c>
      <c r="L21" s="45">
        <f t="shared" si="1"/>
        <v>0</v>
      </c>
    </row>
    <row r="22" spans="2:12" ht="16" customHeight="1" x14ac:dyDescent="0.35">
      <c r="B22" s="16" t="s">
        <v>39</v>
      </c>
      <c r="C22" s="16" t="s">
        <v>40</v>
      </c>
      <c r="D22" s="64"/>
      <c r="E22" s="17">
        <v>-119090.30701999999</v>
      </c>
      <c r="F22" s="84">
        <f>IFERROR(E22/E13, 0)</f>
        <v>-0.18368155574389261</v>
      </c>
      <c r="G22" s="65"/>
      <c r="H22" s="17">
        <v>-101567.09814</v>
      </c>
      <c r="I22" s="84">
        <f>IFERROR(H22/H13, 0)</f>
        <v>-0.18096300909408719</v>
      </c>
      <c r="J22" s="65"/>
      <c r="K22" s="17">
        <f t="shared" si="0"/>
        <v>-17523.208879999991</v>
      </c>
      <c r="L22" s="84">
        <f t="shared" si="1"/>
        <v>-0.17252839946107365</v>
      </c>
    </row>
    <row r="23" spans="2:12" ht="16" customHeight="1" x14ac:dyDescent="0.35">
      <c r="B23" s="11" t="s">
        <v>41</v>
      </c>
      <c r="C23" s="11" t="s">
        <v>22</v>
      </c>
      <c r="D23" s="29"/>
      <c r="E23" s="12"/>
      <c r="F23" s="85"/>
      <c r="G23" s="12"/>
      <c r="H23" s="12"/>
      <c r="I23" s="85"/>
      <c r="J23" s="12"/>
      <c r="K23" s="12"/>
      <c r="L23" s="85"/>
    </row>
    <row r="24" spans="2:12" ht="16" customHeight="1" x14ac:dyDescent="0.35">
      <c r="B24" s="14" t="s">
        <v>42</v>
      </c>
      <c r="C24" s="14" t="s">
        <v>43</v>
      </c>
      <c r="D24" s="61"/>
      <c r="E24" s="15">
        <v>-58625.608079999998</v>
      </c>
      <c r="F24" s="45">
        <f>IFERROR(E24/E13, 0)</f>
        <v>-9.0422496742389558E-2</v>
      </c>
      <c r="G24" s="63"/>
      <c r="H24" s="15">
        <v>-24506.961340000002</v>
      </c>
      <c r="I24" s="45">
        <f>IFERROR(H24/H13, 0)</f>
        <v>-4.3664272673478027E-2</v>
      </c>
      <c r="J24" s="63"/>
      <c r="K24" s="15">
        <f t="shared" ref="K24:K38" si="2">E24-H24</f>
        <v>-34118.646739999996</v>
      </c>
      <c r="L24" s="45">
        <f t="shared" ref="L24:L38" si="3">IF(ROUND(K24, 2)=0, 0, IFERROR(K24/ABS(H24), IF(K24&lt;0, -1, 1)))</f>
        <v>-1.3922022508890934</v>
      </c>
    </row>
    <row r="25" spans="2:12" ht="16" customHeight="1" x14ac:dyDescent="0.35">
      <c r="B25" s="14" t="s">
        <v>44</v>
      </c>
      <c r="C25" s="14" t="s">
        <v>45</v>
      </c>
      <c r="D25" s="61"/>
      <c r="E25" s="15">
        <v>-38620.386279999999</v>
      </c>
      <c r="F25" s="45">
        <f>IFERROR(E25/E13, 0)</f>
        <v>-5.9567002662518506E-2</v>
      </c>
      <c r="G25" s="63"/>
      <c r="H25" s="15">
        <v>-31085.972849999998</v>
      </c>
      <c r="I25" s="45">
        <f>IFERROR(H25/H13, 0)</f>
        <v>-5.5386156448016609E-2</v>
      </c>
      <c r="J25" s="63"/>
      <c r="K25" s="15">
        <f t="shared" si="2"/>
        <v>-7534.4134300000005</v>
      </c>
      <c r="L25" s="45">
        <f t="shared" si="3"/>
        <v>-0.24237341602130366</v>
      </c>
    </row>
    <row r="26" spans="2:12" ht="16" customHeight="1" x14ac:dyDescent="0.35">
      <c r="B26" s="14" t="s">
        <v>46</v>
      </c>
      <c r="C26" s="14" t="s">
        <v>47</v>
      </c>
      <c r="D26" s="61"/>
      <c r="E26" s="15">
        <v>-9165.0158300000003</v>
      </c>
      <c r="F26" s="45">
        <f>IFERROR(E26/E13, 0)</f>
        <v>-1.4135863851531478E-2</v>
      </c>
      <c r="G26" s="63"/>
      <c r="H26" s="15">
        <v>-9056.3220099999999</v>
      </c>
      <c r="I26" s="45">
        <f>IFERROR(H26/H13, 0)</f>
        <v>-1.6135730096331093E-2</v>
      </c>
      <c r="J26" s="63"/>
      <c r="K26" s="15">
        <f t="shared" si="2"/>
        <v>-108.69382000000041</v>
      </c>
      <c r="L26" s="45">
        <f t="shared" si="3"/>
        <v>-1.2001982690100969E-2</v>
      </c>
    </row>
    <row r="27" spans="2:12" ht="16" customHeight="1" x14ac:dyDescent="0.35">
      <c r="B27" s="14" t="s">
        <v>48</v>
      </c>
      <c r="C27" s="14" t="s">
        <v>49</v>
      </c>
      <c r="D27" s="61"/>
      <c r="E27" s="15">
        <v>-23666.44486</v>
      </c>
      <c r="F27" s="45">
        <f>IFERROR(E27/E13, 0)</f>
        <v>-3.6502462035653348E-2</v>
      </c>
      <c r="G27" s="63"/>
      <c r="H27" s="15">
        <v>-16407.091540000001</v>
      </c>
      <c r="I27" s="45">
        <f>IFERROR(H27/H13, 0)</f>
        <v>-2.9232662052311158E-2</v>
      </c>
      <c r="J27" s="63"/>
      <c r="K27" s="15">
        <f t="shared" si="2"/>
        <v>-7259.3533199999983</v>
      </c>
      <c r="L27" s="45">
        <f t="shared" si="3"/>
        <v>-0.44245217394575453</v>
      </c>
    </row>
    <row r="28" spans="2:12" ht="16" customHeight="1" x14ac:dyDescent="0.35">
      <c r="B28" s="14" t="s">
        <v>50</v>
      </c>
      <c r="C28" s="14" t="s">
        <v>51</v>
      </c>
      <c r="D28" s="61"/>
      <c r="E28" s="15">
        <v>-23875.794430000002</v>
      </c>
      <c r="F28" s="45">
        <f>IFERROR(E28/E13, 0)</f>
        <v>-3.6825356951907591E-2</v>
      </c>
      <c r="G28" s="63"/>
      <c r="H28" s="15">
        <v>-21977.167669999999</v>
      </c>
      <c r="I28" s="45">
        <f>IFERROR(H28/H13, 0)</f>
        <v>-3.9156916617293924E-2</v>
      </c>
      <c r="J28" s="63"/>
      <c r="K28" s="15">
        <f t="shared" si="2"/>
        <v>-1898.6267600000028</v>
      </c>
      <c r="L28" s="45">
        <f t="shared" si="3"/>
        <v>-8.639087568102459E-2</v>
      </c>
    </row>
    <row r="29" spans="2:12" ht="16" customHeight="1" x14ac:dyDescent="0.35">
      <c r="B29" s="14" t="s">
        <v>52</v>
      </c>
      <c r="C29" s="14" t="s">
        <v>53</v>
      </c>
      <c r="D29" s="61"/>
      <c r="E29" s="15">
        <v>-56174.470430000001</v>
      </c>
      <c r="F29" s="45">
        <f>IFERROR(E29/E13, 0)</f>
        <v>-8.6641930647964951E-2</v>
      </c>
      <c r="G29" s="63"/>
      <c r="H29" s="15">
        <v>-43308.1296</v>
      </c>
      <c r="I29" s="45">
        <f>IFERROR(H29/H13, 0)</f>
        <v>-7.7162482675737748E-2</v>
      </c>
      <c r="J29" s="63"/>
      <c r="K29" s="15">
        <f t="shared" si="2"/>
        <v>-12866.340830000001</v>
      </c>
      <c r="L29" s="45">
        <f t="shared" si="3"/>
        <v>-0.29708835151356899</v>
      </c>
    </row>
    <row r="30" spans="2:12" ht="16" customHeight="1" x14ac:dyDescent="0.35">
      <c r="B30" s="14" t="s">
        <v>54</v>
      </c>
      <c r="C30" s="14" t="s">
        <v>55</v>
      </c>
      <c r="D30" s="61"/>
      <c r="E30" s="15">
        <v>-46362.174630000001</v>
      </c>
      <c r="F30" s="45">
        <f>IFERROR(E30/E13, 0)</f>
        <v>-7.1507720290604967E-2</v>
      </c>
      <c r="G30" s="63"/>
      <c r="H30" s="15">
        <v>-44160.391239999997</v>
      </c>
      <c r="I30" s="45">
        <f>IFERROR(H30/H13, 0)</f>
        <v>-7.8680964878480947E-2</v>
      </c>
      <c r="J30" s="63"/>
      <c r="K30" s="15">
        <f t="shared" si="2"/>
        <v>-2201.7833900000041</v>
      </c>
      <c r="L30" s="45">
        <f t="shared" si="3"/>
        <v>-4.985878358807775E-2</v>
      </c>
    </row>
    <row r="31" spans="2:12" ht="16" customHeight="1" x14ac:dyDescent="0.35">
      <c r="B31" s="14" t="s">
        <v>56</v>
      </c>
      <c r="C31" s="14" t="s">
        <v>57</v>
      </c>
      <c r="D31" s="61"/>
      <c r="E31" s="15">
        <v>-5950.5364200000004</v>
      </c>
      <c r="F31" s="45">
        <f>IFERROR(E31/E13, 0)</f>
        <v>-9.177940795406082E-3</v>
      </c>
      <c r="G31" s="63"/>
      <c r="H31" s="15">
        <v>-10229.74503</v>
      </c>
      <c r="I31" s="45">
        <f>IFERROR(H31/H13, 0)</f>
        <v>-1.8226428408364914E-2</v>
      </c>
      <c r="J31" s="63"/>
      <c r="K31" s="15">
        <f t="shared" si="2"/>
        <v>4279.2086099999997</v>
      </c>
      <c r="L31" s="45">
        <f t="shared" si="3"/>
        <v>0.41831038774189266</v>
      </c>
    </row>
    <row r="32" spans="2:12" ht="16" customHeight="1" x14ac:dyDescent="0.35">
      <c r="B32" s="14" t="s">
        <v>58</v>
      </c>
      <c r="C32" s="14" t="s">
        <v>59</v>
      </c>
      <c r="D32" s="61"/>
      <c r="E32" s="15">
        <v>-8470.4026799999992</v>
      </c>
      <c r="F32" s="45">
        <f>IFERROR(E32/E13, 0)</f>
        <v>-1.3064511973911926E-2</v>
      </c>
      <c r="G32" s="63"/>
      <c r="H32" s="15">
        <v>-22608.339929999998</v>
      </c>
      <c r="I32" s="45">
        <f>IFERROR(H32/H13, 0)</f>
        <v>-4.0281481890084098E-2</v>
      </c>
      <c r="J32" s="63"/>
      <c r="K32" s="15">
        <f t="shared" si="2"/>
        <v>14137.937249999999</v>
      </c>
      <c r="L32" s="45">
        <f t="shared" si="3"/>
        <v>0.62534167894564208</v>
      </c>
    </row>
    <row r="33" spans="2:12" ht="16" customHeight="1" x14ac:dyDescent="0.35">
      <c r="B33" s="14" t="s">
        <v>60</v>
      </c>
      <c r="C33" s="14" t="s">
        <v>61</v>
      </c>
      <c r="D33" s="61"/>
      <c r="E33" s="15"/>
      <c r="F33" s="45">
        <f>IFERROR(E33/E13, 0)</f>
        <v>0</v>
      </c>
      <c r="G33" s="63"/>
      <c r="H33" s="15"/>
      <c r="I33" s="45">
        <f>IFERROR(H33/H13, 0)</f>
        <v>0</v>
      </c>
      <c r="J33" s="63"/>
      <c r="K33" s="15">
        <f t="shared" si="2"/>
        <v>0</v>
      </c>
      <c r="L33" s="45">
        <f t="shared" si="3"/>
        <v>0</v>
      </c>
    </row>
    <row r="34" spans="2:12" ht="16" customHeight="1" x14ac:dyDescent="0.35">
      <c r="B34" s="14" t="s">
        <v>62</v>
      </c>
      <c r="C34" s="14" t="s">
        <v>36</v>
      </c>
      <c r="D34" s="61"/>
      <c r="E34" s="15">
        <v>265.59226999999998</v>
      </c>
      <c r="F34" s="45">
        <f>IFERROR(E34/E13, 0)</f>
        <v>4.0964208228096296E-4</v>
      </c>
      <c r="G34" s="63"/>
      <c r="H34" s="15">
        <v>0</v>
      </c>
      <c r="I34" s="45">
        <f>IFERROR(H34/H13, 0)</f>
        <v>0</v>
      </c>
      <c r="J34" s="63"/>
      <c r="K34" s="15">
        <f t="shared" si="2"/>
        <v>265.59226999999998</v>
      </c>
      <c r="L34" s="45">
        <f t="shared" si="3"/>
        <v>1</v>
      </c>
    </row>
    <row r="35" spans="2:12" ht="16" customHeight="1" x14ac:dyDescent="0.35">
      <c r="B35" s="14" t="s">
        <v>63</v>
      </c>
      <c r="C35" s="14" t="s">
        <v>64</v>
      </c>
      <c r="D35" s="61"/>
      <c r="E35" s="15">
        <v>45.067329999999998</v>
      </c>
      <c r="F35" s="45">
        <f>IFERROR(E35/E13, 0)</f>
        <v>6.9510588181061558E-5</v>
      </c>
      <c r="G35" s="63"/>
      <c r="H35" s="15">
        <v>-0.11396000000000001</v>
      </c>
      <c r="I35" s="45">
        <f>IFERROR(H35/H13, 0)</f>
        <v>-2.0304355341467056E-7</v>
      </c>
      <c r="J35" s="63"/>
      <c r="K35" s="15">
        <f t="shared" si="2"/>
        <v>45.181289999999997</v>
      </c>
      <c r="L35" s="45">
        <f t="shared" si="3"/>
        <v>396.4662162162162</v>
      </c>
    </row>
    <row r="36" spans="2:12" ht="16" customHeight="1" x14ac:dyDescent="0.35">
      <c r="B36" s="14" t="s">
        <v>65</v>
      </c>
      <c r="C36" s="14" t="s">
        <v>66</v>
      </c>
      <c r="D36" s="61"/>
      <c r="E36" s="15"/>
      <c r="F36" s="45">
        <f>IFERROR(E36/E13, 0)</f>
        <v>0</v>
      </c>
      <c r="G36" s="63"/>
      <c r="H36" s="15"/>
      <c r="I36" s="45">
        <f>IFERROR(H36/H13, 0)</f>
        <v>0</v>
      </c>
      <c r="J36" s="63"/>
      <c r="K36" s="15">
        <f t="shared" si="2"/>
        <v>0</v>
      </c>
      <c r="L36" s="45">
        <f t="shared" si="3"/>
        <v>0</v>
      </c>
    </row>
    <row r="37" spans="2:12" ht="16" customHeight="1" x14ac:dyDescent="0.35">
      <c r="B37" s="14" t="s">
        <v>67</v>
      </c>
      <c r="C37" s="14" t="s">
        <v>68</v>
      </c>
      <c r="D37" s="61"/>
      <c r="E37" s="15">
        <v>4556.9759999999997</v>
      </c>
      <c r="F37" s="45">
        <f>IFERROR(E37/E13, 0)</f>
        <v>7.0285522148079592E-3</v>
      </c>
      <c r="G37" s="63"/>
      <c r="H37" s="15">
        <v>250.77799999999999</v>
      </c>
      <c r="I37" s="45">
        <f>IFERROR(H37/H13, 0)</f>
        <v>4.4681341030382808E-4</v>
      </c>
      <c r="J37" s="63"/>
      <c r="K37" s="15">
        <f t="shared" si="2"/>
        <v>4306.1979999999994</v>
      </c>
      <c r="L37" s="45">
        <f t="shared" si="3"/>
        <v>17.171354744036556</v>
      </c>
    </row>
    <row r="38" spans="2:12" ht="16" customHeight="1" x14ac:dyDescent="0.35">
      <c r="B38" s="16" t="s">
        <v>69</v>
      </c>
      <c r="C38" s="16" t="s">
        <v>70</v>
      </c>
      <c r="D38" s="64"/>
      <c r="E38" s="17">
        <v>-266043.19803999999</v>
      </c>
      <c r="F38" s="84">
        <f>IFERROR(E38/E13, 0)</f>
        <v>-0.41033758106661838</v>
      </c>
      <c r="G38" s="65"/>
      <c r="H38" s="17">
        <v>-223089.45717000001</v>
      </c>
      <c r="I38" s="84">
        <f>IFERROR(H38/H13, 0)</f>
        <v>-0.39748048537334812</v>
      </c>
      <c r="J38" s="65"/>
      <c r="K38" s="17">
        <f t="shared" si="2"/>
        <v>-42953.74086999998</v>
      </c>
      <c r="L38" s="84">
        <f t="shared" si="3"/>
        <v>-0.1925404338460876</v>
      </c>
    </row>
    <row r="39" spans="2:12" ht="16" customHeight="1" x14ac:dyDescent="0.35">
      <c r="B39" s="11" t="s">
        <v>71</v>
      </c>
      <c r="C39" s="11" t="s">
        <v>22</v>
      </c>
      <c r="D39" s="29"/>
      <c r="E39" s="12"/>
      <c r="F39" s="85"/>
      <c r="G39" s="12"/>
      <c r="H39" s="12"/>
      <c r="I39" s="85"/>
      <c r="J39" s="12"/>
      <c r="K39" s="12"/>
      <c r="L39" s="85"/>
    </row>
    <row r="40" spans="2:12" ht="16" customHeight="1" x14ac:dyDescent="0.35">
      <c r="B40" s="16" t="s">
        <v>72</v>
      </c>
      <c r="C40" s="16" t="s">
        <v>73</v>
      </c>
      <c r="D40" s="64"/>
      <c r="E40" s="17">
        <v>-385133.50506</v>
      </c>
      <c r="F40" s="84">
        <f>IFERROR(E40/E13, 0)</f>
        <v>-0.59401913681051099</v>
      </c>
      <c r="G40" s="65"/>
      <c r="H40" s="17">
        <v>-324656.55531000003</v>
      </c>
      <c r="I40" s="84">
        <f>IFERROR(H40/H13, 0)</f>
        <v>-0.57844349446743537</v>
      </c>
      <c r="J40" s="65"/>
      <c r="K40" s="17">
        <f>E40-H40</f>
        <v>-60476.949749999971</v>
      </c>
      <c r="L40" s="84">
        <f>IF(ROUND(K40, 2)=0, 0, IFERROR(K40/ABS(H40), IF(K40&lt;0, -1, 1)))</f>
        <v>-0.18627977399764264</v>
      </c>
    </row>
    <row r="41" spans="2:12" ht="16" customHeight="1" thickBot="1" x14ac:dyDescent="0.4">
      <c r="B41" s="11" t="s">
        <v>74</v>
      </c>
      <c r="C41" s="11" t="s">
        <v>22</v>
      </c>
      <c r="D41" s="29"/>
      <c r="E41" s="12"/>
      <c r="F41" s="85"/>
      <c r="G41" s="12"/>
      <c r="H41" s="12"/>
      <c r="I41" s="85"/>
      <c r="J41" s="12"/>
      <c r="K41" s="12"/>
      <c r="L41" s="85"/>
    </row>
    <row r="42" spans="2:12" ht="16" customHeight="1" thickBot="1" x14ac:dyDescent="0.4">
      <c r="B42" s="18" t="s">
        <v>75</v>
      </c>
      <c r="C42" s="18" t="s">
        <v>76</v>
      </c>
      <c r="D42" s="66"/>
      <c r="E42" s="19">
        <v>263218.51121999999</v>
      </c>
      <c r="F42" s="86">
        <f>IFERROR(E42/E13, 0)</f>
        <v>0.40598086318948895</v>
      </c>
      <c r="G42" s="68"/>
      <c r="H42" s="19">
        <v>236602.33759000001</v>
      </c>
      <c r="I42" s="86">
        <f>IFERROR(H42/H13, 0)</f>
        <v>0.42155650553256474</v>
      </c>
      <c r="J42" s="68"/>
      <c r="K42" s="19">
        <f>E42-H42</f>
        <v>26616.173629999976</v>
      </c>
      <c r="L42" s="86">
        <f>IF(ROUND(K42, 2)=0, 0, IFERROR(K42/ABS(H42), IF(K42&lt;0, -1, 1)))</f>
        <v>0.11249328261550069</v>
      </c>
    </row>
    <row r="43" spans="2:12" ht="16" customHeight="1" x14ac:dyDescent="0.35">
      <c r="B43" s="11" t="s">
        <v>77</v>
      </c>
      <c r="C43" s="11" t="s">
        <v>22</v>
      </c>
      <c r="D43" s="29"/>
      <c r="E43" s="12"/>
      <c r="F43" s="85"/>
      <c r="G43" s="12"/>
      <c r="H43" s="12"/>
      <c r="I43" s="85"/>
      <c r="J43" s="12"/>
      <c r="K43" s="12"/>
      <c r="L43" s="85"/>
    </row>
    <row r="44" spans="2:12" ht="16" customHeight="1" x14ac:dyDescent="0.35">
      <c r="B44" s="14" t="s">
        <v>78</v>
      </c>
      <c r="C44" s="14" t="s">
        <v>28</v>
      </c>
      <c r="D44" s="61"/>
      <c r="E44" s="15">
        <v>-4577.69157</v>
      </c>
      <c r="F44" s="45">
        <f>IFERROR(E44/E13, 0)</f>
        <v>-7.0605033300660839E-3</v>
      </c>
      <c r="G44" s="63"/>
      <c r="H44" s="15">
        <v>-4494.2861000000003</v>
      </c>
      <c r="I44" s="45">
        <f>IFERROR(H44/H13, 0)</f>
        <v>-8.0075098263088923E-3</v>
      </c>
      <c r="J44" s="63"/>
      <c r="K44" s="15">
        <f t="shared" ref="K44:K50" si="4">E44-H44</f>
        <v>-83.405469999999696</v>
      </c>
      <c r="L44" s="45">
        <f t="shared" ref="L44:L50" si="5">IF(ROUND(K44, 2)=0, 0, IFERROR(K44/ABS(H44), IF(K44&lt;0, -1, 1)))</f>
        <v>-1.8558113156169495E-2</v>
      </c>
    </row>
    <row r="45" spans="2:12" ht="16" customHeight="1" x14ac:dyDescent="0.35">
      <c r="B45" s="14" t="s">
        <v>79</v>
      </c>
      <c r="C45" s="14" t="s">
        <v>80</v>
      </c>
      <c r="D45" s="61"/>
      <c r="E45" s="15">
        <v>-736.27031999999997</v>
      </c>
      <c r="F45" s="45">
        <f>IFERROR(E45/E13, 0)</f>
        <v>-1.1356027304803371E-3</v>
      </c>
      <c r="G45" s="63"/>
      <c r="H45" s="15">
        <v>-125.99839</v>
      </c>
      <c r="I45" s="45">
        <f>IFERROR(H45/H13, 0)</f>
        <v>-2.2449246077682952E-4</v>
      </c>
      <c r="J45" s="63"/>
      <c r="K45" s="15">
        <f t="shared" si="4"/>
        <v>-610.27193</v>
      </c>
      <c r="L45" s="45">
        <f t="shared" si="5"/>
        <v>-4.8434899049106894</v>
      </c>
    </row>
    <row r="46" spans="2:12" ht="16" customHeight="1" x14ac:dyDescent="0.35">
      <c r="B46" s="14" t="s">
        <v>81</v>
      </c>
      <c r="C46" s="14" t="s">
        <v>82</v>
      </c>
      <c r="D46" s="61"/>
      <c r="E46" s="15">
        <v>-52.02704</v>
      </c>
      <c r="F46" s="45">
        <f>IFERROR(E46/E13, 0)</f>
        <v>-8.0245050055541717E-5</v>
      </c>
      <c r="G46" s="63"/>
      <c r="H46" s="15">
        <v>-305.26197999999999</v>
      </c>
      <c r="I46" s="45">
        <f>IFERROR(H46/H13, 0)</f>
        <v>-5.4388800580552909E-4</v>
      </c>
      <c r="J46" s="63"/>
      <c r="K46" s="15">
        <f t="shared" si="4"/>
        <v>253.23493999999999</v>
      </c>
      <c r="L46" s="45">
        <f t="shared" si="5"/>
        <v>0.82956593546304058</v>
      </c>
    </row>
    <row r="47" spans="2:12" ht="16" customHeight="1" x14ac:dyDescent="0.35">
      <c r="B47" s="14" t="s">
        <v>83</v>
      </c>
      <c r="C47" s="14" t="s">
        <v>84</v>
      </c>
      <c r="D47" s="61"/>
      <c r="E47" s="15">
        <v>75.184139999999999</v>
      </c>
      <c r="F47" s="45">
        <f>IFERROR(E47/E13, 0)</f>
        <v>1.1596191283768703E-4</v>
      </c>
      <c r="G47" s="63"/>
      <c r="H47" s="15">
        <v>-578.42947000000004</v>
      </c>
      <c r="I47" s="45">
        <f>IFERROR(H47/H13, 0)</f>
        <v>-1.0305929711176252E-3</v>
      </c>
      <c r="J47" s="63"/>
      <c r="K47" s="15">
        <f t="shared" si="4"/>
        <v>653.61360999999999</v>
      </c>
      <c r="L47" s="45">
        <f t="shared" si="5"/>
        <v>1.1299797882013169</v>
      </c>
    </row>
    <row r="48" spans="2:12" ht="16" customHeight="1" x14ac:dyDescent="0.35">
      <c r="B48" s="14" t="s">
        <v>85</v>
      </c>
      <c r="C48" s="14" t="s">
        <v>86</v>
      </c>
      <c r="D48" s="61"/>
      <c r="E48" s="15"/>
      <c r="F48" s="45">
        <f>IFERROR(E48/E13, 0)</f>
        <v>0</v>
      </c>
      <c r="G48" s="63"/>
      <c r="H48" s="15"/>
      <c r="I48" s="45">
        <f>IFERROR(H48/H13, 0)</f>
        <v>0</v>
      </c>
      <c r="J48" s="63"/>
      <c r="K48" s="15">
        <f t="shared" si="4"/>
        <v>0</v>
      </c>
      <c r="L48" s="45">
        <f t="shared" si="5"/>
        <v>0</v>
      </c>
    </row>
    <row r="49" spans="2:12" ht="16" customHeight="1" x14ac:dyDescent="0.35">
      <c r="B49" s="14" t="s">
        <v>87</v>
      </c>
      <c r="C49" s="14" t="s">
        <v>88</v>
      </c>
      <c r="D49" s="61"/>
      <c r="E49" s="15"/>
      <c r="F49" s="45">
        <f>IFERROR(E49/E13, 0)</f>
        <v>0</v>
      </c>
      <c r="G49" s="63"/>
      <c r="H49" s="15"/>
      <c r="I49" s="45">
        <f>IFERROR(H49/H13, 0)</f>
        <v>0</v>
      </c>
      <c r="J49" s="63"/>
      <c r="K49" s="15">
        <f t="shared" si="4"/>
        <v>0</v>
      </c>
      <c r="L49" s="45">
        <f t="shared" si="5"/>
        <v>0</v>
      </c>
    </row>
    <row r="50" spans="2:12" ht="16" customHeight="1" x14ac:dyDescent="0.35">
      <c r="B50" s="16" t="s">
        <v>91</v>
      </c>
      <c r="C50" s="16" t="s">
        <v>92</v>
      </c>
      <c r="D50" s="64"/>
      <c r="E50" s="17">
        <v>-5290.8047900000001</v>
      </c>
      <c r="F50" s="84">
        <f>IFERROR(E50/E13, 0)</f>
        <v>-8.160389197764276E-3</v>
      </c>
      <c r="G50" s="65"/>
      <c r="H50" s="17">
        <v>-5503.9759400000003</v>
      </c>
      <c r="I50" s="84">
        <f>IFERROR(H50/H13, 0)</f>
        <v>-9.8064832640088768E-3</v>
      </c>
      <c r="J50" s="65"/>
      <c r="K50" s="17">
        <f t="shared" si="4"/>
        <v>213.17115000000013</v>
      </c>
      <c r="L50" s="84">
        <f t="shared" si="5"/>
        <v>3.8730392778570197E-2</v>
      </c>
    </row>
    <row r="51" spans="2:12" ht="16" customHeight="1" x14ac:dyDescent="0.35">
      <c r="B51" s="11" t="s">
        <v>93</v>
      </c>
      <c r="C51" s="11" t="s">
        <v>22</v>
      </c>
      <c r="D51" s="29"/>
      <c r="E51" s="12"/>
      <c r="F51" s="85"/>
      <c r="G51" s="12"/>
      <c r="H51" s="12"/>
      <c r="I51" s="85"/>
      <c r="J51" s="12"/>
      <c r="K51" s="12"/>
      <c r="L51" s="85"/>
    </row>
    <row r="52" spans="2:12" ht="16" customHeight="1" x14ac:dyDescent="0.35">
      <c r="B52" s="14" t="s">
        <v>94</v>
      </c>
      <c r="C52" s="14" t="s">
        <v>28</v>
      </c>
      <c r="D52" s="61"/>
      <c r="E52" s="15">
        <v>-8068.8160699999999</v>
      </c>
      <c r="F52" s="45">
        <f>IFERROR(E52/E13, 0)</f>
        <v>-1.2445116028628756E-2</v>
      </c>
      <c r="G52" s="63"/>
      <c r="H52" s="15">
        <v>-11233.80507</v>
      </c>
      <c r="I52" s="45">
        <f>IFERROR(H52/H13, 0)</f>
        <v>-2.0015371180945436E-2</v>
      </c>
      <c r="J52" s="63"/>
      <c r="K52" s="15">
        <f t="shared" ref="K52:K57" si="6">E52-H52</f>
        <v>3164.9890000000005</v>
      </c>
      <c r="L52" s="45">
        <f t="shared" ref="L52:L57" si="7">IF(ROUND(K52, 2)=0, 0, IFERROR(K52/ABS(H52), IF(K52&lt;0, -1, 1)))</f>
        <v>0.28173793120659874</v>
      </c>
    </row>
    <row r="53" spans="2:12" ht="16" customHeight="1" x14ac:dyDescent="0.35">
      <c r="B53" s="14" t="s">
        <v>95</v>
      </c>
      <c r="C53" s="14" t="s">
        <v>80</v>
      </c>
      <c r="D53" s="61"/>
      <c r="E53" s="15">
        <v>-5514.1559200000002</v>
      </c>
      <c r="F53" s="45">
        <f>IFERROR(E53/E13, 0)</f>
        <v>-8.5048797282040595E-3</v>
      </c>
      <c r="G53" s="63"/>
      <c r="H53" s="15">
        <v>-4810.2080800000003</v>
      </c>
      <c r="I53" s="45">
        <f>IFERROR(H53/H13, 0)</f>
        <v>-8.5703908496591787E-3</v>
      </c>
      <c r="J53" s="63"/>
      <c r="K53" s="15">
        <f t="shared" si="6"/>
        <v>-703.94783999999981</v>
      </c>
      <c r="L53" s="45">
        <f t="shared" si="7"/>
        <v>-0.14634457143899682</v>
      </c>
    </row>
    <row r="54" spans="2:12" ht="16" customHeight="1" x14ac:dyDescent="0.35">
      <c r="B54" s="14" t="s">
        <v>96</v>
      </c>
      <c r="C54" s="14" t="s">
        <v>97</v>
      </c>
      <c r="D54" s="61"/>
      <c r="E54" s="15">
        <v>-635.28666999999996</v>
      </c>
      <c r="F54" s="45">
        <f>IFERROR(E54/E13, 0)</f>
        <v>-9.7984837564790185E-4</v>
      </c>
      <c r="G54" s="63"/>
      <c r="H54" s="15">
        <v>8230.1509000000005</v>
      </c>
      <c r="I54" s="45">
        <f>IFERROR(H54/H13, 0)</f>
        <v>1.4663733624736303E-2</v>
      </c>
      <c r="J54" s="63"/>
      <c r="K54" s="15">
        <f t="shared" si="6"/>
        <v>-8865.4375700000001</v>
      </c>
      <c r="L54" s="45">
        <f t="shared" si="7"/>
        <v>-1.077190160632413</v>
      </c>
    </row>
    <row r="55" spans="2:12" ht="16" customHeight="1" x14ac:dyDescent="0.35">
      <c r="B55" s="14" t="s">
        <v>98</v>
      </c>
      <c r="C55" s="14" t="s">
        <v>99</v>
      </c>
      <c r="D55" s="61"/>
      <c r="E55" s="15"/>
      <c r="F55" s="45">
        <f>IFERROR(E55/E13, 0)</f>
        <v>0</v>
      </c>
      <c r="G55" s="63"/>
      <c r="H55" s="15"/>
      <c r="I55" s="45">
        <f>IFERROR(H55/H13, 0)</f>
        <v>0</v>
      </c>
      <c r="J55" s="63"/>
      <c r="K55" s="15">
        <f t="shared" si="6"/>
        <v>0</v>
      </c>
      <c r="L55" s="45">
        <f t="shared" si="7"/>
        <v>0</v>
      </c>
    </row>
    <row r="56" spans="2:12" ht="16" customHeight="1" x14ac:dyDescent="0.35">
      <c r="B56" s="14" t="s">
        <v>100</v>
      </c>
      <c r="C56" s="14" t="s">
        <v>88</v>
      </c>
      <c r="D56" s="61"/>
      <c r="E56" s="15"/>
      <c r="F56" s="45">
        <f>IFERROR(E56/E13, 0)</f>
        <v>0</v>
      </c>
      <c r="G56" s="63"/>
      <c r="H56" s="15"/>
      <c r="I56" s="45">
        <f>IFERROR(H56/H13, 0)</f>
        <v>0</v>
      </c>
      <c r="J56" s="63"/>
      <c r="K56" s="15">
        <f t="shared" si="6"/>
        <v>0</v>
      </c>
      <c r="L56" s="45">
        <f t="shared" si="7"/>
        <v>0</v>
      </c>
    </row>
    <row r="57" spans="2:12" ht="16" customHeight="1" x14ac:dyDescent="0.35">
      <c r="B57" s="16" t="s">
        <v>103</v>
      </c>
      <c r="C57" s="16" t="s">
        <v>104</v>
      </c>
      <c r="D57" s="64"/>
      <c r="E57" s="17">
        <v>-14218.25866</v>
      </c>
      <c r="F57" s="84">
        <f>IFERROR(E57/E13, 0)</f>
        <v>-2.1929844132480718E-2</v>
      </c>
      <c r="G57" s="65"/>
      <c r="H57" s="17">
        <v>-7813.8622500000001</v>
      </c>
      <c r="I57" s="84">
        <f>IFERROR(H57/H13, 0)</f>
        <v>-1.3922028405868312E-2</v>
      </c>
      <c r="J57" s="65"/>
      <c r="K57" s="17">
        <f t="shared" si="6"/>
        <v>-6404.3964099999994</v>
      </c>
      <c r="L57" s="84">
        <f t="shared" si="7"/>
        <v>-0.81961982501035247</v>
      </c>
    </row>
    <row r="58" spans="2:12" ht="16" customHeight="1" thickBot="1" x14ac:dyDescent="0.4">
      <c r="B58" s="11" t="s">
        <v>105</v>
      </c>
      <c r="C58" s="11" t="s">
        <v>22</v>
      </c>
      <c r="D58" s="29"/>
      <c r="E58" s="12"/>
      <c r="F58" s="85"/>
      <c r="G58" s="12"/>
      <c r="H58" s="12"/>
      <c r="I58" s="85"/>
      <c r="J58" s="12"/>
      <c r="K58" s="12"/>
      <c r="L58" s="85"/>
    </row>
    <row r="59" spans="2:12" ht="16" customHeight="1" thickBot="1" x14ac:dyDescent="0.4">
      <c r="B59" s="18" t="s">
        <v>106</v>
      </c>
      <c r="C59" s="18" t="s">
        <v>107</v>
      </c>
      <c r="D59" s="66"/>
      <c r="E59" s="19">
        <v>-19509.063450000001</v>
      </c>
      <c r="F59" s="86">
        <f>IFERROR(E59/E13, 0)</f>
        <v>-3.0090233330244995E-2</v>
      </c>
      <c r="G59" s="68"/>
      <c r="H59" s="19">
        <v>-13317.83819</v>
      </c>
      <c r="I59" s="86">
        <f>IFERROR(H59/H13, 0)</f>
        <v>-2.3728511669877189E-2</v>
      </c>
      <c r="J59" s="68"/>
      <c r="K59" s="19">
        <f>E59-H59</f>
        <v>-6191.2252600000011</v>
      </c>
      <c r="L59" s="86">
        <f>IF(ROUND(K59, 2)=0, 0, IFERROR(K59/ABS(H59), IF(K59&lt;0, -1, 1)))</f>
        <v>-0.46488215066682687</v>
      </c>
    </row>
    <row r="60" spans="2:12" ht="16" customHeight="1" x14ac:dyDescent="0.35">
      <c r="B60" s="11" t="s">
        <v>108</v>
      </c>
      <c r="C60" s="11" t="s">
        <v>22</v>
      </c>
      <c r="D60" s="29"/>
      <c r="E60" s="12"/>
      <c r="F60" s="85"/>
      <c r="G60" s="12"/>
      <c r="H60" s="12"/>
      <c r="I60" s="85"/>
      <c r="J60" s="12"/>
      <c r="K60" s="12"/>
      <c r="L60" s="85"/>
    </row>
    <row r="61" spans="2:12" ht="16" customHeight="1" x14ac:dyDescent="0.35">
      <c r="B61" s="14" t="s">
        <v>109</v>
      </c>
      <c r="C61" s="14" t="s">
        <v>110</v>
      </c>
      <c r="D61" s="61"/>
      <c r="E61" s="15"/>
      <c r="F61" s="45">
        <f>IFERROR(E61/E13, 0)</f>
        <v>0</v>
      </c>
      <c r="G61" s="63"/>
      <c r="H61" s="15"/>
      <c r="I61" s="45">
        <f>IFERROR(H61/H13, 0)</f>
        <v>0</v>
      </c>
      <c r="J61" s="63"/>
      <c r="K61" s="15">
        <f>E61-H61</f>
        <v>0</v>
      </c>
      <c r="L61" s="45">
        <f>IF(ROUND(K61, 2)=0, 0, IFERROR(K61/ABS(H61), IF(K61&lt;0, -1, 1)))</f>
        <v>0</v>
      </c>
    </row>
    <row r="62" spans="2:12" ht="16" customHeight="1" x14ac:dyDescent="0.35">
      <c r="B62" s="14" t="s">
        <v>111</v>
      </c>
      <c r="C62" s="14" t="s">
        <v>112</v>
      </c>
      <c r="D62" s="61"/>
      <c r="E62" s="15"/>
      <c r="F62" s="45">
        <f>IFERROR(E62/E13, 0)</f>
        <v>0</v>
      </c>
      <c r="G62" s="63"/>
      <c r="H62" s="15"/>
      <c r="I62" s="45">
        <f>IFERROR(H62/H13, 0)</f>
        <v>0</v>
      </c>
      <c r="J62" s="63"/>
      <c r="K62" s="15">
        <f>E62-H62</f>
        <v>0</v>
      </c>
      <c r="L62" s="45">
        <f>IF(ROUND(K62, 2)=0, 0, IFERROR(K62/ABS(H62), IF(K62&lt;0, -1, 1)))</f>
        <v>0</v>
      </c>
    </row>
    <row r="63" spans="2:12" ht="16" customHeight="1" x14ac:dyDescent="0.35">
      <c r="B63" s="16" t="s">
        <v>113</v>
      </c>
      <c r="C63" s="16" t="s">
        <v>114</v>
      </c>
      <c r="D63" s="64"/>
      <c r="E63" s="17"/>
      <c r="F63" s="84">
        <f>IFERROR(E63/E13, 0)</f>
        <v>0</v>
      </c>
      <c r="G63" s="65"/>
      <c r="H63" s="17"/>
      <c r="I63" s="84">
        <f>IFERROR(H63/H13, 0)</f>
        <v>0</v>
      </c>
      <c r="J63" s="65"/>
      <c r="K63" s="17">
        <f>E63-H63</f>
        <v>0</v>
      </c>
      <c r="L63" s="84">
        <f>IF(ROUND(K63, 2)=0, 0, IFERROR(K63/ABS(H63), IF(K63&lt;0, -1, 1)))</f>
        <v>0</v>
      </c>
    </row>
    <row r="64" spans="2:12" ht="16" customHeight="1" thickBot="1" x14ac:dyDescent="0.4">
      <c r="B64" s="11" t="s">
        <v>115</v>
      </c>
      <c r="C64" s="11" t="s">
        <v>22</v>
      </c>
      <c r="D64" s="29"/>
      <c r="E64" s="12"/>
      <c r="F64" s="85"/>
      <c r="G64" s="12"/>
      <c r="H64" s="12"/>
      <c r="I64" s="85"/>
      <c r="J64" s="12"/>
      <c r="K64" s="12"/>
      <c r="L64" s="85"/>
    </row>
    <row r="65" spans="2:12" ht="16" customHeight="1" thickBot="1" x14ac:dyDescent="0.4">
      <c r="B65" s="18" t="s">
        <v>116</v>
      </c>
      <c r="C65" s="18" t="s">
        <v>117</v>
      </c>
      <c r="D65" s="66"/>
      <c r="E65" s="19">
        <v>243709.44777</v>
      </c>
      <c r="F65" s="86">
        <f>IFERROR(E65/E13, 0)</f>
        <v>0.37589062985924399</v>
      </c>
      <c r="G65" s="68"/>
      <c r="H65" s="19">
        <v>223284.4994</v>
      </c>
      <c r="I65" s="86">
        <f>IFERROR(H65/H13, 0)</f>
        <v>0.39782799386268758</v>
      </c>
      <c r="J65" s="68"/>
      <c r="K65" s="19">
        <f>E65-H65</f>
        <v>20424.948369999998</v>
      </c>
      <c r="L65" s="86">
        <f>IF(ROUND(K65, 2)=0, 0, IFERROR(K65/ABS(H65), IF(K65&lt;0, -1, 1)))</f>
        <v>9.1474994569193085E-2</v>
      </c>
    </row>
    <row r="66" spans="2:12" ht="16" customHeight="1" x14ac:dyDescent="0.35">
      <c r="B66" s="11" t="s">
        <v>118</v>
      </c>
      <c r="C66" s="11" t="s">
        <v>22</v>
      </c>
      <c r="D66" s="29"/>
      <c r="E66" s="12"/>
      <c r="F66" s="85"/>
      <c r="G66" s="12"/>
      <c r="H66" s="12"/>
      <c r="I66" s="85"/>
      <c r="J66" s="12"/>
      <c r="K66" s="12"/>
      <c r="L66" s="85"/>
    </row>
    <row r="67" spans="2:12" ht="16" customHeight="1" x14ac:dyDescent="0.35">
      <c r="B67" s="14" t="s">
        <v>119</v>
      </c>
      <c r="C67" s="14" t="s">
        <v>120</v>
      </c>
      <c r="D67" s="61"/>
      <c r="E67" s="15">
        <v>-3069.9229700000001</v>
      </c>
      <c r="F67" s="45">
        <f>IFERROR(E67/E13, 0)</f>
        <v>-4.7349632497698758E-3</v>
      </c>
      <c r="G67" s="63"/>
      <c r="H67" s="15">
        <v>-18390.370149999999</v>
      </c>
      <c r="I67" s="45">
        <f>IFERROR(H67/H13, 0)</f>
        <v>-3.2766287327721022E-2</v>
      </c>
      <c r="J67" s="63"/>
      <c r="K67" s="15">
        <f>E67-H67</f>
        <v>15320.447179999999</v>
      </c>
      <c r="L67" s="45">
        <f>IF(ROUND(K67, 2)=0, 0, IFERROR(K67/ABS(H67), IF(K67&lt;0, -1, 1)))</f>
        <v>0.83306899507947096</v>
      </c>
    </row>
    <row r="68" spans="2:12" ht="16" customHeight="1" x14ac:dyDescent="0.35">
      <c r="B68" s="14" t="s">
        <v>121</v>
      </c>
      <c r="C68" s="14" t="s">
        <v>64</v>
      </c>
      <c r="D68" s="61"/>
      <c r="E68" s="15"/>
      <c r="F68" s="45">
        <f>IFERROR(E68/E13, 0)</f>
        <v>0</v>
      </c>
      <c r="G68" s="63"/>
      <c r="H68" s="15"/>
      <c r="I68" s="45">
        <f>IFERROR(H68/H13, 0)</f>
        <v>0</v>
      </c>
      <c r="J68" s="63"/>
      <c r="K68" s="15">
        <f>E68-H68</f>
        <v>0</v>
      </c>
      <c r="L68" s="45">
        <f>IF(ROUND(K68, 2)=0, 0, IFERROR(K68/ABS(H68), IF(K68&lt;0, -1, 1)))</f>
        <v>0</v>
      </c>
    </row>
    <row r="69" spans="2:12" ht="16" customHeight="1" x14ac:dyDescent="0.35">
      <c r="B69" s="14" t="s">
        <v>122</v>
      </c>
      <c r="C69" s="14" t="s">
        <v>123</v>
      </c>
      <c r="D69" s="61"/>
      <c r="E69" s="15"/>
      <c r="F69" s="45">
        <f>IFERROR(E69/E13, 0)</f>
        <v>0</v>
      </c>
      <c r="G69" s="63"/>
      <c r="H69" s="15"/>
      <c r="I69" s="45">
        <f>IFERROR(H69/H13, 0)</f>
        <v>0</v>
      </c>
      <c r="J69" s="63"/>
      <c r="K69" s="15">
        <f>E69-H69</f>
        <v>0</v>
      </c>
      <c r="L69" s="45">
        <f>IF(ROUND(K69, 2)=0, 0, IFERROR(K69/ABS(H69), IF(K69&lt;0, -1, 1)))</f>
        <v>0</v>
      </c>
    </row>
    <row r="70" spans="2:12" ht="16" customHeight="1" thickBot="1" x14ac:dyDescent="0.4">
      <c r="B70" s="11" t="s">
        <v>124</v>
      </c>
      <c r="C70" s="11" t="s">
        <v>22</v>
      </c>
      <c r="D70" s="29"/>
      <c r="E70" s="12"/>
      <c r="F70" s="85"/>
      <c r="G70" s="12"/>
      <c r="H70" s="12"/>
      <c r="I70" s="85"/>
      <c r="J70" s="12"/>
      <c r="K70" s="12"/>
      <c r="L70" s="85"/>
    </row>
    <row r="71" spans="2:12" ht="16" customHeight="1" thickBot="1" x14ac:dyDescent="0.4">
      <c r="B71" s="18" t="s">
        <v>125</v>
      </c>
      <c r="C71" s="18" t="s">
        <v>126</v>
      </c>
      <c r="D71" s="66"/>
      <c r="E71" s="19">
        <v>240639.52480000001</v>
      </c>
      <c r="F71" s="86">
        <f>IFERROR(E71/E13, 0)</f>
        <v>0.37115566660947413</v>
      </c>
      <c r="G71" s="68"/>
      <c r="H71" s="19">
        <v>204894.12925</v>
      </c>
      <c r="I71" s="86">
        <f>IFERROR(H71/H13, 0)</f>
        <v>0.3650617065349665</v>
      </c>
      <c r="J71" s="68"/>
      <c r="K71" s="19">
        <f>E71-H71</f>
        <v>35745.395550000016</v>
      </c>
      <c r="L71" s="86">
        <f>IF(ROUND(K71, 2)=0, 0, IFERROR(K71/ABS(H71), IF(K71&lt;0, -1, 1)))</f>
        <v>0.17445788066668103</v>
      </c>
    </row>
    <row r="72" spans="2:12" ht="16" customHeight="1" x14ac:dyDescent="0.35">
      <c r="B72" s="11" t="s">
        <v>127</v>
      </c>
      <c r="C72" s="11" t="s">
        <v>22</v>
      </c>
      <c r="D72" s="29"/>
      <c r="E72" s="12"/>
      <c r="F72" s="85"/>
      <c r="G72" s="12"/>
      <c r="H72" s="12"/>
      <c r="I72" s="85"/>
      <c r="J72" s="12"/>
      <c r="K72" s="12"/>
      <c r="L72" s="85"/>
    </row>
    <row r="73" spans="2:12" ht="16" customHeight="1" x14ac:dyDescent="0.35">
      <c r="B73" s="14" t="s">
        <v>128</v>
      </c>
      <c r="C73" s="14" t="s">
        <v>129</v>
      </c>
      <c r="D73" s="61"/>
      <c r="E73" s="15">
        <v>-59069.79191</v>
      </c>
      <c r="F73" s="45">
        <f>IFERROR(E73/E13, 0)</f>
        <v>-9.1107593447337834E-2</v>
      </c>
      <c r="G73" s="63"/>
      <c r="H73" s="15">
        <v>-52845.214509999998</v>
      </c>
      <c r="I73" s="45">
        <f>IFERROR(H73/H13, 0)</f>
        <v>-9.4154792340039553E-2</v>
      </c>
      <c r="J73" s="63"/>
      <c r="K73" s="15">
        <f>E73-H73</f>
        <v>-6224.5774000000019</v>
      </c>
      <c r="L73" s="45">
        <f>IF(ROUND(K73, 2)=0, 0, IFERROR(K73/ABS(H73), IF(K73&lt;0, -1, 1)))</f>
        <v>-0.11778885671515467</v>
      </c>
    </row>
    <row r="74" spans="2:12" ht="16" customHeight="1" x14ac:dyDescent="0.35">
      <c r="B74" s="14" t="s">
        <v>130</v>
      </c>
      <c r="C74" s="14" t="s">
        <v>131</v>
      </c>
      <c r="D74" s="61"/>
      <c r="E74" s="15">
        <v>-104.96518</v>
      </c>
      <c r="F74" s="45">
        <f>IFERROR(E74/E13, 0)</f>
        <v>-1.6189535524582886E-4</v>
      </c>
      <c r="G74" s="63"/>
      <c r="H74" s="15">
        <v>-101.798</v>
      </c>
      <c r="I74" s="45">
        <f>IFERROR(H74/H13, 0)</f>
        <v>-1.8137440900760471E-4</v>
      </c>
      <c r="J74" s="63"/>
      <c r="K74" s="15">
        <f>E74-H74</f>
        <v>-3.1671800000000019</v>
      </c>
      <c r="L74" s="45">
        <f>IF(ROUND(K74, 2)=0, 0, IFERROR(K74/ABS(H74), IF(K74&lt;0, -1, 1)))</f>
        <v>-3.1112399064814653E-2</v>
      </c>
    </row>
    <row r="75" spans="2:12" ht="16" customHeight="1" x14ac:dyDescent="0.35">
      <c r="B75" s="14" t="s">
        <v>132</v>
      </c>
      <c r="C75" s="14" t="s">
        <v>133</v>
      </c>
      <c r="D75" s="61"/>
      <c r="E75" s="15">
        <v>-221.46791999999999</v>
      </c>
      <c r="F75" s="45">
        <f>IFERROR(E75/E13, 0)</f>
        <v>-3.4158592005420084E-4</v>
      </c>
      <c r="G75" s="63"/>
      <c r="H75" s="15">
        <v>260</v>
      </c>
      <c r="I75" s="45">
        <f>IFERROR(H75/H13, 0)</f>
        <v>4.6324433035990119E-4</v>
      </c>
      <c r="J75" s="63"/>
      <c r="K75" s="15">
        <f>E75-H75</f>
        <v>-481.46791999999999</v>
      </c>
      <c r="L75" s="45">
        <f>IF(ROUND(K75, 2)=0, 0, IFERROR(K75/ABS(H75), IF(K75&lt;0, -1, 1)))</f>
        <v>-1.8517996923076923</v>
      </c>
    </row>
    <row r="76" spans="2:12" ht="16" customHeight="1" x14ac:dyDescent="0.35">
      <c r="B76" s="14" t="s">
        <v>134</v>
      </c>
      <c r="C76" s="14" t="s">
        <v>135</v>
      </c>
      <c r="D76" s="61"/>
      <c r="E76" s="15"/>
      <c r="F76" s="45">
        <f>IFERROR(E76/E13, 0)</f>
        <v>0</v>
      </c>
      <c r="G76" s="63"/>
      <c r="H76" s="15"/>
      <c r="I76" s="45">
        <f>IFERROR(H76/H13, 0)</f>
        <v>0</v>
      </c>
      <c r="J76" s="63"/>
      <c r="K76" s="15">
        <f>E76-H76</f>
        <v>0</v>
      </c>
      <c r="L76" s="45">
        <f>IF(ROUND(K76, 2)=0, 0, IFERROR(K76/ABS(H76), IF(K76&lt;0, -1, 1)))</f>
        <v>0</v>
      </c>
    </row>
    <row r="77" spans="2:12" ht="16" customHeight="1" thickBot="1" x14ac:dyDescent="0.4">
      <c r="B77" s="11" t="s">
        <v>136</v>
      </c>
      <c r="C77" s="11" t="s">
        <v>22</v>
      </c>
      <c r="D77" s="29"/>
      <c r="E77" s="12"/>
      <c r="F77" s="85"/>
      <c r="G77" s="12"/>
      <c r="H77" s="12"/>
      <c r="I77" s="85"/>
      <c r="J77" s="12"/>
      <c r="K77" s="12"/>
      <c r="L77" s="85"/>
    </row>
    <row r="78" spans="2:12" ht="16" customHeight="1" thickBot="1" x14ac:dyDescent="0.4">
      <c r="B78" s="18" t="s">
        <v>137</v>
      </c>
      <c r="C78" s="18" t="s">
        <v>138</v>
      </c>
      <c r="D78" s="66"/>
      <c r="E78" s="19">
        <v>181243.29978999999</v>
      </c>
      <c r="F78" s="86">
        <f>IFERROR(E78/E13, 0)</f>
        <v>0.27954459188683622</v>
      </c>
      <c r="G78" s="68"/>
      <c r="H78" s="19">
        <v>152207.11674</v>
      </c>
      <c r="I78" s="86">
        <f>IFERROR(H78/H13, 0)</f>
        <v>0.27118878411627928</v>
      </c>
      <c r="J78" s="68"/>
      <c r="K78" s="19">
        <f>E78-H78</f>
        <v>29036.183049999992</v>
      </c>
      <c r="L78" s="86">
        <f>IF(ROUND(K78, 2)=0, 0, IFERROR(K78/ABS(H78), IF(K78&lt;0, -1, 1)))</f>
        <v>0.1907675782309152</v>
      </c>
    </row>
    <row r="79" spans="2:12" ht="16" customHeight="1" x14ac:dyDescent="0.35">
      <c r="B79" s="11" t="s">
        <v>139</v>
      </c>
      <c r="C79" s="11" t="s">
        <v>22</v>
      </c>
      <c r="D79" s="29"/>
      <c r="E79" s="12"/>
      <c r="F79" s="85"/>
      <c r="G79" s="12"/>
      <c r="H79" s="12"/>
      <c r="I79" s="85"/>
      <c r="J79" s="12"/>
      <c r="K79" s="12"/>
      <c r="L79" s="85"/>
    </row>
    <row r="80" spans="2:12" ht="16" customHeight="1" x14ac:dyDescent="0.35">
      <c r="B80" s="14" t="s">
        <v>140</v>
      </c>
      <c r="C80" s="14" t="s">
        <v>141</v>
      </c>
      <c r="D80" s="61"/>
      <c r="E80" s="15"/>
      <c r="F80" s="45">
        <f>IFERROR(E80/E13, 0)</f>
        <v>0</v>
      </c>
      <c r="G80" s="63"/>
      <c r="H80" s="15"/>
      <c r="I80" s="45">
        <f>IFERROR(H80/H13, 0)</f>
        <v>0</v>
      </c>
      <c r="J80" s="63"/>
      <c r="K80" s="15">
        <f t="shared" ref="K80:K85" si="8">E80-H80</f>
        <v>0</v>
      </c>
      <c r="L80" s="45">
        <f t="shared" ref="L80:L85" si="9">IF(ROUND(K80, 2)=0, 0, IFERROR(K80/ABS(H80), IF(K80&lt;0, -1, 1)))</f>
        <v>0</v>
      </c>
    </row>
    <row r="81" spans="2:12" ht="16" customHeight="1" x14ac:dyDescent="0.35">
      <c r="B81" s="14" t="s">
        <v>142</v>
      </c>
      <c r="C81" s="14" t="s">
        <v>143</v>
      </c>
      <c r="D81" s="61"/>
      <c r="E81" s="15"/>
      <c r="F81" s="45">
        <f>IFERROR(E81/E13, 0)</f>
        <v>0</v>
      </c>
      <c r="G81" s="63"/>
      <c r="H81" s="15"/>
      <c r="I81" s="45">
        <f>IFERROR(H81/H13, 0)</f>
        <v>0</v>
      </c>
      <c r="J81" s="63"/>
      <c r="K81" s="15">
        <f t="shared" si="8"/>
        <v>0</v>
      </c>
      <c r="L81" s="45">
        <f t="shared" si="9"/>
        <v>0</v>
      </c>
    </row>
    <row r="82" spans="2:12" ht="16" customHeight="1" x14ac:dyDescent="0.35">
      <c r="B82" s="14" t="s">
        <v>144</v>
      </c>
      <c r="C82" s="14" t="s">
        <v>145</v>
      </c>
      <c r="D82" s="61"/>
      <c r="E82" s="15"/>
      <c r="F82" s="45">
        <f>IFERROR(E82/E13, 0)</f>
        <v>0</v>
      </c>
      <c r="G82" s="63"/>
      <c r="H82" s="15">
        <v>-912.39478999999994</v>
      </c>
      <c r="I82" s="45">
        <f>IFERROR(H82/H13, 0)</f>
        <v>-1.6256219750669719E-3</v>
      </c>
      <c r="J82" s="63"/>
      <c r="K82" s="15">
        <f t="shared" si="8"/>
        <v>912.39478999999994</v>
      </c>
      <c r="L82" s="45">
        <f t="shared" si="9"/>
        <v>1</v>
      </c>
    </row>
    <row r="83" spans="2:12" ht="16" customHeight="1" x14ac:dyDescent="0.35">
      <c r="B83" s="14" t="s">
        <v>146</v>
      </c>
      <c r="C83" s="14" t="s">
        <v>147</v>
      </c>
      <c r="D83" s="61"/>
      <c r="E83" s="15"/>
      <c r="F83" s="45">
        <f>IFERROR(E83/E13, 0)</f>
        <v>0</v>
      </c>
      <c r="G83" s="63"/>
      <c r="H83" s="15"/>
      <c r="I83" s="45">
        <f>IFERROR(H83/H13, 0)</f>
        <v>0</v>
      </c>
      <c r="J83" s="63"/>
      <c r="K83" s="15">
        <f t="shared" si="8"/>
        <v>0</v>
      </c>
      <c r="L83" s="45">
        <f t="shared" si="9"/>
        <v>0</v>
      </c>
    </row>
    <row r="84" spans="2:12" ht="16" customHeight="1" x14ac:dyDescent="0.35">
      <c r="B84" s="14" t="s">
        <v>148</v>
      </c>
      <c r="C84" s="14" t="s">
        <v>149</v>
      </c>
      <c r="D84" s="61"/>
      <c r="E84" s="15"/>
      <c r="F84" s="45">
        <f>IFERROR(E84/E13, 0)</f>
        <v>0</v>
      </c>
      <c r="G84" s="63"/>
      <c r="H84" s="15"/>
      <c r="I84" s="45">
        <f>IFERROR(H84/H13, 0)</f>
        <v>0</v>
      </c>
      <c r="J84" s="63"/>
      <c r="K84" s="15">
        <f t="shared" si="8"/>
        <v>0</v>
      </c>
      <c r="L84" s="45">
        <f t="shared" si="9"/>
        <v>0</v>
      </c>
    </row>
    <row r="85" spans="2:12" ht="16" customHeight="1" x14ac:dyDescent="0.35">
      <c r="B85" s="16" t="s">
        <v>150</v>
      </c>
      <c r="C85" s="16" t="s">
        <v>151</v>
      </c>
      <c r="D85" s="64"/>
      <c r="E85" s="17"/>
      <c r="F85" s="84">
        <f>IFERROR(E85/E13, 0)</f>
        <v>0</v>
      </c>
      <c r="G85" s="65"/>
      <c r="H85" s="17">
        <v>-912.39478999999994</v>
      </c>
      <c r="I85" s="84">
        <f>IFERROR(H85/H13, 0)</f>
        <v>-1.6256219750669719E-3</v>
      </c>
      <c r="J85" s="65"/>
      <c r="K85" s="17">
        <f t="shared" si="8"/>
        <v>912.39478999999994</v>
      </c>
      <c r="L85" s="84">
        <f t="shared" si="9"/>
        <v>1</v>
      </c>
    </row>
    <row r="86" spans="2:12" ht="16" customHeight="1" x14ac:dyDescent="0.35">
      <c r="B86" s="11" t="s">
        <v>152</v>
      </c>
      <c r="C86" s="11" t="s">
        <v>22</v>
      </c>
      <c r="D86" s="29"/>
      <c r="E86" s="12"/>
      <c r="F86" s="85"/>
      <c r="G86" s="12"/>
      <c r="H86" s="12"/>
      <c r="I86" s="85"/>
      <c r="J86" s="12"/>
      <c r="K86" s="12"/>
      <c r="L86" s="85"/>
    </row>
    <row r="87" spans="2:12" ht="16" customHeight="1" x14ac:dyDescent="0.35">
      <c r="B87" s="14" t="s">
        <v>153</v>
      </c>
      <c r="C87" s="14" t="s">
        <v>154</v>
      </c>
      <c r="D87" s="61"/>
      <c r="E87" s="15"/>
      <c r="F87" s="45">
        <f>IFERROR(E87/E13, 0)</f>
        <v>0</v>
      </c>
      <c r="G87" s="63"/>
      <c r="H87" s="15"/>
      <c r="I87" s="45">
        <f>IFERROR(H87/H13, 0)</f>
        <v>0</v>
      </c>
      <c r="J87" s="63"/>
      <c r="K87" s="15">
        <f t="shared" ref="K87:K92" si="10">E87-H87</f>
        <v>0</v>
      </c>
      <c r="L87" s="45">
        <f t="shared" ref="L87:L92" si="11">IF(ROUND(K87, 2)=0, 0, IFERROR(K87/ABS(H87), IF(K87&lt;0, -1, 1)))</f>
        <v>0</v>
      </c>
    </row>
    <row r="88" spans="2:12" ht="16" customHeight="1" x14ac:dyDescent="0.35">
      <c r="B88" s="14" t="s">
        <v>155</v>
      </c>
      <c r="C88" s="14" t="s">
        <v>156</v>
      </c>
      <c r="D88" s="61"/>
      <c r="E88" s="15"/>
      <c r="F88" s="45">
        <f>IFERROR(E88/E13, 0)</f>
        <v>0</v>
      </c>
      <c r="G88" s="63"/>
      <c r="H88" s="15"/>
      <c r="I88" s="45">
        <f>IFERROR(H88/H13, 0)</f>
        <v>0</v>
      </c>
      <c r="J88" s="63"/>
      <c r="K88" s="15">
        <f t="shared" si="10"/>
        <v>0</v>
      </c>
      <c r="L88" s="45">
        <f t="shared" si="11"/>
        <v>0</v>
      </c>
    </row>
    <row r="89" spans="2:12" ht="16" customHeight="1" x14ac:dyDescent="0.35">
      <c r="B89" s="14" t="s">
        <v>157</v>
      </c>
      <c r="C89" s="14" t="s">
        <v>158</v>
      </c>
      <c r="D89" s="61"/>
      <c r="E89" s="15"/>
      <c r="F89" s="45">
        <f>IFERROR(E89/E13, 0)</f>
        <v>0</v>
      </c>
      <c r="G89" s="63"/>
      <c r="H89" s="15"/>
      <c r="I89" s="45">
        <f>IFERROR(H89/H13, 0)</f>
        <v>0</v>
      </c>
      <c r="J89" s="63"/>
      <c r="K89" s="15">
        <f t="shared" si="10"/>
        <v>0</v>
      </c>
      <c r="L89" s="45">
        <f t="shared" si="11"/>
        <v>0</v>
      </c>
    </row>
    <row r="90" spans="2:12" ht="16" customHeight="1" x14ac:dyDescent="0.35">
      <c r="B90" s="14" t="s">
        <v>159</v>
      </c>
      <c r="C90" s="14" t="s">
        <v>160</v>
      </c>
      <c r="D90" s="61"/>
      <c r="E90" s="15"/>
      <c r="F90" s="45">
        <f>IFERROR(E90/E13, 0)</f>
        <v>0</v>
      </c>
      <c r="G90" s="63"/>
      <c r="H90" s="15"/>
      <c r="I90" s="45">
        <f>IFERROR(H90/H13, 0)</f>
        <v>0</v>
      </c>
      <c r="J90" s="63"/>
      <c r="K90" s="15">
        <f t="shared" si="10"/>
        <v>0</v>
      </c>
      <c r="L90" s="45">
        <f t="shared" si="11"/>
        <v>0</v>
      </c>
    </row>
    <row r="91" spans="2:12" ht="16" customHeight="1" x14ac:dyDescent="0.35">
      <c r="B91" s="14" t="s">
        <v>161</v>
      </c>
      <c r="C91" s="14" t="s">
        <v>162</v>
      </c>
      <c r="D91" s="61"/>
      <c r="E91" s="15"/>
      <c r="F91" s="45">
        <f>IFERROR(E91/E13, 0)</f>
        <v>0</v>
      </c>
      <c r="G91" s="63"/>
      <c r="H91" s="15"/>
      <c r="I91" s="45">
        <f>IFERROR(H91/H13, 0)</f>
        <v>0</v>
      </c>
      <c r="J91" s="63"/>
      <c r="K91" s="15">
        <f t="shared" si="10"/>
        <v>0</v>
      </c>
      <c r="L91" s="45">
        <f t="shared" si="11"/>
        <v>0</v>
      </c>
    </row>
    <row r="92" spans="2:12" ht="16" customHeight="1" x14ac:dyDescent="0.35">
      <c r="B92" s="16" t="s">
        <v>163</v>
      </c>
      <c r="C92" s="16" t="s">
        <v>164</v>
      </c>
      <c r="D92" s="64"/>
      <c r="E92" s="17"/>
      <c r="F92" s="84">
        <f>IFERROR(E92/E13, 0)</f>
        <v>0</v>
      </c>
      <c r="G92" s="65"/>
      <c r="H92" s="17"/>
      <c r="I92" s="84">
        <f>IFERROR(H92/H13, 0)</f>
        <v>0</v>
      </c>
      <c r="J92" s="65"/>
      <c r="K92" s="17">
        <f t="shared" si="10"/>
        <v>0</v>
      </c>
      <c r="L92" s="84">
        <f t="shared" si="11"/>
        <v>0</v>
      </c>
    </row>
    <row r="93" spans="2:12" ht="16" customHeight="1" x14ac:dyDescent="0.35">
      <c r="B93" s="11" t="s">
        <v>165</v>
      </c>
      <c r="C93" s="11" t="s">
        <v>22</v>
      </c>
      <c r="D93" s="29"/>
      <c r="E93" s="12"/>
      <c r="F93" s="85"/>
      <c r="G93" s="12"/>
      <c r="H93" s="12"/>
      <c r="I93" s="85"/>
      <c r="J93" s="12"/>
      <c r="K93" s="12"/>
      <c r="L93" s="85"/>
    </row>
    <row r="94" spans="2:12" ht="16" customHeight="1" thickBot="1" x14ac:dyDescent="0.4">
      <c r="B94" s="14" t="s">
        <v>166</v>
      </c>
      <c r="C94" s="14" t="s">
        <v>167</v>
      </c>
      <c r="D94" s="61"/>
      <c r="E94" s="15"/>
      <c r="F94" s="45">
        <f>IFERROR(E94/E13, 0)</f>
        <v>0</v>
      </c>
      <c r="G94" s="63"/>
      <c r="H94" s="15"/>
      <c r="I94" s="45">
        <f>IFERROR(H94/H13, 0)</f>
        <v>0</v>
      </c>
      <c r="J94" s="63"/>
      <c r="K94" s="15">
        <f>E94-H94</f>
        <v>0</v>
      </c>
      <c r="L94" s="45">
        <f>IF(ROUND(K94, 2)=0, 0, IFERROR(K94/ABS(H94), IF(K94&lt;0, -1, 1)))</f>
        <v>0</v>
      </c>
    </row>
    <row r="95" spans="2:12" ht="16" customHeight="1" thickBot="1" x14ac:dyDescent="0.4">
      <c r="B95" s="18" t="s">
        <v>169</v>
      </c>
      <c r="C95" s="18" t="s">
        <v>170</v>
      </c>
      <c r="D95" s="66"/>
      <c r="E95" s="19">
        <v>181243.29978999999</v>
      </c>
      <c r="F95" s="86">
        <f>IFERROR(E95/E13, 0)</f>
        <v>0.27954459188683622</v>
      </c>
      <c r="G95" s="68"/>
      <c r="H95" s="19">
        <v>151294.72195000001</v>
      </c>
      <c r="I95" s="86">
        <f>IFERROR(H95/H13, 0)</f>
        <v>0.26956316214121229</v>
      </c>
      <c r="J95" s="68"/>
      <c r="K95" s="19">
        <f>E95-H95</f>
        <v>29948.577839999984</v>
      </c>
      <c r="L95" s="86">
        <f>IF(ROUND(K95, 2)=0, 0, IFERROR(K95/ABS(H95), IF(K95&lt;0, -1, 1)))</f>
        <v>0.19794859631585437</v>
      </c>
    </row>
    <row r="96" spans="2:12" ht="16" customHeight="1" x14ac:dyDescent="0.35">
      <c r="B96" s="11" t="s">
        <v>171</v>
      </c>
      <c r="C96" s="11" t="s">
        <v>22</v>
      </c>
      <c r="D96" s="29"/>
      <c r="E96" s="12"/>
      <c r="F96" s="85"/>
      <c r="G96" s="12"/>
      <c r="H96" s="12"/>
      <c r="I96" s="85"/>
      <c r="J96" s="12"/>
      <c r="K96" s="12"/>
      <c r="L96" s="85"/>
    </row>
    <row r="97" spans="2:12" ht="16" customHeight="1" x14ac:dyDescent="0.35">
      <c r="B97" s="14" t="s">
        <v>172</v>
      </c>
      <c r="C97" s="14" t="s">
        <v>173</v>
      </c>
      <c r="D97" s="61"/>
      <c r="E97" s="15"/>
      <c r="F97" s="45">
        <f>IFERROR(E97/E13, 0)</f>
        <v>0</v>
      </c>
      <c r="G97" s="63"/>
      <c r="H97" s="15"/>
      <c r="I97" s="45">
        <f>IFERROR(H97/H13, 0)</f>
        <v>0</v>
      </c>
      <c r="J97" s="63"/>
      <c r="K97" s="15">
        <f>E97-H97</f>
        <v>0</v>
      </c>
      <c r="L97" s="45">
        <f>IF(ROUND(K97, 2)=0, 0, IFERROR(K97/ABS(H97), IF(K97&lt;0, -1, 1)))</f>
        <v>0</v>
      </c>
    </row>
    <row r="98" spans="2:12" ht="16" customHeight="1" x14ac:dyDescent="0.35">
      <c r="B98" s="14" t="s">
        <v>174</v>
      </c>
      <c r="C98" s="14" t="s">
        <v>175</v>
      </c>
      <c r="D98" s="61"/>
      <c r="E98" s="15"/>
      <c r="F98" s="45">
        <f>IFERROR(E98/E13, 0)</f>
        <v>0</v>
      </c>
      <c r="G98" s="63"/>
      <c r="H98" s="15"/>
      <c r="I98" s="45">
        <f>IFERROR(H98/H13, 0)</f>
        <v>0</v>
      </c>
      <c r="J98" s="63"/>
      <c r="K98" s="15">
        <f>E98-H98</f>
        <v>0</v>
      </c>
      <c r="L98" s="45">
        <f>IF(ROUND(K98, 2)=0, 0, IFERROR(K98/ABS(H98), IF(K98&lt;0, -1, 1)))</f>
        <v>0</v>
      </c>
    </row>
    <row r="99" spans="2:12" ht="16" customHeight="1" x14ac:dyDescent="0.35">
      <c r="B99" s="14" t="s">
        <v>176</v>
      </c>
      <c r="C99" s="14" t="s">
        <v>177</v>
      </c>
      <c r="D99" s="61"/>
      <c r="E99" s="15"/>
      <c r="F99" s="45">
        <f>IFERROR(E99/E13, 0)</f>
        <v>0</v>
      </c>
      <c r="G99" s="63"/>
      <c r="H99" s="15"/>
      <c r="I99" s="45">
        <f>IFERROR(H99/H13, 0)</f>
        <v>0</v>
      </c>
      <c r="J99" s="63"/>
      <c r="K99" s="15">
        <f>E99-H99</f>
        <v>0</v>
      </c>
      <c r="L99" s="45">
        <f>IF(ROUND(K99, 2)=0, 0, IFERROR(K99/ABS(H99), IF(K99&lt;0, -1, 1)))</f>
        <v>0</v>
      </c>
    </row>
    <row r="100" spans="2:12" ht="16" customHeight="1" x14ac:dyDescent="0.35">
      <c r="B100" s="14" t="s">
        <v>178</v>
      </c>
      <c r="C100" s="14" t="s">
        <v>179</v>
      </c>
      <c r="D100" s="61"/>
      <c r="E100" s="15"/>
      <c r="F100" s="45">
        <f>IFERROR(E100/E13, 0)</f>
        <v>0</v>
      </c>
      <c r="G100" s="63"/>
      <c r="H100" s="15"/>
      <c r="I100" s="45">
        <f>IFERROR(H100/H13, 0)</f>
        <v>0</v>
      </c>
      <c r="J100" s="63"/>
      <c r="K100" s="15">
        <f>E100-H100</f>
        <v>0</v>
      </c>
      <c r="L100" s="45">
        <f>IF(ROUND(K100, 2)=0, 0, IFERROR(K100/ABS(H100), IF(K100&lt;0, -1, 1)))</f>
        <v>0</v>
      </c>
    </row>
    <row r="101" spans="2:12" ht="16" customHeight="1" x14ac:dyDescent="0.35">
      <c r="B101" s="16" t="s">
        <v>180</v>
      </c>
      <c r="C101" s="16" t="s">
        <v>181</v>
      </c>
      <c r="D101" s="64"/>
      <c r="E101" s="17"/>
      <c r="F101" s="84">
        <f>IFERROR(E101/E13, 0)</f>
        <v>0</v>
      </c>
      <c r="G101" s="65"/>
      <c r="H101" s="17"/>
      <c r="I101" s="84">
        <f>IFERROR(H101/H13, 0)</f>
        <v>0</v>
      </c>
      <c r="J101" s="65"/>
      <c r="K101" s="17">
        <f>E101-H101</f>
        <v>0</v>
      </c>
      <c r="L101" s="84">
        <f>IF(ROUND(K101, 2)=0, 0, IFERROR(K101/ABS(H101), IF(K101&lt;0, -1, 1)))</f>
        <v>0</v>
      </c>
    </row>
    <row r="102" spans="2:12" ht="16" customHeight="1" x14ac:dyDescent="0.35">
      <c r="B102" s="11" t="s">
        <v>182</v>
      </c>
      <c r="C102" s="11" t="s">
        <v>22</v>
      </c>
      <c r="D102" s="29"/>
      <c r="E102" s="12"/>
      <c r="F102" s="85"/>
      <c r="G102" s="12"/>
      <c r="H102" s="12"/>
      <c r="I102" s="85"/>
      <c r="J102" s="12"/>
      <c r="K102" s="12"/>
      <c r="L102" s="85"/>
    </row>
    <row r="103" spans="2:12" ht="16" customHeight="1" x14ac:dyDescent="0.35">
      <c r="B103" s="14" t="s">
        <v>183</v>
      </c>
      <c r="C103" s="14" t="s">
        <v>184</v>
      </c>
      <c r="D103" s="61"/>
      <c r="E103" s="15"/>
      <c r="F103" s="45">
        <f>IFERROR(E103/E13, 0)</f>
        <v>0</v>
      </c>
      <c r="G103" s="63"/>
      <c r="H103" s="15"/>
      <c r="I103" s="45">
        <f>IFERROR(H103/H13, 0)</f>
        <v>0</v>
      </c>
      <c r="J103" s="63"/>
      <c r="K103" s="15">
        <f>E103-H103</f>
        <v>0</v>
      </c>
      <c r="L103" s="45">
        <f>IF(ROUND(K103, 2)=0, 0, IFERROR(K103/ABS(H103), IF(K103&lt;0, -1, 1)))</f>
        <v>0</v>
      </c>
    </row>
    <row r="104" spans="2:12" ht="16" customHeight="1" x14ac:dyDescent="0.35">
      <c r="B104" s="14" t="s">
        <v>185</v>
      </c>
      <c r="C104" s="14" t="s">
        <v>186</v>
      </c>
      <c r="D104" s="61"/>
      <c r="E104" s="15"/>
      <c r="F104" s="45">
        <f>IFERROR(E104/E13, 0)</f>
        <v>0</v>
      </c>
      <c r="G104" s="63"/>
      <c r="H104" s="15"/>
      <c r="I104" s="45">
        <f>IFERROR(H104/H13, 0)</f>
        <v>0</v>
      </c>
      <c r="J104" s="63"/>
      <c r="K104" s="15">
        <f>E104-H104</f>
        <v>0</v>
      </c>
      <c r="L104" s="45">
        <f>IF(ROUND(K104, 2)=0, 0, IFERROR(K104/ABS(H104), IF(K104&lt;0, -1, 1)))</f>
        <v>0</v>
      </c>
    </row>
    <row r="105" spans="2:12" ht="16" customHeight="1" x14ac:dyDescent="0.35">
      <c r="B105" s="14" t="s">
        <v>187</v>
      </c>
      <c r="C105" s="14" t="s">
        <v>188</v>
      </c>
      <c r="D105" s="61"/>
      <c r="E105" s="15"/>
      <c r="F105" s="45">
        <f>IFERROR(E105/E13, 0)</f>
        <v>0</v>
      </c>
      <c r="G105" s="63"/>
      <c r="H105" s="15">
        <v>-0.51780999999999999</v>
      </c>
      <c r="I105" s="45">
        <f>IFERROR(H105/H13, 0)</f>
        <v>-9.2258671809100168E-7</v>
      </c>
      <c r="J105" s="63"/>
      <c r="K105" s="15">
        <f>E105-H105</f>
        <v>0.51780999999999999</v>
      </c>
      <c r="L105" s="45">
        <f>IF(ROUND(K105, 2)=0, 0, IFERROR(K105/ABS(H105), IF(K105&lt;0, -1, 1)))</f>
        <v>1</v>
      </c>
    </row>
    <row r="106" spans="2:12" ht="16" customHeight="1" x14ac:dyDescent="0.35">
      <c r="B106" s="14" t="s">
        <v>189</v>
      </c>
      <c r="C106" s="14" t="s">
        <v>190</v>
      </c>
      <c r="D106" s="61"/>
      <c r="E106" s="15"/>
      <c r="F106" s="45">
        <f>IFERROR(E106/E13, 0)</f>
        <v>0</v>
      </c>
      <c r="G106" s="63"/>
      <c r="H106" s="15"/>
      <c r="I106" s="45">
        <f>IFERROR(H106/H13, 0)</f>
        <v>0</v>
      </c>
      <c r="J106" s="63"/>
      <c r="K106" s="15">
        <f>E106-H106</f>
        <v>0</v>
      </c>
      <c r="L106" s="45">
        <f>IF(ROUND(K106, 2)=0, 0, IFERROR(K106/ABS(H106), IF(K106&lt;0, -1, 1)))</f>
        <v>0</v>
      </c>
    </row>
    <row r="107" spans="2:12" ht="16" customHeight="1" x14ac:dyDescent="0.35">
      <c r="B107" s="16" t="s">
        <v>191</v>
      </c>
      <c r="C107" s="16" t="s">
        <v>192</v>
      </c>
      <c r="D107" s="64"/>
      <c r="E107" s="17"/>
      <c r="F107" s="84">
        <f>IFERROR(E107/E13, 0)</f>
        <v>0</v>
      </c>
      <c r="G107" s="65"/>
      <c r="H107" s="17">
        <v>-0.51780999999999999</v>
      </c>
      <c r="I107" s="84">
        <f>IFERROR(H107/H13, 0)</f>
        <v>-9.2258671809100168E-7</v>
      </c>
      <c r="J107" s="65"/>
      <c r="K107" s="17">
        <f>E107-H107</f>
        <v>0.51780999999999999</v>
      </c>
      <c r="L107" s="84">
        <f>IF(ROUND(K107, 2)=0, 0, IFERROR(K107/ABS(H107), IF(K107&lt;0, -1, 1)))</f>
        <v>1</v>
      </c>
    </row>
    <row r="108" spans="2:12" ht="16" customHeight="1" x14ac:dyDescent="0.35">
      <c r="B108" s="11" t="s">
        <v>193</v>
      </c>
      <c r="C108" s="11" t="s">
        <v>22</v>
      </c>
      <c r="D108" s="29"/>
      <c r="E108" s="12"/>
      <c r="F108" s="85"/>
      <c r="G108" s="12"/>
      <c r="H108" s="12"/>
      <c r="I108" s="85"/>
      <c r="J108" s="12"/>
      <c r="K108" s="12"/>
      <c r="L108" s="85"/>
    </row>
    <row r="109" spans="2:12" ht="16" customHeight="1" x14ac:dyDescent="0.35">
      <c r="B109" s="14" t="s">
        <v>194</v>
      </c>
      <c r="C109" s="14" t="s">
        <v>195</v>
      </c>
      <c r="D109" s="61"/>
      <c r="E109" s="15"/>
      <c r="F109" s="45">
        <f>IFERROR(E109/E13, 0)</f>
        <v>0</v>
      </c>
      <c r="G109" s="63"/>
      <c r="H109" s="15">
        <v>-2996.8851300000001</v>
      </c>
      <c r="I109" s="45">
        <f>IFERROR(H109/H13, 0)</f>
        <v>-5.3395770969707525E-3</v>
      </c>
      <c r="J109" s="63"/>
      <c r="K109" s="15">
        <f t="shared" ref="K109:K114" si="12">E109-H109</f>
        <v>2996.8851300000001</v>
      </c>
      <c r="L109" s="45">
        <f t="shared" ref="L109:L114" si="13">IF(ROUND(K109, 2)=0, 0, IFERROR(K109/ABS(H109), IF(K109&lt;0, -1, 1)))</f>
        <v>1</v>
      </c>
    </row>
    <row r="110" spans="2:12" ht="16" customHeight="1" x14ac:dyDescent="0.35">
      <c r="B110" s="14" t="s">
        <v>196</v>
      </c>
      <c r="C110" s="14" t="s">
        <v>197</v>
      </c>
      <c r="D110" s="61"/>
      <c r="E110" s="15"/>
      <c r="F110" s="45">
        <f>IFERROR(E110/E13, 0)</f>
        <v>0</v>
      </c>
      <c r="G110" s="63"/>
      <c r="H110" s="15"/>
      <c r="I110" s="45">
        <f>IFERROR(H110/H13, 0)</f>
        <v>0</v>
      </c>
      <c r="J110" s="63"/>
      <c r="K110" s="15">
        <f t="shared" si="12"/>
        <v>0</v>
      </c>
      <c r="L110" s="45">
        <f t="shared" si="13"/>
        <v>0</v>
      </c>
    </row>
    <row r="111" spans="2:12" ht="16" customHeight="1" x14ac:dyDescent="0.35">
      <c r="B111" s="14" t="s">
        <v>198</v>
      </c>
      <c r="C111" s="14" t="s">
        <v>199</v>
      </c>
      <c r="D111" s="61"/>
      <c r="E111" s="15">
        <v>-790.57713999999999</v>
      </c>
      <c r="F111" s="45">
        <f>IFERROR(E111/E13, 0)</f>
        <v>-1.2193640493879147E-3</v>
      </c>
      <c r="G111" s="63"/>
      <c r="H111" s="15">
        <v>-5108.9914399999998</v>
      </c>
      <c r="I111" s="45">
        <f>IFERROR(H111/H13, 0)</f>
        <v>-9.1027358401433358E-3</v>
      </c>
      <c r="J111" s="63"/>
      <c r="K111" s="15">
        <f t="shared" si="12"/>
        <v>4318.4142999999995</v>
      </c>
      <c r="L111" s="45">
        <f t="shared" si="13"/>
        <v>0.84525768945112967</v>
      </c>
    </row>
    <row r="112" spans="2:12" ht="16" customHeight="1" x14ac:dyDescent="0.35">
      <c r="B112" s="14" t="s">
        <v>200</v>
      </c>
      <c r="C112" s="14" t="s">
        <v>201</v>
      </c>
      <c r="D112" s="61"/>
      <c r="E112" s="15">
        <v>-910.83399999999995</v>
      </c>
      <c r="F112" s="45">
        <f>IFERROR(E112/E13, 0)</f>
        <v>-1.4048448637917761E-3</v>
      </c>
      <c r="G112" s="63"/>
      <c r="H112" s="15">
        <v>-1003</v>
      </c>
      <c r="I112" s="45">
        <f>IFERROR(H112/H13, 0)</f>
        <v>-1.7870540898114651E-3</v>
      </c>
      <c r="J112" s="63"/>
      <c r="K112" s="15">
        <f t="shared" si="12"/>
        <v>92.166000000000054</v>
      </c>
      <c r="L112" s="45">
        <f t="shared" si="13"/>
        <v>9.1890329012961167E-2</v>
      </c>
    </row>
    <row r="113" spans="2:12" ht="16" customHeight="1" x14ac:dyDescent="0.35">
      <c r="B113" s="14" t="s">
        <v>202</v>
      </c>
      <c r="C113" s="14" t="s">
        <v>203</v>
      </c>
      <c r="D113" s="61"/>
      <c r="E113" s="15">
        <v>6.5091799999999997</v>
      </c>
      <c r="F113" s="45">
        <f>IFERROR(E113/E13, 0)</f>
        <v>1.0039577014578016E-5</v>
      </c>
      <c r="G113" s="63"/>
      <c r="H113" s="15">
        <v>-377.15424999999999</v>
      </c>
      <c r="I113" s="45">
        <f>IFERROR(H113/H13, 0)</f>
        <v>-6.7197910762938756E-4</v>
      </c>
      <c r="J113" s="63"/>
      <c r="K113" s="15">
        <f t="shared" si="12"/>
        <v>383.66343000000001</v>
      </c>
      <c r="L113" s="45">
        <f t="shared" si="13"/>
        <v>1.0172586680383424</v>
      </c>
    </row>
    <row r="114" spans="2:12" ht="16" customHeight="1" x14ac:dyDescent="0.35">
      <c r="B114" s="16" t="s">
        <v>204</v>
      </c>
      <c r="C114" s="16" t="s">
        <v>205</v>
      </c>
      <c r="D114" s="64"/>
      <c r="E114" s="17">
        <v>-1694.9019599999999</v>
      </c>
      <c r="F114" s="84">
        <f>IFERROR(E114/E13, 0)</f>
        <v>-2.6141693361651126E-3</v>
      </c>
      <c r="G114" s="65"/>
      <c r="H114" s="17">
        <v>-9486.0308199999999</v>
      </c>
      <c r="I114" s="84">
        <f>IFERROR(H114/H13, 0)</f>
        <v>-1.6901346134554941E-2</v>
      </c>
      <c r="J114" s="65"/>
      <c r="K114" s="17">
        <f t="shared" si="12"/>
        <v>7791.1288599999998</v>
      </c>
      <c r="L114" s="84">
        <f t="shared" si="13"/>
        <v>0.82132653876408124</v>
      </c>
    </row>
    <row r="115" spans="2:12" ht="16" customHeight="1" thickBot="1" x14ac:dyDescent="0.4">
      <c r="B115" s="11" t="s">
        <v>206</v>
      </c>
      <c r="C115" s="11" t="s">
        <v>22</v>
      </c>
      <c r="D115" s="29"/>
      <c r="E115" s="12"/>
      <c r="F115" s="85"/>
      <c r="G115" s="12"/>
      <c r="H115" s="12"/>
      <c r="I115" s="85"/>
      <c r="J115" s="12"/>
      <c r="K115" s="12"/>
      <c r="L115" s="85"/>
    </row>
    <row r="116" spans="2:12" ht="16" customHeight="1" thickBot="1" x14ac:dyDescent="0.4">
      <c r="B116" s="18" t="s">
        <v>207</v>
      </c>
      <c r="C116" s="18" t="s">
        <v>208</v>
      </c>
      <c r="D116" s="66"/>
      <c r="E116" s="19">
        <v>-1694.9019599999999</v>
      </c>
      <c r="F116" s="86">
        <f>IFERROR(E116/E13, 0)</f>
        <v>-2.6141693361651126E-3</v>
      </c>
      <c r="G116" s="68"/>
      <c r="H116" s="19">
        <v>-9486.5486299999993</v>
      </c>
      <c r="I116" s="86">
        <f>IFERROR(H116/H13, 0)</f>
        <v>-1.6902268721273029E-2</v>
      </c>
      <c r="J116" s="68"/>
      <c r="K116" s="19">
        <f>E116-H116</f>
        <v>7791.6466699999992</v>
      </c>
      <c r="L116" s="86">
        <f>IF(ROUND(K116, 2)=0, 0, IFERROR(K116/ABS(H116), IF(K116&lt;0, -1, 1)))</f>
        <v>0.82133629140527575</v>
      </c>
    </row>
    <row r="117" spans="2:12" ht="16" customHeight="1" x14ac:dyDescent="0.35">
      <c r="B117" s="11" t="s">
        <v>209</v>
      </c>
      <c r="C117" s="11" t="s">
        <v>22</v>
      </c>
      <c r="D117" s="29"/>
      <c r="E117" s="12"/>
      <c r="F117" s="85"/>
      <c r="G117" s="12"/>
      <c r="H117" s="12"/>
      <c r="I117" s="85"/>
      <c r="J117" s="12"/>
      <c r="K117" s="12"/>
      <c r="L117" s="85"/>
    </row>
    <row r="118" spans="2:12" ht="16" customHeight="1" x14ac:dyDescent="0.35">
      <c r="B118" s="14" t="s">
        <v>210</v>
      </c>
      <c r="C118" s="14" t="s">
        <v>211</v>
      </c>
      <c r="D118" s="61"/>
      <c r="E118" s="15">
        <v>-378.74200000000002</v>
      </c>
      <c r="F118" s="45">
        <f>IFERROR(E118/E13, 0)</f>
        <v>-5.8416105832920695E-4</v>
      </c>
      <c r="G118" s="63"/>
      <c r="H118" s="15">
        <v>-32041.466639999999</v>
      </c>
      <c r="I118" s="45">
        <f>IFERROR(H118/H13, 0)</f>
        <v>-5.7088568297676591E-2</v>
      </c>
      <c r="J118" s="63"/>
      <c r="K118" s="15">
        <f t="shared" ref="K118:K126" si="14">E118-H118</f>
        <v>31662.72464</v>
      </c>
      <c r="L118" s="45">
        <f t="shared" ref="L118:L126" si="15">IF(ROUND(K118, 2)=0, 0, IFERROR(K118/ABS(H118), IF(K118&lt;0, -1, 1)))</f>
        <v>0.98817962971997098</v>
      </c>
    </row>
    <row r="119" spans="2:12" ht="16" customHeight="1" x14ac:dyDescent="0.35">
      <c r="B119" s="14" t="s">
        <v>212</v>
      </c>
      <c r="C119" s="14" t="s">
        <v>213</v>
      </c>
      <c r="D119" s="61"/>
      <c r="E119" s="15"/>
      <c r="F119" s="45">
        <f>IFERROR(E119/E13, 0)</f>
        <v>0</v>
      </c>
      <c r="G119" s="63"/>
      <c r="H119" s="15"/>
      <c r="I119" s="45">
        <f>IFERROR(H119/H13, 0)</f>
        <v>0</v>
      </c>
      <c r="J119" s="63"/>
      <c r="K119" s="15">
        <f t="shared" si="14"/>
        <v>0</v>
      </c>
      <c r="L119" s="45">
        <f t="shared" si="15"/>
        <v>0</v>
      </c>
    </row>
    <row r="120" spans="2:12" ht="16" customHeight="1" x14ac:dyDescent="0.35">
      <c r="B120" s="14" t="s">
        <v>214</v>
      </c>
      <c r="C120" s="14" t="s">
        <v>215</v>
      </c>
      <c r="D120" s="61"/>
      <c r="E120" s="15"/>
      <c r="F120" s="45">
        <f>IFERROR(E120/E13, 0)</f>
        <v>0</v>
      </c>
      <c r="G120" s="63"/>
      <c r="H120" s="15">
        <v>0</v>
      </c>
      <c r="I120" s="45">
        <f>IFERROR(H120/H13, 0)</f>
        <v>0</v>
      </c>
      <c r="J120" s="63"/>
      <c r="K120" s="15">
        <f t="shared" si="14"/>
        <v>0</v>
      </c>
      <c r="L120" s="45">
        <f t="shared" si="15"/>
        <v>0</v>
      </c>
    </row>
    <row r="121" spans="2:12" ht="16" customHeight="1" x14ac:dyDescent="0.35">
      <c r="B121" s="14" t="s">
        <v>216</v>
      </c>
      <c r="C121" s="14" t="s">
        <v>217</v>
      </c>
      <c r="D121" s="61"/>
      <c r="E121" s="15"/>
      <c r="F121" s="45">
        <f>IFERROR(E121/E13, 0)</f>
        <v>0</v>
      </c>
      <c r="G121" s="63"/>
      <c r="H121" s="15"/>
      <c r="I121" s="45">
        <f>IFERROR(H121/H13, 0)</f>
        <v>0</v>
      </c>
      <c r="J121" s="63"/>
      <c r="K121" s="15">
        <f t="shared" si="14"/>
        <v>0</v>
      </c>
      <c r="L121" s="45">
        <f t="shared" si="15"/>
        <v>0</v>
      </c>
    </row>
    <row r="122" spans="2:12" ht="16" customHeight="1" x14ac:dyDescent="0.35">
      <c r="B122" s="14" t="s">
        <v>218</v>
      </c>
      <c r="C122" s="14" t="s">
        <v>219</v>
      </c>
      <c r="D122" s="61"/>
      <c r="E122" s="15"/>
      <c r="F122" s="45">
        <f>IFERROR(E122/E13, 0)</f>
        <v>0</v>
      </c>
      <c r="G122" s="63"/>
      <c r="H122" s="15"/>
      <c r="I122" s="45">
        <f>IFERROR(H122/H13, 0)</f>
        <v>0</v>
      </c>
      <c r="J122" s="63"/>
      <c r="K122" s="15">
        <f t="shared" si="14"/>
        <v>0</v>
      </c>
      <c r="L122" s="45">
        <f t="shared" si="15"/>
        <v>0</v>
      </c>
    </row>
    <row r="123" spans="2:12" ht="16" customHeight="1" x14ac:dyDescent="0.35">
      <c r="B123" s="14" t="s">
        <v>220</v>
      </c>
      <c r="C123" s="14" t="s">
        <v>221</v>
      </c>
      <c r="D123" s="61"/>
      <c r="E123" s="15"/>
      <c r="F123" s="45">
        <f>IFERROR(E123/E13, 0)</f>
        <v>0</v>
      </c>
      <c r="G123" s="63"/>
      <c r="H123" s="15"/>
      <c r="I123" s="45">
        <f>IFERROR(H123/H13, 0)</f>
        <v>0</v>
      </c>
      <c r="J123" s="63"/>
      <c r="K123" s="15">
        <f t="shared" si="14"/>
        <v>0</v>
      </c>
      <c r="L123" s="45">
        <f t="shared" si="15"/>
        <v>0</v>
      </c>
    </row>
    <row r="124" spans="2:12" ht="16" customHeight="1" x14ac:dyDescent="0.35">
      <c r="B124" s="14" t="s">
        <v>222</v>
      </c>
      <c r="C124" s="14" t="s">
        <v>223</v>
      </c>
      <c r="D124" s="61"/>
      <c r="E124" s="15"/>
      <c r="F124" s="45">
        <f>IFERROR(E124/E13, 0)</f>
        <v>0</v>
      </c>
      <c r="G124" s="63"/>
      <c r="H124" s="15"/>
      <c r="I124" s="45">
        <f>IFERROR(H124/H13, 0)</f>
        <v>0</v>
      </c>
      <c r="J124" s="63"/>
      <c r="K124" s="15">
        <f t="shared" si="14"/>
        <v>0</v>
      </c>
      <c r="L124" s="45">
        <f t="shared" si="15"/>
        <v>0</v>
      </c>
    </row>
    <row r="125" spans="2:12" ht="16" customHeight="1" x14ac:dyDescent="0.35">
      <c r="B125" s="14" t="s">
        <v>224</v>
      </c>
      <c r="C125" s="14" t="s">
        <v>225</v>
      </c>
      <c r="D125" s="61"/>
      <c r="E125" s="15"/>
      <c r="F125" s="45">
        <f>IFERROR(E125/E13, 0)</f>
        <v>0</v>
      </c>
      <c r="G125" s="63"/>
      <c r="H125" s="15"/>
      <c r="I125" s="45">
        <f>IFERROR(H125/H13, 0)</f>
        <v>0</v>
      </c>
      <c r="J125" s="63"/>
      <c r="K125" s="15">
        <f t="shared" si="14"/>
        <v>0</v>
      </c>
      <c r="L125" s="45">
        <f t="shared" si="15"/>
        <v>0</v>
      </c>
    </row>
    <row r="126" spans="2:12" ht="16" customHeight="1" x14ac:dyDescent="0.35">
      <c r="B126" s="16" t="s">
        <v>226</v>
      </c>
      <c r="C126" s="16" t="s">
        <v>227</v>
      </c>
      <c r="D126" s="64"/>
      <c r="E126" s="17">
        <v>-378.74200000000002</v>
      </c>
      <c r="F126" s="84">
        <f>IFERROR(E126/E13, 0)</f>
        <v>-5.8416105832920695E-4</v>
      </c>
      <c r="G126" s="65"/>
      <c r="H126" s="17">
        <v>-32041.466639999999</v>
      </c>
      <c r="I126" s="84">
        <f>IFERROR(H126/H13, 0)</f>
        <v>-5.7088568297676591E-2</v>
      </c>
      <c r="J126" s="65"/>
      <c r="K126" s="17">
        <f t="shared" si="14"/>
        <v>31662.72464</v>
      </c>
      <c r="L126" s="84">
        <f t="shared" si="15"/>
        <v>0.98817962971997098</v>
      </c>
    </row>
    <row r="127" spans="2:12" ht="16" customHeight="1" thickBot="1" x14ac:dyDescent="0.4">
      <c r="B127" s="11" t="s">
        <v>228</v>
      </c>
      <c r="C127" s="11" t="s">
        <v>22</v>
      </c>
      <c r="D127" s="29"/>
      <c r="E127" s="12"/>
      <c r="F127" s="85"/>
      <c r="G127" s="12"/>
      <c r="H127" s="12"/>
      <c r="I127" s="85"/>
      <c r="J127" s="12"/>
      <c r="K127" s="12"/>
      <c r="L127" s="85"/>
    </row>
    <row r="128" spans="2:12" ht="16" customHeight="1" thickBot="1" x14ac:dyDescent="0.4">
      <c r="B128" s="18" t="s">
        <v>229</v>
      </c>
      <c r="C128" s="18" t="s">
        <v>230</v>
      </c>
      <c r="D128" s="66"/>
      <c r="E128" s="19">
        <v>-2073.6439599999999</v>
      </c>
      <c r="F128" s="86">
        <f>IFERROR(E128/E13, 0)</f>
        <v>-3.1983303944943197E-3</v>
      </c>
      <c r="G128" s="68"/>
      <c r="H128" s="19">
        <v>-41528.015270000004</v>
      </c>
      <c r="I128" s="86">
        <f>IFERROR(H128/H13, 0)</f>
        <v>-7.3990837018949623E-2</v>
      </c>
      <c r="J128" s="68"/>
      <c r="K128" s="19">
        <f>E128-H128</f>
        <v>39454.371310000002</v>
      </c>
      <c r="L128" s="86">
        <f>IF(ROUND(K128, 2)=0, 0, IFERROR(K128/ABS(H128), IF(K128&lt;0, -1, 1)))</f>
        <v>0.95006638418624334</v>
      </c>
    </row>
    <row r="129" spans="2:12" ht="16" customHeight="1" thickBot="1" x14ac:dyDescent="0.4">
      <c r="B129" s="11" t="s">
        <v>231</v>
      </c>
      <c r="C129" s="11" t="s">
        <v>22</v>
      </c>
      <c r="D129" s="29"/>
      <c r="E129" s="12"/>
      <c r="F129" s="85"/>
      <c r="G129" s="12"/>
      <c r="H129" s="12"/>
      <c r="I129" s="85"/>
      <c r="J129" s="12"/>
      <c r="K129" s="12"/>
      <c r="L129" s="85"/>
    </row>
    <row r="130" spans="2:12" ht="16" customHeight="1" thickBot="1" x14ac:dyDescent="0.4">
      <c r="B130" s="18" t="s">
        <v>232</v>
      </c>
      <c r="C130" s="18" t="s">
        <v>233</v>
      </c>
      <c r="D130" s="66"/>
      <c r="E130" s="19">
        <v>179169.65583</v>
      </c>
      <c r="F130" s="86">
        <f>IFERROR(E130/E13, 0)</f>
        <v>0.27634626149234193</v>
      </c>
      <c r="G130" s="68"/>
      <c r="H130" s="19">
        <v>109766.70668</v>
      </c>
      <c r="I130" s="86">
        <f>IFERROR(H130/H13, 0)</f>
        <v>0.19557232512226266</v>
      </c>
      <c r="J130" s="68"/>
      <c r="K130" s="19">
        <f>E130-H130</f>
        <v>69402.94915</v>
      </c>
      <c r="L130" s="86">
        <f>IF(ROUND(K130, 2)=0, 0, IFERROR(K130/ABS(H130), IF(K130&lt;0, -1, 1)))</f>
        <v>0.63227686471753763</v>
      </c>
    </row>
    <row r="131" spans="2:12" ht="16" customHeight="1" x14ac:dyDescent="0.35">
      <c r="B131" s="11" t="s">
        <v>234</v>
      </c>
      <c r="C131" s="11" t="s">
        <v>22</v>
      </c>
      <c r="D131" s="29"/>
      <c r="E131" s="12"/>
      <c r="F131" s="85"/>
      <c r="G131" s="12"/>
      <c r="H131" s="12"/>
      <c r="I131" s="85"/>
      <c r="J131" s="12"/>
      <c r="K131" s="12"/>
      <c r="L131" s="85"/>
    </row>
    <row r="132" spans="2:12" ht="16" customHeight="1" x14ac:dyDescent="0.35">
      <c r="B132" s="14" t="s">
        <v>235</v>
      </c>
      <c r="C132" s="14" t="s">
        <v>236</v>
      </c>
      <c r="D132" s="61"/>
      <c r="E132" s="15"/>
      <c r="F132" s="45">
        <f>IFERROR(E132/E13, 0)</f>
        <v>0</v>
      </c>
      <c r="G132" s="63"/>
      <c r="H132" s="15"/>
      <c r="I132" s="45">
        <f>IFERROR(H132/H13, 0)</f>
        <v>0</v>
      </c>
      <c r="J132" s="63"/>
      <c r="K132" s="15">
        <f>E132-H132</f>
        <v>0</v>
      </c>
      <c r="L132" s="45">
        <f>IF(ROUND(K132, 2)=0, 0, IFERROR(K132/ABS(H132), IF(K132&lt;0, -1, 1)))</f>
        <v>0</v>
      </c>
    </row>
    <row r="133" spans="2:12" ht="16" customHeight="1" x14ac:dyDescent="0.35">
      <c r="B133" s="14" t="s">
        <v>237</v>
      </c>
      <c r="C133" s="14" t="s">
        <v>238</v>
      </c>
      <c r="D133" s="61"/>
      <c r="E133" s="15"/>
      <c r="F133" s="45">
        <f>IFERROR(E133/E13, 0)</f>
        <v>0</v>
      </c>
      <c r="G133" s="63"/>
      <c r="H133" s="15"/>
      <c r="I133" s="45">
        <f>IFERROR(H133/H13, 0)</f>
        <v>0</v>
      </c>
      <c r="J133" s="63"/>
      <c r="K133" s="15">
        <f>E133-H133</f>
        <v>0</v>
      </c>
      <c r="L133" s="45">
        <f>IF(ROUND(K133, 2)=0, 0, IFERROR(K133/ABS(H133), IF(K133&lt;0, -1, 1)))</f>
        <v>0</v>
      </c>
    </row>
    <row r="134" spans="2:12" ht="16" customHeight="1" x14ac:dyDescent="0.35">
      <c r="B134" s="14" t="s">
        <v>239</v>
      </c>
      <c r="C134" s="14" t="s">
        <v>240</v>
      </c>
      <c r="D134" s="61"/>
      <c r="E134" s="15"/>
      <c r="F134" s="45">
        <f>IFERROR(E134/E13, 0)</f>
        <v>0</v>
      </c>
      <c r="G134" s="63"/>
      <c r="H134" s="15"/>
      <c r="I134" s="45">
        <f>IFERROR(H134/H13, 0)</f>
        <v>0</v>
      </c>
      <c r="J134" s="63"/>
      <c r="K134" s="15">
        <f>E134-H134</f>
        <v>0</v>
      </c>
      <c r="L134" s="45">
        <f>IF(ROUND(K134, 2)=0, 0, IFERROR(K134/ABS(H134), IF(K134&lt;0, -1, 1)))</f>
        <v>0</v>
      </c>
    </row>
    <row r="135" spans="2:12" ht="16" customHeight="1" x14ac:dyDescent="0.35">
      <c r="B135" s="14" t="s">
        <v>241</v>
      </c>
      <c r="C135" s="14" t="s">
        <v>242</v>
      </c>
      <c r="D135" s="61"/>
      <c r="E135" s="15">
        <v>407.66800000000001</v>
      </c>
      <c r="F135" s="45">
        <f>IFERROR(E135/E13, 0)</f>
        <v>6.2877571097726462E-4</v>
      </c>
      <c r="G135" s="63"/>
      <c r="H135" s="15">
        <v>-599</v>
      </c>
      <c r="I135" s="45">
        <f>IFERROR(H135/H13, 0)</f>
        <v>-1.0672436687906954E-3</v>
      </c>
      <c r="J135" s="63"/>
      <c r="K135" s="15">
        <f>E135-H135</f>
        <v>1006.668</v>
      </c>
      <c r="L135" s="45">
        <f>IF(ROUND(K135, 2)=0, 0, IFERROR(K135/ABS(H135), IF(K135&lt;0, -1, 1)))</f>
        <v>1.6805809682804675</v>
      </c>
    </row>
    <row r="136" spans="2:12" ht="16" customHeight="1" x14ac:dyDescent="0.35">
      <c r="B136" s="16" t="s">
        <v>243</v>
      </c>
      <c r="C136" s="16" t="s">
        <v>244</v>
      </c>
      <c r="D136" s="64"/>
      <c r="E136" s="17">
        <v>407.66800000000001</v>
      </c>
      <c r="F136" s="84">
        <f>IFERROR(E136/E13, 0)</f>
        <v>6.2877571097726462E-4</v>
      </c>
      <c r="G136" s="65"/>
      <c r="H136" s="17">
        <v>-599</v>
      </c>
      <c r="I136" s="84">
        <f>IFERROR(H136/H13, 0)</f>
        <v>-1.0672436687906954E-3</v>
      </c>
      <c r="J136" s="65"/>
      <c r="K136" s="17">
        <f>E136-H136</f>
        <v>1006.668</v>
      </c>
      <c r="L136" s="84">
        <f>IF(ROUND(K136, 2)=0, 0, IFERROR(K136/ABS(H136), IF(K136&lt;0, -1, 1)))</f>
        <v>1.6805809682804675</v>
      </c>
    </row>
    <row r="137" spans="2:12" ht="16" customHeight="1" thickBot="1" x14ac:dyDescent="0.4">
      <c r="B137" s="11" t="s">
        <v>245</v>
      </c>
      <c r="C137" s="11" t="s">
        <v>22</v>
      </c>
      <c r="D137" s="29"/>
      <c r="E137" s="12"/>
      <c r="F137" s="85"/>
      <c r="G137" s="12"/>
      <c r="H137" s="12"/>
      <c r="I137" s="85"/>
      <c r="J137" s="12"/>
      <c r="K137" s="12"/>
      <c r="L137" s="85"/>
    </row>
    <row r="138" spans="2:12" ht="16" customHeight="1" thickBot="1" x14ac:dyDescent="0.4">
      <c r="B138" s="18" t="s">
        <v>246</v>
      </c>
      <c r="C138" s="18" t="s">
        <v>247</v>
      </c>
      <c r="D138" s="66"/>
      <c r="E138" s="19">
        <v>179577.32383000001</v>
      </c>
      <c r="F138" s="86">
        <f>IFERROR(E138/E13, 0)</f>
        <v>0.27697503720331917</v>
      </c>
      <c r="G138" s="68"/>
      <c r="H138" s="19">
        <v>109167.70668</v>
      </c>
      <c r="I138" s="86">
        <f>IFERROR(H138/H13, 0)</f>
        <v>0.19450508145347198</v>
      </c>
      <c r="J138" s="68"/>
      <c r="K138" s="19">
        <f>E138-H138</f>
        <v>70409.617150000005</v>
      </c>
      <c r="L138" s="86">
        <f>IF(ROUND(K138, 2)=0, 0, IFERROR(K138/ABS(H138), IF(K138&lt;0, -1, 1)))</f>
        <v>0.64496744771225789</v>
      </c>
    </row>
    <row r="139" spans="2:12" ht="16" customHeight="1" x14ac:dyDescent="0.35">
      <c r="B139" s="11" t="s">
        <v>248</v>
      </c>
      <c r="C139" s="11" t="s">
        <v>22</v>
      </c>
      <c r="D139" s="29"/>
      <c r="E139" s="12"/>
      <c r="F139" s="85"/>
      <c r="G139" s="12"/>
      <c r="H139" s="12"/>
      <c r="I139" s="85"/>
      <c r="J139" s="12"/>
      <c r="K139" s="12"/>
      <c r="L139" s="85"/>
    </row>
    <row r="140" spans="2:12" ht="16" customHeight="1" x14ac:dyDescent="0.35">
      <c r="B140" s="14" t="s">
        <v>249</v>
      </c>
      <c r="C140" s="14" t="s">
        <v>250</v>
      </c>
      <c r="D140" s="61"/>
      <c r="E140" s="15">
        <v>-14745.97442</v>
      </c>
      <c r="F140" s="45">
        <f>IFERROR(E140/E13, 0)</f>
        <v>-2.2743778147875371E-2</v>
      </c>
      <c r="G140" s="63"/>
      <c r="H140" s="15">
        <v>-13647.130939999999</v>
      </c>
      <c r="I140" s="45">
        <f>IFERROR(H140/H13, 0)</f>
        <v>-2.431521551397765E-2</v>
      </c>
      <c r="J140" s="63"/>
      <c r="K140" s="15">
        <f>E140-H140</f>
        <v>-1098.8434800000014</v>
      </c>
      <c r="L140" s="45">
        <f>IF(ROUND(K140, 2)=0, 0, IFERROR(K140/ABS(H140), IF(K140&lt;0, -1, 1)))</f>
        <v>-8.0518277785352699E-2</v>
      </c>
    </row>
    <row r="141" spans="2:12" ht="16" customHeight="1" x14ac:dyDescent="0.35">
      <c r="B141" s="14" t="s">
        <v>251</v>
      </c>
      <c r="C141" s="14" t="s">
        <v>252</v>
      </c>
      <c r="D141" s="61"/>
      <c r="E141" s="15">
        <v>3530.3969999999999</v>
      </c>
      <c r="F141" s="45">
        <f>IFERROR(E141/E13, 0)</f>
        <v>5.445185503171703E-3</v>
      </c>
      <c r="G141" s="63"/>
      <c r="H141" s="15">
        <v>781.22532000000001</v>
      </c>
      <c r="I141" s="45">
        <f>IFERROR(H141/H13, 0)</f>
        <v>1.3919161547061522E-3</v>
      </c>
      <c r="J141" s="63"/>
      <c r="K141" s="15">
        <f>E141-H141</f>
        <v>2749.1716799999999</v>
      </c>
      <c r="L141" s="45">
        <f>IF(ROUND(K141, 2)=0, 0, IFERROR(K141/ABS(H141), IF(K141&lt;0, -1, 1)))</f>
        <v>3.5190509186261396</v>
      </c>
    </row>
    <row r="142" spans="2:12" ht="16" customHeight="1" x14ac:dyDescent="0.35">
      <c r="B142" s="16" t="s">
        <v>253</v>
      </c>
      <c r="C142" s="16" t="s">
        <v>254</v>
      </c>
      <c r="D142" s="64"/>
      <c r="E142" s="17">
        <v>-11215.57742</v>
      </c>
      <c r="F142" s="84">
        <f>IFERROR(E142/E13, 0)</f>
        <v>-1.7298592644703667E-2</v>
      </c>
      <c r="G142" s="65"/>
      <c r="H142" s="17">
        <v>-12865.90562</v>
      </c>
      <c r="I142" s="84">
        <f>IFERROR(H142/H13, 0)</f>
        <v>-2.2923299359271499E-2</v>
      </c>
      <c r="J142" s="65"/>
      <c r="K142" s="17">
        <f>E142-H142</f>
        <v>1650.3281999999999</v>
      </c>
      <c r="L142" s="84">
        <f>IF(ROUND(K142, 2)=0, 0, IFERROR(K142/ABS(H142), IF(K142&lt;0, -1, 1)))</f>
        <v>0.12827143683026643</v>
      </c>
    </row>
    <row r="143" spans="2:12" ht="16" customHeight="1" x14ac:dyDescent="0.35">
      <c r="B143" s="11" t="s">
        <v>255</v>
      </c>
      <c r="C143" s="11" t="s">
        <v>22</v>
      </c>
      <c r="D143" s="29"/>
      <c r="E143" s="12"/>
      <c r="F143" s="85"/>
      <c r="G143" s="12"/>
      <c r="H143" s="12"/>
      <c r="I143" s="85"/>
      <c r="J143" s="12"/>
      <c r="K143" s="12"/>
      <c r="L143" s="85"/>
    </row>
    <row r="144" spans="2:12" ht="16" customHeight="1" x14ac:dyDescent="0.35">
      <c r="B144" s="14" t="s">
        <v>256</v>
      </c>
      <c r="C144" s="14" t="s">
        <v>257</v>
      </c>
      <c r="D144" s="61"/>
      <c r="E144" s="15"/>
      <c r="F144" s="45">
        <f>IFERROR(E144/E13, 0)</f>
        <v>0</v>
      </c>
      <c r="G144" s="63"/>
      <c r="H144" s="15"/>
      <c r="I144" s="45">
        <f>IFERROR(H144/H13, 0)</f>
        <v>0</v>
      </c>
      <c r="J144" s="63"/>
      <c r="K144" s="15">
        <f>E144-H144</f>
        <v>0</v>
      </c>
      <c r="L144" s="45">
        <f>IF(ROUND(K144, 2)=0, 0, IFERROR(K144/ABS(H144), IF(K144&lt;0, -1, 1)))</f>
        <v>0</v>
      </c>
    </row>
    <row r="145" spans="2:12" ht="16" customHeight="1" thickBot="1" x14ac:dyDescent="0.4">
      <c r="B145" s="11" t="s">
        <v>258</v>
      </c>
      <c r="C145" s="11" t="s">
        <v>22</v>
      </c>
      <c r="D145" s="29"/>
      <c r="E145" s="12"/>
      <c r="F145" s="85"/>
      <c r="G145" s="12"/>
      <c r="H145" s="12"/>
      <c r="I145" s="85"/>
      <c r="J145" s="12"/>
      <c r="K145" s="12"/>
      <c r="L145" s="85"/>
    </row>
    <row r="146" spans="2:12" ht="16" customHeight="1" thickBot="1" x14ac:dyDescent="0.4">
      <c r="B146" s="18" t="s">
        <v>259</v>
      </c>
      <c r="C146" s="18" t="s">
        <v>260</v>
      </c>
      <c r="D146" s="66"/>
      <c r="E146" s="19">
        <v>168361.74640999999</v>
      </c>
      <c r="F146" s="86">
        <f>IFERROR(E146/E13, 0)</f>
        <v>0.25967644455861549</v>
      </c>
      <c r="G146" s="68"/>
      <c r="H146" s="19">
        <v>96301.801059999998</v>
      </c>
      <c r="I146" s="86">
        <f>IFERROR(H146/H13, 0)</f>
        <v>0.17158178209420047</v>
      </c>
      <c r="J146" s="68"/>
      <c r="K146" s="19">
        <f>E146-H146</f>
        <v>72059.945349999995</v>
      </c>
      <c r="L146" s="86">
        <f>IF(ROUND(K146, 2)=0, 0, IFERROR(K146/ABS(H146), IF(K146&lt;0, -1, 1)))</f>
        <v>0.74827204223422228</v>
      </c>
    </row>
    <row r="147" spans="2:12" ht="16" customHeight="1" x14ac:dyDescent="0.35">
      <c r="B147" s="11" t="s">
        <v>261</v>
      </c>
      <c r="C147" s="11" t="s">
        <v>22</v>
      </c>
      <c r="D147" s="29"/>
      <c r="E147" s="12"/>
      <c r="F147" s="85"/>
      <c r="G147" s="12"/>
      <c r="H147" s="12"/>
      <c r="I147" s="85"/>
      <c r="J147" s="12"/>
      <c r="K147" s="12"/>
      <c r="L147" s="85"/>
    </row>
    <row r="148" spans="2:12" ht="16" customHeight="1" x14ac:dyDescent="0.35">
      <c r="B148" s="14" t="s">
        <v>262</v>
      </c>
      <c r="C148" s="14" t="s">
        <v>263</v>
      </c>
      <c r="D148" s="61"/>
      <c r="E148" s="15"/>
      <c r="F148" s="45">
        <f>IFERROR(E148/E13, 0)</f>
        <v>0</v>
      </c>
      <c r="G148" s="63"/>
      <c r="H148" s="15"/>
      <c r="I148" s="45">
        <f>IFERROR(H148/H13, 0)</f>
        <v>0</v>
      </c>
      <c r="J148" s="63"/>
      <c r="K148" s="15">
        <f>E148-H148</f>
        <v>0</v>
      </c>
      <c r="L148" s="45">
        <f>IF(ROUND(K148, 2)=0, 0, IFERROR(K148/ABS(H148), IF(K148&lt;0, -1, 1)))</f>
        <v>0</v>
      </c>
    </row>
    <row r="149" spans="2:12" ht="16" customHeight="1" thickBot="1" x14ac:dyDescent="0.4">
      <c r="B149" s="11" t="s">
        <v>264</v>
      </c>
      <c r="C149" s="11" t="s">
        <v>22</v>
      </c>
      <c r="D149" s="29"/>
      <c r="E149" s="12"/>
      <c r="F149" s="85"/>
      <c r="G149" s="12"/>
      <c r="H149" s="12"/>
      <c r="I149" s="85"/>
      <c r="J149" s="12"/>
      <c r="K149" s="12"/>
      <c r="L149" s="85"/>
    </row>
    <row r="150" spans="2:12" ht="16" customHeight="1" thickBot="1" x14ac:dyDescent="0.4">
      <c r="B150" s="18" t="s">
        <v>265</v>
      </c>
      <c r="C150" s="18" t="s">
        <v>266</v>
      </c>
      <c r="D150" s="66"/>
      <c r="E150" s="19">
        <v>168361.74640999999</v>
      </c>
      <c r="F150" s="86">
        <f>IFERROR(E150/E13, 0)</f>
        <v>0.25967644455861549</v>
      </c>
      <c r="G150" s="68"/>
      <c r="H150" s="19">
        <v>96301.801059999998</v>
      </c>
      <c r="I150" s="86">
        <f>IFERROR(H150/H13, 0)</f>
        <v>0.17158178209420047</v>
      </c>
      <c r="J150" s="68"/>
      <c r="K150" s="19">
        <f>E150-H150</f>
        <v>72059.945349999995</v>
      </c>
      <c r="L150" s="86">
        <f>IF(ROUND(K150, 2)=0, 0, IFERROR(K150/ABS(H150), IF(K150&lt;0, -1, 1)))</f>
        <v>0.74827204223422228</v>
      </c>
    </row>
  </sheetData>
  <mergeCells count="1">
    <mergeCell ref="B6:C6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97CD7-C91B-4543-AA70-11FA359C5DA1}">
  <dimension ref="A3:L150"/>
  <sheetViews>
    <sheetView showGridLines="0" workbookViewId="0">
      <pane ySplit="9" topLeftCell="A10" activePane="bottomLeft" state="frozen"/>
      <selection pane="bottomLeft" activeCell="B4" sqref="B4"/>
    </sheetView>
  </sheetViews>
  <sheetFormatPr defaultColWidth="9.1796875" defaultRowHeight="16" customHeight="1" x14ac:dyDescent="0.35"/>
  <cols>
    <col min="1" max="1" width="2" style="1" customWidth="1"/>
    <col min="2" max="2" width="10.7265625" style="1" customWidth="1"/>
    <col min="3" max="3" width="60.7265625" style="1" customWidth="1"/>
    <col min="4" max="4" width="1.54296875" style="1" customWidth="1"/>
    <col min="5" max="6" width="15.7265625" style="1" customWidth="1"/>
    <col min="7" max="7" width="1.54296875" style="1" customWidth="1"/>
    <col min="8" max="9" width="15.7265625" style="1" customWidth="1"/>
    <col min="10" max="10" width="1.54296875" style="1" customWidth="1"/>
    <col min="11" max="27" width="15.7265625" style="1" customWidth="1"/>
    <col min="28" max="16384" width="9.1796875" style="1"/>
  </cols>
  <sheetData>
    <row r="3" spans="1:12" ht="16" customHeight="1" x14ac:dyDescent="0.35">
      <c r="B3" s="2" t="s">
        <v>1608</v>
      </c>
    </row>
    <row r="4" spans="1:12" ht="16" customHeight="1" x14ac:dyDescent="0.35">
      <c r="B4" s="4" t="s">
        <v>270</v>
      </c>
    </row>
    <row r="5" spans="1:12" ht="16" customHeight="1" x14ac:dyDescent="0.35">
      <c r="B5" s="4" t="s">
        <v>1599</v>
      </c>
    </row>
    <row r="6" spans="1:12" ht="16" customHeight="1" x14ac:dyDescent="0.35">
      <c r="A6" s="20"/>
      <c r="B6" s="56">
        <v>46189.338230127316</v>
      </c>
      <c r="C6" s="56"/>
    </row>
    <row r="7" spans="1:12" ht="16" customHeight="1" x14ac:dyDescent="0.35">
      <c r="A7" s="20"/>
      <c r="B7" s="87"/>
      <c r="C7" s="87"/>
    </row>
    <row r="8" spans="1:12" ht="16" customHeight="1" x14ac:dyDescent="0.35">
      <c r="E8" s="81" t="s">
        <v>1600</v>
      </c>
      <c r="F8" s="81"/>
      <c r="G8" s="81"/>
      <c r="H8" s="81" t="s">
        <v>1601</v>
      </c>
      <c r="I8" s="81"/>
      <c r="J8" s="81"/>
      <c r="K8" s="81"/>
      <c r="L8" s="81"/>
    </row>
    <row r="9" spans="1:12" ht="16" customHeight="1" thickBot="1" x14ac:dyDescent="0.4">
      <c r="E9" s="83" t="s">
        <v>1602</v>
      </c>
      <c r="F9" s="83" t="s">
        <v>1603</v>
      </c>
      <c r="H9" s="83" t="s">
        <v>1604</v>
      </c>
      <c r="I9" s="83" t="s">
        <v>1603</v>
      </c>
      <c r="K9" s="83" t="s">
        <v>1605</v>
      </c>
      <c r="L9" s="83" t="s">
        <v>1606</v>
      </c>
    </row>
    <row r="10" spans="1:12" ht="16" customHeight="1" x14ac:dyDescent="0.35">
      <c r="B10" s="14" t="s">
        <v>13</v>
      </c>
      <c r="C10" s="14" t="s">
        <v>14</v>
      </c>
      <c r="D10" s="61"/>
      <c r="E10" s="15">
        <v>22632.90928</v>
      </c>
      <c r="F10" s="45">
        <f>IFERROR(E10/E13, 0)</f>
        <v>7.101589238776472E-2</v>
      </c>
      <c r="G10" s="63"/>
      <c r="H10" s="15">
        <v>20586.87268</v>
      </c>
      <c r="I10" s="45">
        <f>IFERROR(H10/H13, 0)</f>
        <v>7.0468882082166714E-2</v>
      </c>
      <c r="J10" s="63"/>
      <c r="K10" s="15">
        <f>E10-H10</f>
        <v>2046.0365999999995</v>
      </c>
      <c r="L10" s="45">
        <f>IF(ROUND(K10, 2)=0, 0, IFERROR(K10/ABS(H10), IF(K10&lt;0, -1, 1)))</f>
        <v>9.9385498312607207E-2</v>
      </c>
    </row>
    <row r="11" spans="1:12" ht="16" customHeight="1" x14ac:dyDescent="0.35">
      <c r="B11" s="14" t="s">
        <v>15</v>
      </c>
      <c r="C11" s="14" t="s">
        <v>16</v>
      </c>
      <c r="D11" s="61"/>
      <c r="E11" s="15"/>
      <c r="F11" s="45">
        <f>IFERROR(E11/E13, 0)</f>
        <v>0</v>
      </c>
      <c r="G11" s="63"/>
      <c r="H11" s="15"/>
      <c r="I11" s="45">
        <f>IFERROR(H11/H13, 0)</f>
        <v>0</v>
      </c>
      <c r="J11" s="63"/>
      <c r="K11" s="15">
        <f>E11-H11</f>
        <v>0</v>
      </c>
      <c r="L11" s="45">
        <f>IF(ROUND(K11, 2)=0, 0, IFERROR(K11/ABS(H11), IF(K11&lt;0, -1, 1)))</f>
        <v>0</v>
      </c>
    </row>
    <row r="12" spans="1:12" ht="16" customHeight="1" x14ac:dyDescent="0.35">
      <c r="B12" s="14" t="s">
        <v>17</v>
      </c>
      <c r="C12" s="14" t="s">
        <v>18</v>
      </c>
      <c r="D12" s="61"/>
      <c r="E12" s="15">
        <v>296069.12372999999</v>
      </c>
      <c r="F12" s="45">
        <f>IFERROR(E12/E13, 0)</f>
        <v>0.92898410761223527</v>
      </c>
      <c r="G12" s="63"/>
      <c r="H12" s="15">
        <v>271554.45370000001</v>
      </c>
      <c r="I12" s="45">
        <f>IFERROR(H12/H13, 0)</f>
        <v>0.92953111791783338</v>
      </c>
      <c r="J12" s="63"/>
      <c r="K12" s="15">
        <f>E12-H12</f>
        <v>24514.670029999979</v>
      </c>
      <c r="L12" s="45">
        <f>IF(ROUND(K12, 2)=0, 0, IFERROR(K12/ABS(H12), IF(K12&lt;0, -1, 1)))</f>
        <v>9.0275337767365724E-2</v>
      </c>
    </row>
    <row r="13" spans="1:12" ht="16" customHeight="1" x14ac:dyDescent="0.35">
      <c r="B13" s="16" t="s">
        <v>19</v>
      </c>
      <c r="C13" s="16" t="s">
        <v>20</v>
      </c>
      <c r="D13" s="64"/>
      <c r="E13" s="17">
        <v>318702.03301000001</v>
      </c>
      <c r="F13" s="84">
        <f>IFERROR(E13/E13, 0)</f>
        <v>1</v>
      </c>
      <c r="G13" s="65"/>
      <c r="H13" s="17">
        <v>292141.32637999998</v>
      </c>
      <c r="I13" s="84">
        <f>IFERROR(H13/H13, 0)</f>
        <v>1</v>
      </c>
      <c r="J13" s="65"/>
      <c r="K13" s="17">
        <f>E13-H13</f>
        <v>26560.70663000003</v>
      </c>
      <c r="L13" s="84">
        <f>IF(ROUND(K13, 2)=0, 0, IFERROR(K13/ABS(H13), IF(K13&lt;0, -1, 1)))</f>
        <v>9.0917320596578144E-2</v>
      </c>
    </row>
    <row r="14" spans="1:12" ht="16" customHeight="1" x14ac:dyDescent="0.35">
      <c r="B14" s="11" t="s">
        <v>21</v>
      </c>
      <c r="C14" s="11" t="s">
        <v>22</v>
      </c>
      <c r="D14" s="29"/>
      <c r="E14" s="12"/>
      <c r="F14" s="85"/>
      <c r="G14" s="12"/>
      <c r="H14" s="12"/>
      <c r="I14" s="85"/>
      <c r="J14" s="12"/>
      <c r="K14" s="12"/>
      <c r="L14" s="85"/>
    </row>
    <row r="15" spans="1:12" ht="16" customHeight="1" x14ac:dyDescent="0.35">
      <c r="B15" s="14" t="s">
        <v>23</v>
      </c>
      <c r="C15" s="14" t="s">
        <v>24</v>
      </c>
      <c r="D15" s="61"/>
      <c r="E15" s="15">
        <v>-32906.101269999999</v>
      </c>
      <c r="F15" s="45">
        <f>IFERROR(E15/E13, 0)</f>
        <v>-0.10325036511131228</v>
      </c>
      <c r="G15" s="63"/>
      <c r="H15" s="15">
        <v>-32827.391199999998</v>
      </c>
      <c r="I15" s="45">
        <f>IFERROR(H15/H13, 0)</f>
        <v>-0.11236818702363283</v>
      </c>
      <c r="J15" s="63"/>
      <c r="K15" s="15">
        <f t="shared" ref="K15:K22" si="0">E15-H15</f>
        <v>-78.710070000000997</v>
      </c>
      <c r="L15" s="45">
        <f t="shared" ref="L15:L22" si="1">IF(ROUND(K15, 2)=0, 0, IFERROR(K15/ABS(H15), IF(K15&lt;0, -1, 1)))</f>
        <v>-2.3976949468954754E-3</v>
      </c>
    </row>
    <row r="16" spans="1:12" ht="16" customHeight="1" x14ac:dyDescent="0.35">
      <c r="B16" s="14" t="s">
        <v>25</v>
      </c>
      <c r="C16" s="14" t="s">
        <v>26</v>
      </c>
      <c r="D16" s="61"/>
      <c r="E16" s="15">
        <v>-503.53437000000002</v>
      </c>
      <c r="F16" s="45">
        <f>IFERROR(E16/E13, 0)</f>
        <v>-1.579953429365794E-3</v>
      </c>
      <c r="G16" s="63"/>
      <c r="H16" s="15">
        <v>-620.82910000000004</v>
      </c>
      <c r="I16" s="45">
        <f>IFERROR(H16/H13, 0)</f>
        <v>-2.1250985189013027E-3</v>
      </c>
      <c r="J16" s="63"/>
      <c r="K16" s="15">
        <f t="shared" si="0"/>
        <v>117.29473000000002</v>
      </c>
      <c r="L16" s="45">
        <f t="shared" si="1"/>
        <v>0.18893239701553941</v>
      </c>
    </row>
    <row r="17" spans="2:12" ht="16" customHeight="1" x14ac:dyDescent="0.35">
      <c r="B17" s="14" t="s">
        <v>27</v>
      </c>
      <c r="C17" s="14" t="s">
        <v>28</v>
      </c>
      <c r="D17" s="61"/>
      <c r="E17" s="15">
        <v>-7842.8679599999996</v>
      </c>
      <c r="F17" s="45">
        <f>IFERROR(E17/E13, 0)</f>
        <v>-2.460877919706873E-2</v>
      </c>
      <c r="G17" s="63"/>
      <c r="H17" s="15">
        <v>-7728.3123800000003</v>
      </c>
      <c r="I17" s="45">
        <f>IFERROR(H17/H13, 0)</f>
        <v>-2.6454019620447241E-2</v>
      </c>
      <c r="J17" s="63"/>
      <c r="K17" s="15">
        <f t="shared" si="0"/>
        <v>-114.55557999999928</v>
      </c>
      <c r="L17" s="45">
        <f t="shared" si="1"/>
        <v>-1.4822845450250715E-2</v>
      </c>
    </row>
    <row r="18" spans="2:12" ht="16" customHeight="1" x14ac:dyDescent="0.35">
      <c r="B18" s="14" t="s">
        <v>29</v>
      </c>
      <c r="C18" s="14" t="s">
        <v>30</v>
      </c>
      <c r="D18" s="61"/>
      <c r="E18" s="15">
        <v>-2251.2276299999999</v>
      </c>
      <c r="F18" s="45">
        <f>IFERROR(E18/E13, 0)</f>
        <v>-7.0637379019460548E-3</v>
      </c>
      <c r="G18" s="63"/>
      <c r="H18" s="15">
        <v>-1145.5355999999999</v>
      </c>
      <c r="I18" s="45">
        <f>IFERROR(H18/H13, 0)</f>
        <v>-3.9211692991013387E-3</v>
      </c>
      <c r="J18" s="63"/>
      <c r="K18" s="15">
        <f t="shared" si="0"/>
        <v>-1105.6920299999999</v>
      </c>
      <c r="L18" s="45">
        <f t="shared" si="1"/>
        <v>-0.965218392165202</v>
      </c>
    </row>
    <row r="19" spans="2:12" ht="16" customHeight="1" x14ac:dyDescent="0.35">
      <c r="B19" s="14" t="s">
        <v>31</v>
      </c>
      <c r="C19" s="14" t="s">
        <v>32</v>
      </c>
      <c r="D19" s="61"/>
      <c r="E19" s="15">
        <v>-15617.53851</v>
      </c>
      <c r="F19" s="45">
        <f>IFERROR(E19/E13, 0)</f>
        <v>-4.9003573533871886E-2</v>
      </c>
      <c r="G19" s="63"/>
      <c r="H19" s="15">
        <v>-12651.64356</v>
      </c>
      <c r="I19" s="45">
        <f>IFERROR(H19/H13, 0)</f>
        <v>-4.330658629085396E-2</v>
      </c>
      <c r="J19" s="63"/>
      <c r="K19" s="15">
        <f t="shared" si="0"/>
        <v>-2965.8949499999999</v>
      </c>
      <c r="L19" s="45">
        <f t="shared" si="1"/>
        <v>-0.23442764064086546</v>
      </c>
    </row>
    <row r="20" spans="2:12" ht="16" customHeight="1" x14ac:dyDescent="0.35">
      <c r="B20" s="14" t="s">
        <v>33</v>
      </c>
      <c r="C20" s="14" t="s">
        <v>34</v>
      </c>
      <c r="D20" s="61"/>
      <c r="E20" s="15"/>
      <c r="F20" s="45">
        <f>IFERROR(E20/E13, 0)</f>
        <v>0</v>
      </c>
      <c r="G20" s="63"/>
      <c r="H20" s="15"/>
      <c r="I20" s="45">
        <f>IFERROR(H20/H13, 0)</f>
        <v>0</v>
      </c>
      <c r="J20" s="63"/>
      <c r="K20" s="15">
        <f t="shared" si="0"/>
        <v>0</v>
      </c>
      <c r="L20" s="45">
        <f t="shared" si="1"/>
        <v>0</v>
      </c>
    </row>
    <row r="21" spans="2:12" ht="16" customHeight="1" x14ac:dyDescent="0.35">
      <c r="B21" s="14" t="s">
        <v>35</v>
      </c>
      <c r="C21" s="14" t="s">
        <v>36</v>
      </c>
      <c r="D21" s="61"/>
      <c r="E21" s="15"/>
      <c r="F21" s="45">
        <f>IFERROR(E21/E13, 0)</f>
        <v>0</v>
      </c>
      <c r="G21" s="63"/>
      <c r="H21" s="15"/>
      <c r="I21" s="45">
        <f>IFERROR(H21/H13, 0)</f>
        <v>0</v>
      </c>
      <c r="J21" s="63"/>
      <c r="K21" s="15">
        <f t="shared" si="0"/>
        <v>0</v>
      </c>
      <c r="L21" s="45">
        <f t="shared" si="1"/>
        <v>0</v>
      </c>
    </row>
    <row r="22" spans="2:12" ht="16" customHeight="1" x14ac:dyDescent="0.35">
      <c r="B22" s="16" t="s">
        <v>39</v>
      </c>
      <c r="C22" s="16" t="s">
        <v>40</v>
      </c>
      <c r="D22" s="64"/>
      <c r="E22" s="17">
        <v>-59121.269740000003</v>
      </c>
      <c r="F22" s="84">
        <f>IFERROR(E22/E13, 0)</f>
        <v>-0.18550640917356476</v>
      </c>
      <c r="G22" s="65"/>
      <c r="H22" s="17">
        <v>-54973.711840000004</v>
      </c>
      <c r="I22" s="84">
        <f>IFERROR(H22/H13, 0)</f>
        <v>-0.18817506075293669</v>
      </c>
      <c r="J22" s="65"/>
      <c r="K22" s="17">
        <f t="shared" si="0"/>
        <v>-4147.5578999999998</v>
      </c>
      <c r="L22" s="84">
        <f t="shared" si="1"/>
        <v>-7.5446204398047417E-2</v>
      </c>
    </row>
    <row r="23" spans="2:12" ht="16" customHeight="1" x14ac:dyDescent="0.35">
      <c r="B23" s="11" t="s">
        <v>41</v>
      </c>
      <c r="C23" s="11" t="s">
        <v>22</v>
      </c>
      <c r="D23" s="29"/>
      <c r="E23" s="12"/>
      <c r="F23" s="85"/>
      <c r="G23" s="12"/>
      <c r="H23" s="12"/>
      <c r="I23" s="85"/>
      <c r="J23" s="12"/>
      <c r="K23" s="12"/>
      <c r="L23" s="85"/>
    </row>
    <row r="24" spans="2:12" ht="16" customHeight="1" x14ac:dyDescent="0.35">
      <c r="B24" s="14" t="s">
        <v>42</v>
      </c>
      <c r="C24" s="14" t="s">
        <v>43</v>
      </c>
      <c r="D24" s="61"/>
      <c r="E24" s="15">
        <v>-28543.089489999998</v>
      </c>
      <c r="F24" s="45">
        <f>IFERROR(E24/E13, 0)</f>
        <v>-8.9560424890996512E-2</v>
      </c>
      <c r="G24" s="63"/>
      <c r="H24" s="15">
        <v>-15462.70082</v>
      </c>
      <c r="I24" s="45">
        <f>IFERROR(H24/H13, 0)</f>
        <v>-5.2928837599261952E-2</v>
      </c>
      <c r="J24" s="63"/>
      <c r="K24" s="15">
        <f t="shared" ref="K24:K38" si="2">E24-H24</f>
        <v>-13080.388669999998</v>
      </c>
      <c r="L24" s="45">
        <f t="shared" ref="L24:L38" si="3">IF(ROUND(K24, 2)=0, 0, IFERROR(K24/ABS(H24), IF(K24&lt;0, -1, 1)))</f>
        <v>-0.84593169215829134</v>
      </c>
    </row>
    <row r="25" spans="2:12" ht="16" customHeight="1" x14ac:dyDescent="0.35">
      <c r="B25" s="14" t="s">
        <v>44</v>
      </c>
      <c r="C25" s="14" t="s">
        <v>45</v>
      </c>
      <c r="D25" s="61"/>
      <c r="E25" s="15">
        <v>-19666.247009999999</v>
      </c>
      <c r="F25" s="45">
        <f>IFERROR(E25/E13, 0)</f>
        <v>-6.1707315840633263E-2</v>
      </c>
      <c r="G25" s="63"/>
      <c r="H25" s="15">
        <v>-15379.22596</v>
      </c>
      <c r="I25" s="45">
        <f>IFERROR(H25/H13, 0)</f>
        <v>-5.264310308496245E-2</v>
      </c>
      <c r="J25" s="63"/>
      <c r="K25" s="15">
        <f t="shared" si="2"/>
        <v>-4287.0210499999994</v>
      </c>
      <c r="L25" s="45">
        <f t="shared" si="3"/>
        <v>-0.27875401929525973</v>
      </c>
    </row>
    <row r="26" spans="2:12" ht="16" customHeight="1" x14ac:dyDescent="0.35">
      <c r="B26" s="14" t="s">
        <v>46</v>
      </c>
      <c r="C26" s="14" t="s">
        <v>47</v>
      </c>
      <c r="D26" s="61"/>
      <c r="E26" s="15">
        <v>-4540.0784400000002</v>
      </c>
      <c r="F26" s="45">
        <f>IFERROR(E26/E13, 0)</f>
        <v>-1.4245527074681524E-2</v>
      </c>
      <c r="G26" s="63"/>
      <c r="H26" s="15">
        <v>-4838.6756599999999</v>
      </c>
      <c r="I26" s="45">
        <f>IFERROR(H26/H13, 0)</f>
        <v>-1.6562790755958092E-2</v>
      </c>
      <c r="J26" s="63"/>
      <c r="K26" s="15">
        <f t="shared" si="2"/>
        <v>298.59721999999965</v>
      </c>
      <c r="L26" s="45">
        <f t="shared" si="3"/>
        <v>6.1710525974787003E-2</v>
      </c>
    </row>
    <row r="27" spans="2:12" ht="16" customHeight="1" x14ac:dyDescent="0.35">
      <c r="B27" s="14" t="s">
        <v>48</v>
      </c>
      <c r="C27" s="14" t="s">
        <v>49</v>
      </c>
      <c r="D27" s="61"/>
      <c r="E27" s="15">
        <v>-12739.813410000001</v>
      </c>
      <c r="F27" s="45">
        <f>IFERROR(E27/E13, 0)</f>
        <v>-3.9974057553628033E-2</v>
      </c>
      <c r="G27" s="63"/>
      <c r="H27" s="15">
        <v>-8837.6587899999995</v>
      </c>
      <c r="I27" s="45">
        <f>IFERROR(H27/H13, 0)</f>
        <v>-3.0251313292473044E-2</v>
      </c>
      <c r="J27" s="63"/>
      <c r="K27" s="15">
        <f t="shared" si="2"/>
        <v>-3902.1546200000012</v>
      </c>
      <c r="L27" s="45">
        <f t="shared" si="3"/>
        <v>-0.44153714379823905</v>
      </c>
    </row>
    <row r="28" spans="2:12" ht="16" customHeight="1" x14ac:dyDescent="0.35">
      <c r="B28" s="14" t="s">
        <v>50</v>
      </c>
      <c r="C28" s="14" t="s">
        <v>51</v>
      </c>
      <c r="D28" s="61"/>
      <c r="E28" s="15">
        <v>-12116.532310000001</v>
      </c>
      <c r="F28" s="45">
        <f>IFERROR(E28/E13, 0)</f>
        <v>-3.8018371566584316E-2</v>
      </c>
      <c r="G28" s="63"/>
      <c r="H28" s="15">
        <v>-11154.02521</v>
      </c>
      <c r="I28" s="45">
        <f>IFERROR(H28/H13, 0)</f>
        <v>-3.8180237449499048E-2</v>
      </c>
      <c r="J28" s="63"/>
      <c r="K28" s="15">
        <f t="shared" si="2"/>
        <v>-962.50710000000072</v>
      </c>
      <c r="L28" s="45">
        <f t="shared" si="3"/>
        <v>-8.6292354722049325E-2</v>
      </c>
    </row>
    <row r="29" spans="2:12" ht="16" customHeight="1" x14ac:dyDescent="0.35">
      <c r="B29" s="14" t="s">
        <v>52</v>
      </c>
      <c r="C29" s="14" t="s">
        <v>53</v>
      </c>
      <c r="D29" s="61"/>
      <c r="E29" s="15">
        <v>-31820.823929999999</v>
      </c>
      <c r="F29" s="45">
        <f>IFERROR(E29/E13, 0)</f>
        <v>-9.9845061010331068E-2</v>
      </c>
      <c r="G29" s="63"/>
      <c r="H29" s="15">
        <v>-23369.369620000001</v>
      </c>
      <c r="I29" s="45">
        <f>IFERROR(H29/H13, 0)</f>
        <v>-7.9993371391771262E-2</v>
      </c>
      <c r="J29" s="63"/>
      <c r="K29" s="15">
        <f t="shared" si="2"/>
        <v>-8451.4543099999973</v>
      </c>
      <c r="L29" s="45">
        <f t="shared" si="3"/>
        <v>-0.36164665318002687</v>
      </c>
    </row>
    <row r="30" spans="2:12" ht="16" customHeight="1" x14ac:dyDescent="0.35">
      <c r="B30" s="14" t="s">
        <v>54</v>
      </c>
      <c r="C30" s="14" t="s">
        <v>55</v>
      </c>
      <c r="D30" s="61"/>
      <c r="E30" s="15">
        <v>-14610.13638</v>
      </c>
      <c r="F30" s="45">
        <f>IFERROR(E30/E13, 0)</f>
        <v>-4.5842620588308493E-2</v>
      </c>
      <c r="G30" s="63"/>
      <c r="H30" s="15">
        <v>-14092.64184</v>
      </c>
      <c r="I30" s="45">
        <f>IFERROR(H30/H13, 0)</f>
        <v>-4.823912458612286E-2</v>
      </c>
      <c r="J30" s="63"/>
      <c r="K30" s="15">
        <f t="shared" si="2"/>
        <v>-517.49453999999969</v>
      </c>
      <c r="L30" s="45">
        <f t="shared" si="3"/>
        <v>-3.6720903424307824E-2</v>
      </c>
    </row>
    <row r="31" spans="2:12" ht="16" customHeight="1" x14ac:dyDescent="0.35">
      <c r="B31" s="14" t="s">
        <v>56</v>
      </c>
      <c r="C31" s="14" t="s">
        <v>57</v>
      </c>
      <c r="D31" s="61"/>
      <c r="E31" s="15">
        <v>1960.28072</v>
      </c>
      <c r="F31" s="45">
        <f>IFERROR(E31/E13, 0)</f>
        <v>6.150825903073206E-3</v>
      </c>
      <c r="G31" s="63"/>
      <c r="H31" s="15">
        <v>-8348.3179099999998</v>
      </c>
      <c r="I31" s="45">
        <f>IFERROR(H31/H13, 0)</f>
        <v>-2.8576299058562522E-2</v>
      </c>
      <c r="J31" s="63"/>
      <c r="K31" s="15">
        <f t="shared" si="2"/>
        <v>10308.59863</v>
      </c>
      <c r="L31" s="45">
        <f t="shared" si="3"/>
        <v>1.2348114603604021</v>
      </c>
    </row>
    <row r="32" spans="2:12" ht="16" customHeight="1" x14ac:dyDescent="0.35">
      <c r="B32" s="14" t="s">
        <v>58</v>
      </c>
      <c r="C32" s="14" t="s">
        <v>59</v>
      </c>
      <c r="D32" s="61"/>
      <c r="E32" s="15">
        <v>-2224.2872900000002</v>
      </c>
      <c r="F32" s="45">
        <f>IFERROR(E32/E13, 0)</f>
        <v>-6.9792064675351729E-3</v>
      </c>
      <c r="G32" s="63"/>
      <c r="H32" s="15">
        <v>-6020.7625799999996</v>
      </c>
      <c r="I32" s="45">
        <f>IFERROR(H32/H13, 0)</f>
        <v>-2.0609075253422211E-2</v>
      </c>
      <c r="J32" s="63"/>
      <c r="K32" s="15">
        <f t="shared" si="2"/>
        <v>3796.4752899999994</v>
      </c>
      <c r="L32" s="45">
        <f t="shared" si="3"/>
        <v>0.63056385957009442</v>
      </c>
    </row>
    <row r="33" spans="2:12" ht="16" customHeight="1" x14ac:dyDescent="0.35">
      <c r="B33" s="14" t="s">
        <v>60</v>
      </c>
      <c r="C33" s="14" t="s">
        <v>61</v>
      </c>
      <c r="D33" s="61"/>
      <c r="E33" s="15"/>
      <c r="F33" s="45">
        <f>IFERROR(E33/E13, 0)</f>
        <v>0</v>
      </c>
      <c r="G33" s="63"/>
      <c r="H33" s="15"/>
      <c r="I33" s="45">
        <f>IFERROR(H33/H13, 0)</f>
        <v>0</v>
      </c>
      <c r="J33" s="63"/>
      <c r="K33" s="15">
        <f t="shared" si="2"/>
        <v>0</v>
      </c>
      <c r="L33" s="45">
        <f t="shared" si="3"/>
        <v>0</v>
      </c>
    </row>
    <row r="34" spans="2:12" ht="16" customHeight="1" x14ac:dyDescent="0.35">
      <c r="B34" s="14" t="s">
        <v>62</v>
      </c>
      <c r="C34" s="14" t="s">
        <v>36</v>
      </c>
      <c r="D34" s="61"/>
      <c r="E34" s="15">
        <v>0</v>
      </c>
      <c r="F34" s="45">
        <f>IFERROR(E34/E13, 0)</f>
        <v>0</v>
      </c>
      <c r="G34" s="63"/>
      <c r="H34" s="15">
        <v>0</v>
      </c>
      <c r="I34" s="45">
        <f>IFERROR(H34/H13, 0)</f>
        <v>0</v>
      </c>
      <c r="J34" s="63"/>
      <c r="K34" s="15">
        <f t="shared" si="2"/>
        <v>0</v>
      </c>
      <c r="L34" s="45">
        <f t="shared" si="3"/>
        <v>0</v>
      </c>
    </row>
    <row r="35" spans="2:12" ht="16" customHeight="1" x14ac:dyDescent="0.35">
      <c r="B35" s="14" t="s">
        <v>63</v>
      </c>
      <c r="C35" s="14" t="s">
        <v>64</v>
      </c>
      <c r="D35" s="61"/>
      <c r="E35" s="15">
        <v>0.1208</v>
      </c>
      <c r="F35" s="45">
        <f>IFERROR(E35/E13, 0)</f>
        <v>3.7903743148136627E-7</v>
      </c>
      <c r="G35" s="63"/>
      <c r="H35" s="15">
        <v>0</v>
      </c>
      <c r="I35" s="45">
        <f>IFERROR(H35/H13, 0)</f>
        <v>0</v>
      </c>
      <c r="J35" s="63"/>
      <c r="K35" s="15">
        <f t="shared" si="2"/>
        <v>0.1208</v>
      </c>
      <c r="L35" s="45">
        <f t="shared" si="3"/>
        <v>1</v>
      </c>
    </row>
    <row r="36" spans="2:12" ht="16" customHeight="1" x14ac:dyDescent="0.35">
      <c r="B36" s="14" t="s">
        <v>65</v>
      </c>
      <c r="C36" s="14" t="s">
        <v>66</v>
      </c>
      <c r="D36" s="61"/>
      <c r="E36" s="15"/>
      <c r="F36" s="45">
        <f>IFERROR(E36/E13, 0)</f>
        <v>0</v>
      </c>
      <c r="G36" s="63"/>
      <c r="H36" s="15"/>
      <c r="I36" s="45">
        <f>IFERROR(H36/H13, 0)</f>
        <v>0</v>
      </c>
      <c r="J36" s="63"/>
      <c r="K36" s="15">
        <f t="shared" si="2"/>
        <v>0</v>
      </c>
      <c r="L36" s="45">
        <f t="shared" si="3"/>
        <v>0</v>
      </c>
    </row>
    <row r="37" spans="2:12" ht="16" customHeight="1" x14ac:dyDescent="0.35">
      <c r="B37" s="14" t="s">
        <v>67</v>
      </c>
      <c r="C37" s="14" t="s">
        <v>68</v>
      </c>
      <c r="D37" s="61"/>
      <c r="E37" s="15">
        <v>2307.0169999999998</v>
      </c>
      <c r="F37" s="45">
        <f>IFERROR(E37/E13, 0)</f>
        <v>7.2387897190715816E-3</v>
      </c>
      <c r="G37" s="63"/>
      <c r="H37" s="15">
        <v>97.463999999999999</v>
      </c>
      <c r="I37" s="45">
        <f>IFERROR(H37/H13, 0)</f>
        <v>3.3361935200234096E-4</v>
      </c>
      <c r="J37" s="63"/>
      <c r="K37" s="15">
        <f t="shared" si="2"/>
        <v>2209.5529999999999</v>
      </c>
      <c r="L37" s="45">
        <f t="shared" si="3"/>
        <v>22.670452679963883</v>
      </c>
    </row>
    <row r="38" spans="2:12" ht="16" customHeight="1" x14ac:dyDescent="0.35">
      <c r="B38" s="16" t="s">
        <v>69</v>
      </c>
      <c r="C38" s="16" t="s">
        <v>70</v>
      </c>
      <c r="D38" s="64"/>
      <c r="E38" s="17">
        <v>-121993.58974</v>
      </c>
      <c r="F38" s="84">
        <f>IFERROR(E38/E13, 0)</f>
        <v>-0.38278259033312212</v>
      </c>
      <c r="G38" s="65"/>
      <c r="H38" s="17">
        <v>-107405.91439000001</v>
      </c>
      <c r="I38" s="84">
        <f>IFERROR(H38/H13, 0)</f>
        <v>-0.3676505331200311</v>
      </c>
      <c r="J38" s="65"/>
      <c r="K38" s="17">
        <f t="shared" si="2"/>
        <v>-14587.67534999999</v>
      </c>
      <c r="L38" s="84">
        <f t="shared" si="3"/>
        <v>-0.13581817568286697</v>
      </c>
    </row>
    <row r="39" spans="2:12" ht="16" customHeight="1" x14ac:dyDescent="0.35">
      <c r="B39" s="11" t="s">
        <v>71</v>
      </c>
      <c r="C39" s="11" t="s">
        <v>22</v>
      </c>
      <c r="D39" s="29"/>
      <c r="E39" s="12"/>
      <c r="F39" s="85"/>
      <c r="G39" s="12"/>
      <c r="H39" s="12"/>
      <c r="I39" s="85"/>
      <c r="J39" s="12"/>
      <c r="K39" s="12"/>
      <c r="L39" s="85"/>
    </row>
    <row r="40" spans="2:12" ht="16" customHeight="1" x14ac:dyDescent="0.35">
      <c r="B40" s="16" t="s">
        <v>72</v>
      </c>
      <c r="C40" s="16" t="s">
        <v>73</v>
      </c>
      <c r="D40" s="64"/>
      <c r="E40" s="17">
        <v>-181114.85948000001</v>
      </c>
      <c r="F40" s="84">
        <f>IFERROR(E40/E13, 0)</f>
        <v>-0.56828899950668688</v>
      </c>
      <c r="G40" s="65"/>
      <c r="H40" s="17">
        <v>-162379.62622999999</v>
      </c>
      <c r="I40" s="84">
        <f>IFERROR(H40/H13, 0)</f>
        <v>-0.55582559387296782</v>
      </c>
      <c r="J40" s="65"/>
      <c r="K40" s="17">
        <f>E40-H40</f>
        <v>-18735.233250000019</v>
      </c>
      <c r="L40" s="84">
        <f>IF(ROUND(K40, 2)=0, 0, IFERROR(K40/ABS(H40), IF(K40&lt;0, -1, 1)))</f>
        <v>-0.11537921157339531</v>
      </c>
    </row>
    <row r="41" spans="2:12" ht="16" customHeight="1" thickBot="1" x14ac:dyDescent="0.4">
      <c r="B41" s="11" t="s">
        <v>74</v>
      </c>
      <c r="C41" s="11" t="s">
        <v>22</v>
      </c>
      <c r="D41" s="29"/>
      <c r="E41" s="12"/>
      <c r="F41" s="85"/>
      <c r="G41" s="12"/>
      <c r="H41" s="12"/>
      <c r="I41" s="85"/>
      <c r="J41" s="12"/>
      <c r="K41" s="12"/>
      <c r="L41" s="85"/>
    </row>
    <row r="42" spans="2:12" ht="16" customHeight="1" thickBot="1" x14ac:dyDescent="0.4">
      <c r="B42" s="18" t="s">
        <v>75</v>
      </c>
      <c r="C42" s="18" t="s">
        <v>76</v>
      </c>
      <c r="D42" s="66"/>
      <c r="E42" s="19">
        <v>137587.17353</v>
      </c>
      <c r="F42" s="86">
        <f>IFERROR(E42/E13, 0)</f>
        <v>0.43171100049331307</v>
      </c>
      <c r="G42" s="68"/>
      <c r="H42" s="19">
        <v>129761.70015</v>
      </c>
      <c r="I42" s="86">
        <f>IFERROR(H42/H13, 0)</f>
        <v>0.4441744061270323</v>
      </c>
      <c r="J42" s="68"/>
      <c r="K42" s="19">
        <f>E42-H42</f>
        <v>7825.4733799999958</v>
      </c>
      <c r="L42" s="86">
        <f>IF(ROUND(K42, 2)=0, 0, IFERROR(K42/ABS(H42), IF(K42&lt;0, -1, 1)))</f>
        <v>6.0306495452464179E-2</v>
      </c>
    </row>
    <row r="43" spans="2:12" ht="16" customHeight="1" x14ac:dyDescent="0.35">
      <c r="B43" s="11" t="s">
        <v>77</v>
      </c>
      <c r="C43" s="11" t="s">
        <v>22</v>
      </c>
      <c r="D43" s="29"/>
      <c r="E43" s="12"/>
      <c r="F43" s="85"/>
      <c r="G43" s="12"/>
      <c r="H43" s="12"/>
      <c r="I43" s="85"/>
      <c r="J43" s="12"/>
      <c r="K43" s="12"/>
      <c r="L43" s="85"/>
    </row>
    <row r="44" spans="2:12" ht="16" customHeight="1" x14ac:dyDescent="0.35">
      <c r="B44" s="14" t="s">
        <v>78</v>
      </c>
      <c r="C44" s="14" t="s">
        <v>28</v>
      </c>
      <c r="D44" s="61"/>
      <c r="E44" s="15">
        <v>-2172.5835099999999</v>
      </c>
      <c r="F44" s="45">
        <f>IFERROR(E44/E13, 0)</f>
        <v>-6.8169741167977745E-3</v>
      </c>
      <c r="G44" s="63"/>
      <c r="H44" s="15">
        <v>-2269.36213</v>
      </c>
      <c r="I44" s="45">
        <f>IFERROR(H44/H13, 0)</f>
        <v>-7.7680284337730068E-3</v>
      </c>
      <c r="J44" s="63"/>
      <c r="K44" s="15">
        <f t="shared" ref="K44:K50" si="4">E44-H44</f>
        <v>96.778620000000046</v>
      </c>
      <c r="L44" s="45">
        <f t="shared" ref="L44:L50" si="5">IF(ROUND(K44, 2)=0, 0, IFERROR(K44/ABS(H44), IF(K44&lt;0, -1, 1)))</f>
        <v>4.2645736755993216E-2</v>
      </c>
    </row>
    <row r="45" spans="2:12" ht="16" customHeight="1" x14ac:dyDescent="0.35">
      <c r="B45" s="14" t="s">
        <v>79</v>
      </c>
      <c r="C45" s="14" t="s">
        <v>80</v>
      </c>
      <c r="D45" s="61"/>
      <c r="E45" s="15">
        <v>-131.82834</v>
      </c>
      <c r="F45" s="45">
        <f>IFERROR(E45/E13, 0)</f>
        <v>-4.1364135256665769E-4</v>
      </c>
      <c r="G45" s="63"/>
      <c r="H45" s="15">
        <v>-111.17591</v>
      </c>
      <c r="I45" s="45">
        <f>IFERROR(H45/H13, 0)</f>
        <v>-3.8055523118762398E-4</v>
      </c>
      <c r="J45" s="63"/>
      <c r="K45" s="15">
        <f t="shared" si="4"/>
        <v>-20.652429999999995</v>
      </c>
      <c r="L45" s="45">
        <f t="shared" si="5"/>
        <v>-0.18576353456427741</v>
      </c>
    </row>
    <row r="46" spans="2:12" ht="16" customHeight="1" x14ac:dyDescent="0.35">
      <c r="B46" s="14" t="s">
        <v>81</v>
      </c>
      <c r="C46" s="14" t="s">
        <v>82</v>
      </c>
      <c r="D46" s="61"/>
      <c r="E46" s="15">
        <v>-28.119230000000002</v>
      </c>
      <c r="F46" s="45">
        <f>IFERROR(E46/E13, 0)</f>
        <v>-8.8230469490345852E-5</v>
      </c>
      <c r="G46" s="63"/>
      <c r="H46" s="15">
        <v>-126.52939000000001</v>
      </c>
      <c r="I46" s="45">
        <f>IFERROR(H46/H13, 0)</f>
        <v>-4.331102058303731E-4</v>
      </c>
      <c r="J46" s="63"/>
      <c r="K46" s="15">
        <f t="shared" si="4"/>
        <v>98.410160000000005</v>
      </c>
      <c r="L46" s="45">
        <f t="shared" si="5"/>
        <v>0.77776522909025325</v>
      </c>
    </row>
    <row r="47" spans="2:12" ht="16" customHeight="1" x14ac:dyDescent="0.35">
      <c r="B47" s="14" t="s">
        <v>83</v>
      </c>
      <c r="C47" s="14" t="s">
        <v>84</v>
      </c>
      <c r="D47" s="61"/>
      <c r="E47" s="15">
        <v>-51.142899999999997</v>
      </c>
      <c r="F47" s="45">
        <f>IFERROR(E47/E13, 0)</f>
        <v>-1.6047246237175798E-4</v>
      </c>
      <c r="G47" s="63"/>
      <c r="H47" s="15">
        <v>-280.50745000000001</v>
      </c>
      <c r="I47" s="45">
        <f>IFERROR(H47/H13, 0)</f>
        <v>-9.6017723160171002E-4</v>
      </c>
      <c r="J47" s="63"/>
      <c r="K47" s="15">
        <f t="shared" si="4"/>
        <v>229.36455000000001</v>
      </c>
      <c r="L47" s="45">
        <f t="shared" si="5"/>
        <v>0.81767721320770625</v>
      </c>
    </row>
    <row r="48" spans="2:12" ht="16" customHeight="1" x14ac:dyDescent="0.35">
      <c r="B48" s="14" t="s">
        <v>85</v>
      </c>
      <c r="C48" s="14" t="s">
        <v>86</v>
      </c>
      <c r="D48" s="61"/>
      <c r="E48" s="15"/>
      <c r="F48" s="45">
        <f>IFERROR(E48/E13, 0)</f>
        <v>0</v>
      </c>
      <c r="G48" s="63"/>
      <c r="H48" s="15"/>
      <c r="I48" s="45">
        <f>IFERROR(H48/H13, 0)</f>
        <v>0</v>
      </c>
      <c r="J48" s="63"/>
      <c r="K48" s="15">
        <f t="shared" si="4"/>
        <v>0</v>
      </c>
      <c r="L48" s="45">
        <f t="shared" si="5"/>
        <v>0</v>
      </c>
    </row>
    <row r="49" spans="2:12" ht="16" customHeight="1" x14ac:dyDescent="0.35">
      <c r="B49" s="14" t="s">
        <v>87</v>
      </c>
      <c r="C49" s="14" t="s">
        <v>88</v>
      </c>
      <c r="D49" s="61"/>
      <c r="E49" s="15"/>
      <c r="F49" s="45">
        <f>IFERROR(E49/E13, 0)</f>
        <v>0</v>
      </c>
      <c r="G49" s="63"/>
      <c r="H49" s="15"/>
      <c r="I49" s="45">
        <f>IFERROR(H49/H13, 0)</f>
        <v>0</v>
      </c>
      <c r="J49" s="63"/>
      <c r="K49" s="15">
        <f t="shared" si="4"/>
        <v>0</v>
      </c>
      <c r="L49" s="45">
        <f t="shared" si="5"/>
        <v>0</v>
      </c>
    </row>
    <row r="50" spans="2:12" ht="16" customHeight="1" x14ac:dyDescent="0.35">
      <c r="B50" s="16" t="s">
        <v>91</v>
      </c>
      <c r="C50" s="16" t="s">
        <v>92</v>
      </c>
      <c r="D50" s="64"/>
      <c r="E50" s="17">
        <v>-2383.67398</v>
      </c>
      <c r="F50" s="84">
        <f>IFERROR(E50/E13, 0)</f>
        <v>-7.4793184012265359E-3</v>
      </c>
      <c r="G50" s="65"/>
      <c r="H50" s="17">
        <v>-2787.5748800000001</v>
      </c>
      <c r="I50" s="84">
        <f>IFERROR(H50/H13, 0)</f>
        <v>-9.5418711023927145E-3</v>
      </c>
      <c r="J50" s="65"/>
      <c r="K50" s="17">
        <f t="shared" si="4"/>
        <v>403.90090000000009</v>
      </c>
      <c r="L50" s="84">
        <f t="shared" si="5"/>
        <v>0.14489329161984701</v>
      </c>
    </row>
    <row r="51" spans="2:12" ht="16" customHeight="1" x14ac:dyDescent="0.35">
      <c r="B51" s="11" t="s">
        <v>93</v>
      </c>
      <c r="C51" s="11" t="s">
        <v>22</v>
      </c>
      <c r="D51" s="29"/>
      <c r="E51" s="12"/>
      <c r="F51" s="85"/>
      <c r="G51" s="12"/>
      <c r="H51" s="12"/>
      <c r="I51" s="85"/>
      <c r="J51" s="12"/>
      <c r="K51" s="12"/>
      <c r="L51" s="85"/>
    </row>
    <row r="52" spans="2:12" ht="16" customHeight="1" x14ac:dyDescent="0.35">
      <c r="B52" s="14" t="s">
        <v>94</v>
      </c>
      <c r="C52" s="14" t="s">
        <v>28</v>
      </c>
      <c r="D52" s="61"/>
      <c r="E52" s="15">
        <v>-4187.7587299999996</v>
      </c>
      <c r="F52" s="45">
        <f>IFERROR(E52/E13, 0)</f>
        <v>-1.3140043979162816E-2</v>
      </c>
      <c r="G52" s="63"/>
      <c r="H52" s="15">
        <v>-6919.8199100000002</v>
      </c>
      <c r="I52" s="45">
        <f>IFERROR(H52/H13, 0)</f>
        <v>-2.3686549231994352E-2</v>
      </c>
      <c r="J52" s="63"/>
      <c r="K52" s="15">
        <f t="shared" ref="K52:K57" si="6">E52-H52</f>
        <v>2732.0611800000006</v>
      </c>
      <c r="L52" s="45">
        <f t="shared" ref="L52:L57" si="7">IF(ROUND(K52, 2)=0, 0, IFERROR(K52/ABS(H52), IF(K52&lt;0, -1, 1)))</f>
        <v>0.3948168038378907</v>
      </c>
    </row>
    <row r="53" spans="2:12" ht="16" customHeight="1" x14ac:dyDescent="0.35">
      <c r="B53" s="14" t="s">
        <v>95</v>
      </c>
      <c r="C53" s="14" t="s">
        <v>80</v>
      </c>
      <c r="D53" s="61"/>
      <c r="E53" s="15">
        <v>-2921.1026499999998</v>
      </c>
      <c r="F53" s="45">
        <f>IFERROR(E53/E13, 0)</f>
        <v>-9.165622893620962E-3</v>
      </c>
      <c r="G53" s="63"/>
      <c r="H53" s="15">
        <v>-2256.0639799999999</v>
      </c>
      <c r="I53" s="45">
        <f>IFERROR(H53/H13, 0)</f>
        <v>-7.7225088554073538E-3</v>
      </c>
      <c r="J53" s="63"/>
      <c r="K53" s="15">
        <f t="shared" si="6"/>
        <v>-665.03866999999991</v>
      </c>
      <c r="L53" s="45">
        <f t="shared" si="7"/>
        <v>-0.29477828461230071</v>
      </c>
    </row>
    <row r="54" spans="2:12" ht="16" customHeight="1" x14ac:dyDescent="0.35">
      <c r="B54" s="14" t="s">
        <v>96</v>
      </c>
      <c r="C54" s="14" t="s">
        <v>97</v>
      </c>
      <c r="D54" s="61"/>
      <c r="E54" s="15">
        <v>760.83792000000005</v>
      </c>
      <c r="F54" s="45">
        <f>IFERROR(E54/E13, 0)</f>
        <v>2.3873017464439176E-3</v>
      </c>
      <c r="G54" s="63"/>
      <c r="H54" s="15">
        <v>4260.9291000000003</v>
      </c>
      <c r="I54" s="45">
        <f>IFERROR(H54/H13, 0)</f>
        <v>1.458516380684066E-2</v>
      </c>
      <c r="J54" s="63"/>
      <c r="K54" s="15">
        <f t="shared" si="6"/>
        <v>-3500.0911800000003</v>
      </c>
      <c r="L54" s="45">
        <f t="shared" si="7"/>
        <v>-0.82143849330888896</v>
      </c>
    </row>
    <row r="55" spans="2:12" ht="16" customHeight="1" x14ac:dyDescent="0.35">
      <c r="B55" s="14" t="s">
        <v>98</v>
      </c>
      <c r="C55" s="14" t="s">
        <v>99</v>
      </c>
      <c r="D55" s="61"/>
      <c r="E55" s="15"/>
      <c r="F55" s="45">
        <f>IFERROR(E55/E13, 0)</f>
        <v>0</v>
      </c>
      <c r="G55" s="63"/>
      <c r="H55" s="15"/>
      <c r="I55" s="45">
        <f>IFERROR(H55/H13, 0)</f>
        <v>0</v>
      </c>
      <c r="J55" s="63"/>
      <c r="K55" s="15">
        <f t="shared" si="6"/>
        <v>0</v>
      </c>
      <c r="L55" s="45">
        <f t="shared" si="7"/>
        <v>0</v>
      </c>
    </row>
    <row r="56" spans="2:12" ht="16" customHeight="1" x14ac:dyDescent="0.35">
      <c r="B56" s="14" t="s">
        <v>100</v>
      </c>
      <c r="C56" s="14" t="s">
        <v>88</v>
      </c>
      <c r="D56" s="61"/>
      <c r="E56" s="15"/>
      <c r="F56" s="45">
        <f>IFERROR(E56/E13, 0)</f>
        <v>0</v>
      </c>
      <c r="G56" s="63"/>
      <c r="H56" s="15"/>
      <c r="I56" s="45">
        <f>IFERROR(H56/H13, 0)</f>
        <v>0</v>
      </c>
      <c r="J56" s="63"/>
      <c r="K56" s="15">
        <f t="shared" si="6"/>
        <v>0</v>
      </c>
      <c r="L56" s="45">
        <f t="shared" si="7"/>
        <v>0</v>
      </c>
    </row>
    <row r="57" spans="2:12" ht="16" customHeight="1" x14ac:dyDescent="0.35">
      <c r="B57" s="16" t="s">
        <v>103</v>
      </c>
      <c r="C57" s="16" t="s">
        <v>104</v>
      </c>
      <c r="D57" s="64"/>
      <c r="E57" s="17">
        <v>-6348.0234600000003</v>
      </c>
      <c r="F57" s="84">
        <f>IFERROR(E57/E13, 0)</f>
        <v>-1.9918365126339863E-2</v>
      </c>
      <c r="G57" s="65"/>
      <c r="H57" s="17">
        <v>-4914.9547899999998</v>
      </c>
      <c r="I57" s="84">
        <f>IFERROR(H57/H13, 0)</f>
        <v>-1.6823894280561046E-2</v>
      </c>
      <c r="J57" s="65"/>
      <c r="K57" s="17">
        <f t="shared" si="6"/>
        <v>-1433.0686700000006</v>
      </c>
      <c r="L57" s="84">
        <f t="shared" si="7"/>
        <v>-0.29157311333071301</v>
      </c>
    </row>
    <row r="58" spans="2:12" ht="16" customHeight="1" thickBot="1" x14ac:dyDescent="0.4">
      <c r="B58" s="11" t="s">
        <v>105</v>
      </c>
      <c r="C58" s="11" t="s">
        <v>22</v>
      </c>
      <c r="D58" s="29"/>
      <c r="E58" s="12"/>
      <c r="F58" s="85"/>
      <c r="G58" s="12"/>
      <c r="H58" s="12"/>
      <c r="I58" s="85"/>
      <c r="J58" s="12"/>
      <c r="K58" s="12"/>
      <c r="L58" s="85"/>
    </row>
    <row r="59" spans="2:12" ht="16" customHeight="1" thickBot="1" x14ac:dyDescent="0.4">
      <c r="B59" s="18" t="s">
        <v>106</v>
      </c>
      <c r="C59" s="18" t="s">
        <v>107</v>
      </c>
      <c r="D59" s="66"/>
      <c r="E59" s="19">
        <v>-8731.6974399999999</v>
      </c>
      <c r="F59" s="86">
        <f>IFERROR(E59/E13, 0)</f>
        <v>-2.7397683527566399E-2</v>
      </c>
      <c r="G59" s="68"/>
      <c r="H59" s="19">
        <v>-7702.5296699999999</v>
      </c>
      <c r="I59" s="86">
        <f>IFERROR(H59/H13, 0)</f>
        <v>-2.6365765382953762E-2</v>
      </c>
      <c r="J59" s="68"/>
      <c r="K59" s="19">
        <f>E59-H59</f>
        <v>-1029.16777</v>
      </c>
      <c r="L59" s="86">
        <f>IF(ROUND(K59, 2)=0, 0, IFERROR(K59/ABS(H59), IF(K59&lt;0, -1, 1)))</f>
        <v>-0.1336142558474559</v>
      </c>
    </row>
    <row r="60" spans="2:12" ht="16" customHeight="1" x14ac:dyDescent="0.35">
      <c r="B60" s="11" t="s">
        <v>108</v>
      </c>
      <c r="C60" s="11" t="s">
        <v>22</v>
      </c>
      <c r="D60" s="29"/>
      <c r="E60" s="12"/>
      <c r="F60" s="85"/>
      <c r="G60" s="12"/>
      <c r="H60" s="12"/>
      <c r="I60" s="85"/>
      <c r="J60" s="12"/>
      <c r="K60" s="12"/>
      <c r="L60" s="85"/>
    </row>
    <row r="61" spans="2:12" ht="16" customHeight="1" x14ac:dyDescent="0.35">
      <c r="B61" s="14" t="s">
        <v>109</v>
      </c>
      <c r="C61" s="14" t="s">
        <v>110</v>
      </c>
      <c r="D61" s="61"/>
      <c r="E61" s="15"/>
      <c r="F61" s="45">
        <f>IFERROR(E61/E13, 0)</f>
        <v>0</v>
      </c>
      <c r="G61" s="63"/>
      <c r="H61" s="15"/>
      <c r="I61" s="45">
        <f>IFERROR(H61/H13, 0)</f>
        <v>0</v>
      </c>
      <c r="J61" s="63"/>
      <c r="K61" s="15">
        <f>E61-H61</f>
        <v>0</v>
      </c>
      <c r="L61" s="45">
        <f>IF(ROUND(K61, 2)=0, 0, IFERROR(K61/ABS(H61), IF(K61&lt;0, -1, 1)))</f>
        <v>0</v>
      </c>
    </row>
    <row r="62" spans="2:12" ht="16" customHeight="1" x14ac:dyDescent="0.35">
      <c r="B62" s="14" t="s">
        <v>111</v>
      </c>
      <c r="C62" s="14" t="s">
        <v>112</v>
      </c>
      <c r="D62" s="61"/>
      <c r="E62" s="15"/>
      <c r="F62" s="45">
        <f>IFERROR(E62/E13, 0)</f>
        <v>0</v>
      </c>
      <c r="G62" s="63"/>
      <c r="H62" s="15"/>
      <c r="I62" s="45">
        <f>IFERROR(H62/H13, 0)</f>
        <v>0</v>
      </c>
      <c r="J62" s="63"/>
      <c r="K62" s="15">
        <f>E62-H62</f>
        <v>0</v>
      </c>
      <c r="L62" s="45">
        <f>IF(ROUND(K62, 2)=0, 0, IFERROR(K62/ABS(H62), IF(K62&lt;0, -1, 1)))</f>
        <v>0</v>
      </c>
    </row>
    <row r="63" spans="2:12" ht="16" customHeight="1" x14ac:dyDescent="0.35">
      <c r="B63" s="16" t="s">
        <v>113</v>
      </c>
      <c r="C63" s="16" t="s">
        <v>114</v>
      </c>
      <c r="D63" s="64"/>
      <c r="E63" s="17"/>
      <c r="F63" s="84">
        <f>IFERROR(E63/E13, 0)</f>
        <v>0</v>
      </c>
      <c r="G63" s="65"/>
      <c r="H63" s="17"/>
      <c r="I63" s="84">
        <f>IFERROR(H63/H13, 0)</f>
        <v>0</v>
      </c>
      <c r="J63" s="65"/>
      <c r="K63" s="17">
        <f>E63-H63</f>
        <v>0</v>
      </c>
      <c r="L63" s="84">
        <f>IF(ROUND(K63, 2)=0, 0, IFERROR(K63/ABS(H63), IF(K63&lt;0, -1, 1)))</f>
        <v>0</v>
      </c>
    </row>
    <row r="64" spans="2:12" ht="16" customHeight="1" thickBot="1" x14ac:dyDescent="0.4">
      <c r="B64" s="11" t="s">
        <v>115</v>
      </c>
      <c r="C64" s="11" t="s">
        <v>22</v>
      </c>
      <c r="D64" s="29"/>
      <c r="E64" s="12"/>
      <c r="F64" s="85"/>
      <c r="G64" s="12"/>
      <c r="H64" s="12"/>
      <c r="I64" s="85"/>
      <c r="J64" s="12"/>
      <c r="K64" s="12"/>
      <c r="L64" s="85"/>
    </row>
    <row r="65" spans="2:12" ht="16" customHeight="1" thickBot="1" x14ac:dyDescent="0.4">
      <c r="B65" s="18" t="s">
        <v>116</v>
      </c>
      <c r="C65" s="18" t="s">
        <v>117</v>
      </c>
      <c r="D65" s="66"/>
      <c r="E65" s="19">
        <v>128855.47609</v>
      </c>
      <c r="F65" s="86">
        <f>IFERROR(E65/E13, 0)</f>
        <v>0.40431331696574668</v>
      </c>
      <c r="G65" s="68"/>
      <c r="H65" s="19">
        <v>122059.17048</v>
      </c>
      <c r="I65" s="86">
        <f>IFERROR(H65/H13, 0)</f>
        <v>0.41780864074407853</v>
      </c>
      <c r="J65" s="68"/>
      <c r="K65" s="19">
        <f>E65-H65</f>
        <v>6796.3056099999958</v>
      </c>
      <c r="L65" s="86">
        <f>IF(ROUND(K65, 2)=0, 0, IFERROR(K65/ABS(H65), IF(K65&lt;0, -1, 1)))</f>
        <v>5.5680417811077978E-2</v>
      </c>
    </row>
    <row r="66" spans="2:12" ht="16" customHeight="1" x14ac:dyDescent="0.35">
      <c r="B66" s="11" t="s">
        <v>118</v>
      </c>
      <c r="C66" s="11" t="s">
        <v>22</v>
      </c>
      <c r="D66" s="29"/>
      <c r="E66" s="12"/>
      <c r="F66" s="85"/>
      <c r="G66" s="12"/>
      <c r="H66" s="12"/>
      <c r="I66" s="85"/>
      <c r="J66" s="12"/>
      <c r="K66" s="12"/>
      <c r="L66" s="85"/>
    </row>
    <row r="67" spans="2:12" ht="16" customHeight="1" x14ac:dyDescent="0.35">
      <c r="B67" s="14" t="s">
        <v>119</v>
      </c>
      <c r="C67" s="14" t="s">
        <v>120</v>
      </c>
      <c r="D67" s="61"/>
      <c r="E67" s="15">
        <v>-1499.8803399999999</v>
      </c>
      <c r="F67" s="45">
        <f>IFERROR(E67/E13, 0)</f>
        <v>-4.7062151622764758E-3</v>
      </c>
      <c r="G67" s="63"/>
      <c r="H67" s="15">
        <v>-4492.7031399999996</v>
      </c>
      <c r="I67" s="45">
        <f>IFERROR(H67/H13, 0)</f>
        <v>-1.537852653601004E-2</v>
      </c>
      <c r="J67" s="63"/>
      <c r="K67" s="15">
        <f>E67-H67</f>
        <v>2992.8227999999999</v>
      </c>
      <c r="L67" s="45">
        <f>IF(ROUND(K67, 2)=0, 0, IFERROR(K67/ABS(H67), IF(K67&lt;0, -1, 1)))</f>
        <v>0.66615191494713366</v>
      </c>
    </row>
    <row r="68" spans="2:12" ht="16" customHeight="1" x14ac:dyDescent="0.35">
      <c r="B68" s="14" t="s">
        <v>121</v>
      </c>
      <c r="C68" s="14" t="s">
        <v>64</v>
      </c>
      <c r="D68" s="61"/>
      <c r="E68" s="15"/>
      <c r="F68" s="45">
        <f>IFERROR(E68/E13, 0)</f>
        <v>0</v>
      </c>
      <c r="G68" s="63"/>
      <c r="H68" s="15"/>
      <c r="I68" s="45">
        <f>IFERROR(H68/H13, 0)</f>
        <v>0</v>
      </c>
      <c r="J68" s="63"/>
      <c r="K68" s="15">
        <f>E68-H68</f>
        <v>0</v>
      </c>
      <c r="L68" s="45">
        <f>IF(ROUND(K68, 2)=0, 0, IFERROR(K68/ABS(H68), IF(K68&lt;0, -1, 1)))</f>
        <v>0</v>
      </c>
    </row>
    <row r="69" spans="2:12" ht="16" customHeight="1" x14ac:dyDescent="0.35">
      <c r="B69" s="14" t="s">
        <v>122</v>
      </c>
      <c r="C69" s="14" t="s">
        <v>123</v>
      </c>
      <c r="D69" s="61"/>
      <c r="E69" s="15"/>
      <c r="F69" s="45">
        <f>IFERROR(E69/E13, 0)</f>
        <v>0</v>
      </c>
      <c r="G69" s="63"/>
      <c r="H69" s="15"/>
      <c r="I69" s="45">
        <f>IFERROR(H69/H13, 0)</f>
        <v>0</v>
      </c>
      <c r="J69" s="63"/>
      <c r="K69" s="15">
        <f>E69-H69</f>
        <v>0</v>
      </c>
      <c r="L69" s="45">
        <f>IF(ROUND(K69, 2)=0, 0, IFERROR(K69/ABS(H69), IF(K69&lt;0, -1, 1)))</f>
        <v>0</v>
      </c>
    </row>
    <row r="70" spans="2:12" ht="16" customHeight="1" thickBot="1" x14ac:dyDescent="0.4">
      <c r="B70" s="11" t="s">
        <v>124</v>
      </c>
      <c r="C70" s="11" t="s">
        <v>22</v>
      </c>
      <c r="D70" s="29"/>
      <c r="E70" s="12"/>
      <c r="F70" s="85"/>
      <c r="G70" s="12"/>
      <c r="H70" s="12"/>
      <c r="I70" s="85"/>
      <c r="J70" s="12"/>
      <c r="K70" s="12"/>
      <c r="L70" s="85"/>
    </row>
    <row r="71" spans="2:12" ht="16" customHeight="1" thickBot="1" x14ac:dyDescent="0.4">
      <c r="B71" s="18" t="s">
        <v>125</v>
      </c>
      <c r="C71" s="18" t="s">
        <v>126</v>
      </c>
      <c r="D71" s="66"/>
      <c r="E71" s="19">
        <v>127355.59574999999</v>
      </c>
      <c r="F71" s="86">
        <f>IFERROR(E71/E13, 0)</f>
        <v>0.3996071018034702</v>
      </c>
      <c r="G71" s="68"/>
      <c r="H71" s="19">
        <v>117566.46734</v>
      </c>
      <c r="I71" s="86">
        <f>IFERROR(H71/H13, 0)</f>
        <v>0.40243011420806846</v>
      </c>
      <c r="J71" s="68"/>
      <c r="K71" s="19">
        <f>E71-H71</f>
        <v>9789.1284099999903</v>
      </c>
      <c r="L71" s="86">
        <f>IF(ROUND(K71, 2)=0, 0, IFERROR(K71/ABS(H71), IF(K71&lt;0, -1, 1)))</f>
        <v>8.3264630055524383E-2</v>
      </c>
    </row>
    <row r="72" spans="2:12" ht="16" customHeight="1" x14ac:dyDescent="0.35">
      <c r="B72" s="11" t="s">
        <v>127</v>
      </c>
      <c r="C72" s="11" t="s">
        <v>22</v>
      </c>
      <c r="D72" s="29"/>
      <c r="E72" s="12"/>
      <c r="F72" s="85"/>
      <c r="G72" s="12"/>
      <c r="H72" s="12"/>
      <c r="I72" s="85"/>
      <c r="J72" s="12"/>
      <c r="K72" s="12"/>
      <c r="L72" s="85"/>
    </row>
    <row r="73" spans="2:12" ht="16" customHeight="1" x14ac:dyDescent="0.35">
      <c r="B73" s="14" t="s">
        <v>128</v>
      </c>
      <c r="C73" s="14" t="s">
        <v>129</v>
      </c>
      <c r="D73" s="61"/>
      <c r="E73" s="15">
        <v>-29970.577539999998</v>
      </c>
      <c r="F73" s="45">
        <f>IFERROR(E73/E13, 0)</f>
        <v>-9.4039492804426514E-2</v>
      </c>
      <c r="G73" s="63"/>
      <c r="H73" s="15">
        <v>-28330.509320000001</v>
      </c>
      <c r="I73" s="45">
        <f>IFERROR(H73/H13, 0)</f>
        <v>-9.6975356657172718E-2</v>
      </c>
      <c r="J73" s="63"/>
      <c r="K73" s="15">
        <f>E73-H73</f>
        <v>-1640.0682199999974</v>
      </c>
      <c r="L73" s="45">
        <f>IF(ROUND(K73, 2)=0, 0, IFERROR(K73/ABS(H73), IF(K73&lt;0, -1, 1)))</f>
        <v>-5.7890530716374615E-2</v>
      </c>
    </row>
    <row r="74" spans="2:12" ht="16" customHeight="1" x14ac:dyDescent="0.35">
      <c r="B74" s="14" t="s">
        <v>130</v>
      </c>
      <c r="C74" s="14" t="s">
        <v>131</v>
      </c>
      <c r="D74" s="61"/>
      <c r="E74" s="15">
        <v>-51.898000000000003</v>
      </c>
      <c r="F74" s="45">
        <f>IFERROR(E74/E13, 0)</f>
        <v>-1.6284176009122471E-4</v>
      </c>
      <c r="G74" s="63"/>
      <c r="H74" s="15">
        <v>-51.713000000000001</v>
      </c>
      <c r="I74" s="45">
        <f>IFERROR(H74/H13, 0)</f>
        <v>-1.7701364144809427E-4</v>
      </c>
      <c r="J74" s="63"/>
      <c r="K74" s="15">
        <f>E74-H74</f>
        <v>-0.18500000000000227</v>
      </c>
      <c r="L74" s="45">
        <f>IF(ROUND(K74, 2)=0, 0, IFERROR(K74/ABS(H74), IF(K74&lt;0, -1, 1)))</f>
        <v>-3.5774370081024555E-3</v>
      </c>
    </row>
    <row r="75" spans="2:12" ht="16" customHeight="1" x14ac:dyDescent="0.35">
      <c r="B75" s="14" t="s">
        <v>132</v>
      </c>
      <c r="C75" s="14" t="s">
        <v>133</v>
      </c>
      <c r="D75" s="61"/>
      <c r="E75" s="15">
        <v>-105.51604</v>
      </c>
      <c r="F75" s="45">
        <f>IFERROR(E75/E13, 0)</f>
        <v>-3.3108053627222767E-4</v>
      </c>
      <c r="G75" s="63"/>
      <c r="H75" s="15"/>
      <c r="I75" s="45">
        <f>IFERROR(H75/H13, 0)</f>
        <v>0</v>
      </c>
      <c r="J75" s="63"/>
      <c r="K75" s="15">
        <f>E75-H75</f>
        <v>-105.51604</v>
      </c>
      <c r="L75" s="45">
        <f>IF(ROUND(K75, 2)=0, 0, IFERROR(K75/ABS(H75), IF(K75&lt;0, -1, 1)))</f>
        <v>-1</v>
      </c>
    </row>
    <row r="76" spans="2:12" ht="16" customHeight="1" x14ac:dyDescent="0.35">
      <c r="B76" s="14" t="s">
        <v>134</v>
      </c>
      <c r="C76" s="14" t="s">
        <v>135</v>
      </c>
      <c r="D76" s="61"/>
      <c r="E76" s="15"/>
      <c r="F76" s="45">
        <f>IFERROR(E76/E13, 0)</f>
        <v>0</v>
      </c>
      <c r="G76" s="63"/>
      <c r="H76" s="15"/>
      <c r="I76" s="45">
        <f>IFERROR(H76/H13, 0)</f>
        <v>0</v>
      </c>
      <c r="J76" s="63"/>
      <c r="K76" s="15">
        <f>E76-H76</f>
        <v>0</v>
      </c>
      <c r="L76" s="45">
        <f>IF(ROUND(K76, 2)=0, 0, IFERROR(K76/ABS(H76), IF(K76&lt;0, -1, 1)))</f>
        <v>0</v>
      </c>
    </row>
    <row r="77" spans="2:12" ht="16" customHeight="1" thickBot="1" x14ac:dyDescent="0.4">
      <c r="B77" s="11" t="s">
        <v>136</v>
      </c>
      <c r="C77" s="11" t="s">
        <v>22</v>
      </c>
      <c r="D77" s="29"/>
      <c r="E77" s="12"/>
      <c r="F77" s="85"/>
      <c r="G77" s="12"/>
      <c r="H77" s="12"/>
      <c r="I77" s="85"/>
      <c r="J77" s="12"/>
      <c r="K77" s="12"/>
      <c r="L77" s="85"/>
    </row>
    <row r="78" spans="2:12" ht="16" customHeight="1" thickBot="1" x14ac:dyDescent="0.4">
      <c r="B78" s="18" t="s">
        <v>137</v>
      </c>
      <c r="C78" s="18" t="s">
        <v>138</v>
      </c>
      <c r="D78" s="66"/>
      <c r="E78" s="19">
        <v>97227.604170000006</v>
      </c>
      <c r="F78" s="86">
        <f>IFERROR(E78/E13, 0)</f>
        <v>0.30507368670268026</v>
      </c>
      <c r="G78" s="68"/>
      <c r="H78" s="19">
        <v>89184.245020000002</v>
      </c>
      <c r="I78" s="86">
        <f>IFERROR(H78/H13, 0)</f>
        <v>0.30527774390944767</v>
      </c>
      <c r="J78" s="68"/>
      <c r="K78" s="19">
        <f>E78-H78</f>
        <v>8043.3591500000039</v>
      </c>
      <c r="L78" s="86">
        <f>IF(ROUND(K78, 2)=0, 0, IFERROR(K78/ABS(H78), IF(K78&lt;0, -1, 1)))</f>
        <v>9.0188117286817207E-2</v>
      </c>
    </row>
    <row r="79" spans="2:12" ht="16" customHeight="1" x14ac:dyDescent="0.35">
      <c r="B79" s="11" t="s">
        <v>139</v>
      </c>
      <c r="C79" s="11" t="s">
        <v>22</v>
      </c>
      <c r="D79" s="29"/>
      <c r="E79" s="12"/>
      <c r="F79" s="85"/>
      <c r="G79" s="12"/>
      <c r="H79" s="12"/>
      <c r="I79" s="85"/>
      <c r="J79" s="12"/>
      <c r="K79" s="12"/>
      <c r="L79" s="85"/>
    </row>
    <row r="80" spans="2:12" ht="16" customHeight="1" x14ac:dyDescent="0.35">
      <c r="B80" s="14" t="s">
        <v>140</v>
      </c>
      <c r="C80" s="14" t="s">
        <v>141</v>
      </c>
      <c r="D80" s="61"/>
      <c r="E80" s="15"/>
      <c r="F80" s="45">
        <f>IFERROR(E80/E13, 0)</f>
        <v>0</v>
      </c>
      <c r="G80" s="63"/>
      <c r="H80" s="15"/>
      <c r="I80" s="45">
        <f>IFERROR(H80/H13, 0)</f>
        <v>0</v>
      </c>
      <c r="J80" s="63"/>
      <c r="K80" s="15">
        <f t="shared" ref="K80:K85" si="8">E80-H80</f>
        <v>0</v>
      </c>
      <c r="L80" s="45">
        <f t="shared" ref="L80:L85" si="9">IF(ROUND(K80, 2)=0, 0, IFERROR(K80/ABS(H80), IF(K80&lt;0, -1, 1)))</f>
        <v>0</v>
      </c>
    </row>
    <row r="81" spans="2:12" ht="16" customHeight="1" x14ac:dyDescent="0.35">
      <c r="B81" s="14" t="s">
        <v>142</v>
      </c>
      <c r="C81" s="14" t="s">
        <v>143</v>
      </c>
      <c r="D81" s="61"/>
      <c r="E81" s="15"/>
      <c r="F81" s="45">
        <f>IFERROR(E81/E13, 0)</f>
        <v>0</v>
      </c>
      <c r="G81" s="63"/>
      <c r="H81" s="15"/>
      <c r="I81" s="45">
        <f>IFERROR(H81/H13, 0)</f>
        <v>0</v>
      </c>
      <c r="J81" s="63"/>
      <c r="K81" s="15">
        <f t="shared" si="8"/>
        <v>0</v>
      </c>
      <c r="L81" s="45">
        <f t="shared" si="9"/>
        <v>0</v>
      </c>
    </row>
    <row r="82" spans="2:12" ht="16" customHeight="1" x14ac:dyDescent="0.35">
      <c r="B82" s="14" t="s">
        <v>144</v>
      </c>
      <c r="C82" s="14" t="s">
        <v>145</v>
      </c>
      <c r="D82" s="61"/>
      <c r="E82" s="15"/>
      <c r="F82" s="45">
        <f>IFERROR(E82/E13, 0)</f>
        <v>0</v>
      </c>
      <c r="G82" s="63"/>
      <c r="H82" s="15">
        <v>-333.29334999999998</v>
      </c>
      <c r="I82" s="45">
        <f>IFERROR(H82/H13, 0)</f>
        <v>-1.1408634106304834E-3</v>
      </c>
      <c r="J82" s="63"/>
      <c r="K82" s="15">
        <f t="shared" si="8"/>
        <v>333.29334999999998</v>
      </c>
      <c r="L82" s="45">
        <f t="shared" si="9"/>
        <v>1</v>
      </c>
    </row>
    <row r="83" spans="2:12" ht="16" customHeight="1" x14ac:dyDescent="0.35">
      <c r="B83" s="14" t="s">
        <v>146</v>
      </c>
      <c r="C83" s="14" t="s">
        <v>147</v>
      </c>
      <c r="D83" s="61"/>
      <c r="E83" s="15"/>
      <c r="F83" s="45">
        <f>IFERROR(E83/E13, 0)</f>
        <v>0</v>
      </c>
      <c r="G83" s="63"/>
      <c r="H83" s="15"/>
      <c r="I83" s="45">
        <f>IFERROR(H83/H13, 0)</f>
        <v>0</v>
      </c>
      <c r="J83" s="63"/>
      <c r="K83" s="15">
        <f t="shared" si="8"/>
        <v>0</v>
      </c>
      <c r="L83" s="45">
        <f t="shared" si="9"/>
        <v>0</v>
      </c>
    </row>
    <row r="84" spans="2:12" ht="16" customHeight="1" x14ac:dyDescent="0.35">
      <c r="B84" s="14" t="s">
        <v>148</v>
      </c>
      <c r="C84" s="14" t="s">
        <v>149</v>
      </c>
      <c r="D84" s="61"/>
      <c r="E84" s="15"/>
      <c r="F84" s="45">
        <f>IFERROR(E84/E13, 0)</f>
        <v>0</v>
      </c>
      <c r="G84" s="63"/>
      <c r="H84" s="15"/>
      <c r="I84" s="45">
        <f>IFERROR(H84/H13, 0)</f>
        <v>0</v>
      </c>
      <c r="J84" s="63"/>
      <c r="K84" s="15">
        <f t="shared" si="8"/>
        <v>0</v>
      </c>
      <c r="L84" s="45">
        <f t="shared" si="9"/>
        <v>0</v>
      </c>
    </row>
    <row r="85" spans="2:12" ht="16" customHeight="1" x14ac:dyDescent="0.35">
      <c r="B85" s="16" t="s">
        <v>150</v>
      </c>
      <c r="C85" s="16" t="s">
        <v>151</v>
      </c>
      <c r="D85" s="64"/>
      <c r="E85" s="17"/>
      <c r="F85" s="84">
        <f>IFERROR(E85/E13, 0)</f>
        <v>0</v>
      </c>
      <c r="G85" s="65"/>
      <c r="H85" s="17">
        <v>-333.29334999999998</v>
      </c>
      <c r="I85" s="84">
        <f>IFERROR(H85/H13, 0)</f>
        <v>-1.1408634106304834E-3</v>
      </c>
      <c r="J85" s="65"/>
      <c r="K85" s="17">
        <f t="shared" si="8"/>
        <v>333.29334999999998</v>
      </c>
      <c r="L85" s="84">
        <f t="shared" si="9"/>
        <v>1</v>
      </c>
    </row>
    <row r="86" spans="2:12" ht="16" customHeight="1" x14ac:dyDescent="0.35">
      <c r="B86" s="11" t="s">
        <v>152</v>
      </c>
      <c r="C86" s="11" t="s">
        <v>22</v>
      </c>
      <c r="D86" s="29"/>
      <c r="E86" s="12"/>
      <c r="F86" s="85"/>
      <c r="G86" s="12"/>
      <c r="H86" s="12"/>
      <c r="I86" s="85"/>
      <c r="J86" s="12"/>
      <c r="K86" s="12"/>
      <c r="L86" s="85"/>
    </row>
    <row r="87" spans="2:12" ht="16" customHeight="1" x14ac:dyDescent="0.35">
      <c r="B87" s="14" t="s">
        <v>153</v>
      </c>
      <c r="C87" s="14" t="s">
        <v>154</v>
      </c>
      <c r="D87" s="61"/>
      <c r="E87" s="15"/>
      <c r="F87" s="45">
        <f>IFERROR(E87/E13, 0)</f>
        <v>0</v>
      </c>
      <c r="G87" s="63"/>
      <c r="H87" s="15"/>
      <c r="I87" s="45">
        <f>IFERROR(H87/H13, 0)</f>
        <v>0</v>
      </c>
      <c r="J87" s="63"/>
      <c r="K87" s="15">
        <f t="shared" ref="K87:K92" si="10">E87-H87</f>
        <v>0</v>
      </c>
      <c r="L87" s="45">
        <f t="shared" ref="L87:L92" si="11">IF(ROUND(K87, 2)=0, 0, IFERROR(K87/ABS(H87), IF(K87&lt;0, -1, 1)))</f>
        <v>0</v>
      </c>
    </row>
    <row r="88" spans="2:12" ht="16" customHeight="1" x14ac:dyDescent="0.35">
      <c r="B88" s="14" t="s">
        <v>155</v>
      </c>
      <c r="C88" s="14" t="s">
        <v>156</v>
      </c>
      <c r="D88" s="61"/>
      <c r="E88" s="15"/>
      <c r="F88" s="45">
        <f>IFERROR(E88/E13, 0)</f>
        <v>0</v>
      </c>
      <c r="G88" s="63"/>
      <c r="H88" s="15"/>
      <c r="I88" s="45">
        <f>IFERROR(H88/H13, 0)</f>
        <v>0</v>
      </c>
      <c r="J88" s="63"/>
      <c r="K88" s="15">
        <f t="shared" si="10"/>
        <v>0</v>
      </c>
      <c r="L88" s="45">
        <f t="shared" si="11"/>
        <v>0</v>
      </c>
    </row>
    <row r="89" spans="2:12" ht="16" customHeight="1" x14ac:dyDescent="0.35">
      <c r="B89" s="14" t="s">
        <v>157</v>
      </c>
      <c r="C89" s="14" t="s">
        <v>158</v>
      </c>
      <c r="D89" s="61"/>
      <c r="E89" s="15"/>
      <c r="F89" s="45">
        <f>IFERROR(E89/E13, 0)</f>
        <v>0</v>
      </c>
      <c r="G89" s="63"/>
      <c r="H89" s="15"/>
      <c r="I89" s="45">
        <f>IFERROR(H89/H13, 0)</f>
        <v>0</v>
      </c>
      <c r="J89" s="63"/>
      <c r="K89" s="15">
        <f t="shared" si="10"/>
        <v>0</v>
      </c>
      <c r="L89" s="45">
        <f t="shared" si="11"/>
        <v>0</v>
      </c>
    </row>
    <row r="90" spans="2:12" ht="16" customHeight="1" x14ac:dyDescent="0.35">
      <c r="B90" s="14" t="s">
        <v>159</v>
      </c>
      <c r="C90" s="14" t="s">
        <v>160</v>
      </c>
      <c r="D90" s="61"/>
      <c r="E90" s="15"/>
      <c r="F90" s="45">
        <f>IFERROR(E90/E13, 0)</f>
        <v>0</v>
      </c>
      <c r="G90" s="63"/>
      <c r="H90" s="15"/>
      <c r="I90" s="45">
        <f>IFERROR(H90/H13, 0)</f>
        <v>0</v>
      </c>
      <c r="J90" s="63"/>
      <c r="K90" s="15">
        <f t="shared" si="10"/>
        <v>0</v>
      </c>
      <c r="L90" s="45">
        <f t="shared" si="11"/>
        <v>0</v>
      </c>
    </row>
    <row r="91" spans="2:12" ht="16" customHeight="1" x14ac:dyDescent="0.35">
      <c r="B91" s="14" t="s">
        <v>161</v>
      </c>
      <c r="C91" s="14" t="s">
        <v>162</v>
      </c>
      <c r="D91" s="61"/>
      <c r="E91" s="15"/>
      <c r="F91" s="45">
        <f>IFERROR(E91/E13, 0)</f>
        <v>0</v>
      </c>
      <c r="G91" s="63"/>
      <c r="H91" s="15"/>
      <c r="I91" s="45">
        <f>IFERROR(H91/H13, 0)</f>
        <v>0</v>
      </c>
      <c r="J91" s="63"/>
      <c r="K91" s="15">
        <f t="shared" si="10"/>
        <v>0</v>
      </c>
      <c r="L91" s="45">
        <f t="shared" si="11"/>
        <v>0</v>
      </c>
    </row>
    <row r="92" spans="2:12" ht="16" customHeight="1" x14ac:dyDescent="0.35">
      <c r="B92" s="16" t="s">
        <v>163</v>
      </c>
      <c r="C92" s="16" t="s">
        <v>164</v>
      </c>
      <c r="D92" s="64"/>
      <c r="E92" s="17"/>
      <c r="F92" s="84">
        <f>IFERROR(E92/E13, 0)</f>
        <v>0</v>
      </c>
      <c r="G92" s="65"/>
      <c r="H92" s="17"/>
      <c r="I92" s="84">
        <f>IFERROR(H92/H13, 0)</f>
        <v>0</v>
      </c>
      <c r="J92" s="65"/>
      <c r="K92" s="17">
        <f t="shared" si="10"/>
        <v>0</v>
      </c>
      <c r="L92" s="84">
        <f t="shared" si="11"/>
        <v>0</v>
      </c>
    </row>
    <row r="93" spans="2:12" ht="16" customHeight="1" x14ac:dyDescent="0.35">
      <c r="B93" s="11" t="s">
        <v>165</v>
      </c>
      <c r="C93" s="11" t="s">
        <v>22</v>
      </c>
      <c r="D93" s="29"/>
      <c r="E93" s="12"/>
      <c r="F93" s="85"/>
      <c r="G93" s="12"/>
      <c r="H93" s="12"/>
      <c r="I93" s="85"/>
      <c r="J93" s="12"/>
      <c r="K93" s="12"/>
      <c r="L93" s="85"/>
    </row>
    <row r="94" spans="2:12" ht="16" customHeight="1" thickBot="1" x14ac:dyDescent="0.4">
      <c r="B94" s="14" t="s">
        <v>166</v>
      </c>
      <c r="C94" s="14" t="s">
        <v>167</v>
      </c>
      <c r="D94" s="61"/>
      <c r="E94" s="15"/>
      <c r="F94" s="45">
        <f>IFERROR(E94/E13, 0)</f>
        <v>0</v>
      </c>
      <c r="G94" s="63"/>
      <c r="H94" s="15"/>
      <c r="I94" s="45">
        <f>IFERROR(H94/H13, 0)</f>
        <v>0</v>
      </c>
      <c r="J94" s="63"/>
      <c r="K94" s="15">
        <f>E94-H94</f>
        <v>0</v>
      </c>
      <c r="L94" s="45">
        <f>IF(ROUND(K94, 2)=0, 0, IFERROR(K94/ABS(H94), IF(K94&lt;0, -1, 1)))</f>
        <v>0</v>
      </c>
    </row>
    <row r="95" spans="2:12" ht="16" customHeight="1" thickBot="1" x14ac:dyDescent="0.4">
      <c r="B95" s="18" t="s">
        <v>169</v>
      </c>
      <c r="C95" s="18" t="s">
        <v>170</v>
      </c>
      <c r="D95" s="66"/>
      <c r="E95" s="19">
        <v>97227.604170000006</v>
      </c>
      <c r="F95" s="86">
        <f>IFERROR(E95/E13, 0)</f>
        <v>0.30507368670268026</v>
      </c>
      <c r="G95" s="68"/>
      <c r="H95" s="19">
        <v>88850.951669999995</v>
      </c>
      <c r="I95" s="86">
        <f>IFERROR(H95/H13, 0)</f>
        <v>0.30413688049881715</v>
      </c>
      <c r="J95" s="68"/>
      <c r="K95" s="19">
        <f>E95-H95</f>
        <v>8376.6525000000111</v>
      </c>
      <c r="L95" s="86">
        <f>IF(ROUND(K95, 2)=0, 0, IFERROR(K95/ABS(H95), IF(K95&lt;0, -1, 1)))</f>
        <v>9.4277577702393242E-2</v>
      </c>
    </row>
    <row r="96" spans="2:12" ht="16" customHeight="1" x14ac:dyDescent="0.35">
      <c r="B96" s="11" t="s">
        <v>171</v>
      </c>
      <c r="C96" s="11" t="s">
        <v>22</v>
      </c>
      <c r="D96" s="29"/>
      <c r="E96" s="12"/>
      <c r="F96" s="85"/>
      <c r="G96" s="12"/>
      <c r="H96" s="12"/>
      <c r="I96" s="85"/>
      <c r="J96" s="12"/>
      <c r="K96" s="12"/>
      <c r="L96" s="85"/>
    </row>
    <row r="97" spans="2:12" ht="16" customHeight="1" x14ac:dyDescent="0.35">
      <c r="B97" s="14" t="s">
        <v>172</v>
      </c>
      <c r="C97" s="14" t="s">
        <v>173</v>
      </c>
      <c r="D97" s="61"/>
      <c r="E97" s="15"/>
      <c r="F97" s="45">
        <f>IFERROR(E97/E13, 0)</f>
        <v>0</v>
      </c>
      <c r="G97" s="63"/>
      <c r="H97" s="15"/>
      <c r="I97" s="45">
        <f>IFERROR(H97/H13, 0)</f>
        <v>0</v>
      </c>
      <c r="J97" s="63"/>
      <c r="K97" s="15">
        <f>E97-H97</f>
        <v>0</v>
      </c>
      <c r="L97" s="45">
        <f>IF(ROUND(K97, 2)=0, 0, IFERROR(K97/ABS(H97), IF(K97&lt;0, -1, 1)))</f>
        <v>0</v>
      </c>
    </row>
    <row r="98" spans="2:12" ht="16" customHeight="1" x14ac:dyDescent="0.35">
      <c r="B98" s="14" t="s">
        <v>174</v>
      </c>
      <c r="C98" s="14" t="s">
        <v>175</v>
      </c>
      <c r="D98" s="61"/>
      <c r="E98" s="15"/>
      <c r="F98" s="45">
        <f>IFERROR(E98/E13, 0)</f>
        <v>0</v>
      </c>
      <c r="G98" s="63"/>
      <c r="H98" s="15"/>
      <c r="I98" s="45">
        <f>IFERROR(H98/H13, 0)</f>
        <v>0</v>
      </c>
      <c r="J98" s="63"/>
      <c r="K98" s="15">
        <f>E98-H98</f>
        <v>0</v>
      </c>
      <c r="L98" s="45">
        <f>IF(ROUND(K98, 2)=0, 0, IFERROR(K98/ABS(H98), IF(K98&lt;0, -1, 1)))</f>
        <v>0</v>
      </c>
    </row>
    <row r="99" spans="2:12" ht="16" customHeight="1" x14ac:dyDescent="0.35">
      <c r="B99" s="14" t="s">
        <v>176</v>
      </c>
      <c r="C99" s="14" t="s">
        <v>177</v>
      </c>
      <c r="D99" s="61"/>
      <c r="E99" s="15"/>
      <c r="F99" s="45">
        <f>IFERROR(E99/E13, 0)</f>
        <v>0</v>
      </c>
      <c r="G99" s="63"/>
      <c r="H99" s="15"/>
      <c r="I99" s="45">
        <f>IFERROR(H99/H13, 0)</f>
        <v>0</v>
      </c>
      <c r="J99" s="63"/>
      <c r="K99" s="15">
        <f>E99-H99</f>
        <v>0</v>
      </c>
      <c r="L99" s="45">
        <f>IF(ROUND(K99, 2)=0, 0, IFERROR(K99/ABS(H99), IF(K99&lt;0, -1, 1)))</f>
        <v>0</v>
      </c>
    </row>
    <row r="100" spans="2:12" ht="16" customHeight="1" x14ac:dyDescent="0.35">
      <c r="B100" s="14" t="s">
        <v>178</v>
      </c>
      <c r="C100" s="14" t="s">
        <v>179</v>
      </c>
      <c r="D100" s="61"/>
      <c r="E100" s="15"/>
      <c r="F100" s="45">
        <f>IFERROR(E100/E13, 0)</f>
        <v>0</v>
      </c>
      <c r="G100" s="63"/>
      <c r="H100" s="15"/>
      <c r="I100" s="45">
        <f>IFERROR(H100/H13, 0)</f>
        <v>0</v>
      </c>
      <c r="J100" s="63"/>
      <c r="K100" s="15">
        <f>E100-H100</f>
        <v>0</v>
      </c>
      <c r="L100" s="45">
        <f>IF(ROUND(K100, 2)=0, 0, IFERROR(K100/ABS(H100), IF(K100&lt;0, -1, 1)))</f>
        <v>0</v>
      </c>
    </row>
    <row r="101" spans="2:12" ht="16" customHeight="1" x14ac:dyDescent="0.35">
      <c r="B101" s="16" t="s">
        <v>180</v>
      </c>
      <c r="C101" s="16" t="s">
        <v>181</v>
      </c>
      <c r="D101" s="64"/>
      <c r="E101" s="17"/>
      <c r="F101" s="84">
        <f>IFERROR(E101/E13, 0)</f>
        <v>0</v>
      </c>
      <c r="G101" s="65"/>
      <c r="H101" s="17"/>
      <c r="I101" s="84">
        <f>IFERROR(H101/H13, 0)</f>
        <v>0</v>
      </c>
      <c r="J101" s="65"/>
      <c r="K101" s="17">
        <f>E101-H101</f>
        <v>0</v>
      </c>
      <c r="L101" s="84">
        <f>IF(ROUND(K101, 2)=0, 0, IFERROR(K101/ABS(H101), IF(K101&lt;0, -1, 1)))</f>
        <v>0</v>
      </c>
    </row>
    <row r="102" spans="2:12" ht="16" customHeight="1" x14ac:dyDescent="0.35">
      <c r="B102" s="11" t="s">
        <v>182</v>
      </c>
      <c r="C102" s="11" t="s">
        <v>22</v>
      </c>
      <c r="D102" s="29"/>
      <c r="E102" s="12"/>
      <c r="F102" s="85"/>
      <c r="G102" s="12"/>
      <c r="H102" s="12"/>
      <c r="I102" s="85"/>
      <c r="J102" s="12"/>
      <c r="K102" s="12"/>
      <c r="L102" s="85"/>
    </row>
    <row r="103" spans="2:12" ht="16" customHeight="1" x14ac:dyDescent="0.35">
      <c r="B103" s="14" t="s">
        <v>183</v>
      </c>
      <c r="C103" s="14" t="s">
        <v>184</v>
      </c>
      <c r="D103" s="61"/>
      <c r="E103" s="15"/>
      <c r="F103" s="45">
        <f>IFERROR(E103/E13, 0)</f>
        <v>0</v>
      </c>
      <c r="G103" s="63"/>
      <c r="H103" s="15"/>
      <c r="I103" s="45">
        <f>IFERROR(H103/H13, 0)</f>
        <v>0</v>
      </c>
      <c r="J103" s="63"/>
      <c r="K103" s="15">
        <f>E103-H103</f>
        <v>0</v>
      </c>
      <c r="L103" s="45">
        <f>IF(ROUND(K103, 2)=0, 0, IFERROR(K103/ABS(H103), IF(K103&lt;0, -1, 1)))</f>
        <v>0</v>
      </c>
    </row>
    <row r="104" spans="2:12" ht="16" customHeight="1" x14ac:dyDescent="0.35">
      <c r="B104" s="14" t="s">
        <v>185</v>
      </c>
      <c r="C104" s="14" t="s">
        <v>186</v>
      </c>
      <c r="D104" s="61"/>
      <c r="E104" s="15"/>
      <c r="F104" s="45">
        <f>IFERROR(E104/E13, 0)</f>
        <v>0</v>
      </c>
      <c r="G104" s="63"/>
      <c r="H104" s="15"/>
      <c r="I104" s="45">
        <f>IFERROR(H104/H13, 0)</f>
        <v>0</v>
      </c>
      <c r="J104" s="63"/>
      <c r="K104" s="15">
        <f>E104-H104</f>
        <v>0</v>
      </c>
      <c r="L104" s="45">
        <f>IF(ROUND(K104, 2)=0, 0, IFERROR(K104/ABS(H104), IF(K104&lt;0, -1, 1)))</f>
        <v>0</v>
      </c>
    </row>
    <row r="105" spans="2:12" ht="16" customHeight="1" x14ac:dyDescent="0.35">
      <c r="B105" s="14" t="s">
        <v>187</v>
      </c>
      <c r="C105" s="14" t="s">
        <v>188</v>
      </c>
      <c r="D105" s="61"/>
      <c r="E105" s="15"/>
      <c r="F105" s="45">
        <f>IFERROR(E105/E13, 0)</f>
        <v>0</v>
      </c>
      <c r="G105" s="63"/>
      <c r="H105" s="15">
        <v>0</v>
      </c>
      <c r="I105" s="45">
        <f>IFERROR(H105/H13, 0)</f>
        <v>0</v>
      </c>
      <c r="J105" s="63"/>
      <c r="K105" s="15">
        <f>E105-H105</f>
        <v>0</v>
      </c>
      <c r="L105" s="45">
        <f>IF(ROUND(K105, 2)=0, 0, IFERROR(K105/ABS(H105), IF(K105&lt;0, -1, 1)))</f>
        <v>0</v>
      </c>
    </row>
    <row r="106" spans="2:12" ht="16" customHeight="1" x14ac:dyDescent="0.35">
      <c r="B106" s="14" t="s">
        <v>189</v>
      </c>
      <c r="C106" s="14" t="s">
        <v>190</v>
      </c>
      <c r="D106" s="61"/>
      <c r="E106" s="15"/>
      <c r="F106" s="45">
        <f>IFERROR(E106/E13, 0)</f>
        <v>0</v>
      </c>
      <c r="G106" s="63"/>
      <c r="H106" s="15"/>
      <c r="I106" s="45">
        <f>IFERROR(H106/H13, 0)</f>
        <v>0</v>
      </c>
      <c r="J106" s="63"/>
      <c r="K106" s="15">
        <f>E106-H106</f>
        <v>0</v>
      </c>
      <c r="L106" s="45">
        <f>IF(ROUND(K106, 2)=0, 0, IFERROR(K106/ABS(H106), IF(K106&lt;0, -1, 1)))</f>
        <v>0</v>
      </c>
    </row>
    <row r="107" spans="2:12" ht="16" customHeight="1" x14ac:dyDescent="0.35">
      <c r="B107" s="16" t="s">
        <v>191</v>
      </c>
      <c r="C107" s="16" t="s">
        <v>192</v>
      </c>
      <c r="D107" s="64"/>
      <c r="E107" s="17"/>
      <c r="F107" s="84">
        <f>IFERROR(E107/E13, 0)</f>
        <v>0</v>
      </c>
      <c r="G107" s="65"/>
      <c r="H107" s="17">
        <v>0</v>
      </c>
      <c r="I107" s="84">
        <f>IFERROR(H107/H13, 0)</f>
        <v>0</v>
      </c>
      <c r="J107" s="65"/>
      <c r="K107" s="17">
        <f>E107-H107</f>
        <v>0</v>
      </c>
      <c r="L107" s="84">
        <f>IF(ROUND(K107, 2)=0, 0, IFERROR(K107/ABS(H107), IF(K107&lt;0, -1, 1)))</f>
        <v>0</v>
      </c>
    </row>
    <row r="108" spans="2:12" ht="16" customHeight="1" x14ac:dyDescent="0.35">
      <c r="B108" s="11" t="s">
        <v>193</v>
      </c>
      <c r="C108" s="11" t="s">
        <v>22</v>
      </c>
      <c r="D108" s="29"/>
      <c r="E108" s="12"/>
      <c r="F108" s="85"/>
      <c r="G108" s="12"/>
      <c r="H108" s="12"/>
      <c r="I108" s="85"/>
      <c r="J108" s="12"/>
      <c r="K108" s="12"/>
      <c r="L108" s="85"/>
    </row>
    <row r="109" spans="2:12" ht="16" customHeight="1" x14ac:dyDescent="0.35">
      <c r="B109" s="14" t="s">
        <v>194</v>
      </c>
      <c r="C109" s="14" t="s">
        <v>195</v>
      </c>
      <c r="D109" s="61"/>
      <c r="E109" s="15"/>
      <c r="F109" s="45">
        <f>IFERROR(E109/E13, 0)</f>
        <v>0</v>
      </c>
      <c r="G109" s="63"/>
      <c r="H109" s="15">
        <v>-970.28608999999994</v>
      </c>
      <c r="I109" s="45">
        <f>IFERROR(H109/H13, 0)</f>
        <v>-3.3212900825195465E-3</v>
      </c>
      <c r="J109" s="63"/>
      <c r="K109" s="15">
        <f t="shared" ref="K109:K114" si="12">E109-H109</f>
        <v>970.28608999999994</v>
      </c>
      <c r="L109" s="45">
        <f t="shared" ref="L109:L114" si="13">IF(ROUND(K109, 2)=0, 0, IFERROR(K109/ABS(H109), IF(K109&lt;0, -1, 1)))</f>
        <v>1</v>
      </c>
    </row>
    <row r="110" spans="2:12" ht="16" customHeight="1" x14ac:dyDescent="0.35">
      <c r="B110" s="14" t="s">
        <v>196</v>
      </c>
      <c r="C110" s="14" t="s">
        <v>197</v>
      </c>
      <c r="D110" s="61"/>
      <c r="E110" s="15"/>
      <c r="F110" s="45">
        <f>IFERROR(E110/E13, 0)</f>
        <v>0</v>
      </c>
      <c r="G110" s="63"/>
      <c r="H110" s="15"/>
      <c r="I110" s="45">
        <f>IFERROR(H110/H13, 0)</f>
        <v>0</v>
      </c>
      <c r="J110" s="63"/>
      <c r="K110" s="15">
        <f t="shared" si="12"/>
        <v>0</v>
      </c>
      <c r="L110" s="45">
        <f t="shared" si="13"/>
        <v>0</v>
      </c>
    </row>
    <row r="111" spans="2:12" ht="16" customHeight="1" x14ac:dyDescent="0.35">
      <c r="B111" s="14" t="s">
        <v>198</v>
      </c>
      <c r="C111" s="14" t="s">
        <v>199</v>
      </c>
      <c r="D111" s="61"/>
      <c r="E111" s="15">
        <v>-382.09809999999999</v>
      </c>
      <c r="F111" s="45">
        <f>IFERROR(E111/E13, 0)</f>
        <v>-1.1989195562740911E-3</v>
      </c>
      <c r="G111" s="63"/>
      <c r="H111" s="15">
        <v>-1292.70192</v>
      </c>
      <c r="I111" s="45">
        <f>IFERROR(H111/H13, 0)</f>
        <v>-4.4249197332613278E-3</v>
      </c>
      <c r="J111" s="63"/>
      <c r="K111" s="15">
        <f t="shared" si="12"/>
        <v>910.60382000000004</v>
      </c>
      <c r="L111" s="45">
        <f t="shared" si="13"/>
        <v>0.70441902027963266</v>
      </c>
    </row>
    <row r="112" spans="2:12" ht="16" customHeight="1" x14ac:dyDescent="0.35">
      <c r="B112" s="14" t="s">
        <v>200</v>
      </c>
      <c r="C112" s="14" t="s">
        <v>201</v>
      </c>
      <c r="D112" s="61"/>
      <c r="E112" s="15">
        <v>-455.41699999999997</v>
      </c>
      <c r="F112" s="45">
        <f>IFERROR(E112/E13, 0)</f>
        <v>-1.4289742544118325E-3</v>
      </c>
      <c r="G112" s="63"/>
      <c r="H112" s="15">
        <v>-502</v>
      </c>
      <c r="I112" s="45">
        <f>IFERROR(H112/H13, 0)</f>
        <v>-1.7183464120616347E-3</v>
      </c>
      <c r="J112" s="63"/>
      <c r="K112" s="15">
        <f t="shared" si="12"/>
        <v>46.583000000000027</v>
      </c>
      <c r="L112" s="45">
        <f t="shared" si="13"/>
        <v>9.2794820717131521E-2</v>
      </c>
    </row>
    <row r="113" spans="2:12" ht="16" customHeight="1" x14ac:dyDescent="0.35">
      <c r="B113" s="14" t="s">
        <v>202</v>
      </c>
      <c r="C113" s="14" t="s">
        <v>203</v>
      </c>
      <c r="D113" s="61"/>
      <c r="E113" s="15">
        <v>5.5104600000000001</v>
      </c>
      <c r="F113" s="45">
        <f>IFERROR(E113/E13, 0)</f>
        <v>1.7290319575172263E-5</v>
      </c>
      <c r="G113" s="63"/>
      <c r="H113" s="15">
        <v>-87.522350000000003</v>
      </c>
      <c r="I113" s="45">
        <f>IFERROR(H113/H13, 0)</f>
        <v>-2.9958907589183791E-4</v>
      </c>
      <c r="J113" s="63"/>
      <c r="K113" s="15">
        <f t="shared" si="12"/>
        <v>93.032809999999998</v>
      </c>
      <c r="L113" s="45">
        <f t="shared" si="13"/>
        <v>1.0629606037772066</v>
      </c>
    </row>
    <row r="114" spans="2:12" ht="16" customHeight="1" x14ac:dyDescent="0.35">
      <c r="B114" s="16" t="s">
        <v>204</v>
      </c>
      <c r="C114" s="16" t="s">
        <v>205</v>
      </c>
      <c r="D114" s="64"/>
      <c r="E114" s="17">
        <v>-832.00463999999999</v>
      </c>
      <c r="F114" s="84">
        <f>IFERROR(E114/E13, 0)</f>
        <v>-2.6106034911107514E-3</v>
      </c>
      <c r="G114" s="65"/>
      <c r="H114" s="17">
        <v>-2852.5103600000002</v>
      </c>
      <c r="I114" s="84">
        <f>IFERROR(H114/H13, 0)</f>
        <v>-9.7641453037343486E-3</v>
      </c>
      <c r="J114" s="65"/>
      <c r="K114" s="17">
        <f t="shared" si="12"/>
        <v>2020.5057200000001</v>
      </c>
      <c r="L114" s="84">
        <f t="shared" si="13"/>
        <v>0.70832546248841666</v>
      </c>
    </row>
    <row r="115" spans="2:12" ht="16" customHeight="1" thickBot="1" x14ac:dyDescent="0.4">
      <c r="B115" s="11" t="s">
        <v>206</v>
      </c>
      <c r="C115" s="11" t="s">
        <v>22</v>
      </c>
      <c r="D115" s="29"/>
      <c r="E115" s="12"/>
      <c r="F115" s="85"/>
      <c r="G115" s="12"/>
      <c r="H115" s="12"/>
      <c r="I115" s="85"/>
      <c r="J115" s="12"/>
      <c r="K115" s="12"/>
      <c r="L115" s="85"/>
    </row>
    <row r="116" spans="2:12" ht="16" customHeight="1" thickBot="1" x14ac:dyDescent="0.4">
      <c r="B116" s="18" t="s">
        <v>207</v>
      </c>
      <c r="C116" s="18" t="s">
        <v>208</v>
      </c>
      <c r="D116" s="66"/>
      <c r="E116" s="19">
        <v>-832.00463999999999</v>
      </c>
      <c r="F116" s="86">
        <f>IFERROR(E116/E13, 0)</f>
        <v>-2.6106034911107514E-3</v>
      </c>
      <c r="G116" s="68"/>
      <c r="H116" s="19">
        <v>-2852.5103600000002</v>
      </c>
      <c r="I116" s="86">
        <f>IFERROR(H116/H13, 0)</f>
        <v>-9.7641453037343486E-3</v>
      </c>
      <c r="J116" s="68"/>
      <c r="K116" s="19">
        <f>E116-H116</f>
        <v>2020.5057200000001</v>
      </c>
      <c r="L116" s="86">
        <f>IF(ROUND(K116, 2)=0, 0, IFERROR(K116/ABS(H116), IF(K116&lt;0, -1, 1)))</f>
        <v>0.70832546248841666</v>
      </c>
    </row>
    <row r="117" spans="2:12" ht="16" customHeight="1" x14ac:dyDescent="0.35">
      <c r="B117" s="11" t="s">
        <v>209</v>
      </c>
      <c r="C117" s="11" t="s">
        <v>22</v>
      </c>
      <c r="D117" s="29"/>
      <c r="E117" s="12"/>
      <c r="F117" s="85"/>
      <c r="G117" s="12"/>
      <c r="H117" s="12"/>
      <c r="I117" s="85"/>
      <c r="J117" s="12"/>
      <c r="K117" s="12"/>
      <c r="L117" s="85"/>
    </row>
    <row r="118" spans="2:12" ht="16" customHeight="1" x14ac:dyDescent="0.35">
      <c r="B118" s="14" t="s">
        <v>210</v>
      </c>
      <c r="C118" s="14" t="s">
        <v>211</v>
      </c>
      <c r="D118" s="61"/>
      <c r="E118" s="15">
        <v>0</v>
      </c>
      <c r="F118" s="45">
        <f>IFERROR(E118/E13, 0)</f>
        <v>0</v>
      </c>
      <c r="G118" s="63"/>
      <c r="H118" s="15">
        <v>-16241.10536</v>
      </c>
      <c r="I118" s="45">
        <f>IFERROR(H118/H13, 0)</f>
        <v>-5.5593316978627461E-2</v>
      </c>
      <c r="J118" s="63"/>
      <c r="K118" s="15">
        <f t="shared" ref="K118:K126" si="14">E118-H118</f>
        <v>16241.10536</v>
      </c>
      <c r="L118" s="45">
        <f t="shared" ref="L118:L126" si="15">IF(ROUND(K118, 2)=0, 0, IFERROR(K118/ABS(H118), IF(K118&lt;0, -1, 1)))</f>
        <v>1</v>
      </c>
    </row>
    <row r="119" spans="2:12" ht="16" customHeight="1" x14ac:dyDescent="0.35">
      <c r="B119" s="14" t="s">
        <v>212</v>
      </c>
      <c r="C119" s="14" t="s">
        <v>213</v>
      </c>
      <c r="D119" s="61"/>
      <c r="E119" s="15"/>
      <c r="F119" s="45">
        <f>IFERROR(E119/E13, 0)</f>
        <v>0</v>
      </c>
      <c r="G119" s="63"/>
      <c r="H119" s="15"/>
      <c r="I119" s="45">
        <f>IFERROR(H119/H13, 0)</f>
        <v>0</v>
      </c>
      <c r="J119" s="63"/>
      <c r="K119" s="15">
        <f t="shared" si="14"/>
        <v>0</v>
      </c>
      <c r="L119" s="45">
        <f t="shared" si="15"/>
        <v>0</v>
      </c>
    </row>
    <row r="120" spans="2:12" ht="16" customHeight="1" x14ac:dyDescent="0.35">
      <c r="B120" s="14" t="s">
        <v>214</v>
      </c>
      <c r="C120" s="14" t="s">
        <v>215</v>
      </c>
      <c r="D120" s="61"/>
      <c r="E120" s="15"/>
      <c r="F120" s="45">
        <f>IFERROR(E120/E13, 0)</f>
        <v>0</v>
      </c>
      <c r="G120" s="63"/>
      <c r="H120" s="15">
        <v>0</v>
      </c>
      <c r="I120" s="45">
        <f>IFERROR(H120/H13, 0)</f>
        <v>0</v>
      </c>
      <c r="J120" s="63"/>
      <c r="K120" s="15">
        <f t="shared" si="14"/>
        <v>0</v>
      </c>
      <c r="L120" s="45">
        <f t="shared" si="15"/>
        <v>0</v>
      </c>
    </row>
    <row r="121" spans="2:12" ht="16" customHeight="1" x14ac:dyDescent="0.35">
      <c r="B121" s="14" t="s">
        <v>216</v>
      </c>
      <c r="C121" s="14" t="s">
        <v>217</v>
      </c>
      <c r="D121" s="61"/>
      <c r="E121" s="15"/>
      <c r="F121" s="45">
        <f>IFERROR(E121/E13, 0)</f>
        <v>0</v>
      </c>
      <c r="G121" s="63"/>
      <c r="H121" s="15"/>
      <c r="I121" s="45">
        <f>IFERROR(H121/H13, 0)</f>
        <v>0</v>
      </c>
      <c r="J121" s="63"/>
      <c r="K121" s="15">
        <f t="shared" si="14"/>
        <v>0</v>
      </c>
      <c r="L121" s="45">
        <f t="shared" si="15"/>
        <v>0</v>
      </c>
    </row>
    <row r="122" spans="2:12" ht="16" customHeight="1" x14ac:dyDescent="0.35">
      <c r="B122" s="14" t="s">
        <v>218</v>
      </c>
      <c r="C122" s="14" t="s">
        <v>219</v>
      </c>
      <c r="D122" s="61"/>
      <c r="E122" s="15"/>
      <c r="F122" s="45">
        <f>IFERROR(E122/E13, 0)</f>
        <v>0</v>
      </c>
      <c r="G122" s="63"/>
      <c r="H122" s="15"/>
      <c r="I122" s="45">
        <f>IFERROR(H122/H13, 0)</f>
        <v>0</v>
      </c>
      <c r="J122" s="63"/>
      <c r="K122" s="15">
        <f t="shared" si="14"/>
        <v>0</v>
      </c>
      <c r="L122" s="45">
        <f t="shared" si="15"/>
        <v>0</v>
      </c>
    </row>
    <row r="123" spans="2:12" ht="16" customHeight="1" x14ac:dyDescent="0.35">
      <c r="B123" s="14" t="s">
        <v>220</v>
      </c>
      <c r="C123" s="14" t="s">
        <v>221</v>
      </c>
      <c r="D123" s="61"/>
      <c r="E123" s="15"/>
      <c r="F123" s="45">
        <f>IFERROR(E123/E13, 0)</f>
        <v>0</v>
      </c>
      <c r="G123" s="63"/>
      <c r="H123" s="15"/>
      <c r="I123" s="45">
        <f>IFERROR(H123/H13, 0)</f>
        <v>0</v>
      </c>
      <c r="J123" s="63"/>
      <c r="K123" s="15">
        <f t="shared" si="14"/>
        <v>0</v>
      </c>
      <c r="L123" s="45">
        <f t="shared" si="15"/>
        <v>0</v>
      </c>
    </row>
    <row r="124" spans="2:12" ht="16" customHeight="1" x14ac:dyDescent="0.35">
      <c r="B124" s="14" t="s">
        <v>222</v>
      </c>
      <c r="C124" s="14" t="s">
        <v>223</v>
      </c>
      <c r="D124" s="61"/>
      <c r="E124" s="15"/>
      <c r="F124" s="45">
        <f>IFERROR(E124/E13, 0)</f>
        <v>0</v>
      </c>
      <c r="G124" s="63"/>
      <c r="H124" s="15"/>
      <c r="I124" s="45">
        <f>IFERROR(H124/H13, 0)</f>
        <v>0</v>
      </c>
      <c r="J124" s="63"/>
      <c r="K124" s="15">
        <f t="shared" si="14"/>
        <v>0</v>
      </c>
      <c r="L124" s="45">
        <f t="shared" si="15"/>
        <v>0</v>
      </c>
    </row>
    <row r="125" spans="2:12" ht="16" customHeight="1" x14ac:dyDescent="0.35">
      <c r="B125" s="14" t="s">
        <v>224</v>
      </c>
      <c r="C125" s="14" t="s">
        <v>225</v>
      </c>
      <c r="D125" s="61"/>
      <c r="E125" s="15"/>
      <c r="F125" s="45">
        <f>IFERROR(E125/E13, 0)</f>
        <v>0</v>
      </c>
      <c r="G125" s="63"/>
      <c r="H125" s="15"/>
      <c r="I125" s="45">
        <f>IFERROR(H125/H13, 0)</f>
        <v>0</v>
      </c>
      <c r="J125" s="63"/>
      <c r="K125" s="15">
        <f t="shared" si="14"/>
        <v>0</v>
      </c>
      <c r="L125" s="45">
        <f t="shared" si="15"/>
        <v>0</v>
      </c>
    </row>
    <row r="126" spans="2:12" ht="16" customHeight="1" x14ac:dyDescent="0.35">
      <c r="B126" s="16" t="s">
        <v>226</v>
      </c>
      <c r="C126" s="16" t="s">
        <v>227</v>
      </c>
      <c r="D126" s="64"/>
      <c r="E126" s="17">
        <v>0</v>
      </c>
      <c r="F126" s="84">
        <f>IFERROR(E126/E13, 0)</f>
        <v>0</v>
      </c>
      <c r="G126" s="65"/>
      <c r="H126" s="17">
        <v>-16241.10536</v>
      </c>
      <c r="I126" s="84">
        <f>IFERROR(H126/H13, 0)</f>
        <v>-5.5593316978627461E-2</v>
      </c>
      <c r="J126" s="65"/>
      <c r="K126" s="17">
        <f t="shared" si="14"/>
        <v>16241.10536</v>
      </c>
      <c r="L126" s="84">
        <f t="shared" si="15"/>
        <v>1</v>
      </c>
    </row>
    <row r="127" spans="2:12" ht="16" customHeight="1" thickBot="1" x14ac:dyDescent="0.4">
      <c r="B127" s="11" t="s">
        <v>228</v>
      </c>
      <c r="C127" s="11" t="s">
        <v>22</v>
      </c>
      <c r="D127" s="29"/>
      <c r="E127" s="12"/>
      <c r="F127" s="85"/>
      <c r="G127" s="12"/>
      <c r="H127" s="12"/>
      <c r="I127" s="85"/>
      <c r="J127" s="12"/>
      <c r="K127" s="12"/>
      <c r="L127" s="85"/>
    </row>
    <row r="128" spans="2:12" ht="16" customHeight="1" thickBot="1" x14ac:dyDescent="0.4">
      <c r="B128" s="18" t="s">
        <v>229</v>
      </c>
      <c r="C128" s="18" t="s">
        <v>230</v>
      </c>
      <c r="D128" s="66"/>
      <c r="E128" s="19">
        <v>-832.00463999999999</v>
      </c>
      <c r="F128" s="86">
        <f>IFERROR(E128/E13, 0)</f>
        <v>-2.6106034911107514E-3</v>
      </c>
      <c r="G128" s="68"/>
      <c r="H128" s="19">
        <v>-19093.615720000002</v>
      </c>
      <c r="I128" s="86">
        <f>IFERROR(H128/H13, 0)</f>
        <v>-6.535746228236182E-2</v>
      </c>
      <c r="J128" s="68"/>
      <c r="K128" s="19">
        <f>E128-H128</f>
        <v>18261.611080000002</v>
      </c>
      <c r="L128" s="86">
        <f>IF(ROUND(K128, 2)=0, 0, IFERROR(K128/ABS(H128), IF(K128&lt;0, -1, 1)))</f>
        <v>0.95642498245481611</v>
      </c>
    </row>
    <row r="129" spans="2:12" ht="16" customHeight="1" thickBot="1" x14ac:dyDescent="0.4">
      <c r="B129" s="11" t="s">
        <v>231</v>
      </c>
      <c r="C129" s="11" t="s">
        <v>22</v>
      </c>
      <c r="D129" s="29"/>
      <c r="E129" s="12"/>
      <c r="F129" s="85"/>
      <c r="G129" s="12"/>
      <c r="H129" s="12"/>
      <c r="I129" s="85"/>
      <c r="J129" s="12"/>
      <c r="K129" s="12"/>
      <c r="L129" s="85"/>
    </row>
    <row r="130" spans="2:12" ht="16" customHeight="1" thickBot="1" x14ac:dyDescent="0.4">
      <c r="B130" s="18" t="s">
        <v>232</v>
      </c>
      <c r="C130" s="18" t="s">
        <v>233</v>
      </c>
      <c r="D130" s="66"/>
      <c r="E130" s="19">
        <v>96395.599530000007</v>
      </c>
      <c r="F130" s="86">
        <f>IFERROR(E130/E13, 0)</f>
        <v>0.30246308321156951</v>
      </c>
      <c r="G130" s="68"/>
      <c r="H130" s="19">
        <v>69757.335949999993</v>
      </c>
      <c r="I130" s="86">
        <f>IFERROR(H130/H13, 0)</f>
        <v>0.23877941821645535</v>
      </c>
      <c r="J130" s="68"/>
      <c r="K130" s="19">
        <f>E130-H130</f>
        <v>26638.263580000013</v>
      </c>
      <c r="L130" s="86">
        <f>IF(ROUND(K130, 2)=0, 0, IFERROR(K130/ABS(H130), IF(K130&lt;0, -1, 1)))</f>
        <v>0.38187042577276081</v>
      </c>
    </row>
    <row r="131" spans="2:12" ht="16" customHeight="1" x14ac:dyDescent="0.35">
      <c r="B131" s="11" t="s">
        <v>234</v>
      </c>
      <c r="C131" s="11" t="s">
        <v>22</v>
      </c>
      <c r="D131" s="29"/>
      <c r="E131" s="12"/>
      <c r="F131" s="85"/>
      <c r="G131" s="12"/>
      <c r="H131" s="12"/>
      <c r="I131" s="85"/>
      <c r="J131" s="12"/>
      <c r="K131" s="12"/>
      <c r="L131" s="85"/>
    </row>
    <row r="132" spans="2:12" ht="16" customHeight="1" x14ac:dyDescent="0.35">
      <c r="B132" s="14" t="s">
        <v>235</v>
      </c>
      <c r="C132" s="14" t="s">
        <v>236</v>
      </c>
      <c r="D132" s="61"/>
      <c r="E132" s="15"/>
      <c r="F132" s="45">
        <f>IFERROR(E132/E13, 0)</f>
        <v>0</v>
      </c>
      <c r="G132" s="63"/>
      <c r="H132" s="15"/>
      <c r="I132" s="45">
        <f>IFERROR(H132/H13, 0)</f>
        <v>0</v>
      </c>
      <c r="J132" s="63"/>
      <c r="K132" s="15">
        <f>E132-H132</f>
        <v>0</v>
      </c>
      <c r="L132" s="45">
        <f>IF(ROUND(K132, 2)=0, 0, IFERROR(K132/ABS(H132), IF(K132&lt;0, -1, 1)))</f>
        <v>0</v>
      </c>
    </row>
    <row r="133" spans="2:12" ht="16" customHeight="1" x14ac:dyDescent="0.35">
      <c r="B133" s="14" t="s">
        <v>237</v>
      </c>
      <c r="C133" s="14" t="s">
        <v>238</v>
      </c>
      <c r="D133" s="61"/>
      <c r="E133" s="15"/>
      <c r="F133" s="45">
        <f>IFERROR(E133/E13, 0)</f>
        <v>0</v>
      </c>
      <c r="G133" s="63"/>
      <c r="H133" s="15"/>
      <c r="I133" s="45">
        <f>IFERROR(H133/H13, 0)</f>
        <v>0</v>
      </c>
      <c r="J133" s="63"/>
      <c r="K133" s="15">
        <f>E133-H133</f>
        <v>0</v>
      </c>
      <c r="L133" s="45">
        <f>IF(ROUND(K133, 2)=0, 0, IFERROR(K133/ABS(H133), IF(K133&lt;0, -1, 1)))</f>
        <v>0</v>
      </c>
    </row>
    <row r="134" spans="2:12" ht="16" customHeight="1" x14ac:dyDescent="0.35">
      <c r="B134" s="14" t="s">
        <v>239</v>
      </c>
      <c r="C134" s="14" t="s">
        <v>240</v>
      </c>
      <c r="D134" s="61"/>
      <c r="E134" s="15"/>
      <c r="F134" s="45">
        <f>IFERROR(E134/E13, 0)</f>
        <v>0</v>
      </c>
      <c r="G134" s="63"/>
      <c r="H134" s="15"/>
      <c r="I134" s="45">
        <f>IFERROR(H134/H13, 0)</f>
        <v>0</v>
      </c>
      <c r="J134" s="63"/>
      <c r="K134" s="15">
        <f>E134-H134</f>
        <v>0</v>
      </c>
      <c r="L134" s="45">
        <f>IF(ROUND(K134, 2)=0, 0, IFERROR(K134/ABS(H134), IF(K134&lt;0, -1, 1)))</f>
        <v>0</v>
      </c>
    </row>
    <row r="135" spans="2:12" ht="16" customHeight="1" x14ac:dyDescent="0.35">
      <c r="B135" s="14" t="s">
        <v>241</v>
      </c>
      <c r="C135" s="14" t="s">
        <v>242</v>
      </c>
      <c r="D135" s="61"/>
      <c r="E135" s="15">
        <v>203.834</v>
      </c>
      <c r="F135" s="45">
        <f>IFERROR(E135/E13, 0)</f>
        <v>6.3957546199149679E-4</v>
      </c>
      <c r="G135" s="63"/>
      <c r="H135" s="15"/>
      <c r="I135" s="45">
        <f>IFERROR(H135/H13, 0)</f>
        <v>0</v>
      </c>
      <c r="J135" s="63"/>
      <c r="K135" s="15">
        <f>E135-H135</f>
        <v>203.834</v>
      </c>
      <c r="L135" s="45">
        <f>IF(ROUND(K135, 2)=0, 0, IFERROR(K135/ABS(H135), IF(K135&lt;0, -1, 1)))</f>
        <v>1</v>
      </c>
    </row>
    <row r="136" spans="2:12" ht="16" customHeight="1" x14ac:dyDescent="0.35">
      <c r="B136" s="16" t="s">
        <v>243</v>
      </c>
      <c r="C136" s="16" t="s">
        <v>244</v>
      </c>
      <c r="D136" s="64"/>
      <c r="E136" s="17">
        <v>203.834</v>
      </c>
      <c r="F136" s="84">
        <f>IFERROR(E136/E13, 0)</f>
        <v>6.3957546199149679E-4</v>
      </c>
      <c r="G136" s="65"/>
      <c r="H136" s="17"/>
      <c r="I136" s="84">
        <f>IFERROR(H136/H13, 0)</f>
        <v>0</v>
      </c>
      <c r="J136" s="65"/>
      <c r="K136" s="17">
        <f>E136-H136</f>
        <v>203.834</v>
      </c>
      <c r="L136" s="84">
        <f>IF(ROUND(K136, 2)=0, 0, IFERROR(K136/ABS(H136), IF(K136&lt;0, -1, 1)))</f>
        <v>1</v>
      </c>
    </row>
    <row r="137" spans="2:12" ht="16" customHeight="1" thickBot="1" x14ac:dyDescent="0.4">
      <c r="B137" s="11" t="s">
        <v>245</v>
      </c>
      <c r="C137" s="11" t="s">
        <v>22</v>
      </c>
      <c r="D137" s="29"/>
      <c r="E137" s="12"/>
      <c r="F137" s="85"/>
      <c r="G137" s="12"/>
      <c r="H137" s="12"/>
      <c r="I137" s="85"/>
      <c r="J137" s="12"/>
      <c r="K137" s="12"/>
      <c r="L137" s="85"/>
    </row>
    <row r="138" spans="2:12" ht="16" customHeight="1" thickBot="1" x14ac:dyDescent="0.4">
      <c r="B138" s="18" t="s">
        <v>246</v>
      </c>
      <c r="C138" s="18" t="s">
        <v>247</v>
      </c>
      <c r="D138" s="66"/>
      <c r="E138" s="19">
        <v>96599.433529999995</v>
      </c>
      <c r="F138" s="86">
        <f>IFERROR(E138/E13, 0)</f>
        <v>0.30310265867356095</v>
      </c>
      <c r="G138" s="68"/>
      <c r="H138" s="19">
        <v>69757.335949999993</v>
      </c>
      <c r="I138" s="86">
        <f>IFERROR(H138/H13, 0)</f>
        <v>0.23877941821645535</v>
      </c>
      <c r="J138" s="68"/>
      <c r="K138" s="19">
        <f>E138-H138</f>
        <v>26842.097580000001</v>
      </c>
      <c r="L138" s="86">
        <f>IF(ROUND(K138, 2)=0, 0, IFERROR(K138/ABS(H138), IF(K138&lt;0, -1, 1)))</f>
        <v>0.38479246970153258</v>
      </c>
    </row>
    <row r="139" spans="2:12" ht="16" customHeight="1" x14ac:dyDescent="0.35">
      <c r="B139" s="11" t="s">
        <v>248</v>
      </c>
      <c r="C139" s="11" t="s">
        <v>22</v>
      </c>
      <c r="D139" s="29"/>
      <c r="E139" s="12"/>
      <c r="F139" s="85"/>
      <c r="G139" s="12"/>
      <c r="H139" s="12"/>
      <c r="I139" s="85"/>
      <c r="J139" s="12"/>
      <c r="K139" s="12"/>
      <c r="L139" s="85"/>
    </row>
    <row r="140" spans="2:12" ht="16" customHeight="1" x14ac:dyDescent="0.35">
      <c r="B140" s="14" t="s">
        <v>249</v>
      </c>
      <c r="C140" s="14" t="s">
        <v>250</v>
      </c>
      <c r="D140" s="61"/>
      <c r="E140" s="15">
        <v>-5.9999999999999995E-4</v>
      </c>
      <c r="F140" s="45">
        <f>IFERROR(E140/E13, 0)</f>
        <v>-1.8826362490796334E-9</v>
      </c>
      <c r="G140" s="63"/>
      <c r="H140" s="15">
        <v>-12850.174279999999</v>
      </c>
      <c r="I140" s="45">
        <f>IFERROR(H140/H13, 0)</f>
        <v>-4.3986157108375896E-2</v>
      </c>
      <c r="J140" s="63"/>
      <c r="K140" s="15">
        <f>E140-H140</f>
        <v>12850.17368</v>
      </c>
      <c r="L140" s="45">
        <f>IF(ROUND(K140, 2)=0, 0, IFERROR(K140/ABS(H140), IF(K140&lt;0, -1, 1)))</f>
        <v>0.99999995330802627</v>
      </c>
    </row>
    <row r="141" spans="2:12" ht="16" customHeight="1" x14ac:dyDescent="0.35">
      <c r="B141" s="14" t="s">
        <v>251</v>
      </c>
      <c r="C141" s="14" t="s">
        <v>252</v>
      </c>
      <c r="D141" s="61"/>
      <c r="E141" s="15">
        <v>0</v>
      </c>
      <c r="F141" s="45">
        <f>IFERROR(E141/E13, 0)</f>
        <v>0</v>
      </c>
      <c r="G141" s="63"/>
      <c r="H141" s="15">
        <v>781.19626000000005</v>
      </c>
      <c r="I141" s="45">
        <f>IFERROR(H141/H13, 0)</f>
        <v>2.6740354392170681E-3</v>
      </c>
      <c r="J141" s="63"/>
      <c r="K141" s="15">
        <f>E141-H141</f>
        <v>-781.19626000000005</v>
      </c>
      <c r="L141" s="45">
        <f>IF(ROUND(K141, 2)=0, 0, IFERROR(K141/ABS(H141), IF(K141&lt;0, -1, 1)))</f>
        <v>-1</v>
      </c>
    </row>
    <row r="142" spans="2:12" ht="16" customHeight="1" x14ac:dyDescent="0.35">
      <c r="B142" s="16" t="s">
        <v>253</v>
      </c>
      <c r="C142" s="16" t="s">
        <v>254</v>
      </c>
      <c r="D142" s="64"/>
      <c r="E142" s="17">
        <v>-5.9999999999999995E-4</v>
      </c>
      <c r="F142" s="84">
        <f>IFERROR(E142/E13, 0)</f>
        <v>-1.8826362490796334E-9</v>
      </c>
      <c r="G142" s="65"/>
      <c r="H142" s="17">
        <v>-12068.97802</v>
      </c>
      <c r="I142" s="84">
        <f>IFERROR(H142/H13, 0)</f>
        <v>-4.1312121669158833E-2</v>
      </c>
      <c r="J142" s="65"/>
      <c r="K142" s="17">
        <f>E142-H142</f>
        <v>12068.977420000001</v>
      </c>
      <c r="L142" s="84">
        <f>IF(ROUND(K142, 2)=0, 0, IFERROR(K142/ABS(H142), IF(K142&lt;0, -1, 1)))</f>
        <v>0.99999995028576583</v>
      </c>
    </row>
    <row r="143" spans="2:12" ht="16" customHeight="1" x14ac:dyDescent="0.35">
      <c r="B143" s="11" t="s">
        <v>255</v>
      </c>
      <c r="C143" s="11" t="s">
        <v>22</v>
      </c>
      <c r="D143" s="29"/>
      <c r="E143" s="12"/>
      <c r="F143" s="85"/>
      <c r="G143" s="12"/>
      <c r="H143" s="12"/>
      <c r="I143" s="85"/>
      <c r="J143" s="12"/>
      <c r="K143" s="12"/>
      <c r="L143" s="85"/>
    </row>
    <row r="144" spans="2:12" ht="16" customHeight="1" x14ac:dyDescent="0.35">
      <c r="B144" s="14" t="s">
        <v>256</v>
      </c>
      <c r="C144" s="14" t="s">
        <v>257</v>
      </c>
      <c r="D144" s="61"/>
      <c r="E144" s="15"/>
      <c r="F144" s="45">
        <f>IFERROR(E144/E13, 0)</f>
        <v>0</v>
      </c>
      <c r="G144" s="63"/>
      <c r="H144" s="15"/>
      <c r="I144" s="45">
        <f>IFERROR(H144/H13, 0)</f>
        <v>0</v>
      </c>
      <c r="J144" s="63"/>
      <c r="K144" s="15">
        <f>E144-H144</f>
        <v>0</v>
      </c>
      <c r="L144" s="45">
        <f>IF(ROUND(K144, 2)=0, 0, IFERROR(K144/ABS(H144), IF(K144&lt;0, -1, 1)))</f>
        <v>0</v>
      </c>
    </row>
    <row r="145" spans="2:12" ht="16" customHeight="1" thickBot="1" x14ac:dyDescent="0.4">
      <c r="B145" s="11" t="s">
        <v>258</v>
      </c>
      <c r="C145" s="11" t="s">
        <v>22</v>
      </c>
      <c r="D145" s="29"/>
      <c r="E145" s="12"/>
      <c r="F145" s="85"/>
      <c r="G145" s="12"/>
      <c r="H145" s="12"/>
      <c r="I145" s="85"/>
      <c r="J145" s="12"/>
      <c r="K145" s="12"/>
      <c r="L145" s="85"/>
    </row>
    <row r="146" spans="2:12" ht="16" customHeight="1" thickBot="1" x14ac:dyDescent="0.4">
      <c r="B146" s="18" t="s">
        <v>259</v>
      </c>
      <c r="C146" s="18" t="s">
        <v>260</v>
      </c>
      <c r="D146" s="66"/>
      <c r="E146" s="19">
        <v>96599.432929999995</v>
      </c>
      <c r="F146" s="86">
        <f>IFERROR(E146/E13, 0)</f>
        <v>0.30310265679092474</v>
      </c>
      <c r="G146" s="68"/>
      <c r="H146" s="19">
        <v>57688.357929999998</v>
      </c>
      <c r="I146" s="86">
        <f>IFERROR(H146/H13, 0)</f>
        <v>0.19746729654729653</v>
      </c>
      <c r="J146" s="68"/>
      <c r="K146" s="19">
        <f>E146-H146</f>
        <v>38911.074999999997</v>
      </c>
      <c r="L146" s="86">
        <f>IF(ROUND(K146, 2)=0, 0, IFERROR(K146/ABS(H146), IF(K146&lt;0, -1, 1)))</f>
        <v>0.67450481165047782</v>
      </c>
    </row>
    <row r="147" spans="2:12" ht="16" customHeight="1" x14ac:dyDescent="0.35">
      <c r="B147" s="11" t="s">
        <v>261</v>
      </c>
      <c r="C147" s="11" t="s">
        <v>22</v>
      </c>
      <c r="D147" s="29"/>
      <c r="E147" s="12"/>
      <c r="F147" s="85"/>
      <c r="G147" s="12"/>
      <c r="H147" s="12"/>
      <c r="I147" s="85"/>
      <c r="J147" s="12"/>
      <c r="K147" s="12"/>
      <c r="L147" s="85"/>
    </row>
    <row r="148" spans="2:12" ht="16" customHeight="1" x14ac:dyDescent="0.35">
      <c r="B148" s="14" t="s">
        <v>262</v>
      </c>
      <c r="C148" s="14" t="s">
        <v>263</v>
      </c>
      <c r="D148" s="61"/>
      <c r="E148" s="15"/>
      <c r="F148" s="45">
        <f>IFERROR(E148/E13, 0)</f>
        <v>0</v>
      </c>
      <c r="G148" s="63"/>
      <c r="H148" s="15"/>
      <c r="I148" s="45">
        <f>IFERROR(H148/H13, 0)</f>
        <v>0</v>
      </c>
      <c r="J148" s="63"/>
      <c r="K148" s="15">
        <f>E148-H148</f>
        <v>0</v>
      </c>
      <c r="L148" s="45">
        <f>IF(ROUND(K148, 2)=0, 0, IFERROR(K148/ABS(H148), IF(K148&lt;0, -1, 1)))</f>
        <v>0</v>
      </c>
    </row>
    <row r="149" spans="2:12" ht="16" customHeight="1" thickBot="1" x14ac:dyDescent="0.4">
      <c r="B149" s="11" t="s">
        <v>264</v>
      </c>
      <c r="C149" s="11" t="s">
        <v>22</v>
      </c>
      <c r="D149" s="29"/>
      <c r="E149" s="12"/>
      <c r="F149" s="85"/>
      <c r="G149" s="12"/>
      <c r="H149" s="12"/>
      <c r="I149" s="85"/>
      <c r="J149" s="12"/>
      <c r="K149" s="12"/>
      <c r="L149" s="85"/>
    </row>
    <row r="150" spans="2:12" ht="16" customHeight="1" thickBot="1" x14ac:dyDescent="0.4">
      <c r="B150" s="18" t="s">
        <v>265</v>
      </c>
      <c r="C150" s="18" t="s">
        <v>266</v>
      </c>
      <c r="D150" s="66"/>
      <c r="E150" s="19">
        <v>96599.432929999995</v>
      </c>
      <c r="F150" s="86">
        <f>IFERROR(E150/E13, 0)</f>
        <v>0.30310265679092474</v>
      </c>
      <c r="G150" s="68"/>
      <c r="H150" s="19">
        <v>57688.357929999998</v>
      </c>
      <c r="I150" s="86">
        <f>IFERROR(H150/H13, 0)</f>
        <v>0.19746729654729653</v>
      </c>
      <c r="J150" s="68"/>
      <c r="K150" s="19">
        <f>E150-H150</f>
        <v>38911.074999999997</v>
      </c>
      <c r="L150" s="86">
        <f>IF(ROUND(K150, 2)=0, 0, IFERROR(K150/ABS(H150), IF(K150&lt;0, -1, 1)))</f>
        <v>0.67450481165047782</v>
      </c>
    </row>
  </sheetData>
  <mergeCells count="1">
    <mergeCell ref="B6:C6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B0F0E-4E04-4E04-8366-073504C9130C}">
  <dimension ref="B3:X273"/>
  <sheetViews>
    <sheetView showGridLines="0" workbookViewId="0">
      <pane ySplit="8" topLeftCell="A9" activePane="bottomLeft" state="frozen"/>
      <selection pane="bottomLeft" activeCell="B4" sqref="B4:C4"/>
    </sheetView>
  </sheetViews>
  <sheetFormatPr defaultColWidth="9.1796875" defaultRowHeight="15" customHeight="1" x14ac:dyDescent="0.35"/>
  <cols>
    <col min="1" max="1" width="2.453125" style="1" customWidth="1"/>
    <col min="2" max="2" width="10.7265625" style="1" customWidth="1"/>
    <col min="3" max="3" width="65.7265625" style="1" customWidth="1"/>
    <col min="4" max="4" width="1.54296875" style="1" customWidth="1"/>
    <col min="5" max="5" width="15.7265625" style="1" customWidth="1"/>
    <col min="6" max="6" width="1.54296875" style="1" customWidth="1"/>
    <col min="7" max="7" width="15.7265625" style="1" customWidth="1"/>
    <col min="8" max="8" width="1.54296875" style="1" customWidth="1"/>
    <col min="9" max="9" width="15.7265625" style="1" customWidth="1"/>
    <col min="10" max="10" width="1.54296875" style="1" customWidth="1"/>
    <col min="11" max="17" width="15.7265625" style="1" customWidth="1"/>
    <col min="18" max="30" width="12.7265625" style="1" customWidth="1"/>
    <col min="31" max="16384" width="9.1796875" style="1"/>
  </cols>
  <sheetData>
    <row r="3" spans="2:24" ht="15" customHeight="1" x14ac:dyDescent="0.35">
      <c r="B3" s="2" t="s">
        <v>1609</v>
      </c>
    </row>
    <row r="4" spans="2:24" ht="15" customHeight="1" x14ac:dyDescent="0.35">
      <c r="B4" s="88" t="s">
        <v>270</v>
      </c>
      <c r="C4" s="88"/>
    </row>
    <row r="5" spans="2:24" ht="15" customHeight="1" x14ac:dyDescent="0.35">
      <c r="B5" s="89" t="s">
        <v>1016</v>
      </c>
    </row>
    <row r="6" spans="2:24" ht="15" customHeight="1" x14ac:dyDescent="0.35">
      <c r="B6" s="56">
        <v>46189.337896585646</v>
      </c>
      <c r="C6" s="56"/>
    </row>
    <row r="8" spans="2:24" ht="39.5" thickBot="1" x14ac:dyDescent="0.5">
      <c r="B8" s="7"/>
      <c r="C8" s="28"/>
      <c r="D8" s="59"/>
      <c r="E8" s="8" t="s">
        <v>1471</v>
      </c>
      <c r="F8" s="59"/>
      <c r="G8" s="8" t="s">
        <v>1610</v>
      </c>
      <c r="H8" s="59"/>
      <c r="I8" s="8" t="s">
        <v>1611</v>
      </c>
      <c r="J8" s="59"/>
      <c r="K8" s="8" t="s">
        <v>1612</v>
      </c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</row>
    <row r="9" spans="2:24" ht="15" customHeight="1" thickBot="1" x14ac:dyDescent="0.5">
      <c r="B9" s="28"/>
      <c r="C9" s="28"/>
      <c r="D9" s="59"/>
      <c r="E9" s="8" t="s">
        <v>5</v>
      </c>
      <c r="F9" s="59"/>
      <c r="G9" s="8" t="s">
        <v>12</v>
      </c>
      <c r="H9" s="59"/>
      <c r="I9" s="8"/>
      <c r="J9" s="59"/>
      <c r="K9" s="8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</row>
    <row r="10" spans="2:24" ht="15" customHeight="1" x14ac:dyDescent="0.45">
      <c r="B10" s="11"/>
      <c r="C10" s="11"/>
      <c r="D10" s="29"/>
      <c r="E10" s="12"/>
      <c r="F10" s="29"/>
      <c r="G10" s="12"/>
      <c r="H10" s="29"/>
      <c r="I10" s="12"/>
      <c r="J10" s="29"/>
      <c r="K10" s="85">
        <f t="shared" ref="K10:K73" si="0">IF(ROUND(I10, 2)=0, 0, IFERROR(I10/ABS(G10), IF(I10&lt;0, -1, 1)))</f>
        <v>0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</row>
    <row r="11" spans="2:24" ht="15" customHeight="1" x14ac:dyDescent="0.35">
      <c r="B11" s="14" t="s">
        <v>285</v>
      </c>
      <c r="C11" s="14" t="s">
        <v>286</v>
      </c>
      <c r="D11" s="61"/>
      <c r="E11" s="15">
        <v>2829.2055599999999</v>
      </c>
      <c r="F11" s="61"/>
      <c r="G11" s="15">
        <v>1955.4903200000001</v>
      </c>
      <c r="H11" s="61"/>
      <c r="I11" s="15">
        <f>E11-G11</f>
        <v>873.71523999999977</v>
      </c>
      <c r="J11" s="61"/>
      <c r="K11" s="45">
        <f t="shared" si="0"/>
        <v>0.44680110715147886</v>
      </c>
    </row>
    <row r="12" spans="2:24" ht="15" customHeight="1" x14ac:dyDescent="0.35">
      <c r="B12" s="14" t="s">
        <v>287</v>
      </c>
      <c r="C12" s="14" t="s">
        <v>288</v>
      </c>
      <c r="D12" s="61"/>
      <c r="E12" s="15"/>
      <c r="F12" s="61"/>
      <c r="G12" s="15"/>
      <c r="H12" s="61"/>
      <c r="I12" s="15">
        <f>E12-G12</f>
        <v>0</v>
      </c>
      <c r="J12" s="61"/>
      <c r="K12" s="45">
        <f t="shared" si="0"/>
        <v>0</v>
      </c>
    </row>
    <row r="13" spans="2:24" ht="15" customHeight="1" x14ac:dyDescent="0.35">
      <c r="B13" s="16" t="s">
        <v>289</v>
      </c>
      <c r="C13" s="16" t="s">
        <v>290</v>
      </c>
      <c r="D13" s="64"/>
      <c r="E13" s="17">
        <f>E11+E12</f>
        <v>2829.2055599999999</v>
      </c>
      <c r="F13" s="64"/>
      <c r="G13" s="17">
        <f>G11+G12</f>
        <v>1955.4903200000001</v>
      </c>
      <c r="H13" s="64"/>
      <c r="I13" s="17">
        <f>I11+I12</f>
        <v>873.71523999999977</v>
      </c>
      <c r="J13" s="64"/>
      <c r="K13" s="84">
        <f t="shared" si="0"/>
        <v>0.44680110715147886</v>
      </c>
    </row>
    <row r="14" spans="2:24" ht="15" customHeight="1" x14ac:dyDescent="0.35">
      <c r="B14" s="11" t="s">
        <v>21</v>
      </c>
      <c r="C14" s="11" t="s">
        <v>22</v>
      </c>
      <c r="D14" s="29"/>
      <c r="E14" s="12"/>
      <c r="F14" s="29"/>
      <c r="G14" s="12"/>
      <c r="H14" s="29"/>
      <c r="I14" s="12"/>
      <c r="J14" s="29"/>
      <c r="K14" s="85">
        <f t="shared" si="0"/>
        <v>0</v>
      </c>
    </row>
    <row r="15" spans="2:24" ht="15" customHeight="1" x14ac:dyDescent="0.35">
      <c r="B15" s="14" t="s">
        <v>291</v>
      </c>
      <c r="C15" s="14" t="s">
        <v>292</v>
      </c>
      <c r="D15" s="61"/>
      <c r="E15" s="15"/>
      <c r="F15" s="61"/>
      <c r="G15" s="15"/>
      <c r="H15" s="61"/>
      <c r="I15" s="15">
        <f>E15-G15</f>
        <v>0</v>
      </c>
      <c r="J15" s="61"/>
      <c r="K15" s="45">
        <f t="shared" si="0"/>
        <v>0</v>
      </c>
    </row>
    <row r="16" spans="2:24" ht="15" customHeight="1" x14ac:dyDescent="0.35">
      <c r="B16" s="14" t="s">
        <v>293</v>
      </c>
      <c r="C16" s="14" t="s">
        <v>294</v>
      </c>
      <c r="D16" s="61"/>
      <c r="E16" s="15"/>
      <c r="F16" s="61"/>
      <c r="G16" s="15"/>
      <c r="H16" s="61"/>
      <c r="I16" s="15">
        <f>E16-G16</f>
        <v>0</v>
      </c>
      <c r="J16" s="61"/>
      <c r="K16" s="45">
        <f t="shared" si="0"/>
        <v>0</v>
      </c>
    </row>
    <row r="17" spans="2:11" ht="15" customHeight="1" x14ac:dyDescent="0.35">
      <c r="B17" s="16" t="s">
        <v>295</v>
      </c>
      <c r="C17" s="16" t="s">
        <v>296</v>
      </c>
      <c r="D17" s="64"/>
      <c r="E17" s="17">
        <f>E15+E16</f>
        <v>0</v>
      </c>
      <c r="F17" s="64"/>
      <c r="G17" s="17">
        <f>G15+G16</f>
        <v>0</v>
      </c>
      <c r="H17" s="64"/>
      <c r="I17" s="17">
        <f>I15+I16</f>
        <v>0</v>
      </c>
      <c r="J17" s="64"/>
      <c r="K17" s="84">
        <f t="shared" si="0"/>
        <v>0</v>
      </c>
    </row>
    <row r="18" spans="2:11" ht="15" customHeight="1" x14ac:dyDescent="0.35">
      <c r="B18" s="11" t="s">
        <v>297</v>
      </c>
      <c r="C18" s="11" t="s">
        <v>22</v>
      </c>
      <c r="D18" s="29"/>
      <c r="E18" s="12"/>
      <c r="F18" s="29"/>
      <c r="G18" s="12"/>
      <c r="H18" s="29"/>
      <c r="I18" s="12"/>
      <c r="J18" s="29"/>
      <c r="K18" s="85">
        <f t="shared" si="0"/>
        <v>0</v>
      </c>
    </row>
    <row r="19" spans="2:11" ht="15" customHeight="1" x14ac:dyDescent="0.35">
      <c r="B19" s="14" t="s">
        <v>298</v>
      </c>
      <c r="C19" s="14" t="s">
        <v>299</v>
      </c>
      <c r="D19" s="61"/>
      <c r="E19" s="15">
        <v>1826177.92937</v>
      </c>
      <c r="F19" s="61"/>
      <c r="G19" s="15">
        <v>2155177.92937</v>
      </c>
      <c r="H19" s="61"/>
      <c r="I19" s="15">
        <f>E19-G19</f>
        <v>-329000</v>
      </c>
      <c r="J19" s="61"/>
      <c r="K19" s="45">
        <f t="shared" si="0"/>
        <v>-0.15265560931953912</v>
      </c>
    </row>
    <row r="20" spans="2:11" ht="15" customHeight="1" x14ac:dyDescent="0.35">
      <c r="B20" s="14" t="s">
        <v>300</v>
      </c>
      <c r="C20" s="14" t="s">
        <v>301</v>
      </c>
      <c r="D20" s="61"/>
      <c r="E20" s="15"/>
      <c r="F20" s="61"/>
      <c r="G20" s="15"/>
      <c r="H20" s="61"/>
      <c r="I20" s="15">
        <f>E20-G20</f>
        <v>0</v>
      </c>
      <c r="J20" s="61"/>
      <c r="K20" s="45">
        <f t="shared" si="0"/>
        <v>0</v>
      </c>
    </row>
    <row r="21" spans="2:11" ht="15" customHeight="1" x14ac:dyDescent="0.35">
      <c r="B21" s="14" t="s">
        <v>302</v>
      </c>
      <c r="C21" s="14" t="s">
        <v>303</v>
      </c>
      <c r="D21" s="61"/>
      <c r="E21" s="15"/>
      <c r="F21" s="61"/>
      <c r="G21" s="15"/>
      <c r="H21" s="61"/>
      <c r="I21" s="15">
        <f>E21-G21</f>
        <v>0</v>
      </c>
      <c r="J21" s="61"/>
      <c r="K21" s="45">
        <f t="shared" si="0"/>
        <v>0</v>
      </c>
    </row>
    <row r="22" spans="2:11" ht="15" customHeight="1" x14ac:dyDescent="0.35">
      <c r="B22" s="14" t="s">
        <v>304</v>
      </c>
      <c r="C22" s="14" t="s">
        <v>305</v>
      </c>
      <c r="D22" s="61"/>
      <c r="E22" s="15"/>
      <c r="F22" s="61"/>
      <c r="G22" s="15"/>
      <c r="H22" s="61"/>
      <c r="I22" s="15">
        <f>E22-G22</f>
        <v>0</v>
      </c>
      <c r="J22" s="61"/>
      <c r="K22" s="45">
        <f t="shared" si="0"/>
        <v>0</v>
      </c>
    </row>
    <row r="23" spans="2:11" ht="15" customHeight="1" x14ac:dyDescent="0.35">
      <c r="B23" s="14" t="s">
        <v>306</v>
      </c>
      <c r="C23" s="14" t="s">
        <v>307</v>
      </c>
      <c r="D23" s="61"/>
      <c r="E23" s="15"/>
      <c r="F23" s="61"/>
      <c r="G23" s="15"/>
      <c r="H23" s="61"/>
      <c r="I23" s="15">
        <f>E23-G23</f>
        <v>0</v>
      </c>
      <c r="J23" s="61"/>
      <c r="K23" s="45">
        <f t="shared" si="0"/>
        <v>0</v>
      </c>
    </row>
    <row r="24" spans="2:11" ht="15" customHeight="1" x14ac:dyDescent="0.35">
      <c r="B24" s="16" t="s">
        <v>308</v>
      </c>
      <c r="C24" s="16" t="s">
        <v>309</v>
      </c>
      <c r="D24" s="64"/>
      <c r="E24" s="17">
        <f>E19+E20+E21+E22+E23</f>
        <v>1826177.92937</v>
      </c>
      <c r="F24" s="64"/>
      <c r="G24" s="17">
        <f>G19+G20+G21+G22+G23</f>
        <v>2155177.92937</v>
      </c>
      <c r="H24" s="64"/>
      <c r="I24" s="17">
        <f>I19+I20+I21+I22+I23</f>
        <v>-329000</v>
      </c>
      <c r="J24" s="64"/>
      <c r="K24" s="84">
        <f t="shared" si="0"/>
        <v>-0.15265560931953912</v>
      </c>
    </row>
    <row r="25" spans="2:11" ht="15" customHeight="1" x14ac:dyDescent="0.35">
      <c r="B25" s="11" t="s">
        <v>310</v>
      </c>
      <c r="C25" s="11" t="s">
        <v>22</v>
      </c>
      <c r="D25" s="29"/>
      <c r="E25" s="12"/>
      <c r="F25" s="29"/>
      <c r="G25" s="12"/>
      <c r="H25" s="29"/>
      <c r="I25" s="12"/>
      <c r="J25" s="29"/>
      <c r="K25" s="85">
        <f t="shared" si="0"/>
        <v>0</v>
      </c>
    </row>
    <row r="26" spans="2:11" ht="15" customHeight="1" x14ac:dyDescent="0.35">
      <c r="B26" s="14" t="s">
        <v>311</v>
      </c>
      <c r="C26" s="14" t="s">
        <v>312</v>
      </c>
      <c r="D26" s="61"/>
      <c r="E26" s="15">
        <v>2951.72606</v>
      </c>
      <c r="F26" s="61"/>
      <c r="G26" s="15">
        <v>46.18591</v>
      </c>
      <c r="H26" s="61"/>
      <c r="I26" s="15">
        <f>E26-G26</f>
        <v>2905.5401499999998</v>
      </c>
      <c r="J26" s="61"/>
      <c r="K26" s="45">
        <f t="shared" si="0"/>
        <v>62.909665523533036</v>
      </c>
    </row>
    <row r="27" spans="2:11" ht="15" customHeight="1" x14ac:dyDescent="0.35">
      <c r="B27" s="11" t="s">
        <v>313</v>
      </c>
      <c r="C27" s="11" t="s">
        <v>22</v>
      </c>
      <c r="D27" s="29"/>
      <c r="E27" s="12"/>
      <c r="F27" s="29"/>
      <c r="G27" s="12"/>
      <c r="H27" s="29"/>
      <c r="I27" s="12"/>
      <c r="J27" s="29"/>
      <c r="K27" s="85">
        <f t="shared" si="0"/>
        <v>0</v>
      </c>
    </row>
    <row r="28" spans="2:11" ht="15" customHeight="1" x14ac:dyDescent="0.35">
      <c r="B28" s="14" t="s">
        <v>314</v>
      </c>
      <c r="C28" s="14" t="s">
        <v>315</v>
      </c>
      <c r="D28" s="61"/>
      <c r="E28" s="15">
        <v>28358.191350000001</v>
      </c>
      <c r="F28" s="61"/>
      <c r="G28" s="15">
        <v>20151.208470000001</v>
      </c>
      <c r="H28" s="61"/>
      <c r="I28" s="15">
        <f t="shared" ref="I28:I33" si="1">E28-G28</f>
        <v>8206.9828799999996</v>
      </c>
      <c r="J28" s="61"/>
      <c r="K28" s="45">
        <f t="shared" si="0"/>
        <v>0.40727001024370818</v>
      </c>
    </row>
    <row r="29" spans="2:11" ht="15" customHeight="1" x14ac:dyDescent="0.35">
      <c r="B29" s="14" t="s">
        <v>316</v>
      </c>
      <c r="C29" s="14" t="s">
        <v>317</v>
      </c>
      <c r="D29" s="61"/>
      <c r="E29" s="15"/>
      <c r="F29" s="61"/>
      <c r="G29" s="15"/>
      <c r="H29" s="61"/>
      <c r="I29" s="15">
        <f t="shared" si="1"/>
        <v>0</v>
      </c>
      <c r="J29" s="61"/>
      <c r="K29" s="45">
        <f t="shared" si="0"/>
        <v>0</v>
      </c>
    </row>
    <row r="30" spans="2:11" ht="15" customHeight="1" x14ac:dyDescent="0.35">
      <c r="B30" s="14" t="s">
        <v>318</v>
      </c>
      <c r="C30" s="14" t="s">
        <v>319</v>
      </c>
      <c r="D30" s="61"/>
      <c r="E30" s="15">
        <v>433358.47532999999</v>
      </c>
      <c r="F30" s="61"/>
      <c r="G30" s="15">
        <v>254589.07206999999</v>
      </c>
      <c r="H30" s="61"/>
      <c r="I30" s="15">
        <f t="shared" si="1"/>
        <v>178769.40325999999</v>
      </c>
      <c r="J30" s="61"/>
      <c r="K30" s="45">
        <f t="shared" si="0"/>
        <v>0.70218804682569735</v>
      </c>
    </row>
    <row r="31" spans="2:11" ht="15" customHeight="1" x14ac:dyDescent="0.35">
      <c r="B31" s="14" t="s">
        <v>320</v>
      </c>
      <c r="C31" s="14" t="s">
        <v>321</v>
      </c>
      <c r="D31" s="61"/>
      <c r="E31" s="15"/>
      <c r="F31" s="61"/>
      <c r="G31" s="15"/>
      <c r="H31" s="61"/>
      <c r="I31" s="15">
        <f t="shared" si="1"/>
        <v>0</v>
      </c>
      <c r="J31" s="61"/>
      <c r="K31" s="45">
        <f t="shared" si="0"/>
        <v>0</v>
      </c>
    </row>
    <row r="32" spans="2:11" ht="15" customHeight="1" x14ac:dyDescent="0.35">
      <c r="B32" s="14" t="s">
        <v>322</v>
      </c>
      <c r="C32" s="14" t="s">
        <v>323</v>
      </c>
      <c r="D32" s="61"/>
      <c r="E32" s="15">
        <v>-5328.4569000000001</v>
      </c>
      <c r="F32" s="61"/>
      <c r="G32" s="15">
        <v>-5109.9999399999997</v>
      </c>
      <c r="H32" s="61"/>
      <c r="I32" s="15">
        <f t="shared" si="1"/>
        <v>-218.45696000000044</v>
      </c>
      <c r="J32" s="61"/>
      <c r="K32" s="45">
        <f t="shared" si="0"/>
        <v>-4.2750873300401733E-2</v>
      </c>
    </row>
    <row r="33" spans="2:11" ht="15" customHeight="1" x14ac:dyDescent="0.35">
      <c r="B33" s="14" t="s">
        <v>324</v>
      </c>
      <c r="C33" s="14" t="s">
        <v>325</v>
      </c>
      <c r="D33" s="61"/>
      <c r="E33" s="15">
        <v>555.31349999999998</v>
      </c>
      <c r="F33" s="61"/>
      <c r="G33" s="15">
        <v>69.441850000000002</v>
      </c>
      <c r="H33" s="61"/>
      <c r="I33" s="15">
        <f t="shared" si="1"/>
        <v>485.87164999999999</v>
      </c>
      <c r="J33" s="61"/>
      <c r="K33" s="45">
        <f t="shared" si="0"/>
        <v>6.9968131609396922</v>
      </c>
    </row>
    <row r="34" spans="2:11" ht="15" customHeight="1" x14ac:dyDescent="0.35">
      <c r="B34" s="16" t="s">
        <v>326</v>
      </c>
      <c r="C34" s="16" t="s">
        <v>327</v>
      </c>
      <c r="D34" s="64"/>
      <c r="E34" s="17">
        <f>E28+E29+E30+E31+E32+E33</f>
        <v>456943.52327999996</v>
      </c>
      <c r="F34" s="64"/>
      <c r="G34" s="17">
        <f>G28+G29+G30+G31+G32+G33</f>
        <v>269699.72245</v>
      </c>
      <c r="H34" s="64"/>
      <c r="I34" s="17">
        <f>I28+I29+I30+I31+I32+I33</f>
        <v>187243.80082999996</v>
      </c>
      <c r="J34" s="64"/>
      <c r="K34" s="84">
        <f t="shared" si="0"/>
        <v>0.69426768084536439</v>
      </c>
    </row>
    <row r="35" spans="2:11" ht="15" customHeight="1" x14ac:dyDescent="0.35">
      <c r="B35" s="11" t="s">
        <v>328</v>
      </c>
      <c r="C35" s="11" t="s">
        <v>22</v>
      </c>
      <c r="D35" s="29"/>
      <c r="E35" s="12"/>
      <c r="F35" s="29"/>
      <c r="G35" s="12"/>
      <c r="H35" s="29"/>
      <c r="I35" s="12"/>
      <c r="J35" s="29"/>
      <c r="K35" s="85">
        <f t="shared" si="0"/>
        <v>0</v>
      </c>
    </row>
    <row r="36" spans="2:11" ht="15" customHeight="1" x14ac:dyDescent="0.35">
      <c r="B36" s="14" t="s">
        <v>329</v>
      </c>
      <c r="C36" s="14" t="s">
        <v>330</v>
      </c>
      <c r="D36" s="61"/>
      <c r="E36" s="15">
        <v>71864.971239999999</v>
      </c>
      <c r="F36" s="61"/>
      <c r="G36" s="15">
        <v>66917.712150000007</v>
      </c>
      <c r="H36" s="61"/>
      <c r="I36" s="15">
        <f t="shared" ref="I36:I41" si="2">E36-G36</f>
        <v>4947.2590899999923</v>
      </c>
      <c r="J36" s="61"/>
      <c r="K36" s="45">
        <f t="shared" si="0"/>
        <v>7.3930487625016514E-2</v>
      </c>
    </row>
    <row r="37" spans="2:11" ht="15" customHeight="1" x14ac:dyDescent="0.35">
      <c r="B37" s="14" t="s">
        <v>331</v>
      </c>
      <c r="C37" s="14" t="s">
        <v>332</v>
      </c>
      <c r="D37" s="61"/>
      <c r="E37" s="15"/>
      <c r="F37" s="61"/>
      <c r="G37" s="15"/>
      <c r="H37" s="61"/>
      <c r="I37" s="15">
        <f t="shared" si="2"/>
        <v>0</v>
      </c>
      <c r="J37" s="61"/>
      <c r="K37" s="45">
        <f t="shared" si="0"/>
        <v>0</v>
      </c>
    </row>
    <row r="38" spans="2:11" ht="15" customHeight="1" x14ac:dyDescent="0.35">
      <c r="B38" s="14" t="s">
        <v>333</v>
      </c>
      <c r="C38" s="14" t="s">
        <v>334</v>
      </c>
      <c r="D38" s="61"/>
      <c r="E38" s="15">
        <v>269889.33257999999</v>
      </c>
      <c r="F38" s="61"/>
      <c r="G38" s="15">
        <v>284865.10538000002</v>
      </c>
      <c r="H38" s="61"/>
      <c r="I38" s="15">
        <f t="shared" si="2"/>
        <v>-14975.772800000035</v>
      </c>
      <c r="J38" s="61"/>
      <c r="K38" s="45">
        <f t="shared" si="0"/>
        <v>-5.2571454057255912E-2</v>
      </c>
    </row>
    <row r="39" spans="2:11" ht="15" customHeight="1" x14ac:dyDescent="0.35">
      <c r="B39" s="14" t="s">
        <v>335</v>
      </c>
      <c r="C39" s="14" t="s">
        <v>336</v>
      </c>
      <c r="D39" s="61"/>
      <c r="E39" s="15">
        <v>22271.24958</v>
      </c>
      <c r="F39" s="61"/>
      <c r="G39" s="15">
        <v>19854.960330000002</v>
      </c>
      <c r="H39" s="61"/>
      <c r="I39" s="15">
        <f t="shared" si="2"/>
        <v>2416.289249999998</v>
      </c>
      <c r="J39" s="61"/>
      <c r="K39" s="45">
        <f t="shared" si="0"/>
        <v>0.12169700718812757</v>
      </c>
    </row>
    <row r="40" spans="2:11" ht="15" customHeight="1" x14ac:dyDescent="0.35">
      <c r="B40" s="14" t="s">
        <v>337</v>
      </c>
      <c r="C40" s="14" t="s">
        <v>338</v>
      </c>
      <c r="D40" s="61"/>
      <c r="E40" s="15">
        <v>153565.52843999999</v>
      </c>
      <c r="F40" s="61"/>
      <c r="G40" s="15">
        <v>162032.05515999999</v>
      </c>
      <c r="H40" s="61"/>
      <c r="I40" s="15">
        <f t="shared" si="2"/>
        <v>-8466.5267199999944</v>
      </c>
      <c r="J40" s="61"/>
      <c r="K40" s="45">
        <f t="shared" si="0"/>
        <v>-5.225217140916745E-2</v>
      </c>
    </row>
    <row r="41" spans="2:11" ht="15" customHeight="1" x14ac:dyDescent="0.35">
      <c r="B41" s="14" t="s">
        <v>339</v>
      </c>
      <c r="C41" s="14" t="s">
        <v>340</v>
      </c>
      <c r="D41" s="61"/>
      <c r="E41" s="15"/>
      <c r="F41" s="61"/>
      <c r="G41" s="15"/>
      <c r="H41" s="61"/>
      <c r="I41" s="15">
        <f t="shared" si="2"/>
        <v>0</v>
      </c>
      <c r="J41" s="61"/>
      <c r="K41" s="45">
        <f t="shared" si="0"/>
        <v>0</v>
      </c>
    </row>
    <row r="42" spans="2:11" ht="15" customHeight="1" x14ac:dyDescent="0.35">
      <c r="B42" s="16" t="s">
        <v>341</v>
      </c>
      <c r="C42" s="16" t="s">
        <v>342</v>
      </c>
      <c r="D42" s="64"/>
      <c r="E42" s="17">
        <f>E36+E37+E38+E39+E40+E41</f>
        <v>517591.08184</v>
      </c>
      <c r="F42" s="64"/>
      <c r="G42" s="17">
        <f>G36+G37+G38+G39+G40+G41</f>
        <v>533669.83302000002</v>
      </c>
      <c r="H42" s="64"/>
      <c r="I42" s="17">
        <f>I36+I37+I38+I39+I40+I41</f>
        <v>-16078.751180000039</v>
      </c>
      <c r="J42" s="64"/>
      <c r="K42" s="84">
        <f t="shared" si="0"/>
        <v>-3.0128649185605112E-2</v>
      </c>
    </row>
    <row r="43" spans="2:11" ht="15" customHeight="1" x14ac:dyDescent="0.35">
      <c r="B43" s="11" t="s">
        <v>71</v>
      </c>
      <c r="C43" s="11" t="s">
        <v>22</v>
      </c>
      <c r="D43" s="29"/>
      <c r="E43" s="12"/>
      <c r="F43" s="29"/>
      <c r="G43" s="12"/>
      <c r="H43" s="29"/>
      <c r="I43" s="12"/>
      <c r="J43" s="29"/>
      <c r="K43" s="85">
        <f t="shared" si="0"/>
        <v>0</v>
      </c>
    </row>
    <row r="44" spans="2:11" ht="15" customHeight="1" x14ac:dyDescent="0.35">
      <c r="B44" s="14" t="s">
        <v>343</v>
      </c>
      <c r="C44" s="14" t="s">
        <v>344</v>
      </c>
      <c r="D44" s="61"/>
      <c r="E44" s="15">
        <v>74889.687460000001</v>
      </c>
      <c r="F44" s="61"/>
      <c r="G44" s="15">
        <v>62862.796139999999</v>
      </c>
      <c r="H44" s="61"/>
      <c r="I44" s="15">
        <f t="shared" ref="I44:I54" si="3">E44-G44</f>
        <v>12026.891320000002</v>
      </c>
      <c r="J44" s="61"/>
      <c r="K44" s="45">
        <f t="shared" si="0"/>
        <v>0.19131970033937473</v>
      </c>
    </row>
    <row r="45" spans="2:11" ht="15" customHeight="1" x14ac:dyDescent="0.35">
      <c r="B45" s="14" t="s">
        <v>345</v>
      </c>
      <c r="C45" s="14" t="s">
        <v>346</v>
      </c>
      <c r="D45" s="61"/>
      <c r="E45" s="15"/>
      <c r="F45" s="61"/>
      <c r="G45" s="15"/>
      <c r="H45" s="61"/>
      <c r="I45" s="15">
        <f t="shared" si="3"/>
        <v>0</v>
      </c>
      <c r="J45" s="61"/>
      <c r="K45" s="45">
        <f t="shared" si="0"/>
        <v>0</v>
      </c>
    </row>
    <row r="46" spans="2:11" ht="15" customHeight="1" x14ac:dyDescent="0.35">
      <c r="B46" s="14" t="s">
        <v>347</v>
      </c>
      <c r="C46" s="14" t="s">
        <v>348</v>
      </c>
      <c r="D46" s="61"/>
      <c r="E46" s="15">
        <v>14026.896290000001</v>
      </c>
      <c r="F46" s="61"/>
      <c r="G46" s="15">
        <v>18504.237160000001</v>
      </c>
      <c r="H46" s="61"/>
      <c r="I46" s="15">
        <f t="shared" si="3"/>
        <v>-4477.34087</v>
      </c>
      <c r="J46" s="61"/>
      <c r="K46" s="45">
        <f t="shared" si="0"/>
        <v>-0.24196300724455264</v>
      </c>
    </row>
    <row r="47" spans="2:11" ht="15" customHeight="1" x14ac:dyDescent="0.35">
      <c r="B47" s="14" t="s">
        <v>349</v>
      </c>
      <c r="C47" s="14" t="s">
        <v>350</v>
      </c>
      <c r="D47" s="61"/>
      <c r="E47" s="15"/>
      <c r="F47" s="61"/>
      <c r="G47" s="15"/>
      <c r="H47" s="61"/>
      <c r="I47" s="15">
        <f t="shared" si="3"/>
        <v>0</v>
      </c>
      <c r="J47" s="61"/>
      <c r="K47" s="45">
        <f t="shared" si="0"/>
        <v>0</v>
      </c>
    </row>
    <row r="48" spans="2:11" ht="15" customHeight="1" x14ac:dyDescent="0.35">
      <c r="B48" s="14" t="s">
        <v>351</v>
      </c>
      <c r="C48" s="14" t="s">
        <v>352</v>
      </c>
      <c r="D48" s="61"/>
      <c r="E48" s="15"/>
      <c r="F48" s="61"/>
      <c r="G48" s="15"/>
      <c r="H48" s="61"/>
      <c r="I48" s="15">
        <f t="shared" si="3"/>
        <v>0</v>
      </c>
      <c r="J48" s="61"/>
      <c r="K48" s="45">
        <f t="shared" si="0"/>
        <v>0</v>
      </c>
    </row>
    <row r="49" spans="2:11" ht="15" customHeight="1" x14ac:dyDescent="0.35">
      <c r="B49" s="14" t="s">
        <v>353</v>
      </c>
      <c r="C49" s="14" t="s">
        <v>354</v>
      </c>
      <c r="D49" s="61"/>
      <c r="E49" s="15"/>
      <c r="F49" s="61"/>
      <c r="G49" s="15"/>
      <c r="H49" s="61"/>
      <c r="I49" s="15">
        <f t="shared" si="3"/>
        <v>0</v>
      </c>
      <c r="J49" s="61"/>
      <c r="K49" s="45">
        <f t="shared" si="0"/>
        <v>0</v>
      </c>
    </row>
    <row r="50" spans="2:11" ht="15" customHeight="1" x14ac:dyDescent="0.35">
      <c r="B50" s="14" t="s">
        <v>355</v>
      </c>
      <c r="C50" s="14" t="s">
        <v>356</v>
      </c>
      <c r="D50" s="61"/>
      <c r="E50" s="15"/>
      <c r="F50" s="61"/>
      <c r="G50" s="15"/>
      <c r="H50" s="61"/>
      <c r="I50" s="15">
        <f t="shared" si="3"/>
        <v>0</v>
      </c>
      <c r="J50" s="61"/>
      <c r="K50" s="45">
        <f t="shared" si="0"/>
        <v>0</v>
      </c>
    </row>
    <row r="51" spans="2:11" ht="15" customHeight="1" x14ac:dyDescent="0.35">
      <c r="B51" s="14" t="s">
        <v>357</v>
      </c>
      <c r="C51" s="14" t="s">
        <v>358</v>
      </c>
      <c r="D51" s="61"/>
      <c r="E51" s="15"/>
      <c r="F51" s="61"/>
      <c r="G51" s="15"/>
      <c r="H51" s="61"/>
      <c r="I51" s="15">
        <f t="shared" si="3"/>
        <v>0</v>
      </c>
      <c r="J51" s="61"/>
      <c r="K51" s="45">
        <f t="shared" si="0"/>
        <v>0</v>
      </c>
    </row>
    <row r="52" spans="2:11" ht="15" customHeight="1" x14ac:dyDescent="0.35">
      <c r="B52" s="14" t="s">
        <v>359</v>
      </c>
      <c r="C52" s="14" t="s">
        <v>360</v>
      </c>
      <c r="D52" s="61"/>
      <c r="E52" s="15">
        <v>39556.490230000003</v>
      </c>
      <c r="F52" s="61"/>
      <c r="G52" s="15">
        <v>32231.405719999999</v>
      </c>
      <c r="H52" s="61"/>
      <c r="I52" s="15">
        <f t="shared" si="3"/>
        <v>7325.0845100000042</v>
      </c>
      <c r="J52" s="61"/>
      <c r="K52" s="45">
        <f t="shared" si="0"/>
        <v>0.22726543712161756</v>
      </c>
    </row>
    <row r="53" spans="2:11" ht="15" customHeight="1" x14ac:dyDescent="0.35">
      <c r="B53" s="14" t="s">
        <v>361</v>
      </c>
      <c r="C53" s="14" t="s">
        <v>362</v>
      </c>
      <c r="D53" s="61"/>
      <c r="E53" s="15">
        <v>102881.78434</v>
      </c>
      <c r="F53" s="61"/>
      <c r="G53" s="15">
        <v>0</v>
      </c>
      <c r="H53" s="61"/>
      <c r="I53" s="15">
        <f t="shared" si="3"/>
        <v>102881.78434</v>
      </c>
      <c r="J53" s="61"/>
      <c r="K53" s="45">
        <f t="shared" si="0"/>
        <v>1</v>
      </c>
    </row>
    <row r="54" spans="2:11" ht="15" customHeight="1" x14ac:dyDescent="0.35">
      <c r="B54" s="14" t="s">
        <v>363</v>
      </c>
      <c r="C54" s="14" t="s">
        <v>364</v>
      </c>
      <c r="D54" s="61"/>
      <c r="E54" s="15">
        <v>1.3999999999999999E-4</v>
      </c>
      <c r="F54" s="61"/>
      <c r="G54" s="15">
        <v>1.3999999999999999E-4</v>
      </c>
      <c r="H54" s="61"/>
      <c r="I54" s="15">
        <f t="shared" si="3"/>
        <v>0</v>
      </c>
      <c r="J54" s="61"/>
      <c r="K54" s="45">
        <f t="shared" si="0"/>
        <v>0</v>
      </c>
    </row>
    <row r="55" spans="2:11" ht="15" customHeight="1" x14ac:dyDescent="0.35">
      <c r="B55" s="16" t="s">
        <v>365</v>
      </c>
      <c r="C55" s="16" t="s">
        <v>366</v>
      </c>
      <c r="D55" s="64"/>
      <c r="E55" s="17">
        <f>E44+E45+E46+E47+E48+E49+E50+E51+E52+E53+E54</f>
        <v>231354.85845999999</v>
      </c>
      <c r="F55" s="64"/>
      <c r="G55" s="17">
        <f>G44+G45+G46+G47+G48+G49+G50+G51+G52+G53+G54</f>
        <v>113598.43915999999</v>
      </c>
      <c r="H55" s="64"/>
      <c r="I55" s="17">
        <f>I44+I45+I46+I47+I48+I49+I50+I51+I52+I53+I54</f>
        <v>117756.41930000001</v>
      </c>
      <c r="J55" s="64"/>
      <c r="K55" s="84">
        <f t="shared" si="0"/>
        <v>1.0366024407619159</v>
      </c>
    </row>
    <row r="56" spans="2:11" ht="15" customHeight="1" x14ac:dyDescent="0.35">
      <c r="B56" s="11" t="s">
        <v>367</v>
      </c>
      <c r="C56" s="11" t="s">
        <v>22</v>
      </c>
      <c r="D56" s="29"/>
      <c r="E56" s="12"/>
      <c r="F56" s="29"/>
      <c r="G56" s="12"/>
      <c r="H56" s="29"/>
      <c r="I56" s="12"/>
      <c r="J56" s="29"/>
      <c r="K56" s="85">
        <f t="shared" si="0"/>
        <v>0</v>
      </c>
    </row>
    <row r="57" spans="2:11" ht="15" customHeight="1" x14ac:dyDescent="0.35">
      <c r="B57" s="14" t="s">
        <v>368</v>
      </c>
      <c r="C57" s="14" t="s">
        <v>369</v>
      </c>
      <c r="D57" s="61"/>
      <c r="E57" s="15"/>
      <c r="F57" s="61"/>
      <c r="G57" s="15"/>
      <c r="H57" s="61"/>
      <c r="I57" s="15">
        <f>E57-G57</f>
        <v>0</v>
      </c>
      <c r="J57" s="61"/>
      <c r="K57" s="45">
        <f t="shared" si="0"/>
        <v>0</v>
      </c>
    </row>
    <row r="58" spans="2:11" ht="15" customHeight="1" thickBot="1" x14ac:dyDescent="0.4">
      <c r="B58" s="11" t="s">
        <v>370</v>
      </c>
      <c r="C58" s="11" t="s">
        <v>22</v>
      </c>
      <c r="D58" s="29"/>
      <c r="E58" s="12"/>
      <c r="F58" s="29"/>
      <c r="G58" s="12"/>
      <c r="H58" s="29"/>
      <c r="I58" s="12"/>
      <c r="J58" s="29"/>
      <c r="K58" s="85">
        <f t="shared" si="0"/>
        <v>0</v>
      </c>
    </row>
    <row r="59" spans="2:11" ht="15" customHeight="1" thickBot="1" x14ac:dyDescent="0.4">
      <c r="B59" s="18" t="s">
        <v>371</v>
      </c>
      <c r="C59" s="18" t="s">
        <v>372</v>
      </c>
      <c r="D59" s="66"/>
      <c r="E59" s="19">
        <f>E13+E17+E24+E26+E34+E42+E55+E57</f>
        <v>3037848.3245699997</v>
      </c>
      <c r="F59" s="66"/>
      <c r="G59" s="19">
        <f>G13+G17+G24+G26+G34+G42+G55+G57</f>
        <v>3074147.6002299995</v>
      </c>
      <c r="H59" s="66"/>
      <c r="I59" s="19">
        <f>I13+I17+I24+I26+I34+I42+I55+I57</f>
        <v>-36299.275660000072</v>
      </c>
      <c r="J59" s="66"/>
      <c r="K59" s="86">
        <f t="shared" si="0"/>
        <v>-1.180791568280074E-2</v>
      </c>
    </row>
    <row r="60" spans="2:11" ht="15" customHeight="1" x14ac:dyDescent="0.35">
      <c r="B60" s="11" t="s">
        <v>373</v>
      </c>
      <c r="C60" s="11" t="s">
        <v>22</v>
      </c>
      <c r="D60" s="29"/>
      <c r="E60" s="12"/>
      <c r="F60" s="29"/>
      <c r="G60" s="12"/>
      <c r="H60" s="29"/>
      <c r="I60" s="12"/>
      <c r="J60" s="29"/>
      <c r="K60" s="85">
        <f t="shared" si="0"/>
        <v>0</v>
      </c>
    </row>
    <row r="61" spans="2:11" ht="15" customHeight="1" x14ac:dyDescent="0.35">
      <c r="B61" s="14" t="s">
        <v>374</v>
      </c>
      <c r="C61" s="14" t="s">
        <v>375</v>
      </c>
      <c r="D61" s="61"/>
      <c r="E61" s="15">
        <v>-5.7099999999999998E-3</v>
      </c>
      <c r="F61" s="61"/>
      <c r="G61" s="15">
        <v>-5.7099999999999998E-3</v>
      </c>
      <c r="H61" s="61"/>
      <c r="I61" s="15">
        <f t="shared" ref="I61:I67" si="4">E61-G61</f>
        <v>0</v>
      </c>
      <c r="J61" s="61"/>
      <c r="K61" s="45">
        <f t="shared" si="0"/>
        <v>0</v>
      </c>
    </row>
    <row r="62" spans="2:11" ht="15" customHeight="1" x14ac:dyDescent="0.35">
      <c r="B62" s="14" t="s">
        <v>376</v>
      </c>
      <c r="C62" s="14" t="s">
        <v>377</v>
      </c>
      <c r="D62" s="61"/>
      <c r="E62" s="15"/>
      <c r="F62" s="61"/>
      <c r="G62" s="15"/>
      <c r="H62" s="61"/>
      <c r="I62" s="15">
        <f t="shared" si="4"/>
        <v>0</v>
      </c>
      <c r="J62" s="61"/>
      <c r="K62" s="45">
        <f t="shared" si="0"/>
        <v>0</v>
      </c>
    </row>
    <row r="63" spans="2:11" ht="15" customHeight="1" x14ac:dyDescent="0.35">
      <c r="B63" s="14" t="s">
        <v>378</v>
      </c>
      <c r="C63" s="14" t="s">
        <v>379</v>
      </c>
      <c r="D63" s="61"/>
      <c r="E63" s="15">
        <v>1097931.3343</v>
      </c>
      <c r="F63" s="61"/>
      <c r="G63" s="15">
        <v>1039900.7241</v>
      </c>
      <c r="H63" s="61"/>
      <c r="I63" s="15">
        <f t="shared" si="4"/>
        <v>58030.610199999996</v>
      </c>
      <c r="J63" s="61"/>
      <c r="K63" s="45">
        <f t="shared" si="0"/>
        <v>5.5803990568641625E-2</v>
      </c>
    </row>
    <row r="64" spans="2:11" ht="15" customHeight="1" x14ac:dyDescent="0.35">
      <c r="B64" s="14" t="s">
        <v>380</v>
      </c>
      <c r="C64" s="14" t="s">
        <v>381</v>
      </c>
      <c r="D64" s="61"/>
      <c r="E64" s="15"/>
      <c r="F64" s="61"/>
      <c r="G64" s="15"/>
      <c r="H64" s="61"/>
      <c r="I64" s="15">
        <f t="shared" si="4"/>
        <v>0</v>
      </c>
      <c r="J64" s="61"/>
      <c r="K64" s="45">
        <f t="shared" si="0"/>
        <v>0</v>
      </c>
    </row>
    <row r="65" spans="2:11" ht="15" customHeight="1" x14ac:dyDescent="0.35">
      <c r="B65" s="14" t="s">
        <v>382</v>
      </c>
      <c r="C65" s="14" t="s">
        <v>383</v>
      </c>
      <c r="D65" s="61"/>
      <c r="E65" s="15">
        <v>123.71153</v>
      </c>
      <c r="F65" s="61"/>
      <c r="G65" s="15">
        <v>189.09768</v>
      </c>
      <c r="H65" s="61"/>
      <c r="I65" s="15">
        <f t="shared" si="4"/>
        <v>-65.386150000000001</v>
      </c>
      <c r="J65" s="61"/>
      <c r="K65" s="45">
        <f t="shared" si="0"/>
        <v>-0.34577975784790166</v>
      </c>
    </row>
    <row r="66" spans="2:11" ht="15" customHeight="1" x14ac:dyDescent="0.35">
      <c r="B66" s="14" t="s">
        <v>384</v>
      </c>
      <c r="C66" s="14" t="s">
        <v>385</v>
      </c>
      <c r="D66" s="61"/>
      <c r="E66" s="15">
        <v>182.98912000000001</v>
      </c>
      <c r="F66" s="61"/>
      <c r="G66" s="15">
        <v>198.80812</v>
      </c>
      <c r="H66" s="61"/>
      <c r="I66" s="15">
        <f t="shared" si="4"/>
        <v>-15.818999999999988</v>
      </c>
      <c r="J66" s="61"/>
      <c r="K66" s="45">
        <f t="shared" si="0"/>
        <v>-7.9569184598697412E-2</v>
      </c>
    </row>
    <row r="67" spans="2:11" ht="15" customHeight="1" x14ac:dyDescent="0.35">
      <c r="B67" s="14" t="s">
        <v>386</v>
      </c>
      <c r="C67" s="14" t="s">
        <v>387</v>
      </c>
      <c r="D67" s="61"/>
      <c r="E67" s="15">
        <v>71055.432990000001</v>
      </c>
      <c r="F67" s="61"/>
      <c r="G67" s="15">
        <v>77189.929189999995</v>
      </c>
      <c r="H67" s="61"/>
      <c r="I67" s="15">
        <f t="shared" si="4"/>
        <v>-6134.4961999999941</v>
      </c>
      <c r="J67" s="61"/>
      <c r="K67" s="45">
        <f t="shared" si="0"/>
        <v>-7.9472753303091795E-2</v>
      </c>
    </row>
    <row r="68" spans="2:11" ht="15" customHeight="1" x14ac:dyDescent="0.35">
      <c r="B68" s="16" t="s">
        <v>388</v>
      </c>
      <c r="C68" s="16" t="s">
        <v>389</v>
      </c>
      <c r="D68" s="64"/>
      <c r="E68" s="17">
        <f>E61+E62+E63+E64+E65+E66+E67</f>
        <v>1169293.4622300002</v>
      </c>
      <c r="F68" s="64"/>
      <c r="G68" s="17">
        <f>G61+G62+G63+G64+G65+G66+G67</f>
        <v>1117478.5533799999</v>
      </c>
      <c r="H68" s="64"/>
      <c r="I68" s="17">
        <f>I61+I62+I63+I64+I65+I66+I67</f>
        <v>51814.90885</v>
      </c>
      <c r="J68" s="64"/>
      <c r="K68" s="84">
        <f t="shared" si="0"/>
        <v>4.6367698684934205E-2</v>
      </c>
    </row>
    <row r="69" spans="2:11" ht="15" customHeight="1" x14ac:dyDescent="0.35">
      <c r="B69" s="11" t="s">
        <v>390</v>
      </c>
      <c r="C69" s="11" t="s">
        <v>22</v>
      </c>
      <c r="D69" s="29"/>
      <c r="E69" s="12"/>
      <c r="F69" s="29"/>
      <c r="G69" s="12"/>
      <c r="H69" s="29"/>
      <c r="I69" s="12"/>
      <c r="J69" s="29"/>
      <c r="K69" s="85">
        <f t="shared" si="0"/>
        <v>0</v>
      </c>
    </row>
    <row r="70" spans="2:11" ht="15" customHeight="1" x14ac:dyDescent="0.35">
      <c r="B70" s="14" t="s">
        <v>391</v>
      </c>
      <c r="C70" s="14" t="s">
        <v>392</v>
      </c>
      <c r="D70" s="61"/>
      <c r="E70" s="15"/>
      <c r="F70" s="61"/>
      <c r="G70" s="15"/>
      <c r="H70" s="61"/>
      <c r="I70" s="15">
        <f>E70-G70</f>
        <v>0</v>
      </c>
      <c r="J70" s="61"/>
      <c r="K70" s="45">
        <f t="shared" si="0"/>
        <v>0</v>
      </c>
    </row>
    <row r="71" spans="2:11" ht="15" customHeight="1" x14ac:dyDescent="0.35">
      <c r="B71" s="14" t="s">
        <v>393</v>
      </c>
      <c r="C71" s="14" t="s">
        <v>394</v>
      </c>
      <c r="D71" s="61"/>
      <c r="E71" s="15"/>
      <c r="F71" s="61"/>
      <c r="G71" s="15"/>
      <c r="H71" s="61"/>
      <c r="I71" s="15">
        <f>E71-G71</f>
        <v>0</v>
      </c>
      <c r="J71" s="61"/>
      <c r="K71" s="45">
        <f t="shared" si="0"/>
        <v>0</v>
      </c>
    </row>
    <row r="72" spans="2:11" ht="15" customHeight="1" x14ac:dyDescent="0.35">
      <c r="B72" s="16" t="s">
        <v>395</v>
      </c>
      <c r="C72" s="16" t="s">
        <v>396</v>
      </c>
      <c r="D72" s="64"/>
      <c r="E72" s="17">
        <f>E70+E71</f>
        <v>0</v>
      </c>
      <c r="F72" s="64"/>
      <c r="G72" s="17">
        <f>G70+G71</f>
        <v>0</v>
      </c>
      <c r="H72" s="64"/>
      <c r="I72" s="17">
        <f>I70+I71</f>
        <v>0</v>
      </c>
      <c r="J72" s="64"/>
      <c r="K72" s="84">
        <f t="shared" si="0"/>
        <v>0</v>
      </c>
    </row>
    <row r="73" spans="2:11" ht="15" customHeight="1" x14ac:dyDescent="0.35">
      <c r="B73" s="11" t="s">
        <v>77</v>
      </c>
      <c r="C73" s="11" t="s">
        <v>22</v>
      </c>
      <c r="D73" s="29"/>
      <c r="E73" s="12"/>
      <c r="F73" s="29"/>
      <c r="G73" s="12"/>
      <c r="H73" s="29"/>
      <c r="I73" s="12"/>
      <c r="J73" s="29"/>
      <c r="K73" s="85">
        <f t="shared" si="0"/>
        <v>0</v>
      </c>
    </row>
    <row r="74" spans="2:11" ht="15" customHeight="1" x14ac:dyDescent="0.35">
      <c r="B74" s="14" t="s">
        <v>397</v>
      </c>
      <c r="C74" s="14" t="s">
        <v>398</v>
      </c>
      <c r="D74" s="61"/>
      <c r="E74" s="15">
        <v>749.22055999999998</v>
      </c>
      <c r="F74" s="61"/>
      <c r="G74" s="15">
        <v>1.4702</v>
      </c>
      <c r="H74" s="61"/>
      <c r="I74" s="15">
        <f>E74-G74</f>
        <v>747.75036</v>
      </c>
      <c r="J74" s="61"/>
      <c r="K74" s="45">
        <f t="shared" ref="K74:K137" si="5">IF(ROUND(I74, 2)=0, 0, IFERROR(I74/ABS(G74), IF(I74&lt;0, -1, 1)))</f>
        <v>508.60451639232758</v>
      </c>
    </row>
    <row r="75" spans="2:11" ht="15" customHeight="1" x14ac:dyDescent="0.35">
      <c r="B75" s="11" t="s">
        <v>399</v>
      </c>
      <c r="C75" s="11" t="s">
        <v>22</v>
      </c>
      <c r="D75" s="29"/>
      <c r="E75" s="12"/>
      <c r="F75" s="29"/>
      <c r="G75" s="12"/>
      <c r="H75" s="29"/>
      <c r="I75" s="12"/>
      <c r="J75" s="29"/>
      <c r="K75" s="85">
        <f t="shared" si="5"/>
        <v>0</v>
      </c>
    </row>
    <row r="76" spans="2:11" ht="15" customHeight="1" x14ac:dyDescent="0.35">
      <c r="B76" s="14" t="s">
        <v>400</v>
      </c>
      <c r="C76" s="14" t="s">
        <v>401</v>
      </c>
      <c r="D76" s="61"/>
      <c r="E76" s="15">
        <v>316453.20688999997</v>
      </c>
      <c r="F76" s="61"/>
      <c r="G76" s="15">
        <v>315383.85635000002</v>
      </c>
      <c r="H76" s="61"/>
      <c r="I76" s="15">
        <f>E76-G76</f>
        <v>1069.3505399999558</v>
      </c>
      <c r="J76" s="61"/>
      <c r="K76" s="45">
        <f t="shared" si="5"/>
        <v>3.3906318236315643E-3</v>
      </c>
    </row>
    <row r="77" spans="2:11" ht="15" customHeight="1" x14ac:dyDescent="0.35">
      <c r="B77" s="14" t="s">
        <v>402</v>
      </c>
      <c r="C77" s="14" t="s">
        <v>403</v>
      </c>
      <c r="D77" s="61"/>
      <c r="E77" s="15">
        <v>-126044.46915</v>
      </c>
      <c r="F77" s="61"/>
      <c r="G77" s="15">
        <v>-125413.50255</v>
      </c>
      <c r="H77" s="61"/>
      <c r="I77" s="15">
        <f>E77-G77</f>
        <v>-630.96659999999974</v>
      </c>
      <c r="J77" s="61"/>
      <c r="K77" s="45">
        <f t="shared" si="5"/>
        <v>-5.0310898521349024E-3</v>
      </c>
    </row>
    <row r="78" spans="2:11" ht="15" customHeight="1" x14ac:dyDescent="0.35">
      <c r="B78" s="34" t="s">
        <v>404</v>
      </c>
      <c r="C78" s="34" t="s">
        <v>405</v>
      </c>
      <c r="D78" s="69"/>
      <c r="E78" s="35">
        <f>E76+E77</f>
        <v>190408.73773999995</v>
      </c>
      <c r="F78" s="69"/>
      <c r="G78" s="35">
        <f>G76+G77</f>
        <v>189970.35380000001</v>
      </c>
      <c r="H78" s="69"/>
      <c r="I78" s="35">
        <f>I76+I77</f>
        <v>438.38393999995606</v>
      </c>
      <c r="J78" s="69"/>
      <c r="K78" s="90">
        <f t="shared" si="5"/>
        <v>2.3076439624968264E-3</v>
      </c>
    </row>
    <row r="79" spans="2:11" ht="15" customHeight="1" x14ac:dyDescent="0.35">
      <c r="B79" s="14" t="s">
        <v>406</v>
      </c>
      <c r="C79" s="14" t="s">
        <v>407</v>
      </c>
      <c r="D79" s="61"/>
      <c r="E79" s="15">
        <v>2212550.1204599999</v>
      </c>
      <c r="F79" s="61"/>
      <c r="G79" s="15">
        <v>2202694.01076</v>
      </c>
      <c r="H79" s="61"/>
      <c r="I79" s="15">
        <f>E79-G79</f>
        <v>9856.1096999999136</v>
      </c>
      <c r="J79" s="61"/>
      <c r="K79" s="45">
        <f t="shared" si="5"/>
        <v>4.4745705267520298E-3</v>
      </c>
    </row>
    <row r="80" spans="2:11" ht="15" customHeight="1" x14ac:dyDescent="0.35">
      <c r="B80" s="14" t="s">
        <v>408</v>
      </c>
      <c r="C80" s="14" t="s">
        <v>409</v>
      </c>
      <c r="D80" s="61"/>
      <c r="E80" s="15">
        <v>-1252353.9518599999</v>
      </c>
      <c r="F80" s="61"/>
      <c r="G80" s="15">
        <v>-1223060.5483500001</v>
      </c>
      <c r="H80" s="61"/>
      <c r="I80" s="15">
        <f>E80-G80</f>
        <v>-29293.403509999858</v>
      </c>
      <c r="J80" s="61"/>
      <c r="K80" s="45">
        <f t="shared" si="5"/>
        <v>-2.3950902144230589E-2</v>
      </c>
    </row>
    <row r="81" spans="2:11" ht="15" customHeight="1" x14ac:dyDescent="0.35">
      <c r="B81" s="34" t="s">
        <v>410</v>
      </c>
      <c r="C81" s="34" t="s">
        <v>411</v>
      </c>
      <c r="D81" s="69"/>
      <c r="E81" s="35">
        <f>E79+E80</f>
        <v>960196.16859999998</v>
      </c>
      <c r="F81" s="69"/>
      <c r="G81" s="35">
        <f>G79+G80</f>
        <v>979633.46240999992</v>
      </c>
      <c r="H81" s="69"/>
      <c r="I81" s="35">
        <f>I79+I80</f>
        <v>-19437.293809999945</v>
      </c>
      <c r="J81" s="69"/>
      <c r="K81" s="90">
        <f t="shared" si="5"/>
        <v>-1.9841394313116035E-2</v>
      </c>
    </row>
    <row r="82" spans="2:11" ht="15" customHeight="1" x14ac:dyDescent="0.35">
      <c r="B82" s="14" t="s">
        <v>412</v>
      </c>
      <c r="C82" s="14" t="s">
        <v>413</v>
      </c>
      <c r="D82" s="61"/>
      <c r="E82" s="15">
        <v>5379937.7546800002</v>
      </c>
      <c r="F82" s="61"/>
      <c r="G82" s="15">
        <v>5268602.1741199996</v>
      </c>
      <c r="H82" s="61"/>
      <c r="I82" s="15">
        <f>E82-G82</f>
        <v>111335.58056000061</v>
      </c>
      <c r="J82" s="61"/>
      <c r="K82" s="45">
        <f t="shared" si="5"/>
        <v>2.1131901191343356E-2</v>
      </c>
    </row>
    <row r="83" spans="2:11" ht="15" customHeight="1" x14ac:dyDescent="0.35">
      <c r="B83" s="14" t="s">
        <v>414</v>
      </c>
      <c r="C83" s="14" t="s">
        <v>415</v>
      </c>
      <c r="D83" s="61"/>
      <c r="E83" s="15">
        <v>-3615209.9793699998</v>
      </c>
      <c r="F83" s="61"/>
      <c r="G83" s="15">
        <v>-3516755.0314500001</v>
      </c>
      <c r="H83" s="61"/>
      <c r="I83" s="15">
        <f>E83-G83</f>
        <v>-98454.947919999715</v>
      </c>
      <c r="J83" s="61"/>
      <c r="K83" s="45">
        <f t="shared" si="5"/>
        <v>-2.7995964188442652E-2</v>
      </c>
    </row>
    <row r="84" spans="2:11" ht="15" customHeight="1" x14ac:dyDescent="0.35">
      <c r="B84" s="34" t="s">
        <v>416</v>
      </c>
      <c r="C84" s="34" t="s">
        <v>417</v>
      </c>
      <c r="D84" s="69"/>
      <c r="E84" s="35">
        <f>E82+E83</f>
        <v>1764727.7753100004</v>
      </c>
      <c r="F84" s="69"/>
      <c r="G84" s="35">
        <f>G82+G83</f>
        <v>1751847.1426699995</v>
      </c>
      <c r="H84" s="69"/>
      <c r="I84" s="35">
        <f>I82+I83</f>
        <v>12880.632640000898</v>
      </c>
      <c r="J84" s="69"/>
      <c r="K84" s="90">
        <f t="shared" si="5"/>
        <v>7.3526007642250443E-3</v>
      </c>
    </row>
    <row r="85" spans="2:11" ht="15" customHeight="1" x14ac:dyDescent="0.35">
      <c r="B85" s="14" t="s">
        <v>418</v>
      </c>
      <c r="C85" s="14" t="s">
        <v>419</v>
      </c>
      <c r="D85" s="61"/>
      <c r="E85" s="15">
        <v>455392.18517999997</v>
      </c>
      <c r="F85" s="61"/>
      <c r="G85" s="15">
        <v>460412.85333999997</v>
      </c>
      <c r="H85" s="61"/>
      <c r="I85" s="15">
        <f>E85-G85</f>
        <v>-5020.6681600000011</v>
      </c>
      <c r="J85" s="61"/>
      <c r="K85" s="45">
        <f t="shared" si="5"/>
        <v>-1.0904708944544605E-2</v>
      </c>
    </row>
    <row r="86" spans="2:11" ht="15" customHeight="1" x14ac:dyDescent="0.35">
      <c r="B86" s="14" t="s">
        <v>420</v>
      </c>
      <c r="C86" s="14" t="s">
        <v>421</v>
      </c>
      <c r="D86" s="61"/>
      <c r="E86" s="15">
        <v>-340337.68946999998</v>
      </c>
      <c r="F86" s="61"/>
      <c r="G86" s="15">
        <v>-337449.04856999998</v>
      </c>
      <c r="H86" s="61"/>
      <c r="I86" s="15">
        <f>E86-G86</f>
        <v>-2888.6408999999985</v>
      </c>
      <c r="J86" s="61"/>
      <c r="K86" s="45">
        <f t="shared" si="5"/>
        <v>-8.5602283136998764E-3</v>
      </c>
    </row>
    <row r="87" spans="2:11" ht="15" customHeight="1" x14ac:dyDescent="0.35">
      <c r="B87" s="34" t="s">
        <v>422</v>
      </c>
      <c r="C87" s="34" t="s">
        <v>423</v>
      </c>
      <c r="D87" s="69"/>
      <c r="E87" s="35">
        <f>E85+E86</f>
        <v>115054.49570999999</v>
      </c>
      <c r="F87" s="69"/>
      <c r="G87" s="35">
        <f>G85+G86</f>
        <v>122963.80476999999</v>
      </c>
      <c r="H87" s="69"/>
      <c r="I87" s="35">
        <f>I85+I86</f>
        <v>-7909.3090599999996</v>
      </c>
      <c r="J87" s="69"/>
      <c r="K87" s="90">
        <f t="shared" si="5"/>
        <v>-6.4322253811144828E-2</v>
      </c>
    </row>
    <row r="88" spans="2:11" ht="15" customHeight="1" x14ac:dyDescent="0.35">
      <c r="B88" s="14" t="s">
        <v>424</v>
      </c>
      <c r="C88" s="14" t="s">
        <v>425</v>
      </c>
      <c r="D88" s="61"/>
      <c r="E88" s="15">
        <v>263357.25829999999</v>
      </c>
      <c r="F88" s="61"/>
      <c r="G88" s="15">
        <v>193987.31203</v>
      </c>
      <c r="H88" s="61"/>
      <c r="I88" s="15">
        <f>E88-G88</f>
        <v>69369.946269999986</v>
      </c>
      <c r="J88" s="61"/>
      <c r="K88" s="45">
        <f t="shared" si="5"/>
        <v>0.35760043037903411</v>
      </c>
    </row>
    <row r="89" spans="2:11" ht="15" customHeight="1" x14ac:dyDescent="0.35">
      <c r="B89" s="14" t="s">
        <v>426</v>
      </c>
      <c r="C89" s="14" t="s">
        <v>427</v>
      </c>
      <c r="D89" s="61"/>
      <c r="E89" s="15"/>
      <c r="F89" s="61"/>
      <c r="G89" s="15"/>
      <c r="H89" s="61"/>
      <c r="I89" s="15">
        <f>E89-G89</f>
        <v>0</v>
      </c>
      <c r="J89" s="61"/>
      <c r="K89" s="45">
        <f t="shared" si="5"/>
        <v>0</v>
      </c>
    </row>
    <row r="90" spans="2:11" ht="15" customHeight="1" x14ac:dyDescent="0.35">
      <c r="B90" s="34" t="s">
        <v>428</v>
      </c>
      <c r="C90" s="34" t="s">
        <v>429</v>
      </c>
      <c r="D90" s="69"/>
      <c r="E90" s="35">
        <f>E88+E89</f>
        <v>263357.25829999999</v>
      </c>
      <c r="F90" s="69"/>
      <c r="G90" s="35">
        <f>G88+G89</f>
        <v>193987.31203</v>
      </c>
      <c r="H90" s="69"/>
      <c r="I90" s="35">
        <f>I88+I89</f>
        <v>69369.946269999986</v>
      </c>
      <c r="J90" s="69"/>
      <c r="K90" s="90">
        <f t="shared" si="5"/>
        <v>0.35760043037903411</v>
      </c>
    </row>
    <row r="91" spans="2:11" ht="15" customHeight="1" x14ac:dyDescent="0.35">
      <c r="B91" s="11" t="s">
        <v>430</v>
      </c>
      <c r="C91" s="11" t="s">
        <v>22</v>
      </c>
      <c r="D91" s="29"/>
      <c r="E91" s="12"/>
      <c r="F91" s="29"/>
      <c r="G91" s="12"/>
      <c r="H91" s="29"/>
      <c r="I91" s="12"/>
      <c r="J91" s="29"/>
      <c r="K91" s="85">
        <f t="shared" si="5"/>
        <v>0</v>
      </c>
    </row>
    <row r="92" spans="2:11" ht="15" customHeight="1" x14ac:dyDescent="0.35">
      <c r="B92" s="16" t="s">
        <v>431</v>
      </c>
      <c r="C92" s="16" t="s">
        <v>432</v>
      </c>
      <c r="D92" s="64"/>
      <c r="E92" s="17">
        <f>E76+E79+E82+E85+E88</f>
        <v>8627690.5255100001</v>
      </c>
      <c r="F92" s="64"/>
      <c r="G92" s="17">
        <f>G76+G79+G82+G85+G88</f>
        <v>8441080.2065999992</v>
      </c>
      <c r="H92" s="64"/>
      <c r="I92" s="17">
        <f>I76+I79+I82+I85+I88</f>
        <v>186610.31891000047</v>
      </c>
      <c r="J92" s="64"/>
      <c r="K92" s="84">
        <f t="shared" si="5"/>
        <v>2.2107397909107849E-2</v>
      </c>
    </row>
    <row r="93" spans="2:11" ht="15" customHeight="1" thickBot="1" x14ac:dyDescent="0.4">
      <c r="B93" s="16" t="s">
        <v>433</v>
      </c>
      <c r="C93" s="16" t="s">
        <v>434</v>
      </c>
      <c r="D93" s="64"/>
      <c r="E93" s="17">
        <f>E77+E80+E83+E86+E89</f>
        <v>-5333946.0898499992</v>
      </c>
      <c r="F93" s="64"/>
      <c r="G93" s="17">
        <f>G77+G80+G83+G86+G89</f>
        <v>-5202678.1309200004</v>
      </c>
      <c r="H93" s="64"/>
      <c r="I93" s="17">
        <f>I77+I80+I83+I86+I89</f>
        <v>-131267.95892999956</v>
      </c>
      <c r="J93" s="64"/>
      <c r="K93" s="84">
        <f t="shared" si="5"/>
        <v>-2.5230843736010086E-2</v>
      </c>
    </row>
    <row r="94" spans="2:11" ht="15" customHeight="1" thickBot="1" x14ac:dyDescent="0.4">
      <c r="B94" s="18" t="s">
        <v>435</v>
      </c>
      <c r="C94" s="18" t="s">
        <v>436</v>
      </c>
      <c r="D94" s="66"/>
      <c r="E94" s="19">
        <f>E78+E81+E84+E87+E90</f>
        <v>3293744.4356600004</v>
      </c>
      <c r="F94" s="66"/>
      <c r="G94" s="19">
        <f>G78+G81+G84+G87+G90</f>
        <v>3238402.0756799993</v>
      </c>
      <c r="H94" s="66"/>
      <c r="I94" s="19">
        <f>I78+I81+I84+I87+I90</f>
        <v>55342.359980000896</v>
      </c>
      <c r="J94" s="66"/>
      <c r="K94" s="86">
        <f t="shared" si="5"/>
        <v>1.7089403565917649E-2</v>
      </c>
    </row>
    <row r="95" spans="2:11" ht="15" customHeight="1" x14ac:dyDescent="0.35">
      <c r="B95" s="11" t="s">
        <v>437</v>
      </c>
      <c r="C95" s="11" t="s">
        <v>22</v>
      </c>
      <c r="D95" s="29"/>
      <c r="E95" s="12"/>
      <c r="F95" s="29"/>
      <c r="G95" s="12"/>
      <c r="H95" s="29"/>
      <c r="I95" s="12"/>
      <c r="J95" s="29"/>
      <c r="K95" s="85">
        <f t="shared" si="5"/>
        <v>0</v>
      </c>
    </row>
    <row r="96" spans="2:11" ht="15" customHeight="1" x14ac:dyDescent="0.35">
      <c r="B96" s="14" t="s">
        <v>438</v>
      </c>
      <c r="C96" s="14" t="s">
        <v>439</v>
      </c>
      <c r="D96" s="61"/>
      <c r="E96" s="15">
        <v>27708.20062</v>
      </c>
      <c r="F96" s="61"/>
      <c r="G96" s="15">
        <v>27927.275379999999</v>
      </c>
      <c r="H96" s="61"/>
      <c r="I96" s="15">
        <f>E96-G96</f>
        <v>-219.07475999999951</v>
      </c>
      <c r="J96" s="61"/>
      <c r="K96" s="45">
        <f t="shared" si="5"/>
        <v>-7.8444730830021809E-3</v>
      </c>
    </row>
    <row r="97" spans="2:11" ht="15" customHeight="1" x14ac:dyDescent="0.35">
      <c r="B97" s="14" t="s">
        <v>440</v>
      </c>
      <c r="C97" s="14" t="s">
        <v>441</v>
      </c>
      <c r="D97" s="61"/>
      <c r="E97" s="15">
        <v>-3291.2001399999999</v>
      </c>
      <c r="F97" s="61"/>
      <c r="G97" s="15">
        <v>-3146.4605499999998</v>
      </c>
      <c r="H97" s="61"/>
      <c r="I97" s="15">
        <f>E97-G97</f>
        <v>-144.73959000000013</v>
      </c>
      <c r="J97" s="61"/>
      <c r="K97" s="45">
        <f t="shared" si="5"/>
        <v>-4.600076425556969E-2</v>
      </c>
    </row>
    <row r="98" spans="2:11" ht="15" customHeight="1" x14ac:dyDescent="0.35">
      <c r="B98" s="34" t="s">
        <v>442</v>
      </c>
      <c r="C98" s="34" t="s">
        <v>443</v>
      </c>
      <c r="D98" s="69"/>
      <c r="E98" s="35">
        <f>E96+E97</f>
        <v>24417.000479999999</v>
      </c>
      <c r="F98" s="69"/>
      <c r="G98" s="35">
        <f>G96+G97</f>
        <v>24780.814829999999</v>
      </c>
      <c r="H98" s="69"/>
      <c r="I98" s="35">
        <f>I96+I97</f>
        <v>-363.81434999999965</v>
      </c>
      <c r="J98" s="69"/>
      <c r="K98" s="90">
        <f t="shared" si="5"/>
        <v>-1.4681290849224253E-2</v>
      </c>
    </row>
    <row r="99" spans="2:11" ht="15" customHeight="1" x14ac:dyDescent="0.35">
      <c r="B99" s="14" t="s">
        <v>444</v>
      </c>
      <c r="C99" s="14" t="s">
        <v>445</v>
      </c>
      <c r="D99" s="61"/>
      <c r="E99" s="15">
        <v>25069.32372</v>
      </c>
      <c r="F99" s="61"/>
      <c r="G99" s="15">
        <v>25069.32372</v>
      </c>
      <c r="H99" s="61"/>
      <c r="I99" s="15">
        <f>E99-G99</f>
        <v>0</v>
      </c>
      <c r="J99" s="61"/>
      <c r="K99" s="45">
        <f t="shared" si="5"/>
        <v>0</v>
      </c>
    </row>
    <row r="100" spans="2:11" ht="15" customHeight="1" x14ac:dyDescent="0.35">
      <c r="B100" s="14" t="s">
        <v>446</v>
      </c>
      <c r="C100" s="14" t="s">
        <v>447</v>
      </c>
      <c r="D100" s="61"/>
      <c r="E100" s="15">
        <v>-16467.272990000001</v>
      </c>
      <c r="F100" s="61"/>
      <c r="G100" s="15">
        <v>-16140.01657</v>
      </c>
      <c r="H100" s="61"/>
      <c r="I100" s="15">
        <f>E100-G100</f>
        <v>-327.25642000000153</v>
      </c>
      <c r="J100" s="61"/>
      <c r="K100" s="45">
        <f t="shared" si="5"/>
        <v>-2.0276089468723609E-2</v>
      </c>
    </row>
    <row r="101" spans="2:11" ht="15" customHeight="1" x14ac:dyDescent="0.35">
      <c r="B101" s="34" t="s">
        <v>448</v>
      </c>
      <c r="C101" s="34" t="s">
        <v>449</v>
      </c>
      <c r="D101" s="69"/>
      <c r="E101" s="35">
        <f>E99+E100</f>
        <v>8602.050729999999</v>
      </c>
      <c r="F101" s="69"/>
      <c r="G101" s="35">
        <f>G99+G100</f>
        <v>8929.3071500000005</v>
      </c>
      <c r="H101" s="69"/>
      <c r="I101" s="35">
        <f>I99+I100</f>
        <v>-327.25642000000153</v>
      </c>
      <c r="J101" s="69"/>
      <c r="K101" s="90">
        <f t="shared" si="5"/>
        <v>-3.6649699075476591E-2</v>
      </c>
    </row>
    <row r="102" spans="2:11" ht="15" customHeight="1" x14ac:dyDescent="0.35">
      <c r="B102" s="14" t="s">
        <v>450</v>
      </c>
      <c r="C102" s="14" t="s">
        <v>451</v>
      </c>
      <c r="D102" s="61"/>
      <c r="E102" s="15">
        <v>34567.395909999999</v>
      </c>
      <c r="F102" s="61"/>
      <c r="G102" s="15">
        <v>33894.322169999999</v>
      </c>
      <c r="H102" s="61"/>
      <c r="I102" s="15">
        <f>E102-G102</f>
        <v>673.07373999999982</v>
      </c>
      <c r="J102" s="61"/>
      <c r="K102" s="45">
        <f t="shared" si="5"/>
        <v>1.985800856627663E-2</v>
      </c>
    </row>
    <row r="103" spans="2:11" ht="15" customHeight="1" x14ac:dyDescent="0.35">
      <c r="B103" s="14" t="s">
        <v>452</v>
      </c>
      <c r="C103" s="14" t="s">
        <v>453</v>
      </c>
      <c r="D103" s="61"/>
      <c r="E103" s="15">
        <v>-24536.28702</v>
      </c>
      <c r="F103" s="61"/>
      <c r="G103" s="15">
        <v>-23294.240989999998</v>
      </c>
      <c r="H103" s="61"/>
      <c r="I103" s="15">
        <f>E103-G103</f>
        <v>-1242.0460300000013</v>
      </c>
      <c r="J103" s="61"/>
      <c r="K103" s="45">
        <f t="shared" si="5"/>
        <v>-5.3319875523448058E-2</v>
      </c>
    </row>
    <row r="104" spans="2:11" ht="15" customHeight="1" x14ac:dyDescent="0.35">
      <c r="B104" s="34" t="s">
        <v>454</v>
      </c>
      <c r="C104" s="34" t="s">
        <v>455</v>
      </c>
      <c r="D104" s="69"/>
      <c r="E104" s="35">
        <f>E102+E103</f>
        <v>10031.10889</v>
      </c>
      <c r="F104" s="69"/>
      <c r="G104" s="35">
        <f>G102+G103</f>
        <v>10600.081180000001</v>
      </c>
      <c r="H104" s="69"/>
      <c r="I104" s="35">
        <f>I102+I103</f>
        <v>-568.97229000000152</v>
      </c>
      <c r="J104" s="69"/>
      <c r="K104" s="90">
        <f t="shared" si="5"/>
        <v>-5.3676220053250713E-2</v>
      </c>
    </row>
    <row r="105" spans="2:11" ht="15" customHeight="1" x14ac:dyDescent="0.35">
      <c r="B105" s="14" t="s">
        <v>456</v>
      </c>
      <c r="C105" s="14" t="s">
        <v>457</v>
      </c>
      <c r="D105" s="61"/>
      <c r="E105" s="15">
        <v>65404.1535</v>
      </c>
      <c r="F105" s="61"/>
      <c r="G105" s="15">
        <v>61250.868970000003</v>
      </c>
      <c r="H105" s="61"/>
      <c r="I105" s="15">
        <f>E105-G105</f>
        <v>4153.2845299999972</v>
      </c>
      <c r="J105" s="61"/>
      <c r="K105" s="45">
        <f t="shared" si="5"/>
        <v>6.7807765013656054E-2</v>
      </c>
    </row>
    <row r="106" spans="2:11" ht="15" customHeight="1" x14ac:dyDescent="0.35">
      <c r="B106" s="14" t="s">
        <v>458</v>
      </c>
      <c r="C106" s="14" t="s">
        <v>459</v>
      </c>
      <c r="D106" s="61"/>
      <c r="E106" s="15">
        <v>-33630.94829</v>
      </c>
      <c r="F106" s="61"/>
      <c r="G106" s="15">
        <v>-17297.655920000001</v>
      </c>
      <c r="H106" s="61"/>
      <c r="I106" s="15">
        <f>E106-G106</f>
        <v>-16333.292369999999</v>
      </c>
      <c r="J106" s="61"/>
      <c r="K106" s="45">
        <f t="shared" si="5"/>
        <v>-0.94424888814645802</v>
      </c>
    </row>
    <row r="107" spans="2:11" ht="15" customHeight="1" x14ac:dyDescent="0.35">
      <c r="B107" s="34" t="s">
        <v>460</v>
      </c>
      <c r="C107" s="34" t="s">
        <v>461</v>
      </c>
      <c r="D107" s="69"/>
      <c r="E107" s="35">
        <f>E105+E106</f>
        <v>31773.20521</v>
      </c>
      <c r="F107" s="69"/>
      <c r="G107" s="35">
        <f>G105+G106</f>
        <v>43953.213050000006</v>
      </c>
      <c r="H107" s="69"/>
      <c r="I107" s="35">
        <f>I105+I106</f>
        <v>-12180.007840000002</v>
      </c>
      <c r="J107" s="69"/>
      <c r="K107" s="90">
        <f t="shared" si="5"/>
        <v>-0.27711302530134369</v>
      </c>
    </row>
    <row r="108" spans="2:11" ht="15" customHeight="1" x14ac:dyDescent="0.35">
      <c r="B108" s="14" t="s">
        <v>462</v>
      </c>
      <c r="C108" s="14" t="s">
        <v>463</v>
      </c>
      <c r="D108" s="61"/>
      <c r="E108" s="15"/>
      <c r="F108" s="61"/>
      <c r="G108" s="15"/>
      <c r="H108" s="61"/>
      <c r="I108" s="15">
        <f>E108-G108</f>
        <v>0</v>
      </c>
      <c r="J108" s="61"/>
      <c r="K108" s="45">
        <f t="shared" si="5"/>
        <v>0</v>
      </c>
    </row>
    <row r="109" spans="2:11" ht="15" customHeight="1" x14ac:dyDescent="0.35">
      <c r="B109" s="14" t="s">
        <v>464</v>
      </c>
      <c r="C109" s="14" t="s">
        <v>465</v>
      </c>
      <c r="D109" s="61"/>
      <c r="E109" s="15"/>
      <c r="F109" s="61"/>
      <c r="G109" s="15"/>
      <c r="H109" s="61"/>
      <c r="I109" s="15">
        <f>E109-G109</f>
        <v>0</v>
      </c>
      <c r="J109" s="61"/>
      <c r="K109" s="45">
        <f t="shared" si="5"/>
        <v>0</v>
      </c>
    </row>
    <row r="110" spans="2:11" ht="15" customHeight="1" x14ac:dyDescent="0.35">
      <c r="B110" s="34" t="s">
        <v>466</v>
      </c>
      <c r="C110" s="34" t="s">
        <v>467</v>
      </c>
      <c r="D110" s="69"/>
      <c r="E110" s="35">
        <f>E108+E109</f>
        <v>0</v>
      </c>
      <c r="F110" s="69"/>
      <c r="G110" s="35">
        <f>G108+G109</f>
        <v>0</v>
      </c>
      <c r="H110" s="69"/>
      <c r="I110" s="35">
        <f>I108+I109</f>
        <v>0</v>
      </c>
      <c r="J110" s="69"/>
      <c r="K110" s="90">
        <f t="shared" si="5"/>
        <v>0</v>
      </c>
    </row>
    <row r="111" spans="2:11" ht="15" customHeight="1" x14ac:dyDescent="0.35">
      <c r="B111" s="11" t="s">
        <v>468</v>
      </c>
      <c r="C111" s="11" t="s">
        <v>22</v>
      </c>
      <c r="D111" s="29"/>
      <c r="E111" s="12"/>
      <c r="F111" s="29"/>
      <c r="G111" s="12"/>
      <c r="H111" s="29"/>
      <c r="I111" s="12"/>
      <c r="J111" s="29"/>
      <c r="K111" s="85">
        <f t="shared" si="5"/>
        <v>0</v>
      </c>
    </row>
    <row r="112" spans="2:11" ht="15" customHeight="1" x14ac:dyDescent="0.35">
      <c r="B112" s="16" t="s">
        <v>469</v>
      </c>
      <c r="C112" s="16" t="s">
        <v>470</v>
      </c>
      <c r="D112" s="64"/>
      <c r="E112" s="17">
        <f>E96+E99+E102+E105+E108</f>
        <v>152749.07374999998</v>
      </c>
      <c r="F112" s="64"/>
      <c r="G112" s="17">
        <f>G96+G99+G102+G105+G108</f>
        <v>148141.79024</v>
      </c>
      <c r="H112" s="64"/>
      <c r="I112" s="17">
        <f>I96+I99+I102+I105+I108</f>
        <v>4607.2835099999975</v>
      </c>
      <c r="J112" s="64"/>
      <c r="K112" s="84">
        <f t="shared" si="5"/>
        <v>3.1100498397757161E-2</v>
      </c>
    </row>
    <row r="113" spans="2:11" ht="15" customHeight="1" thickBot="1" x14ac:dyDescent="0.4">
      <c r="B113" s="16" t="s">
        <v>471</v>
      </c>
      <c r="C113" s="16" t="s">
        <v>472</v>
      </c>
      <c r="D113" s="64"/>
      <c r="E113" s="17">
        <f>E97+E100+E103+E106+E109</f>
        <v>-77925.708440000002</v>
      </c>
      <c r="F113" s="64"/>
      <c r="G113" s="17">
        <f>G97+G100+G103+G106+G109</f>
        <v>-59878.374030000006</v>
      </c>
      <c r="H113" s="64"/>
      <c r="I113" s="17">
        <f>I97+I100+I103+I106+I109</f>
        <v>-18047.334410000003</v>
      </c>
      <c r="J113" s="64"/>
      <c r="K113" s="84">
        <f t="shared" si="5"/>
        <v>-0.30139987436796473</v>
      </c>
    </row>
    <row r="114" spans="2:11" ht="15" customHeight="1" thickBot="1" x14ac:dyDescent="0.4">
      <c r="B114" s="18" t="s">
        <v>473</v>
      </c>
      <c r="C114" s="18" t="s">
        <v>474</v>
      </c>
      <c r="D114" s="66"/>
      <c r="E114" s="19">
        <f>E98+E101+E104+E107+E110</f>
        <v>74823.365309999994</v>
      </c>
      <c r="F114" s="66"/>
      <c r="G114" s="19">
        <f>G98+G101+G104+G107+G110</f>
        <v>88263.416209999996</v>
      </c>
      <c r="H114" s="66"/>
      <c r="I114" s="19">
        <f>I98+I101+I104+I107+I110</f>
        <v>-13440.050900000006</v>
      </c>
      <c r="J114" s="66"/>
      <c r="K114" s="86">
        <f t="shared" si="5"/>
        <v>-0.15227204517014023</v>
      </c>
    </row>
    <row r="115" spans="2:11" ht="15" customHeight="1" x14ac:dyDescent="0.35">
      <c r="B115" s="11" t="s">
        <v>93</v>
      </c>
      <c r="C115" s="11" t="s">
        <v>475</v>
      </c>
      <c r="D115" s="29"/>
      <c r="E115" s="12"/>
      <c r="F115" s="29"/>
      <c r="G115" s="12"/>
      <c r="H115" s="29"/>
      <c r="I115" s="12"/>
      <c r="J115" s="29"/>
      <c r="K115" s="85">
        <f t="shared" si="5"/>
        <v>0</v>
      </c>
    </row>
    <row r="116" spans="2:11" ht="15" customHeight="1" x14ac:dyDescent="0.35">
      <c r="B116" s="16" t="s">
        <v>476</v>
      </c>
      <c r="C116" s="16" t="s">
        <v>477</v>
      </c>
      <c r="D116" s="64"/>
      <c r="E116" s="17">
        <f>E92+E112</f>
        <v>8780439.5992600005</v>
      </c>
      <c r="F116" s="64"/>
      <c r="G116" s="17">
        <f>G92+G112</f>
        <v>8589221.9968400002</v>
      </c>
      <c r="H116" s="64"/>
      <c r="I116" s="17">
        <f>I92+I112</f>
        <v>191217.60242000048</v>
      </c>
      <c r="J116" s="64"/>
      <c r="K116" s="84">
        <f t="shared" si="5"/>
        <v>2.2262505555258671E-2</v>
      </c>
    </row>
    <row r="117" spans="2:11" ht="15" customHeight="1" thickBot="1" x14ac:dyDescent="0.4">
      <c r="B117" s="16" t="s">
        <v>478</v>
      </c>
      <c r="C117" s="16" t="s">
        <v>479</v>
      </c>
      <c r="D117" s="64"/>
      <c r="E117" s="17">
        <f>E93+E113</f>
        <v>-5411871.7982899994</v>
      </c>
      <c r="F117" s="64"/>
      <c r="G117" s="17">
        <f>G93+G113</f>
        <v>-5262556.50495</v>
      </c>
      <c r="H117" s="64"/>
      <c r="I117" s="17">
        <f>I93+I113</f>
        <v>-149315.29333999957</v>
      </c>
      <c r="J117" s="64"/>
      <c r="K117" s="84">
        <f t="shared" si="5"/>
        <v>-2.8373147765644414E-2</v>
      </c>
    </row>
    <row r="118" spans="2:11" ht="15" customHeight="1" thickBot="1" x14ac:dyDescent="0.4">
      <c r="B118" s="18" t="s">
        <v>480</v>
      </c>
      <c r="C118" s="18" t="s">
        <v>481</v>
      </c>
      <c r="D118" s="66"/>
      <c r="E118" s="19">
        <f>E94+E114</f>
        <v>3368567.8009700002</v>
      </c>
      <c r="F118" s="66"/>
      <c r="G118" s="19">
        <f>G94+G114</f>
        <v>3326665.4918899992</v>
      </c>
      <c r="H118" s="66"/>
      <c r="I118" s="19">
        <f>I94+I114</f>
        <v>41902.309080000894</v>
      </c>
      <c r="J118" s="66"/>
      <c r="K118" s="86">
        <f t="shared" si="5"/>
        <v>1.2595888941089378E-2</v>
      </c>
    </row>
    <row r="119" spans="2:11" ht="15" customHeight="1" x14ac:dyDescent="0.35">
      <c r="B119" s="11" t="s">
        <v>482</v>
      </c>
      <c r="C119" s="11" t="s">
        <v>22</v>
      </c>
      <c r="D119" s="29"/>
      <c r="E119" s="12"/>
      <c r="F119" s="29"/>
      <c r="G119" s="12"/>
      <c r="H119" s="29"/>
      <c r="I119" s="12"/>
      <c r="J119" s="29"/>
      <c r="K119" s="85">
        <f t="shared" si="5"/>
        <v>0</v>
      </c>
    </row>
    <row r="120" spans="2:11" ht="15" customHeight="1" x14ac:dyDescent="0.35">
      <c r="B120" s="14" t="s">
        <v>483</v>
      </c>
      <c r="C120" s="14" t="s">
        <v>484</v>
      </c>
      <c r="D120" s="61"/>
      <c r="E120" s="15"/>
      <c r="F120" s="61"/>
      <c r="G120" s="15"/>
      <c r="H120" s="61"/>
      <c r="I120" s="15">
        <f>E120-G120</f>
        <v>0</v>
      </c>
      <c r="J120" s="61"/>
      <c r="K120" s="45">
        <f t="shared" si="5"/>
        <v>0</v>
      </c>
    </row>
    <row r="121" spans="2:11" ht="15" customHeight="1" x14ac:dyDescent="0.35">
      <c r="B121" s="14" t="s">
        <v>485</v>
      </c>
      <c r="C121" s="14" t="s">
        <v>486</v>
      </c>
      <c r="D121" s="61"/>
      <c r="E121" s="15"/>
      <c r="F121" s="61"/>
      <c r="G121" s="15"/>
      <c r="H121" s="61"/>
      <c r="I121" s="15">
        <f>E121-G121</f>
        <v>0</v>
      </c>
      <c r="J121" s="61"/>
      <c r="K121" s="45">
        <f t="shared" si="5"/>
        <v>0</v>
      </c>
    </row>
    <row r="122" spans="2:11" ht="15" customHeight="1" x14ac:dyDescent="0.35">
      <c r="B122" s="34" t="s">
        <v>487</v>
      </c>
      <c r="C122" s="34" t="s">
        <v>488</v>
      </c>
      <c r="D122" s="69"/>
      <c r="E122" s="35">
        <f>E120+E121</f>
        <v>0</v>
      </c>
      <c r="F122" s="69"/>
      <c r="G122" s="35">
        <f>G120+G121</f>
        <v>0</v>
      </c>
      <c r="H122" s="69"/>
      <c r="I122" s="35">
        <f>I120+I121</f>
        <v>0</v>
      </c>
      <c r="J122" s="69"/>
      <c r="K122" s="90">
        <f t="shared" si="5"/>
        <v>0</v>
      </c>
    </row>
    <row r="123" spans="2:11" ht="15" customHeight="1" x14ac:dyDescent="0.35">
      <c r="B123" s="14" t="s">
        <v>489</v>
      </c>
      <c r="C123" s="14" t="s">
        <v>490</v>
      </c>
      <c r="D123" s="61"/>
      <c r="E123" s="15">
        <v>2836.7139200000001</v>
      </c>
      <c r="F123" s="61"/>
      <c r="G123" s="15"/>
      <c r="H123" s="61"/>
      <c r="I123" s="15">
        <f>E123-G123</f>
        <v>2836.7139200000001</v>
      </c>
      <c r="J123" s="61"/>
      <c r="K123" s="45">
        <f t="shared" si="5"/>
        <v>1</v>
      </c>
    </row>
    <row r="124" spans="2:11" ht="15" customHeight="1" x14ac:dyDescent="0.35">
      <c r="B124" s="14" t="s">
        <v>491</v>
      </c>
      <c r="C124" s="14" t="s">
        <v>492</v>
      </c>
      <c r="D124" s="61"/>
      <c r="E124" s="15">
        <v>-2836.7139200000001</v>
      </c>
      <c r="F124" s="61"/>
      <c r="G124" s="15"/>
      <c r="H124" s="61"/>
      <c r="I124" s="15">
        <f>E124-G124</f>
        <v>-2836.7139200000001</v>
      </c>
      <c r="J124" s="61"/>
      <c r="K124" s="45">
        <f t="shared" si="5"/>
        <v>-1</v>
      </c>
    </row>
    <row r="125" spans="2:11" ht="15" customHeight="1" x14ac:dyDescent="0.35">
      <c r="B125" s="34" t="s">
        <v>493</v>
      </c>
      <c r="C125" s="34" t="s">
        <v>494</v>
      </c>
      <c r="D125" s="69"/>
      <c r="E125" s="35">
        <f>E123+E124</f>
        <v>0</v>
      </c>
      <c r="F125" s="69"/>
      <c r="G125" s="35">
        <f>G123+G124</f>
        <v>0</v>
      </c>
      <c r="H125" s="69"/>
      <c r="I125" s="35">
        <f>I123+I124</f>
        <v>0</v>
      </c>
      <c r="J125" s="69"/>
      <c r="K125" s="90">
        <f t="shared" si="5"/>
        <v>0</v>
      </c>
    </row>
    <row r="126" spans="2:11" ht="15" customHeight="1" x14ac:dyDescent="0.35">
      <c r="B126" s="14" t="s">
        <v>495</v>
      </c>
      <c r="C126" s="14" t="s">
        <v>496</v>
      </c>
      <c r="D126" s="61"/>
      <c r="E126" s="15">
        <v>60067.568070000001</v>
      </c>
      <c r="F126" s="61"/>
      <c r="G126" s="15"/>
      <c r="H126" s="61"/>
      <c r="I126" s="15">
        <f>E126-G126</f>
        <v>60067.568070000001</v>
      </c>
      <c r="J126" s="61"/>
      <c r="K126" s="45">
        <f t="shared" si="5"/>
        <v>1</v>
      </c>
    </row>
    <row r="127" spans="2:11" ht="15" customHeight="1" x14ac:dyDescent="0.35">
      <c r="B127" s="14" t="s">
        <v>497</v>
      </c>
      <c r="C127" s="14" t="s">
        <v>498</v>
      </c>
      <c r="D127" s="61"/>
      <c r="E127" s="15">
        <v>-58791.737739999997</v>
      </c>
      <c r="F127" s="61"/>
      <c r="G127" s="15"/>
      <c r="H127" s="61"/>
      <c r="I127" s="15">
        <f>E127-G127</f>
        <v>-58791.737739999997</v>
      </c>
      <c r="J127" s="61"/>
      <c r="K127" s="45">
        <f t="shared" si="5"/>
        <v>-1</v>
      </c>
    </row>
    <row r="128" spans="2:11" ht="15" customHeight="1" x14ac:dyDescent="0.35">
      <c r="B128" s="34" t="s">
        <v>499</v>
      </c>
      <c r="C128" s="34" t="s">
        <v>500</v>
      </c>
      <c r="D128" s="69"/>
      <c r="E128" s="35">
        <f>E126+E127</f>
        <v>1275.8303300000043</v>
      </c>
      <c r="F128" s="69"/>
      <c r="G128" s="35">
        <f>G126+G127</f>
        <v>0</v>
      </c>
      <c r="H128" s="69"/>
      <c r="I128" s="35">
        <f>I126+I127</f>
        <v>1275.8303300000043</v>
      </c>
      <c r="J128" s="69"/>
      <c r="K128" s="90">
        <f t="shared" si="5"/>
        <v>1</v>
      </c>
    </row>
    <row r="129" spans="2:11" ht="15" customHeight="1" x14ac:dyDescent="0.35">
      <c r="B129" s="14" t="s">
        <v>501</v>
      </c>
      <c r="C129" s="14" t="s">
        <v>502</v>
      </c>
      <c r="D129" s="61"/>
      <c r="E129" s="15"/>
      <c r="F129" s="61"/>
      <c r="G129" s="15"/>
      <c r="H129" s="61"/>
      <c r="I129" s="15">
        <f>E129-G129</f>
        <v>0</v>
      </c>
      <c r="J129" s="61"/>
      <c r="K129" s="45">
        <f t="shared" si="5"/>
        <v>0</v>
      </c>
    </row>
    <row r="130" spans="2:11" ht="15" customHeight="1" x14ac:dyDescent="0.35">
      <c r="B130" s="14" t="s">
        <v>503</v>
      </c>
      <c r="C130" s="14" t="s">
        <v>504</v>
      </c>
      <c r="D130" s="61"/>
      <c r="E130" s="15"/>
      <c r="F130" s="61"/>
      <c r="G130" s="15"/>
      <c r="H130" s="61"/>
      <c r="I130" s="15">
        <f>E130-G130</f>
        <v>0</v>
      </c>
      <c r="J130" s="61"/>
      <c r="K130" s="45">
        <f t="shared" si="5"/>
        <v>0</v>
      </c>
    </row>
    <row r="131" spans="2:11" ht="15" customHeight="1" x14ac:dyDescent="0.35">
      <c r="B131" s="34" t="s">
        <v>505</v>
      </c>
      <c r="C131" s="34" t="s">
        <v>506</v>
      </c>
      <c r="D131" s="69"/>
      <c r="E131" s="35">
        <f>E129+E130</f>
        <v>0</v>
      </c>
      <c r="F131" s="69"/>
      <c r="G131" s="35">
        <f>G129+G130</f>
        <v>0</v>
      </c>
      <c r="H131" s="69"/>
      <c r="I131" s="35">
        <f>I129+I130</f>
        <v>0</v>
      </c>
      <c r="J131" s="69"/>
      <c r="K131" s="90">
        <f t="shared" si="5"/>
        <v>0</v>
      </c>
    </row>
    <row r="132" spans="2:11" ht="15" customHeight="1" x14ac:dyDescent="0.35">
      <c r="B132" s="14" t="s">
        <v>507</v>
      </c>
      <c r="C132" s="14" t="s">
        <v>508</v>
      </c>
      <c r="D132" s="61"/>
      <c r="E132" s="15">
        <v>4264.5429999999997</v>
      </c>
      <c r="F132" s="61"/>
      <c r="G132" s="15"/>
      <c r="H132" s="61"/>
      <c r="I132" s="15">
        <f>E132-G132</f>
        <v>4264.5429999999997</v>
      </c>
      <c r="J132" s="61"/>
      <c r="K132" s="45">
        <f t="shared" si="5"/>
        <v>1</v>
      </c>
    </row>
    <row r="133" spans="2:11" ht="15" customHeight="1" x14ac:dyDescent="0.35">
      <c r="B133" s="14" t="s">
        <v>509</v>
      </c>
      <c r="C133" s="14" t="s">
        <v>510</v>
      </c>
      <c r="D133" s="61"/>
      <c r="E133" s="15">
        <v>-4264.5429999999997</v>
      </c>
      <c r="F133" s="61"/>
      <c r="G133" s="15"/>
      <c r="H133" s="61"/>
      <c r="I133" s="15">
        <f>E133-G133</f>
        <v>-4264.5429999999997</v>
      </c>
      <c r="J133" s="61"/>
      <c r="K133" s="45">
        <f t="shared" si="5"/>
        <v>-1</v>
      </c>
    </row>
    <row r="134" spans="2:11" ht="15" customHeight="1" x14ac:dyDescent="0.35">
      <c r="B134" s="34" t="s">
        <v>511</v>
      </c>
      <c r="C134" s="34" t="s">
        <v>512</v>
      </c>
      <c r="D134" s="69"/>
      <c r="E134" s="35">
        <f>E132+E133</f>
        <v>0</v>
      </c>
      <c r="F134" s="69"/>
      <c r="G134" s="35">
        <f>G132+G133</f>
        <v>0</v>
      </c>
      <c r="H134" s="69"/>
      <c r="I134" s="35">
        <f>I132+I133</f>
        <v>0</v>
      </c>
      <c r="J134" s="69"/>
      <c r="K134" s="90">
        <f t="shared" si="5"/>
        <v>0</v>
      </c>
    </row>
    <row r="135" spans="2:11" ht="15" customHeight="1" x14ac:dyDescent="0.35">
      <c r="B135" s="14" t="s">
        <v>513</v>
      </c>
      <c r="C135" s="14" t="s">
        <v>514</v>
      </c>
      <c r="D135" s="61"/>
      <c r="E135" s="15">
        <v>5422.7634099999996</v>
      </c>
      <c r="F135" s="61"/>
      <c r="G135" s="15"/>
      <c r="H135" s="61"/>
      <c r="I135" s="15">
        <f>E135-G135</f>
        <v>5422.7634099999996</v>
      </c>
      <c r="J135" s="61"/>
      <c r="K135" s="45">
        <f t="shared" si="5"/>
        <v>1</v>
      </c>
    </row>
    <row r="136" spans="2:11" ht="15" customHeight="1" x14ac:dyDescent="0.35">
      <c r="B136" s="14" t="s">
        <v>515</v>
      </c>
      <c r="C136" s="14" t="s">
        <v>516</v>
      </c>
      <c r="D136" s="61"/>
      <c r="E136" s="15">
        <v>-5417.7277700000004</v>
      </c>
      <c r="F136" s="61"/>
      <c r="G136" s="15"/>
      <c r="H136" s="61"/>
      <c r="I136" s="15">
        <f>E136-G136</f>
        <v>-5417.7277700000004</v>
      </c>
      <c r="J136" s="61"/>
      <c r="K136" s="45">
        <f t="shared" si="5"/>
        <v>-1</v>
      </c>
    </row>
    <row r="137" spans="2:11" ht="15" customHeight="1" x14ac:dyDescent="0.35">
      <c r="B137" s="34" t="s">
        <v>517</v>
      </c>
      <c r="C137" s="34" t="s">
        <v>518</v>
      </c>
      <c r="D137" s="69"/>
      <c r="E137" s="35">
        <f>E135+E136</f>
        <v>5.0356399999991481</v>
      </c>
      <c r="F137" s="69"/>
      <c r="G137" s="35">
        <f>G135+G136</f>
        <v>0</v>
      </c>
      <c r="H137" s="69"/>
      <c r="I137" s="35">
        <f>I135+I136</f>
        <v>5.0356399999991481</v>
      </c>
      <c r="J137" s="69"/>
      <c r="K137" s="90">
        <f t="shared" si="5"/>
        <v>1</v>
      </c>
    </row>
    <row r="138" spans="2:11" ht="15" customHeight="1" x14ac:dyDescent="0.35">
      <c r="B138" s="14" t="s">
        <v>519</v>
      </c>
      <c r="C138" s="14" t="s">
        <v>520</v>
      </c>
      <c r="D138" s="61"/>
      <c r="E138" s="15"/>
      <c r="F138" s="61"/>
      <c r="G138" s="15">
        <v>72589.582559999995</v>
      </c>
      <c r="H138" s="61"/>
      <c r="I138" s="15">
        <f>E138-G138</f>
        <v>-72589.582559999995</v>
      </c>
      <c r="J138" s="61"/>
      <c r="K138" s="45">
        <f t="shared" ref="K138:K201" si="6">IF(ROUND(I138, 2)=0, 0, IFERROR(I138/ABS(G138), IF(I138&lt;0, -1, 1)))</f>
        <v>-1</v>
      </c>
    </row>
    <row r="139" spans="2:11" ht="15" customHeight="1" x14ac:dyDescent="0.35">
      <c r="B139" s="14" t="s">
        <v>521</v>
      </c>
      <c r="C139" s="14" t="s">
        <v>522</v>
      </c>
      <c r="D139" s="61"/>
      <c r="E139" s="15"/>
      <c r="F139" s="61"/>
      <c r="G139" s="15">
        <v>-71057.927249999993</v>
      </c>
      <c r="H139" s="61"/>
      <c r="I139" s="15">
        <f>E139-G139</f>
        <v>71057.927249999993</v>
      </c>
      <c r="J139" s="61"/>
      <c r="K139" s="45">
        <f t="shared" si="6"/>
        <v>1</v>
      </c>
    </row>
    <row r="140" spans="2:11" ht="15" customHeight="1" x14ac:dyDescent="0.35">
      <c r="B140" s="34" t="s">
        <v>523</v>
      </c>
      <c r="C140" s="34" t="s">
        <v>524</v>
      </c>
      <c r="D140" s="69"/>
      <c r="E140" s="35">
        <f>E138+E139</f>
        <v>0</v>
      </c>
      <c r="F140" s="69"/>
      <c r="G140" s="35">
        <f>G138+G139</f>
        <v>1531.6553100000019</v>
      </c>
      <c r="H140" s="69"/>
      <c r="I140" s="35">
        <f>I138+I139</f>
        <v>-1531.6553100000019</v>
      </c>
      <c r="J140" s="69"/>
      <c r="K140" s="90">
        <f t="shared" si="6"/>
        <v>-1</v>
      </c>
    </row>
    <row r="141" spans="2:11" ht="15" customHeight="1" x14ac:dyDescent="0.35">
      <c r="B141" s="11" t="s">
        <v>525</v>
      </c>
      <c r="C141" s="11" t="s">
        <v>475</v>
      </c>
      <c r="D141" s="29"/>
      <c r="E141" s="12"/>
      <c r="F141" s="29"/>
      <c r="G141" s="12"/>
      <c r="H141" s="29"/>
      <c r="I141" s="12"/>
      <c r="J141" s="29"/>
      <c r="K141" s="85">
        <f t="shared" si="6"/>
        <v>0</v>
      </c>
    </row>
    <row r="142" spans="2:11" ht="15" customHeight="1" x14ac:dyDescent="0.35">
      <c r="B142" s="16" t="s">
        <v>526</v>
      </c>
      <c r="C142" s="16" t="s">
        <v>527</v>
      </c>
      <c r="D142" s="64"/>
      <c r="E142" s="17">
        <f>E120+E123+E126+E129+E132+E135+E138</f>
        <v>72591.588400000008</v>
      </c>
      <c r="F142" s="64"/>
      <c r="G142" s="17">
        <f>G120+G123+G126+G129+G132+G135+G138</f>
        <v>72589.582559999995</v>
      </c>
      <c r="H142" s="64"/>
      <c r="I142" s="17">
        <f>I120+I123+I126+I129+I132+I135+I138</f>
        <v>2.0058400000125403</v>
      </c>
      <c r="J142" s="64"/>
      <c r="K142" s="84">
        <f t="shared" si="6"/>
        <v>2.7632615166984649E-5</v>
      </c>
    </row>
    <row r="143" spans="2:11" ht="15" customHeight="1" thickBot="1" x14ac:dyDescent="0.4">
      <c r="B143" s="16" t="s">
        <v>528</v>
      </c>
      <c r="C143" s="16" t="s">
        <v>529</v>
      </c>
      <c r="D143" s="64"/>
      <c r="E143" s="17">
        <f>E121+E124+E127+E130+E133+E136+E139</f>
        <v>-71310.722429999994</v>
      </c>
      <c r="F143" s="64"/>
      <c r="G143" s="17">
        <f>G121+G124+G127+G130+G133+G136+G139</f>
        <v>-71057.927249999993</v>
      </c>
      <c r="H143" s="64"/>
      <c r="I143" s="17">
        <f>I121+I124+I127+I130+I133+I136+I139</f>
        <v>-252.79518000000098</v>
      </c>
      <c r="J143" s="64"/>
      <c r="K143" s="84">
        <f t="shared" si="6"/>
        <v>-3.5575929355580941E-3</v>
      </c>
    </row>
    <row r="144" spans="2:11" ht="15" customHeight="1" thickBot="1" x14ac:dyDescent="0.4">
      <c r="B144" s="18" t="s">
        <v>530</v>
      </c>
      <c r="C144" s="18" t="s">
        <v>531</v>
      </c>
      <c r="D144" s="66"/>
      <c r="E144" s="19">
        <f>E122+E125+E128+E131+E134+E137+E140</f>
        <v>1280.8659700000035</v>
      </c>
      <c r="F144" s="66"/>
      <c r="G144" s="19">
        <f>G122+G125+G128+G131+G134+G137+G140</f>
        <v>1531.6553100000019</v>
      </c>
      <c r="H144" s="66"/>
      <c r="I144" s="19">
        <f>I122+I125+I128+I131+I134+I137+I140</f>
        <v>-250.78933999999845</v>
      </c>
      <c r="J144" s="66"/>
      <c r="K144" s="86">
        <f t="shared" si="6"/>
        <v>-0.16373745343526289</v>
      </c>
    </row>
    <row r="145" spans="2:11" ht="15" customHeight="1" x14ac:dyDescent="0.35">
      <c r="B145" s="11" t="s">
        <v>532</v>
      </c>
      <c r="C145" s="11" t="s">
        <v>22</v>
      </c>
      <c r="D145" s="29"/>
      <c r="E145" s="12"/>
      <c r="F145" s="29"/>
      <c r="G145" s="12"/>
      <c r="H145" s="29"/>
      <c r="I145" s="12"/>
      <c r="J145" s="29"/>
      <c r="K145" s="85">
        <f t="shared" si="6"/>
        <v>0</v>
      </c>
    </row>
    <row r="146" spans="2:11" ht="15" customHeight="1" x14ac:dyDescent="0.35">
      <c r="B146" s="14" t="s">
        <v>533</v>
      </c>
      <c r="C146" s="14" t="s">
        <v>534</v>
      </c>
      <c r="D146" s="61"/>
      <c r="E146" s="15">
        <v>82815.630990000005</v>
      </c>
      <c r="F146" s="61"/>
      <c r="G146" s="15">
        <v>82815.630990000005</v>
      </c>
      <c r="H146" s="61"/>
      <c r="I146" s="15">
        <f>E146-G146</f>
        <v>0</v>
      </c>
      <c r="J146" s="61"/>
      <c r="K146" s="45">
        <f t="shared" si="6"/>
        <v>0</v>
      </c>
    </row>
    <row r="147" spans="2:11" ht="15" customHeight="1" x14ac:dyDescent="0.35">
      <c r="B147" s="14" t="s">
        <v>535</v>
      </c>
      <c r="C147" s="14" t="s">
        <v>536</v>
      </c>
      <c r="D147" s="61"/>
      <c r="E147" s="15">
        <v>-2.0000000000000002E-5</v>
      </c>
      <c r="F147" s="61"/>
      <c r="G147" s="15">
        <v>-2.0000000000000002E-5</v>
      </c>
      <c r="H147" s="61"/>
      <c r="I147" s="15">
        <f>E147-G147</f>
        <v>0</v>
      </c>
      <c r="J147" s="61"/>
      <c r="K147" s="45">
        <f t="shared" si="6"/>
        <v>0</v>
      </c>
    </row>
    <row r="148" spans="2:11" ht="15" customHeight="1" x14ac:dyDescent="0.35">
      <c r="B148" s="14" t="s">
        <v>537</v>
      </c>
      <c r="C148" s="14" t="s">
        <v>538</v>
      </c>
      <c r="D148" s="61"/>
      <c r="E148" s="15">
        <v>1052539.90766</v>
      </c>
      <c r="F148" s="61"/>
      <c r="G148" s="15">
        <v>1052539.90766</v>
      </c>
      <c r="H148" s="61"/>
      <c r="I148" s="15">
        <f>E148-G148</f>
        <v>0</v>
      </c>
      <c r="J148" s="61"/>
      <c r="K148" s="45">
        <f t="shared" si="6"/>
        <v>0</v>
      </c>
    </row>
    <row r="149" spans="2:11" ht="15" customHeight="1" x14ac:dyDescent="0.35">
      <c r="B149" s="14" t="s">
        <v>539</v>
      </c>
      <c r="C149" s="14" t="s">
        <v>540</v>
      </c>
      <c r="D149" s="61"/>
      <c r="E149" s="15"/>
      <c r="F149" s="61"/>
      <c r="G149" s="15"/>
      <c r="H149" s="61"/>
      <c r="I149" s="15">
        <f>E149-G149</f>
        <v>0</v>
      </c>
      <c r="J149" s="61"/>
      <c r="K149" s="45">
        <f t="shared" si="6"/>
        <v>0</v>
      </c>
    </row>
    <row r="150" spans="2:11" ht="15" customHeight="1" x14ac:dyDescent="0.35">
      <c r="B150" s="16" t="s">
        <v>541</v>
      </c>
      <c r="C150" s="16" t="s">
        <v>542</v>
      </c>
      <c r="D150" s="64"/>
      <c r="E150" s="17">
        <f>E146+E147+E148+E149</f>
        <v>1135355.5386300001</v>
      </c>
      <c r="F150" s="64"/>
      <c r="G150" s="17">
        <f>G146+G147+G148+G149</f>
        <v>1135355.5386300001</v>
      </c>
      <c r="H150" s="64"/>
      <c r="I150" s="17">
        <f>I146+I147+I148+I149</f>
        <v>0</v>
      </c>
      <c r="J150" s="64"/>
      <c r="K150" s="84">
        <f t="shared" si="6"/>
        <v>0</v>
      </c>
    </row>
    <row r="151" spans="2:11" ht="15" customHeight="1" x14ac:dyDescent="0.35">
      <c r="B151" s="11" t="s">
        <v>543</v>
      </c>
      <c r="C151" s="11" t="s">
        <v>22</v>
      </c>
      <c r="D151" s="29"/>
      <c r="E151" s="12"/>
      <c r="F151" s="29"/>
      <c r="G151" s="12"/>
      <c r="H151" s="29"/>
      <c r="I151" s="12"/>
      <c r="J151" s="29"/>
      <c r="K151" s="85">
        <f t="shared" si="6"/>
        <v>0</v>
      </c>
    </row>
    <row r="152" spans="2:11" ht="15" customHeight="1" x14ac:dyDescent="0.35">
      <c r="B152" s="14" t="s">
        <v>544</v>
      </c>
      <c r="C152" s="14" t="s">
        <v>545</v>
      </c>
      <c r="D152" s="61"/>
      <c r="E152" s="15">
        <v>37957.170510000004</v>
      </c>
      <c r="F152" s="61"/>
      <c r="G152" s="15">
        <v>42157.676229999997</v>
      </c>
      <c r="H152" s="61"/>
      <c r="I152" s="15">
        <f>E152-G152</f>
        <v>-4200.5057199999937</v>
      </c>
      <c r="J152" s="61"/>
      <c r="K152" s="45">
        <f t="shared" si="6"/>
        <v>-9.9637980449473987E-2</v>
      </c>
    </row>
    <row r="153" spans="2:11" ht="15" customHeight="1" x14ac:dyDescent="0.35">
      <c r="B153" s="14" t="s">
        <v>546</v>
      </c>
      <c r="C153" s="14" t="s">
        <v>547</v>
      </c>
      <c r="D153" s="61"/>
      <c r="E153" s="15">
        <v>10459.43957</v>
      </c>
      <c r="F153" s="61"/>
      <c r="G153" s="15">
        <v>11242.98624</v>
      </c>
      <c r="H153" s="61"/>
      <c r="I153" s="15">
        <f>E153-G153</f>
        <v>-783.54666999999972</v>
      </c>
      <c r="J153" s="61"/>
      <c r="K153" s="45">
        <f t="shared" si="6"/>
        <v>-6.9692042067286186E-2</v>
      </c>
    </row>
    <row r="154" spans="2:11" ht="15" customHeight="1" x14ac:dyDescent="0.35">
      <c r="B154" s="14" t="s">
        <v>548</v>
      </c>
      <c r="C154" s="14" t="s">
        <v>549</v>
      </c>
      <c r="D154" s="61"/>
      <c r="E154" s="15">
        <v>3850.5225999999998</v>
      </c>
      <c r="F154" s="61"/>
      <c r="G154" s="15">
        <v>3911.5958500000002</v>
      </c>
      <c r="H154" s="61"/>
      <c r="I154" s="15">
        <f>E154-G154</f>
        <v>-61.073250000000371</v>
      </c>
      <c r="J154" s="61"/>
      <c r="K154" s="45">
        <f t="shared" si="6"/>
        <v>-1.5613384496253714E-2</v>
      </c>
    </row>
    <row r="155" spans="2:11" ht="15" customHeight="1" x14ac:dyDescent="0.35">
      <c r="B155" s="14" t="s">
        <v>550</v>
      </c>
      <c r="C155" s="14" t="s">
        <v>551</v>
      </c>
      <c r="D155" s="61"/>
      <c r="E155" s="15">
        <v>115507.72745000001</v>
      </c>
      <c r="F155" s="61"/>
      <c r="G155" s="15">
        <v>103984.17892999999</v>
      </c>
      <c r="H155" s="61"/>
      <c r="I155" s="15">
        <f>E155-G155</f>
        <v>11523.548520000011</v>
      </c>
      <c r="J155" s="61"/>
      <c r="K155" s="45">
        <f t="shared" si="6"/>
        <v>0.11082020975284544</v>
      </c>
    </row>
    <row r="156" spans="2:11" ht="15" customHeight="1" x14ac:dyDescent="0.35">
      <c r="B156" s="16" t="s">
        <v>552</v>
      </c>
      <c r="C156" s="16" t="s">
        <v>553</v>
      </c>
      <c r="D156" s="64"/>
      <c r="E156" s="17">
        <f>E152+E153+E154+E155</f>
        <v>167774.86013000002</v>
      </c>
      <c r="F156" s="64"/>
      <c r="G156" s="17">
        <f>G152+G153+G154+G155</f>
        <v>161296.43724999999</v>
      </c>
      <c r="H156" s="64"/>
      <c r="I156" s="17">
        <f>I152+I153+I154+I155</f>
        <v>6478.4228800000174</v>
      </c>
      <c r="J156" s="64"/>
      <c r="K156" s="84">
        <f t="shared" si="6"/>
        <v>4.0164699174097956E-2</v>
      </c>
    </row>
    <row r="157" spans="2:11" ht="15" customHeight="1" x14ac:dyDescent="0.35">
      <c r="B157" s="11" t="s">
        <v>105</v>
      </c>
      <c r="C157" s="11" t="s">
        <v>22</v>
      </c>
      <c r="D157" s="29"/>
      <c r="E157" s="12"/>
      <c r="F157" s="29"/>
      <c r="G157" s="12"/>
      <c r="H157" s="29"/>
      <c r="I157" s="12"/>
      <c r="J157" s="29"/>
      <c r="K157" s="85">
        <f t="shared" si="6"/>
        <v>0</v>
      </c>
    </row>
    <row r="158" spans="2:11" ht="15" customHeight="1" x14ac:dyDescent="0.35">
      <c r="B158" s="14" t="s">
        <v>554</v>
      </c>
      <c r="C158" s="14" t="s">
        <v>555</v>
      </c>
      <c r="D158" s="61"/>
      <c r="E158" s="15">
        <v>0</v>
      </c>
      <c r="F158" s="61"/>
      <c r="G158" s="15">
        <v>264.19027999999997</v>
      </c>
      <c r="H158" s="61"/>
      <c r="I158" s="15">
        <f>E158-G158</f>
        <v>-264.19027999999997</v>
      </c>
      <c r="J158" s="61"/>
      <c r="K158" s="45">
        <f t="shared" si="6"/>
        <v>-1</v>
      </c>
    </row>
    <row r="159" spans="2:11" ht="15" customHeight="1" x14ac:dyDescent="0.35">
      <c r="B159" s="11" t="s">
        <v>556</v>
      </c>
      <c r="C159" s="11" t="s">
        <v>22</v>
      </c>
      <c r="D159" s="29"/>
      <c r="E159" s="12"/>
      <c r="F159" s="29"/>
      <c r="G159" s="12"/>
      <c r="H159" s="29"/>
      <c r="I159" s="12"/>
      <c r="J159" s="29"/>
      <c r="K159" s="85">
        <f t="shared" si="6"/>
        <v>0</v>
      </c>
    </row>
    <row r="160" spans="2:11" ht="15" customHeight="1" x14ac:dyDescent="0.35">
      <c r="B160" s="14" t="s">
        <v>557</v>
      </c>
      <c r="C160" s="14" t="s">
        <v>558</v>
      </c>
      <c r="D160" s="61"/>
      <c r="E160" s="15"/>
      <c r="F160" s="61"/>
      <c r="G160" s="15"/>
      <c r="H160" s="61"/>
      <c r="I160" s="15">
        <f>E160-G160</f>
        <v>0</v>
      </c>
      <c r="J160" s="61"/>
      <c r="K160" s="45">
        <f t="shared" si="6"/>
        <v>0</v>
      </c>
    </row>
    <row r="161" spans="2:11" ht="15" customHeight="1" thickBot="1" x14ac:dyDescent="0.4">
      <c r="B161" s="11" t="s">
        <v>559</v>
      </c>
      <c r="C161" s="11" t="s">
        <v>22</v>
      </c>
      <c r="D161" s="29"/>
      <c r="E161" s="12"/>
      <c r="F161" s="29"/>
      <c r="G161" s="12"/>
      <c r="H161" s="29"/>
      <c r="I161" s="12"/>
      <c r="J161" s="29"/>
      <c r="K161" s="85">
        <f t="shared" si="6"/>
        <v>0</v>
      </c>
    </row>
    <row r="162" spans="2:11" ht="15" customHeight="1" thickBot="1" x14ac:dyDescent="0.4">
      <c r="B162" s="18" t="s">
        <v>560</v>
      </c>
      <c r="C162" s="18" t="s">
        <v>561</v>
      </c>
      <c r="D162" s="66"/>
      <c r="E162" s="19">
        <f>E68+E72+E74+E118+E150+E144+E158+E160+E156</f>
        <v>5843021.7484900001</v>
      </c>
      <c r="F162" s="66"/>
      <c r="G162" s="19">
        <f>G68+G72+G74+G118+G150+G144+G158+G160+G156</f>
        <v>5742593.3369399998</v>
      </c>
      <c r="H162" s="66"/>
      <c r="I162" s="19">
        <f>I68+I72+I74+I118+I150+I144+I158+I160+I156</f>
        <v>100428.41155000091</v>
      </c>
      <c r="J162" s="66"/>
      <c r="K162" s="86">
        <f t="shared" si="6"/>
        <v>1.7488337699969405E-2</v>
      </c>
    </row>
    <row r="163" spans="2:11" ht="15" customHeight="1" thickBot="1" x14ac:dyDescent="0.4">
      <c r="B163" s="11" t="s">
        <v>562</v>
      </c>
      <c r="C163" s="11" t="s">
        <v>22</v>
      </c>
      <c r="D163" s="29"/>
      <c r="E163" s="12"/>
      <c r="F163" s="29"/>
      <c r="G163" s="12"/>
      <c r="H163" s="29"/>
      <c r="I163" s="12"/>
      <c r="J163" s="29"/>
      <c r="K163" s="85">
        <f t="shared" si="6"/>
        <v>0</v>
      </c>
    </row>
    <row r="164" spans="2:11" ht="15" customHeight="1" thickBot="1" x14ac:dyDescent="0.4">
      <c r="B164" s="18" t="s">
        <v>563</v>
      </c>
      <c r="C164" s="18" t="s">
        <v>564</v>
      </c>
      <c r="D164" s="66"/>
      <c r="E164" s="19">
        <f>E59+E162</f>
        <v>8880870.0730600003</v>
      </c>
      <c r="F164" s="66"/>
      <c r="G164" s="19">
        <f>G59+G162</f>
        <v>8816740.9371699989</v>
      </c>
      <c r="H164" s="66"/>
      <c r="I164" s="19">
        <f>I59+I162</f>
        <v>64129.135890000834</v>
      </c>
      <c r="J164" s="66"/>
      <c r="K164" s="86">
        <f t="shared" si="6"/>
        <v>7.2735647272613446E-3</v>
      </c>
    </row>
    <row r="165" spans="2:11" ht="15" customHeight="1" x14ac:dyDescent="0.35">
      <c r="B165" s="11" t="s">
        <v>565</v>
      </c>
      <c r="C165" s="11" t="s">
        <v>22</v>
      </c>
      <c r="D165" s="29"/>
      <c r="E165" s="12"/>
      <c r="F165" s="29"/>
      <c r="G165" s="12"/>
      <c r="H165" s="29"/>
      <c r="I165" s="12"/>
      <c r="J165" s="29"/>
      <c r="K165" s="85">
        <f t="shared" si="6"/>
        <v>0</v>
      </c>
    </row>
    <row r="166" spans="2:11" ht="15" customHeight="1" x14ac:dyDescent="0.35">
      <c r="B166" s="14" t="s">
        <v>566</v>
      </c>
      <c r="C166" s="14" t="s">
        <v>567</v>
      </c>
      <c r="D166" s="61"/>
      <c r="E166" s="15">
        <v>15743.256020000001</v>
      </c>
      <c r="F166" s="61"/>
      <c r="G166" s="15">
        <v>5090.3005599999997</v>
      </c>
      <c r="H166" s="61"/>
      <c r="I166" s="15">
        <f>E166-G166</f>
        <v>10652.955460000001</v>
      </c>
      <c r="J166" s="61"/>
      <c r="K166" s="45">
        <f t="shared" si="6"/>
        <v>2.0927949802634056</v>
      </c>
    </row>
    <row r="167" spans="2:11" ht="15" customHeight="1" x14ac:dyDescent="0.35">
      <c r="B167" s="14" t="s">
        <v>568</v>
      </c>
      <c r="C167" s="14" t="s">
        <v>569</v>
      </c>
      <c r="D167" s="61"/>
      <c r="E167" s="15"/>
      <c r="F167" s="61"/>
      <c r="G167" s="15"/>
      <c r="H167" s="61"/>
      <c r="I167" s="15">
        <f>E167-G167</f>
        <v>0</v>
      </c>
      <c r="J167" s="61"/>
      <c r="K167" s="45">
        <f t="shared" si="6"/>
        <v>0</v>
      </c>
    </row>
    <row r="168" spans="2:11" ht="15" customHeight="1" x14ac:dyDescent="0.35">
      <c r="B168" s="14" t="s">
        <v>570</v>
      </c>
      <c r="C168" s="14" t="s">
        <v>571</v>
      </c>
      <c r="D168" s="61"/>
      <c r="E168" s="15">
        <v>334182.90156999999</v>
      </c>
      <c r="F168" s="61"/>
      <c r="G168" s="15">
        <v>445280.91593999998</v>
      </c>
      <c r="H168" s="61"/>
      <c r="I168" s="15">
        <f>E168-G168</f>
        <v>-111098.01436999999</v>
      </c>
      <c r="J168" s="61"/>
      <c r="K168" s="45">
        <f t="shared" si="6"/>
        <v>-0.24950095634677966</v>
      </c>
    </row>
    <row r="169" spans="2:11" ht="15" customHeight="1" x14ac:dyDescent="0.35">
      <c r="B169" s="14" t="s">
        <v>572</v>
      </c>
      <c r="C169" s="14" t="s">
        <v>573</v>
      </c>
      <c r="D169" s="61"/>
      <c r="E169" s="15">
        <v>3157.8740899999998</v>
      </c>
      <c r="F169" s="61"/>
      <c r="G169" s="15">
        <v>7896.5782099999997</v>
      </c>
      <c r="H169" s="61"/>
      <c r="I169" s="15">
        <f>E169-G169</f>
        <v>-4738.7041200000003</v>
      </c>
      <c r="J169" s="61"/>
      <c r="K169" s="45">
        <f t="shared" si="6"/>
        <v>-0.6000958888748853</v>
      </c>
    </row>
    <row r="170" spans="2:11" ht="15" customHeight="1" x14ac:dyDescent="0.35">
      <c r="B170" s="16" t="s">
        <v>574</v>
      </c>
      <c r="C170" s="16" t="s">
        <v>575</v>
      </c>
      <c r="D170" s="64"/>
      <c r="E170" s="17">
        <f>-(-(E166+E167)-E168-E169)</f>
        <v>353084.03167999996</v>
      </c>
      <c r="F170" s="64"/>
      <c r="G170" s="17">
        <f>-(-(G166+G167)-G168-G169)</f>
        <v>458267.79470999999</v>
      </c>
      <c r="H170" s="64"/>
      <c r="I170" s="17">
        <f>-(-(I166+I167)-I168-I169)</f>
        <v>-105183.76302999999</v>
      </c>
      <c r="J170" s="64"/>
      <c r="K170" s="84">
        <f t="shared" si="6"/>
        <v>-0.22952466711426261</v>
      </c>
    </row>
    <row r="171" spans="2:11" ht="15" customHeight="1" x14ac:dyDescent="0.35">
      <c r="B171" s="11" t="s">
        <v>576</v>
      </c>
      <c r="C171" s="11" t="s">
        <v>22</v>
      </c>
      <c r="D171" s="29"/>
      <c r="E171" s="12"/>
      <c r="F171" s="29"/>
      <c r="G171" s="12"/>
      <c r="H171" s="29"/>
      <c r="I171" s="12"/>
      <c r="J171" s="29"/>
      <c r="K171" s="85">
        <f t="shared" si="6"/>
        <v>0</v>
      </c>
    </row>
    <row r="172" spans="2:11" ht="15" customHeight="1" x14ac:dyDescent="0.35">
      <c r="B172" s="14" t="s">
        <v>577</v>
      </c>
      <c r="C172" s="14" t="s">
        <v>578</v>
      </c>
      <c r="D172" s="61"/>
      <c r="E172" s="15">
        <v>-3.0000000000000001E-3</v>
      </c>
      <c r="F172" s="61"/>
      <c r="G172" s="15">
        <v>-1.2899999999999999E-3</v>
      </c>
      <c r="H172" s="61"/>
      <c r="I172" s="15">
        <f t="shared" ref="I172:I181" si="7">E172-G172</f>
        <v>-1.7100000000000001E-3</v>
      </c>
      <c r="J172" s="61"/>
      <c r="K172" s="45">
        <f t="shared" si="6"/>
        <v>0</v>
      </c>
    </row>
    <row r="173" spans="2:11" ht="15" customHeight="1" x14ac:dyDescent="0.35">
      <c r="B173" s="14" t="s">
        <v>579</v>
      </c>
      <c r="C173" s="14" t="s">
        <v>580</v>
      </c>
      <c r="D173" s="61"/>
      <c r="E173" s="15"/>
      <c r="F173" s="61"/>
      <c r="G173" s="15"/>
      <c r="H173" s="61"/>
      <c r="I173" s="15">
        <f t="shared" si="7"/>
        <v>0</v>
      </c>
      <c r="J173" s="61"/>
      <c r="K173" s="45">
        <f t="shared" si="6"/>
        <v>0</v>
      </c>
    </row>
    <row r="174" spans="2:11" ht="15" customHeight="1" x14ac:dyDescent="0.35">
      <c r="B174" s="14" t="s">
        <v>581</v>
      </c>
      <c r="C174" s="14" t="s">
        <v>582</v>
      </c>
      <c r="D174" s="61"/>
      <c r="E174" s="15"/>
      <c r="F174" s="61"/>
      <c r="G174" s="15"/>
      <c r="H174" s="61"/>
      <c r="I174" s="15">
        <f t="shared" si="7"/>
        <v>0</v>
      </c>
      <c r="J174" s="61"/>
      <c r="K174" s="45">
        <f t="shared" si="6"/>
        <v>0</v>
      </c>
    </row>
    <row r="175" spans="2:11" ht="15" customHeight="1" x14ac:dyDescent="0.35">
      <c r="B175" s="14" t="s">
        <v>583</v>
      </c>
      <c r="C175" s="14" t="s">
        <v>584</v>
      </c>
      <c r="D175" s="61"/>
      <c r="E175" s="15"/>
      <c r="F175" s="61"/>
      <c r="G175" s="15"/>
      <c r="H175" s="61"/>
      <c r="I175" s="15">
        <f t="shared" si="7"/>
        <v>0</v>
      </c>
      <c r="J175" s="61"/>
      <c r="K175" s="45">
        <f t="shared" si="6"/>
        <v>0</v>
      </c>
    </row>
    <row r="176" spans="2:11" ht="15" customHeight="1" x14ac:dyDescent="0.35">
      <c r="B176" s="14" t="s">
        <v>585</v>
      </c>
      <c r="C176" s="14" t="s">
        <v>586</v>
      </c>
      <c r="D176" s="61"/>
      <c r="E176" s="15"/>
      <c r="F176" s="61"/>
      <c r="G176" s="15">
        <v>0</v>
      </c>
      <c r="H176" s="61"/>
      <c r="I176" s="15">
        <f t="shared" si="7"/>
        <v>0</v>
      </c>
      <c r="J176" s="61"/>
      <c r="K176" s="45">
        <f t="shared" si="6"/>
        <v>0</v>
      </c>
    </row>
    <row r="177" spans="2:11" ht="15" customHeight="1" x14ac:dyDescent="0.35">
      <c r="B177" s="14" t="s">
        <v>587</v>
      </c>
      <c r="C177" s="14" t="s">
        <v>588</v>
      </c>
      <c r="D177" s="61"/>
      <c r="E177" s="15"/>
      <c r="F177" s="61"/>
      <c r="G177" s="15"/>
      <c r="H177" s="61"/>
      <c r="I177" s="15">
        <f t="shared" si="7"/>
        <v>0</v>
      </c>
      <c r="J177" s="61"/>
      <c r="K177" s="45">
        <f t="shared" si="6"/>
        <v>0</v>
      </c>
    </row>
    <row r="178" spans="2:11" ht="15" customHeight="1" x14ac:dyDescent="0.35">
      <c r="B178" s="14" t="s">
        <v>589</v>
      </c>
      <c r="C178" s="14" t="s">
        <v>590</v>
      </c>
      <c r="D178" s="61"/>
      <c r="E178" s="15"/>
      <c r="F178" s="61"/>
      <c r="G178" s="15"/>
      <c r="H178" s="61"/>
      <c r="I178" s="15">
        <f t="shared" si="7"/>
        <v>0</v>
      </c>
      <c r="J178" s="61"/>
      <c r="K178" s="45">
        <f t="shared" si="6"/>
        <v>0</v>
      </c>
    </row>
    <row r="179" spans="2:11" ht="15" customHeight="1" x14ac:dyDescent="0.35">
      <c r="B179" s="14" t="s">
        <v>591</v>
      </c>
      <c r="C179" s="14" t="s">
        <v>592</v>
      </c>
      <c r="D179" s="61"/>
      <c r="E179" s="15"/>
      <c r="F179" s="61"/>
      <c r="G179" s="15"/>
      <c r="H179" s="61"/>
      <c r="I179" s="15">
        <f t="shared" si="7"/>
        <v>0</v>
      </c>
      <c r="J179" s="61"/>
      <c r="K179" s="45">
        <f t="shared" si="6"/>
        <v>0</v>
      </c>
    </row>
    <row r="180" spans="2:11" ht="15" customHeight="1" x14ac:dyDescent="0.35">
      <c r="B180" s="14" t="s">
        <v>593</v>
      </c>
      <c r="C180" s="14" t="s">
        <v>594</v>
      </c>
      <c r="D180" s="61"/>
      <c r="E180" s="15">
        <v>16698.55186</v>
      </c>
      <c r="F180" s="61"/>
      <c r="G180" s="15">
        <v>15675.482760000001</v>
      </c>
      <c r="H180" s="61"/>
      <c r="I180" s="15">
        <f t="shared" si="7"/>
        <v>1023.0690999999988</v>
      </c>
      <c r="J180" s="61"/>
      <c r="K180" s="45">
        <f t="shared" si="6"/>
        <v>6.5265556133978914E-2</v>
      </c>
    </row>
    <row r="181" spans="2:11" ht="15" customHeight="1" x14ac:dyDescent="0.35">
      <c r="B181" s="14" t="s">
        <v>595</v>
      </c>
      <c r="C181" s="14" t="s">
        <v>596</v>
      </c>
      <c r="D181" s="61"/>
      <c r="E181" s="15">
        <v>3.0000000000000001E-3</v>
      </c>
      <c r="F181" s="61"/>
      <c r="G181" s="15">
        <v>81.427999999999997</v>
      </c>
      <c r="H181" s="61"/>
      <c r="I181" s="15">
        <f t="shared" si="7"/>
        <v>-81.424999999999997</v>
      </c>
      <c r="J181" s="61"/>
      <c r="K181" s="45">
        <f t="shared" si="6"/>
        <v>-0.99996315763619392</v>
      </c>
    </row>
    <row r="182" spans="2:11" ht="15" customHeight="1" x14ac:dyDescent="0.35">
      <c r="B182" s="16" t="s">
        <v>597</v>
      </c>
      <c r="C182" s="16" t="s">
        <v>598</v>
      </c>
      <c r="D182" s="64"/>
      <c r="E182" s="17">
        <f>-(-(E172+E173)-E174-E175-E176-E177-E178-E179-E180-E181)</f>
        <v>16698.55186</v>
      </c>
      <c r="F182" s="64"/>
      <c r="G182" s="17">
        <f>-(-(G172+G173)-G174-G175-G176-G177-G178-G179-G180-G181)</f>
        <v>15756.909470000001</v>
      </c>
      <c r="H182" s="64"/>
      <c r="I182" s="17">
        <f>-(-(I172+I173)-I174-I175-I176-I177-I178-I179-I180-I181)</f>
        <v>941.64238999999884</v>
      </c>
      <c r="J182" s="64"/>
      <c r="K182" s="84">
        <f t="shared" si="6"/>
        <v>5.9760601645444299E-2</v>
      </c>
    </row>
    <row r="183" spans="2:11" ht="15" customHeight="1" x14ac:dyDescent="0.35">
      <c r="B183" s="11" t="s">
        <v>115</v>
      </c>
      <c r="C183" s="11" t="s">
        <v>22</v>
      </c>
      <c r="D183" s="29"/>
      <c r="E183" s="12"/>
      <c r="F183" s="29"/>
      <c r="G183" s="12"/>
      <c r="H183" s="29"/>
      <c r="I183" s="12"/>
      <c r="J183" s="29"/>
      <c r="K183" s="85">
        <f t="shared" si="6"/>
        <v>0</v>
      </c>
    </row>
    <row r="184" spans="2:11" ht="15" customHeight="1" x14ac:dyDescent="0.35">
      <c r="B184" s="14" t="s">
        <v>599</v>
      </c>
      <c r="C184" s="14" t="s">
        <v>600</v>
      </c>
      <c r="D184" s="61"/>
      <c r="E184" s="15">
        <v>552.51444000000004</v>
      </c>
      <c r="F184" s="61"/>
      <c r="G184" s="15">
        <v>328.03298999999998</v>
      </c>
      <c r="H184" s="61"/>
      <c r="I184" s="15">
        <f>E184-G184</f>
        <v>224.48145000000005</v>
      </c>
      <c r="J184" s="61"/>
      <c r="K184" s="45">
        <f t="shared" si="6"/>
        <v>0.68432583564232385</v>
      </c>
    </row>
    <row r="185" spans="2:11" ht="15" customHeight="1" x14ac:dyDescent="0.35">
      <c r="B185" s="11" t="s">
        <v>601</v>
      </c>
      <c r="C185" s="11" t="s">
        <v>22</v>
      </c>
      <c r="D185" s="29"/>
      <c r="E185" s="12"/>
      <c r="F185" s="29"/>
      <c r="G185" s="12"/>
      <c r="H185" s="29"/>
      <c r="I185" s="12"/>
      <c r="J185" s="29"/>
      <c r="K185" s="85">
        <f t="shared" si="6"/>
        <v>0</v>
      </c>
    </row>
    <row r="186" spans="2:11" ht="15" customHeight="1" x14ac:dyDescent="0.35">
      <c r="B186" s="14" t="s">
        <v>602</v>
      </c>
      <c r="C186" s="14" t="s">
        <v>603</v>
      </c>
      <c r="D186" s="61"/>
      <c r="E186" s="15">
        <v>13.629860000000001</v>
      </c>
      <c r="F186" s="61"/>
      <c r="G186" s="15">
        <v>-18545.41459</v>
      </c>
      <c r="H186" s="61"/>
      <c r="I186" s="15">
        <f>E186-G186</f>
        <v>18559.044450000001</v>
      </c>
      <c r="J186" s="61"/>
      <c r="K186" s="45">
        <f t="shared" si="6"/>
        <v>1.0007349450147829</v>
      </c>
    </row>
    <row r="187" spans="2:11" ht="15" customHeight="1" x14ac:dyDescent="0.35">
      <c r="B187" s="14" t="s">
        <v>604</v>
      </c>
      <c r="C187" s="14" t="s">
        <v>605</v>
      </c>
      <c r="D187" s="61"/>
      <c r="E187" s="15">
        <v>0</v>
      </c>
      <c r="F187" s="61"/>
      <c r="G187" s="15">
        <v>0</v>
      </c>
      <c r="H187" s="61"/>
      <c r="I187" s="15">
        <f>E187-G187</f>
        <v>0</v>
      </c>
      <c r="J187" s="61"/>
      <c r="K187" s="45">
        <f t="shared" si="6"/>
        <v>0</v>
      </c>
    </row>
    <row r="188" spans="2:11" ht="15" customHeight="1" x14ac:dyDescent="0.35">
      <c r="B188" s="16" t="s">
        <v>606</v>
      </c>
      <c r="C188" s="16" t="s">
        <v>607</v>
      </c>
      <c r="D188" s="64"/>
      <c r="E188" s="17">
        <f>E186+E187</f>
        <v>13.629860000000001</v>
      </c>
      <c r="F188" s="64"/>
      <c r="G188" s="17">
        <f>G186+G187</f>
        <v>-18545.41459</v>
      </c>
      <c r="H188" s="64"/>
      <c r="I188" s="17">
        <f>I186+I187</f>
        <v>18559.044450000001</v>
      </c>
      <c r="J188" s="64"/>
      <c r="K188" s="84">
        <f t="shared" si="6"/>
        <v>1.0007349450147829</v>
      </c>
    </row>
    <row r="189" spans="2:11" ht="15" customHeight="1" x14ac:dyDescent="0.35">
      <c r="B189" s="11" t="s">
        <v>608</v>
      </c>
      <c r="C189" s="11" t="s">
        <v>22</v>
      </c>
      <c r="D189" s="29"/>
      <c r="E189" s="12"/>
      <c r="F189" s="29"/>
      <c r="G189" s="12"/>
      <c r="H189" s="29"/>
      <c r="I189" s="12"/>
      <c r="J189" s="29"/>
      <c r="K189" s="85">
        <f t="shared" si="6"/>
        <v>0</v>
      </c>
    </row>
    <row r="190" spans="2:11" ht="15" customHeight="1" x14ac:dyDescent="0.35">
      <c r="B190" s="14" t="s">
        <v>609</v>
      </c>
      <c r="C190" s="14" t="s">
        <v>610</v>
      </c>
      <c r="D190" s="61"/>
      <c r="E190" s="15"/>
      <c r="F190" s="61"/>
      <c r="G190" s="15"/>
      <c r="H190" s="61"/>
      <c r="I190" s="15">
        <f t="shared" ref="I190:I203" si="8">E190-G190</f>
        <v>0</v>
      </c>
      <c r="J190" s="61"/>
      <c r="K190" s="45">
        <f t="shared" si="6"/>
        <v>0</v>
      </c>
    </row>
    <row r="191" spans="2:11" ht="15" customHeight="1" x14ac:dyDescent="0.35">
      <c r="B191" s="14" t="s">
        <v>611</v>
      </c>
      <c r="C191" s="14" t="s">
        <v>612</v>
      </c>
      <c r="D191" s="61"/>
      <c r="E191" s="15"/>
      <c r="F191" s="61"/>
      <c r="G191" s="15"/>
      <c r="H191" s="61"/>
      <c r="I191" s="15">
        <f t="shared" si="8"/>
        <v>0</v>
      </c>
      <c r="J191" s="61"/>
      <c r="K191" s="45">
        <f t="shared" si="6"/>
        <v>0</v>
      </c>
    </row>
    <row r="192" spans="2:11" ht="15" customHeight="1" x14ac:dyDescent="0.35">
      <c r="B192" s="14" t="s">
        <v>613</v>
      </c>
      <c r="C192" s="14" t="s">
        <v>614</v>
      </c>
      <c r="D192" s="61"/>
      <c r="E192" s="15">
        <v>61.400289999999998</v>
      </c>
      <c r="F192" s="61"/>
      <c r="G192" s="15">
        <v>68.014849999999996</v>
      </c>
      <c r="H192" s="61"/>
      <c r="I192" s="15">
        <f t="shared" si="8"/>
        <v>-6.6145599999999973</v>
      </c>
      <c r="J192" s="61"/>
      <c r="K192" s="45">
        <f t="shared" si="6"/>
        <v>-9.7251703120715516E-2</v>
      </c>
    </row>
    <row r="193" spans="2:11" ht="15" customHeight="1" x14ac:dyDescent="0.35">
      <c r="B193" s="14" t="s">
        <v>615</v>
      </c>
      <c r="C193" s="14" t="s">
        <v>616</v>
      </c>
      <c r="D193" s="61"/>
      <c r="E193" s="15">
        <v>15191.34895</v>
      </c>
      <c r="F193" s="61"/>
      <c r="G193" s="15">
        <v>25283.44196</v>
      </c>
      <c r="H193" s="61"/>
      <c r="I193" s="15">
        <f t="shared" si="8"/>
        <v>-10092.093010000001</v>
      </c>
      <c r="J193" s="61"/>
      <c r="K193" s="45">
        <f t="shared" si="6"/>
        <v>-0.39915819317505613</v>
      </c>
    </row>
    <row r="194" spans="2:11" ht="15" customHeight="1" x14ac:dyDescent="0.35">
      <c r="B194" s="14" t="s">
        <v>617</v>
      </c>
      <c r="C194" s="14" t="s">
        <v>618</v>
      </c>
      <c r="D194" s="61"/>
      <c r="E194" s="15"/>
      <c r="F194" s="61"/>
      <c r="G194" s="15"/>
      <c r="H194" s="61"/>
      <c r="I194" s="15">
        <f t="shared" si="8"/>
        <v>0</v>
      </c>
      <c r="J194" s="61"/>
      <c r="K194" s="45">
        <f t="shared" si="6"/>
        <v>0</v>
      </c>
    </row>
    <row r="195" spans="2:11" ht="15" customHeight="1" x14ac:dyDescent="0.35">
      <c r="B195" s="14" t="s">
        <v>619</v>
      </c>
      <c r="C195" s="14" t="s">
        <v>620</v>
      </c>
      <c r="D195" s="61"/>
      <c r="E195" s="15">
        <v>44020.872629999998</v>
      </c>
      <c r="F195" s="61"/>
      <c r="G195" s="15">
        <v>44892.438190000001</v>
      </c>
      <c r="H195" s="61"/>
      <c r="I195" s="15">
        <f t="shared" si="8"/>
        <v>-871.56556000000273</v>
      </c>
      <c r="J195" s="61"/>
      <c r="K195" s="45">
        <f t="shared" si="6"/>
        <v>-1.9414529375999631E-2</v>
      </c>
    </row>
    <row r="196" spans="2:11" ht="15" customHeight="1" x14ac:dyDescent="0.35">
      <c r="B196" s="14" t="s">
        <v>621</v>
      </c>
      <c r="C196" s="14" t="s">
        <v>622</v>
      </c>
      <c r="D196" s="61"/>
      <c r="E196" s="15">
        <v>20295.965250000001</v>
      </c>
      <c r="F196" s="61"/>
      <c r="G196" s="15">
        <v>27307.843980000001</v>
      </c>
      <c r="H196" s="61"/>
      <c r="I196" s="15">
        <f t="shared" si="8"/>
        <v>-7011.8787300000004</v>
      </c>
      <c r="J196" s="61"/>
      <c r="K196" s="45">
        <f t="shared" si="6"/>
        <v>-0.25677159775540803</v>
      </c>
    </row>
    <row r="197" spans="2:11" ht="15" customHeight="1" x14ac:dyDescent="0.35">
      <c r="B197" s="14" t="s">
        <v>623</v>
      </c>
      <c r="C197" s="14" t="s">
        <v>624</v>
      </c>
      <c r="D197" s="61"/>
      <c r="E197" s="15"/>
      <c r="F197" s="61"/>
      <c r="G197" s="15"/>
      <c r="H197" s="61"/>
      <c r="I197" s="15">
        <f t="shared" si="8"/>
        <v>0</v>
      </c>
      <c r="J197" s="61"/>
      <c r="K197" s="45">
        <f t="shared" si="6"/>
        <v>0</v>
      </c>
    </row>
    <row r="198" spans="2:11" ht="15" customHeight="1" x14ac:dyDescent="0.35">
      <c r="B198" s="14" t="s">
        <v>625</v>
      </c>
      <c r="C198" s="14" t="s">
        <v>626</v>
      </c>
      <c r="D198" s="61"/>
      <c r="E198" s="15">
        <v>12871.554959999999</v>
      </c>
      <c r="F198" s="61"/>
      <c r="G198" s="15">
        <v>30077.96919</v>
      </c>
      <c r="H198" s="61"/>
      <c r="I198" s="15">
        <f t="shared" si="8"/>
        <v>-17206.414230000002</v>
      </c>
      <c r="J198" s="61"/>
      <c r="K198" s="45">
        <f t="shared" si="6"/>
        <v>-0.57206037153999767</v>
      </c>
    </row>
    <row r="199" spans="2:11" ht="15" customHeight="1" x14ac:dyDescent="0.35">
      <c r="B199" s="14" t="s">
        <v>627</v>
      </c>
      <c r="C199" s="14" t="s">
        <v>628</v>
      </c>
      <c r="D199" s="61"/>
      <c r="E199" s="15">
        <v>34724.782500000001</v>
      </c>
      <c r="F199" s="61"/>
      <c r="G199" s="15">
        <v>36342.577539999998</v>
      </c>
      <c r="H199" s="61"/>
      <c r="I199" s="15">
        <f t="shared" si="8"/>
        <v>-1617.7950399999972</v>
      </c>
      <c r="J199" s="61"/>
      <c r="K199" s="45">
        <f t="shared" si="6"/>
        <v>-4.4515143105064346E-2</v>
      </c>
    </row>
    <row r="200" spans="2:11" ht="15" customHeight="1" x14ac:dyDescent="0.35">
      <c r="B200" s="14" t="s">
        <v>629</v>
      </c>
      <c r="C200" s="14" t="s">
        <v>630</v>
      </c>
      <c r="D200" s="61"/>
      <c r="E200" s="15"/>
      <c r="F200" s="61"/>
      <c r="G200" s="15"/>
      <c r="H200" s="61"/>
      <c r="I200" s="15">
        <f t="shared" si="8"/>
        <v>0</v>
      </c>
      <c r="J200" s="61"/>
      <c r="K200" s="45">
        <f t="shared" si="6"/>
        <v>0</v>
      </c>
    </row>
    <row r="201" spans="2:11" ht="15" customHeight="1" x14ac:dyDescent="0.35">
      <c r="B201" s="14" t="s">
        <v>631</v>
      </c>
      <c r="C201" s="14" t="s">
        <v>632</v>
      </c>
      <c r="D201" s="61"/>
      <c r="E201" s="15"/>
      <c r="F201" s="61"/>
      <c r="G201" s="15"/>
      <c r="H201" s="61"/>
      <c r="I201" s="15">
        <f t="shared" si="8"/>
        <v>0</v>
      </c>
      <c r="J201" s="61"/>
      <c r="K201" s="45">
        <f t="shared" si="6"/>
        <v>0</v>
      </c>
    </row>
    <row r="202" spans="2:11" ht="15" customHeight="1" x14ac:dyDescent="0.35">
      <c r="B202" s="14" t="s">
        <v>633</v>
      </c>
      <c r="C202" s="14" t="s">
        <v>634</v>
      </c>
      <c r="D202" s="61"/>
      <c r="E202" s="15"/>
      <c r="F202" s="61"/>
      <c r="G202" s="15"/>
      <c r="H202" s="61"/>
      <c r="I202" s="15">
        <f t="shared" si="8"/>
        <v>0</v>
      </c>
      <c r="J202" s="61"/>
      <c r="K202" s="45">
        <f t="shared" ref="K202:K265" si="9">IF(ROUND(I202, 2)=0, 0, IFERROR(I202/ABS(G202), IF(I202&lt;0, -1, 1)))</f>
        <v>0</v>
      </c>
    </row>
    <row r="203" spans="2:11" ht="15" customHeight="1" x14ac:dyDescent="0.35">
      <c r="B203" s="14" t="s">
        <v>635</v>
      </c>
      <c r="C203" s="14" t="s">
        <v>636</v>
      </c>
      <c r="D203" s="61"/>
      <c r="E203" s="15">
        <v>5.31</v>
      </c>
      <c r="F203" s="61"/>
      <c r="G203" s="15">
        <v>43.853999999999999</v>
      </c>
      <c r="H203" s="61"/>
      <c r="I203" s="15">
        <f t="shared" si="8"/>
        <v>-38.543999999999997</v>
      </c>
      <c r="J203" s="61"/>
      <c r="K203" s="45">
        <f t="shared" si="9"/>
        <v>-0.87891640443289087</v>
      </c>
    </row>
    <row r="204" spans="2:11" ht="15" customHeight="1" x14ac:dyDescent="0.35">
      <c r="B204" s="16" t="s">
        <v>637</v>
      </c>
      <c r="C204" s="16" t="s">
        <v>638</v>
      </c>
      <c r="D204" s="64"/>
      <c r="E204" s="17">
        <f>-(-(E190+E191)-E192-E193-E194-E195-E196-E197-E198-E200-E202-E201-E203-E199)</f>
        <v>127171.23457999999</v>
      </c>
      <c r="F204" s="64"/>
      <c r="G204" s="17">
        <f>-(-(G190+G191)-G192-G193-G194-G195-G196-G197-G198-G200-G202-G201-G203-G199)</f>
        <v>164016.13971000002</v>
      </c>
      <c r="H204" s="64"/>
      <c r="I204" s="17">
        <f>-(-(I190+I191)-I192-I193-I194-I195-I196-I197-I198-I200-I202-I201-I203-I199)</f>
        <v>-36844.905130000006</v>
      </c>
      <c r="J204" s="64"/>
      <c r="K204" s="84">
        <f t="shared" si="9"/>
        <v>-0.22464194801283682</v>
      </c>
    </row>
    <row r="205" spans="2:11" ht="15" customHeight="1" x14ac:dyDescent="0.35">
      <c r="B205" s="11" t="s">
        <v>639</v>
      </c>
      <c r="C205" s="11" t="s">
        <v>22</v>
      </c>
      <c r="D205" s="29"/>
      <c r="E205" s="12"/>
      <c r="F205" s="29"/>
      <c r="G205" s="12"/>
      <c r="H205" s="29"/>
      <c r="I205" s="12"/>
      <c r="J205" s="29"/>
      <c r="K205" s="85">
        <f t="shared" si="9"/>
        <v>0</v>
      </c>
    </row>
    <row r="206" spans="2:11" ht="15" customHeight="1" x14ac:dyDescent="0.35">
      <c r="B206" s="14" t="s">
        <v>640</v>
      </c>
      <c r="C206" s="14" t="s">
        <v>641</v>
      </c>
      <c r="D206" s="61"/>
      <c r="E206" s="15">
        <v>49321.275569999998</v>
      </c>
      <c r="F206" s="61"/>
      <c r="G206" s="15">
        <v>33294.924590000002</v>
      </c>
      <c r="H206" s="61"/>
      <c r="I206" s="15">
        <f>E206-G206</f>
        <v>16026.350979999996</v>
      </c>
      <c r="J206" s="61"/>
      <c r="K206" s="45">
        <f t="shared" si="9"/>
        <v>0.48134516528724758</v>
      </c>
    </row>
    <row r="207" spans="2:11" ht="15" customHeight="1" x14ac:dyDescent="0.35">
      <c r="B207" s="11" t="s">
        <v>642</v>
      </c>
      <c r="C207" s="11" t="s">
        <v>22</v>
      </c>
      <c r="D207" s="29"/>
      <c r="E207" s="12"/>
      <c r="F207" s="29"/>
      <c r="G207" s="12"/>
      <c r="H207" s="29"/>
      <c r="I207" s="12"/>
      <c r="J207" s="29"/>
      <c r="K207" s="85">
        <f t="shared" si="9"/>
        <v>0</v>
      </c>
    </row>
    <row r="208" spans="2:11" ht="15" customHeight="1" x14ac:dyDescent="0.35">
      <c r="B208" s="14" t="s">
        <v>643</v>
      </c>
      <c r="C208" s="14" t="s">
        <v>644</v>
      </c>
      <c r="D208" s="61"/>
      <c r="E208" s="15"/>
      <c r="F208" s="61"/>
      <c r="G208" s="15"/>
      <c r="H208" s="61"/>
      <c r="I208" s="15">
        <f>E208-G208</f>
        <v>0</v>
      </c>
      <c r="J208" s="61"/>
      <c r="K208" s="45">
        <f t="shared" si="9"/>
        <v>0</v>
      </c>
    </row>
    <row r="209" spans="2:11" ht="15" customHeight="1" thickBot="1" x14ac:dyDescent="0.4">
      <c r="B209" s="11" t="s">
        <v>124</v>
      </c>
      <c r="C209" s="11" t="s">
        <v>22</v>
      </c>
      <c r="D209" s="29"/>
      <c r="E209" s="12"/>
      <c r="F209" s="29"/>
      <c r="G209" s="12"/>
      <c r="H209" s="29"/>
      <c r="I209" s="12"/>
      <c r="J209" s="29"/>
      <c r="K209" s="85">
        <f t="shared" si="9"/>
        <v>0</v>
      </c>
    </row>
    <row r="210" spans="2:11" ht="15" customHeight="1" thickBot="1" x14ac:dyDescent="0.4">
      <c r="B210" s="18" t="s">
        <v>645</v>
      </c>
      <c r="C210" s="18" t="s">
        <v>646</v>
      </c>
      <c r="D210" s="66"/>
      <c r="E210" s="19">
        <f>-(-(E170+E182)-E184-E188-E204-E206-E208)</f>
        <v>546841.23798999994</v>
      </c>
      <c r="F210" s="66"/>
      <c r="G210" s="19">
        <f>-(-(G170+G182)-G184-G188-G204-G206-G208)</f>
        <v>653118.38687999989</v>
      </c>
      <c r="H210" s="66"/>
      <c r="I210" s="19">
        <f>-(-(I170+I182)-I184-I188-I204-I206-I208)</f>
        <v>-106277.14889000001</v>
      </c>
      <c r="J210" s="66"/>
      <c r="K210" s="86">
        <f t="shared" si="9"/>
        <v>-0.16272264113967863</v>
      </c>
    </row>
    <row r="211" spans="2:11" ht="15" customHeight="1" x14ac:dyDescent="0.35">
      <c r="B211" s="11" t="s">
        <v>647</v>
      </c>
      <c r="C211" s="11" t="s">
        <v>22</v>
      </c>
      <c r="D211" s="29"/>
      <c r="E211" s="12"/>
      <c r="F211" s="29"/>
      <c r="G211" s="12"/>
      <c r="H211" s="29"/>
      <c r="I211" s="12"/>
      <c r="J211" s="29"/>
      <c r="K211" s="85">
        <f t="shared" si="9"/>
        <v>0</v>
      </c>
    </row>
    <row r="212" spans="2:11" ht="15" customHeight="1" x14ac:dyDescent="0.35">
      <c r="B212" s="14" t="s">
        <v>648</v>
      </c>
      <c r="C212" s="14" t="s">
        <v>649</v>
      </c>
      <c r="D212" s="61"/>
      <c r="E212" s="15">
        <v>1046637.09841</v>
      </c>
      <c r="F212" s="61"/>
      <c r="G212" s="15">
        <v>1003714.55469</v>
      </c>
      <c r="H212" s="61"/>
      <c r="I212" s="15">
        <f t="shared" ref="I212:I217" si="10">E212-G212</f>
        <v>42922.543719999958</v>
      </c>
      <c r="J212" s="61"/>
      <c r="K212" s="45">
        <f t="shared" si="9"/>
        <v>4.2763695633821611E-2</v>
      </c>
    </row>
    <row r="213" spans="2:11" ht="15" customHeight="1" x14ac:dyDescent="0.35">
      <c r="B213" s="14" t="s">
        <v>650</v>
      </c>
      <c r="C213" s="14" t="s">
        <v>651</v>
      </c>
      <c r="D213" s="61"/>
      <c r="E213" s="15"/>
      <c r="F213" s="61"/>
      <c r="G213" s="15"/>
      <c r="H213" s="61"/>
      <c r="I213" s="15">
        <f t="shared" si="10"/>
        <v>0</v>
      </c>
      <c r="J213" s="61"/>
      <c r="K213" s="45">
        <f t="shared" si="9"/>
        <v>0</v>
      </c>
    </row>
    <row r="214" spans="2:11" ht="15" customHeight="1" x14ac:dyDescent="0.35">
      <c r="B214" s="14" t="s">
        <v>652</v>
      </c>
      <c r="C214" s="14" t="s">
        <v>653</v>
      </c>
      <c r="D214" s="61"/>
      <c r="E214" s="15"/>
      <c r="F214" s="61"/>
      <c r="G214" s="15"/>
      <c r="H214" s="61"/>
      <c r="I214" s="15">
        <f t="shared" si="10"/>
        <v>0</v>
      </c>
      <c r="J214" s="61"/>
      <c r="K214" s="45">
        <f t="shared" si="9"/>
        <v>0</v>
      </c>
    </row>
    <row r="215" spans="2:11" ht="15" customHeight="1" x14ac:dyDescent="0.35">
      <c r="B215" s="14" t="s">
        <v>654</v>
      </c>
      <c r="C215" s="14" t="s">
        <v>655</v>
      </c>
      <c r="D215" s="61"/>
      <c r="E215" s="15">
        <v>0</v>
      </c>
      <c r="F215" s="61"/>
      <c r="G215" s="15">
        <v>0</v>
      </c>
      <c r="H215" s="61"/>
      <c r="I215" s="15">
        <f t="shared" si="10"/>
        <v>0</v>
      </c>
      <c r="J215" s="61"/>
      <c r="K215" s="45">
        <f t="shared" si="9"/>
        <v>0</v>
      </c>
    </row>
    <row r="216" spans="2:11" ht="15" customHeight="1" x14ac:dyDescent="0.35">
      <c r="B216" s="14" t="s">
        <v>656</v>
      </c>
      <c r="C216" s="14" t="s">
        <v>657</v>
      </c>
      <c r="D216" s="61"/>
      <c r="E216" s="15">
        <v>71959.299050000001</v>
      </c>
      <c r="F216" s="61"/>
      <c r="G216" s="15">
        <v>75728.253419999994</v>
      </c>
      <c r="H216" s="61"/>
      <c r="I216" s="15">
        <f t="shared" si="10"/>
        <v>-3768.9543699999922</v>
      </c>
      <c r="J216" s="61"/>
      <c r="K216" s="45">
        <f t="shared" si="9"/>
        <v>-4.9769461195636175E-2</v>
      </c>
    </row>
    <row r="217" spans="2:11" ht="15" customHeight="1" x14ac:dyDescent="0.35">
      <c r="B217" s="14" t="s">
        <v>658</v>
      </c>
      <c r="C217" s="14" t="s">
        <v>659</v>
      </c>
      <c r="D217" s="61"/>
      <c r="E217" s="15">
        <v>-78.828999999999994</v>
      </c>
      <c r="F217" s="61"/>
      <c r="G217" s="15">
        <v>-46.722999999999999</v>
      </c>
      <c r="H217" s="61"/>
      <c r="I217" s="15">
        <f t="shared" si="10"/>
        <v>-32.105999999999995</v>
      </c>
      <c r="J217" s="61"/>
      <c r="K217" s="45">
        <f t="shared" si="9"/>
        <v>-0.68715621856473252</v>
      </c>
    </row>
    <row r="218" spans="2:11" ht="15" customHeight="1" x14ac:dyDescent="0.35">
      <c r="B218" s="16" t="s">
        <v>660</v>
      </c>
      <c r="C218" s="16" t="s">
        <v>661</v>
      </c>
      <c r="D218" s="64"/>
      <c r="E218" s="17">
        <f>-(-(E212+E213)-E214-E215-E216-E217)</f>
        <v>1118517.56846</v>
      </c>
      <c r="F218" s="64"/>
      <c r="G218" s="17">
        <f>-(-(G212+G213)-G214-G215-G216-G217)</f>
        <v>1079396.0851100001</v>
      </c>
      <c r="H218" s="64"/>
      <c r="I218" s="17">
        <f>-(-(I212+I213)-I214-I215-I216-I217)</f>
        <v>39121.483349999966</v>
      </c>
      <c r="J218" s="64"/>
      <c r="K218" s="84">
        <f t="shared" si="9"/>
        <v>3.6243862553951303E-2</v>
      </c>
    </row>
    <row r="219" spans="2:11" ht="15" customHeight="1" x14ac:dyDescent="0.35">
      <c r="B219" s="11" t="s">
        <v>662</v>
      </c>
      <c r="C219" s="11" t="s">
        <v>22</v>
      </c>
      <c r="D219" s="29"/>
      <c r="E219" s="12"/>
      <c r="F219" s="29"/>
      <c r="G219" s="12"/>
      <c r="H219" s="29"/>
      <c r="I219" s="12"/>
      <c r="J219" s="29"/>
      <c r="K219" s="85">
        <f t="shared" si="9"/>
        <v>0</v>
      </c>
    </row>
    <row r="220" spans="2:11" ht="15" customHeight="1" x14ac:dyDescent="0.35">
      <c r="B220" s="14" t="s">
        <v>663</v>
      </c>
      <c r="C220" s="14" t="s">
        <v>664</v>
      </c>
      <c r="D220" s="61"/>
      <c r="E220" s="15">
        <v>8.7067599999999992</v>
      </c>
      <c r="F220" s="61"/>
      <c r="G220" s="15">
        <v>22.857250000000001</v>
      </c>
      <c r="H220" s="61"/>
      <c r="I220" s="15">
        <f>E220-G220</f>
        <v>-14.150490000000001</v>
      </c>
      <c r="J220" s="61"/>
      <c r="K220" s="45">
        <f t="shared" si="9"/>
        <v>-0.61908103555764582</v>
      </c>
    </row>
    <row r="221" spans="2:11" ht="15" customHeight="1" x14ac:dyDescent="0.35">
      <c r="B221" s="11" t="s">
        <v>665</v>
      </c>
      <c r="C221" s="11" t="s">
        <v>22</v>
      </c>
      <c r="D221" s="29"/>
      <c r="E221" s="12"/>
      <c r="F221" s="29"/>
      <c r="G221" s="12"/>
      <c r="H221" s="29"/>
      <c r="I221" s="12"/>
      <c r="J221" s="29"/>
      <c r="K221" s="85">
        <f t="shared" si="9"/>
        <v>0</v>
      </c>
    </row>
    <row r="222" spans="2:11" ht="15" customHeight="1" x14ac:dyDescent="0.35">
      <c r="B222" s="14" t="s">
        <v>666</v>
      </c>
      <c r="C222" s="14" t="s">
        <v>667</v>
      </c>
      <c r="D222" s="61"/>
      <c r="E222" s="15">
        <v>95764.741190000001</v>
      </c>
      <c r="F222" s="61"/>
      <c r="G222" s="15">
        <v>98465.698109999998</v>
      </c>
      <c r="H222" s="61"/>
      <c r="I222" s="15">
        <f>E222-G222</f>
        <v>-2700.9569199999969</v>
      </c>
      <c r="J222" s="61"/>
      <c r="K222" s="45">
        <f t="shared" si="9"/>
        <v>-2.7430434880811479E-2</v>
      </c>
    </row>
    <row r="223" spans="2:11" ht="15" customHeight="1" x14ac:dyDescent="0.35">
      <c r="B223" s="11" t="s">
        <v>668</v>
      </c>
      <c r="C223" s="11" t="s">
        <v>22</v>
      </c>
      <c r="D223" s="29"/>
      <c r="E223" s="12"/>
      <c r="F223" s="29"/>
      <c r="G223" s="12"/>
      <c r="H223" s="29"/>
      <c r="I223" s="12"/>
      <c r="J223" s="29"/>
      <c r="K223" s="85">
        <f t="shared" si="9"/>
        <v>0</v>
      </c>
    </row>
    <row r="224" spans="2:11" ht="15" customHeight="1" x14ac:dyDescent="0.35">
      <c r="B224" s="14" t="s">
        <v>669</v>
      </c>
      <c r="C224" s="14" t="s">
        <v>670</v>
      </c>
      <c r="D224" s="61"/>
      <c r="E224" s="15">
        <v>431455.56251999998</v>
      </c>
      <c r="F224" s="61"/>
      <c r="G224" s="15">
        <v>448639.2487</v>
      </c>
      <c r="H224" s="61"/>
      <c r="I224" s="15">
        <f>E224-G224</f>
        <v>-17183.686180000019</v>
      </c>
      <c r="J224" s="61"/>
      <c r="K224" s="45">
        <f t="shared" si="9"/>
        <v>-3.8301789756006288E-2</v>
      </c>
    </row>
    <row r="225" spans="2:11" ht="15" customHeight="1" x14ac:dyDescent="0.35">
      <c r="B225" s="11" t="s">
        <v>136</v>
      </c>
      <c r="C225" s="11" t="s">
        <v>22</v>
      </c>
      <c r="D225" s="29"/>
      <c r="E225" s="12"/>
      <c r="F225" s="29"/>
      <c r="G225" s="12"/>
      <c r="H225" s="29"/>
      <c r="I225" s="12"/>
      <c r="J225" s="29"/>
      <c r="K225" s="85">
        <f t="shared" si="9"/>
        <v>0</v>
      </c>
    </row>
    <row r="226" spans="2:11" ht="15" customHeight="1" x14ac:dyDescent="0.35">
      <c r="B226" s="14" t="s">
        <v>671</v>
      </c>
      <c r="C226" s="14" t="s">
        <v>672</v>
      </c>
      <c r="D226" s="61"/>
      <c r="E226" s="15">
        <v>151330.62208999999</v>
      </c>
      <c r="F226" s="61"/>
      <c r="G226" s="15">
        <v>196314.35122000001</v>
      </c>
      <c r="H226" s="61"/>
      <c r="I226" s="15">
        <f>E226-G226</f>
        <v>-44983.729130000022</v>
      </c>
      <c r="J226" s="61"/>
      <c r="K226" s="45">
        <f t="shared" si="9"/>
        <v>-0.22914131774089674</v>
      </c>
    </row>
    <row r="227" spans="2:11" ht="15" customHeight="1" x14ac:dyDescent="0.35">
      <c r="B227" s="11" t="s">
        <v>673</v>
      </c>
      <c r="C227" s="11" t="s">
        <v>22</v>
      </c>
      <c r="D227" s="29"/>
      <c r="E227" s="12"/>
      <c r="F227" s="29"/>
      <c r="G227" s="12"/>
      <c r="H227" s="29"/>
      <c r="I227" s="12"/>
      <c r="J227" s="29"/>
      <c r="K227" s="85">
        <f t="shared" si="9"/>
        <v>0</v>
      </c>
    </row>
    <row r="228" spans="2:11" ht="15" customHeight="1" x14ac:dyDescent="0.35">
      <c r="B228" s="14" t="s">
        <v>674</v>
      </c>
      <c r="C228" s="14" t="s">
        <v>675</v>
      </c>
      <c r="D228" s="61"/>
      <c r="E228" s="15">
        <v>133131.45379</v>
      </c>
      <c r="F228" s="61"/>
      <c r="G228" s="15">
        <v>137129.37026</v>
      </c>
      <c r="H228" s="61"/>
      <c r="I228" s="15">
        <f>E228-G228</f>
        <v>-3997.9164699999965</v>
      </c>
      <c r="J228" s="61"/>
      <c r="K228" s="45">
        <f t="shared" si="9"/>
        <v>-2.9154341352402247E-2</v>
      </c>
    </row>
    <row r="229" spans="2:11" ht="15" customHeight="1" x14ac:dyDescent="0.35">
      <c r="B229" s="11" t="s">
        <v>676</v>
      </c>
      <c r="C229" s="11" t="s">
        <v>22</v>
      </c>
      <c r="D229" s="29"/>
      <c r="E229" s="12"/>
      <c r="F229" s="29"/>
      <c r="G229" s="12"/>
      <c r="H229" s="29"/>
      <c r="I229" s="12"/>
      <c r="J229" s="29"/>
      <c r="K229" s="85">
        <f t="shared" si="9"/>
        <v>0</v>
      </c>
    </row>
    <row r="230" spans="2:11" ht="15" customHeight="1" x14ac:dyDescent="0.35">
      <c r="B230" s="14" t="s">
        <v>677</v>
      </c>
      <c r="C230" s="14" t="s">
        <v>678</v>
      </c>
      <c r="D230" s="61"/>
      <c r="E230" s="15">
        <v>11291.107</v>
      </c>
      <c r="F230" s="61"/>
      <c r="G230" s="15">
        <v>11097.91</v>
      </c>
      <c r="H230" s="61"/>
      <c r="I230" s="15">
        <f>E230-G230</f>
        <v>193.19700000000012</v>
      </c>
      <c r="J230" s="61"/>
      <c r="K230" s="45">
        <f t="shared" si="9"/>
        <v>1.7408412935408568E-2</v>
      </c>
    </row>
    <row r="231" spans="2:11" ht="15" customHeight="1" thickBot="1" x14ac:dyDescent="0.4">
      <c r="B231" s="11" t="s">
        <v>679</v>
      </c>
      <c r="C231" s="11" t="s">
        <v>22</v>
      </c>
      <c r="D231" s="29"/>
      <c r="E231" s="12"/>
      <c r="F231" s="29"/>
      <c r="G231" s="12"/>
      <c r="H231" s="29"/>
      <c r="I231" s="12"/>
      <c r="J231" s="29"/>
      <c r="K231" s="85">
        <f t="shared" si="9"/>
        <v>0</v>
      </c>
    </row>
    <row r="232" spans="2:11" ht="15" customHeight="1" thickBot="1" x14ac:dyDescent="0.4">
      <c r="B232" s="18" t="s">
        <v>680</v>
      </c>
      <c r="C232" s="18" t="s">
        <v>681</v>
      </c>
      <c r="D232" s="66"/>
      <c r="E232" s="19">
        <f>-(-(E218+E220)-E222-E224-E226-E200-E228-E230)</f>
        <v>1941499.7618099998</v>
      </c>
      <c r="F232" s="66"/>
      <c r="G232" s="19">
        <f>-(-(G218+G220)-G222-G224-G226-G200-G228-G230)</f>
        <v>1971065.5206499998</v>
      </c>
      <c r="H232" s="66"/>
      <c r="I232" s="19">
        <f>-(-(I218+I220)-I222-I224-I226-I200-I228-I230)</f>
        <v>-29565.758840000068</v>
      </c>
      <c r="J232" s="66"/>
      <c r="K232" s="86">
        <f t="shared" si="9"/>
        <v>-1.4999886371230391E-2</v>
      </c>
    </row>
    <row r="233" spans="2:11" ht="15" customHeight="1" thickBot="1" x14ac:dyDescent="0.4">
      <c r="B233" s="11" t="s">
        <v>682</v>
      </c>
      <c r="C233" s="11" t="s">
        <v>22</v>
      </c>
      <c r="D233" s="29"/>
      <c r="E233" s="12"/>
      <c r="F233" s="29"/>
      <c r="G233" s="12"/>
      <c r="H233" s="29"/>
      <c r="I233" s="12"/>
      <c r="J233" s="29"/>
      <c r="K233" s="85">
        <f t="shared" si="9"/>
        <v>0</v>
      </c>
    </row>
    <row r="234" spans="2:11" ht="15" customHeight="1" thickBot="1" x14ac:dyDescent="0.4">
      <c r="B234" s="18" t="s">
        <v>683</v>
      </c>
      <c r="C234" s="18" t="s">
        <v>684</v>
      </c>
      <c r="D234" s="66"/>
      <c r="E234" s="19">
        <f>E210+E232</f>
        <v>2488340.9997999999</v>
      </c>
      <c r="F234" s="66"/>
      <c r="G234" s="19">
        <f>G210+G232</f>
        <v>2624183.9075299995</v>
      </c>
      <c r="H234" s="66"/>
      <c r="I234" s="19">
        <f>I210+I232</f>
        <v>-135842.90773000009</v>
      </c>
      <c r="J234" s="66"/>
      <c r="K234" s="86">
        <f t="shared" si="9"/>
        <v>-5.1765772718978975E-2</v>
      </c>
    </row>
    <row r="235" spans="2:11" ht="15" customHeight="1" x14ac:dyDescent="0.35">
      <c r="B235" s="11" t="s">
        <v>685</v>
      </c>
      <c r="C235" s="11" t="s">
        <v>22</v>
      </c>
      <c r="D235" s="29"/>
      <c r="E235" s="12"/>
      <c r="F235" s="29"/>
      <c r="G235" s="12"/>
      <c r="H235" s="29"/>
      <c r="I235" s="12"/>
      <c r="J235" s="29"/>
      <c r="K235" s="85">
        <f t="shared" si="9"/>
        <v>0</v>
      </c>
    </row>
    <row r="236" spans="2:11" ht="15" customHeight="1" x14ac:dyDescent="0.35">
      <c r="B236" s="14" t="s">
        <v>686</v>
      </c>
      <c r="C236" s="14" t="s">
        <v>687</v>
      </c>
      <c r="D236" s="61"/>
      <c r="E236" s="15">
        <v>-5331.7996400000002</v>
      </c>
      <c r="F236" s="61"/>
      <c r="G236" s="15">
        <v>-5331.7996400000002</v>
      </c>
      <c r="H236" s="61"/>
      <c r="I236" s="15">
        <f>E236-G236</f>
        <v>0</v>
      </c>
      <c r="J236" s="61"/>
      <c r="K236" s="45">
        <f t="shared" si="9"/>
        <v>0</v>
      </c>
    </row>
    <row r="237" spans="2:11" ht="15" customHeight="1" x14ac:dyDescent="0.35">
      <c r="B237" s="11" t="s">
        <v>152</v>
      </c>
      <c r="C237" s="11" t="s">
        <v>22</v>
      </c>
      <c r="D237" s="29"/>
      <c r="E237" s="12"/>
      <c r="F237" s="29"/>
      <c r="G237" s="12"/>
      <c r="H237" s="29"/>
      <c r="I237" s="12"/>
      <c r="J237" s="29"/>
      <c r="K237" s="85">
        <f t="shared" si="9"/>
        <v>0</v>
      </c>
    </row>
    <row r="238" spans="2:11" ht="15" customHeight="1" x14ac:dyDescent="0.35">
      <c r="B238" s="14" t="s">
        <v>688</v>
      </c>
      <c r="C238" s="14" t="s">
        <v>689</v>
      </c>
      <c r="D238" s="61"/>
      <c r="E238" s="15">
        <v>10032657.489019999</v>
      </c>
      <c r="F238" s="61"/>
      <c r="G238" s="15">
        <v>10032657.489019999</v>
      </c>
      <c r="H238" s="61"/>
      <c r="I238" s="15">
        <f>E238-G238</f>
        <v>0</v>
      </c>
      <c r="J238" s="61"/>
      <c r="K238" s="45">
        <f t="shared" si="9"/>
        <v>0</v>
      </c>
    </row>
    <row r="239" spans="2:11" ht="15" customHeight="1" x14ac:dyDescent="0.35">
      <c r="B239" s="11" t="s">
        <v>690</v>
      </c>
      <c r="C239" s="11" t="s">
        <v>22</v>
      </c>
      <c r="D239" s="29"/>
      <c r="E239" s="12"/>
      <c r="F239" s="29"/>
      <c r="G239" s="12"/>
      <c r="H239" s="29"/>
      <c r="I239" s="12"/>
      <c r="J239" s="29"/>
      <c r="K239" s="85">
        <f t="shared" si="9"/>
        <v>0</v>
      </c>
    </row>
    <row r="240" spans="2:11" ht="15" customHeight="1" x14ac:dyDescent="0.35">
      <c r="B240" s="14" t="s">
        <v>691</v>
      </c>
      <c r="C240" s="14" t="s">
        <v>692</v>
      </c>
      <c r="D240" s="61"/>
      <c r="E240" s="15"/>
      <c r="F240" s="61"/>
      <c r="G240" s="15"/>
      <c r="H240" s="61"/>
      <c r="I240" s="15">
        <f>E240-G240</f>
        <v>0</v>
      </c>
      <c r="J240" s="61"/>
      <c r="K240" s="45">
        <f t="shared" si="9"/>
        <v>0</v>
      </c>
    </row>
    <row r="241" spans="2:11" ht="15" customHeight="1" x14ac:dyDescent="0.35">
      <c r="B241" s="11" t="s">
        <v>693</v>
      </c>
      <c r="C241" s="11" t="s">
        <v>22</v>
      </c>
      <c r="D241" s="29"/>
      <c r="E241" s="12"/>
      <c r="F241" s="29"/>
      <c r="G241" s="12"/>
      <c r="H241" s="29"/>
      <c r="I241" s="12"/>
      <c r="J241" s="29"/>
      <c r="K241" s="85">
        <f t="shared" si="9"/>
        <v>0</v>
      </c>
    </row>
    <row r="242" spans="2:11" ht="15" customHeight="1" x14ac:dyDescent="0.35">
      <c r="B242" s="14" t="s">
        <v>694</v>
      </c>
      <c r="C242" s="14" t="s">
        <v>695</v>
      </c>
      <c r="D242" s="61"/>
      <c r="E242" s="15">
        <v>-0.30901000000000001</v>
      </c>
      <c r="F242" s="61"/>
      <c r="G242" s="15">
        <v>67.820989999999995</v>
      </c>
      <c r="H242" s="61"/>
      <c r="I242" s="15">
        <f t="shared" ref="I242:I263" si="11">E242-G242</f>
        <v>-68.13</v>
      </c>
      <c r="J242" s="61"/>
      <c r="K242" s="45">
        <f t="shared" si="9"/>
        <v>-1.0045562590578521</v>
      </c>
    </row>
    <row r="243" spans="2:11" ht="15" customHeight="1" x14ac:dyDescent="0.35">
      <c r="B243" s="14" t="s">
        <v>696</v>
      </c>
      <c r="C243" s="14" t="s">
        <v>697</v>
      </c>
      <c r="D243" s="61"/>
      <c r="E243" s="15">
        <v>-4701793.52575</v>
      </c>
      <c r="F243" s="61"/>
      <c r="G243" s="15">
        <v>-5392953.1598199997</v>
      </c>
      <c r="H243" s="61"/>
      <c r="I243" s="15">
        <f t="shared" si="11"/>
        <v>691159.63406999968</v>
      </c>
      <c r="J243" s="61"/>
      <c r="K243" s="45">
        <f t="shared" si="9"/>
        <v>0.12815976953396505</v>
      </c>
    </row>
    <row r="244" spans="2:11" ht="15" customHeight="1" x14ac:dyDescent="0.35">
      <c r="B244" s="14" t="s">
        <v>698</v>
      </c>
      <c r="C244" s="14" t="s">
        <v>699</v>
      </c>
      <c r="D244" s="61"/>
      <c r="E244" s="15">
        <v>195961.07592</v>
      </c>
      <c r="F244" s="61"/>
      <c r="G244" s="15">
        <v>687769.86442999996</v>
      </c>
      <c r="H244" s="61"/>
      <c r="I244" s="15">
        <f t="shared" si="11"/>
        <v>-491808.78850999998</v>
      </c>
      <c r="J244" s="61"/>
      <c r="K244" s="45">
        <f t="shared" si="9"/>
        <v>-0.71507754838545334</v>
      </c>
    </row>
    <row r="245" spans="2:11" ht="15" customHeight="1" x14ac:dyDescent="0.35">
      <c r="B245" s="14" t="s">
        <v>700</v>
      </c>
      <c r="C245" s="14" t="s">
        <v>701</v>
      </c>
      <c r="D245" s="61"/>
      <c r="E245" s="15">
        <v>1052539.90766</v>
      </c>
      <c r="F245" s="61"/>
      <c r="G245" s="15">
        <v>1052539.90766</v>
      </c>
      <c r="H245" s="61"/>
      <c r="I245" s="15">
        <f t="shared" si="11"/>
        <v>0</v>
      </c>
      <c r="J245" s="61"/>
      <c r="K245" s="45">
        <f t="shared" si="9"/>
        <v>0</v>
      </c>
    </row>
    <row r="246" spans="2:11" ht="15" customHeight="1" x14ac:dyDescent="0.35">
      <c r="B246" s="14" t="s">
        <v>702</v>
      </c>
      <c r="C246" s="14" t="s">
        <v>703</v>
      </c>
      <c r="D246" s="61"/>
      <c r="E246" s="15">
        <v>36239.577120000002</v>
      </c>
      <c r="F246" s="61"/>
      <c r="G246" s="15">
        <v>36249.673239999996</v>
      </c>
      <c r="H246" s="61"/>
      <c r="I246" s="15">
        <f t="shared" si="11"/>
        <v>-10.096119999994698</v>
      </c>
      <c r="J246" s="61"/>
      <c r="K246" s="45">
        <f t="shared" si="9"/>
        <v>-2.7851616573619352E-4</v>
      </c>
    </row>
    <row r="247" spans="2:11" ht="15" customHeight="1" x14ac:dyDescent="0.35">
      <c r="B247" s="14" t="s">
        <v>704</v>
      </c>
      <c r="C247" s="14" t="s">
        <v>705</v>
      </c>
      <c r="D247" s="61"/>
      <c r="E247" s="15"/>
      <c r="F247" s="61"/>
      <c r="G247" s="15"/>
      <c r="H247" s="61"/>
      <c r="I247" s="15">
        <f t="shared" si="11"/>
        <v>0</v>
      </c>
      <c r="J247" s="61"/>
      <c r="K247" s="45">
        <f t="shared" si="9"/>
        <v>0</v>
      </c>
    </row>
    <row r="248" spans="2:11" ht="15" customHeight="1" x14ac:dyDescent="0.35">
      <c r="B248" s="14" t="s">
        <v>706</v>
      </c>
      <c r="C248" s="14" t="s">
        <v>707</v>
      </c>
      <c r="D248" s="61"/>
      <c r="E248" s="15"/>
      <c r="F248" s="61"/>
      <c r="G248" s="15"/>
      <c r="H248" s="61"/>
      <c r="I248" s="15">
        <f t="shared" si="11"/>
        <v>0</v>
      </c>
      <c r="J248" s="61"/>
      <c r="K248" s="45">
        <f t="shared" si="9"/>
        <v>0</v>
      </c>
    </row>
    <row r="249" spans="2:11" ht="15" customHeight="1" x14ac:dyDescent="0.35">
      <c r="B249" s="14" t="s">
        <v>708</v>
      </c>
      <c r="C249" s="14" t="s">
        <v>709</v>
      </c>
      <c r="D249" s="61"/>
      <c r="E249" s="15"/>
      <c r="F249" s="61"/>
      <c r="G249" s="15"/>
      <c r="H249" s="61"/>
      <c r="I249" s="15">
        <f t="shared" si="11"/>
        <v>0</v>
      </c>
      <c r="J249" s="61"/>
      <c r="K249" s="45">
        <f t="shared" si="9"/>
        <v>0</v>
      </c>
    </row>
    <row r="250" spans="2:11" ht="15" customHeight="1" x14ac:dyDescent="0.35">
      <c r="B250" s="14" t="s">
        <v>710</v>
      </c>
      <c r="C250" s="14" t="s">
        <v>711</v>
      </c>
      <c r="D250" s="61"/>
      <c r="E250" s="15"/>
      <c r="F250" s="61"/>
      <c r="G250" s="15"/>
      <c r="H250" s="61"/>
      <c r="I250" s="15">
        <f t="shared" si="11"/>
        <v>0</v>
      </c>
      <c r="J250" s="61"/>
      <c r="K250" s="45">
        <f t="shared" si="9"/>
        <v>0</v>
      </c>
    </row>
    <row r="251" spans="2:11" ht="15" customHeight="1" x14ac:dyDescent="0.35">
      <c r="B251" s="14" t="s">
        <v>712</v>
      </c>
      <c r="C251" s="14" t="s">
        <v>713</v>
      </c>
      <c r="D251" s="61"/>
      <c r="E251" s="15"/>
      <c r="F251" s="61"/>
      <c r="G251" s="15"/>
      <c r="H251" s="61"/>
      <c r="I251" s="15">
        <f t="shared" si="11"/>
        <v>0</v>
      </c>
      <c r="J251" s="61"/>
      <c r="K251" s="45">
        <f t="shared" si="9"/>
        <v>0</v>
      </c>
    </row>
    <row r="252" spans="2:11" ht="15" customHeight="1" x14ac:dyDescent="0.35">
      <c r="B252" s="14" t="s">
        <v>714</v>
      </c>
      <c r="C252" s="14" t="s">
        <v>715</v>
      </c>
      <c r="D252" s="61"/>
      <c r="E252" s="15">
        <v>0</v>
      </c>
      <c r="F252" s="61"/>
      <c r="G252" s="15">
        <v>0</v>
      </c>
      <c r="H252" s="61"/>
      <c r="I252" s="15">
        <f t="shared" si="11"/>
        <v>0</v>
      </c>
      <c r="J252" s="61"/>
      <c r="K252" s="45">
        <f t="shared" si="9"/>
        <v>0</v>
      </c>
    </row>
    <row r="253" spans="2:11" ht="15" customHeight="1" x14ac:dyDescent="0.35">
      <c r="B253" s="14" t="s">
        <v>716</v>
      </c>
      <c r="C253" s="14" t="s">
        <v>717</v>
      </c>
      <c r="D253" s="61"/>
      <c r="E253" s="15"/>
      <c r="F253" s="61"/>
      <c r="G253" s="15"/>
      <c r="H253" s="61"/>
      <c r="I253" s="15">
        <f t="shared" si="11"/>
        <v>0</v>
      </c>
      <c r="J253" s="61"/>
      <c r="K253" s="45">
        <f t="shared" si="9"/>
        <v>0</v>
      </c>
    </row>
    <row r="254" spans="2:11" ht="15" customHeight="1" x14ac:dyDescent="0.35">
      <c r="B254" s="14" t="s">
        <v>718</v>
      </c>
      <c r="C254" s="14" t="s">
        <v>719</v>
      </c>
      <c r="D254" s="61"/>
      <c r="E254" s="15"/>
      <c r="F254" s="61"/>
      <c r="G254" s="15"/>
      <c r="H254" s="61"/>
      <c r="I254" s="15">
        <f t="shared" si="11"/>
        <v>0</v>
      </c>
      <c r="J254" s="61"/>
      <c r="K254" s="45">
        <f t="shared" si="9"/>
        <v>0</v>
      </c>
    </row>
    <row r="255" spans="2:11" ht="15" customHeight="1" x14ac:dyDescent="0.35">
      <c r="B255" s="14" t="s">
        <v>720</v>
      </c>
      <c r="C255" s="14" t="s">
        <v>721</v>
      </c>
      <c r="D255" s="61"/>
      <c r="E255" s="15">
        <v>1634.6095299999999</v>
      </c>
      <c r="F255" s="61"/>
      <c r="G255" s="15">
        <v>-1808.3500200000001</v>
      </c>
      <c r="H255" s="61"/>
      <c r="I255" s="15">
        <f t="shared" si="11"/>
        <v>3442.95955</v>
      </c>
      <c r="J255" s="61"/>
      <c r="K255" s="45">
        <f t="shared" si="9"/>
        <v>1.9039231962405154</v>
      </c>
    </row>
    <row r="256" spans="2:11" ht="15" customHeight="1" x14ac:dyDescent="0.35">
      <c r="B256" s="14" t="s">
        <v>722</v>
      </c>
      <c r="C256" s="14" t="s">
        <v>723</v>
      </c>
      <c r="D256" s="61"/>
      <c r="E256" s="15">
        <v>-382.74698000000001</v>
      </c>
      <c r="F256" s="61"/>
      <c r="G256" s="15">
        <v>517.34130000000005</v>
      </c>
      <c r="H256" s="61"/>
      <c r="I256" s="15">
        <f t="shared" si="11"/>
        <v>-900.08828000000005</v>
      </c>
      <c r="J256" s="61"/>
      <c r="K256" s="45">
        <f t="shared" si="9"/>
        <v>-1.7398345734237726</v>
      </c>
    </row>
    <row r="257" spans="2:11" ht="15" customHeight="1" x14ac:dyDescent="0.35">
      <c r="B257" s="14" t="s">
        <v>724</v>
      </c>
      <c r="C257" s="14" t="s">
        <v>725</v>
      </c>
      <c r="D257" s="61"/>
      <c r="E257" s="15">
        <v>33053.66461</v>
      </c>
      <c r="F257" s="61"/>
      <c r="G257" s="15">
        <v>34071.999609999999</v>
      </c>
      <c r="H257" s="61"/>
      <c r="I257" s="15">
        <f t="shared" si="11"/>
        <v>-1018.3349999999991</v>
      </c>
      <c r="J257" s="61"/>
      <c r="K257" s="45">
        <f t="shared" si="9"/>
        <v>-2.9887738073967392E-2</v>
      </c>
    </row>
    <row r="258" spans="2:11" ht="15" customHeight="1" x14ac:dyDescent="0.35">
      <c r="B258" s="14" t="s">
        <v>726</v>
      </c>
      <c r="C258" s="14" t="s">
        <v>727</v>
      </c>
      <c r="D258" s="61"/>
      <c r="E258" s="15">
        <v>6.165</v>
      </c>
      <c r="F258" s="61"/>
      <c r="G258" s="15">
        <v>7</v>
      </c>
      <c r="H258" s="61"/>
      <c r="I258" s="15">
        <f t="shared" si="11"/>
        <v>-0.83499999999999996</v>
      </c>
      <c r="J258" s="61"/>
      <c r="K258" s="45">
        <f t="shared" si="9"/>
        <v>-0.11928571428571429</v>
      </c>
    </row>
    <row r="259" spans="2:11" ht="15" customHeight="1" x14ac:dyDescent="0.35">
      <c r="B259" s="14" t="s">
        <v>728</v>
      </c>
      <c r="C259" s="14" t="s">
        <v>729</v>
      </c>
      <c r="D259" s="61"/>
      <c r="E259" s="15"/>
      <c r="F259" s="61"/>
      <c r="G259" s="15"/>
      <c r="H259" s="61"/>
      <c r="I259" s="15">
        <f t="shared" si="11"/>
        <v>0</v>
      </c>
      <c r="J259" s="61"/>
      <c r="K259" s="45">
        <f t="shared" si="9"/>
        <v>0</v>
      </c>
    </row>
    <row r="260" spans="2:11" ht="15" customHeight="1" x14ac:dyDescent="0.35">
      <c r="B260" s="14" t="s">
        <v>730</v>
      </c>
      <c r="C260" s="14" t="s">
        <v>731</v>
      </c>
      <c r="D260" s="61"/>
      <c r="E260" s="15">
        <v>-8841.5616200000004</v>
      </c>
      <c r="F260" s="61"/>
      <c r="G260" s="15">
        <v>-8017.2876200000001</v>
      </c>
      <c r="H260" s="61"/>
      <c r="I260" s="15">
        <f t="shared" si="11"/>
        <v>-824.27400000000034</v>
      </c>
      <c r="J260" s="61"/>
      <c r="K260" s="45">
        <f t="shared" si="9"/>
        <v>-0.10281207798305236</v>
      </c>
    </row>
    <row r="261" spans="2:11" ht="15" customHeight="1" x14ac:dyDescent="0.35">
      <c r="B261" s="14" t="s">
        <v>732</v>
      </c>
      <c r="C261" s="14" t="s">
        <v>733</v>
      </c>
      <c r="D261" s="61"/>
      <c r="E261" s="15">
        <v>-243213.44787</v>
      </c>
      <c r="F261" s="61"/>
      <c r="G261" s="15">
        <v>-243213.44787</v>
      </c>
      <c r="H261" s="61"/>
      <c r="I261" s="15">
        <f t="shared" si="11"/>
        <v>0</v>
      </c>
      <c r="J261" s="61"/>
      <c r="K261" s="45">
        <f t="shared" si="9"/>
        <v>0</v>
      </c>
    </row>
    <row r="262" spans="2:11" ht="15" customHeight="1" x14ac:dyDescent="0.35">
      <c r="B262" s="14" t="s">
        <v>734</v>
      </c>
      <c r="C262" s="14" t="s">
        <v>735</v>
      </c>
      <c r="D262" s="61"/>
      <c r="E262" s="15"/>
      <c r="F262" s="61"/>
      <c r="G262" s="15"/>
      <c r="H262" s="61"/>
      <c r="I262" s="15">
        <f t="shared" si="11"/>
        <v>0</v>
      </c>
      <c r="J262" s="61"/>
      <c r="K262" s="45">
        <f t="shared" si="9"/>
        <v>0</v>
      </c>
    </row>
    <row r="263" spans="2:11" ht="15" customHeight="1" x14ac:dyDescent="0.35">
      <c r="B263" s="14" t="s">
        <v>736</v>
      </c>
      <c r="C263" s="14" t="s">
        <v>737</v>
      </c>
      <c r="D263" s="61"/>
      <c r="E263" s="15"/>
      <c r="F263" s="61"/>
      <c r="G263" s="15"/>
      <c r="H263" s="61"/>
      <c r="I263" s="15">
        <f t="shared" si="11"/>
        <v>0</v>
      </c>
      <c r="J263" s="61"/>
      <c r="K263" s="45">
        <f t="shared" si="9"/>
        <v>0</v>
      </c>
    </row>
    <row r="264" spans="2:11" ht="15" customHeight="1" x14ac:dyDescent="0.35">
      <c r="B264" s="16" t="s">
        <v>738</v>
      </c>
      <c r="C264" s="16" t="s">
        <v>739</v>
      </c>
      <c r="D264" s="64"/>
      <c r="E264" s="17">
        <f>-(-(E242+E243)-E244-E245-E246-E247-E248-E249-E250-E251-E252-E253-E254-E255-E256-E257-E258-E259-E260-E261-E262-E263)</f>
        <v>-3634796.5913899997</v>
      </c>
      <c r="F264" s="64"/>
      <c r="G264" s="17">
        <f>-(-(G242+G243)-G244-G245-G246-G247-G248-G249-G250-G251-G252-G253-G254-G255-G256-G257-G258-G259-G260-G261-G262-G263)</f>
        <v>-3834768.6380999996</v>
      </c>
      <c r="H264" s="64"/>
      <c r="I264" s="17">
        <f>-(-(I242+I243)-I244-I245-I246-I247-I248-I249-I250-I251-I252-I253-I254-I255-I256-I257-I258-I259-I260-I261-I262-I263)</f>
        <v>199972.0467099997</v>
      </c>
      <c r="J264" s="64"/>
      <c r="K264" s="84">
        <f t="shared" si="9"/>
        <v>5.2147095583080394E-2</v>
      </c>
    </row>
    <row r="265" spans="2:11" ht="15" customHeight="1" x14ac:dyDescent="0.35">
      <c r="B265" s="11" t="s">
        <v>740</v>
      </c>
      <c r="C265" s="11" t="s">
        <v>22</v>
      </c>
      <c r="D265" s="29"/>
      <c r="E265" s="12"/>
      <c r="F265" s="29"/>
      <c r="G265" s="12"/>
      <c r="H265" s="29"/>
      <c r="I265" s="12"/>
      <c r="J265" s="29"/>
      <c r="K265" s="85">
        <f t="shared" si="9"/>
        <v>0</v>
      </c>
    </row>
    <row r="266" spans="2:11" ht="15" customHeight="1" x14ac:dyDescent="0.35">
      <c r="B266" s="16" t="s">
        <v>741</v>
      </c>
      <c r="C266" s="16" t="s">
        <v>742</v>
      </c>
      <c r="D266" s="64"/>
      <c r="E266" s="17"/>
      <c r="F266" s="64"/>
      <c r="G266" s="17"/>
      <c r="H266" s="64"/>
      <c r="I266" s="17">
        <f>E266-G266</f>
        <v>0</v>
      </c>
      <c r="J266" s="64"/>
      <c r="K266" s="84">
        <f t="shared" ref="K266:K273" si="12">IF(ROUND(I266, 2)=0, 0, IFERROR(I266/ABS(G266), IF(I266&lt;0, -1, 1)))</f>
        <v>0</v>
      </c>
    </row>
    <row r="267" spans="2:11" ht="15" customHeight="1" thickBot="1" x14ac:dyDescent="0.4">
      <c r="B267" s="11" t="s">
        <v>743</v>
      </c>
      <c r="C267" s="11" t="s">
        <v>22</v>
      </c>
      <c r="D267" s="29"/>
      <c r="E267" s="12"/>
      <c r="F267" s="29"/>
      <c r="G267" s="12"/>
      <c r="H267" s="29"/>
      <c r="I267" s="12"/>
      <c r="J267" s="29"/>
      <c r="K267" s="85">
        <f t="shared" si="12"/>
        <v>0</v>
      </c>
    </row>
    <row r="268" spans="2:11" ht="15" customHeight="1" thickBot="1" x14ac:dyDescent="0.4">
      <c r="B268" s="18" t="s">
        <v>744</v>
      </c>
      <c r="C268" s="18" t="s">
        <v>745</v>
      </c>
      <c r="D268" s="66"/>
      <c r="E268" s="19">
        <f>-(-(E236+E238)-E240-E264-E266)</f>
        <v>6392529.0979899997</v>
      </c>
      <c r="F268" s="66"/>
      <c r="G268" s="19">
        <f>-(-(G236+G238)-G240-G264-G266)</f>
        <v>6192557.0512799993</v>
      </c>
      <c r="H268" s="66"/>
      <c r="I268" s="19">
        <f>-(-(I236+I238)-I240-I264-I266)</f>
        <v>199972.0467099997</v>
      </c>
      <c r="J268" s="66"/>
      <c r="K268" s="86">
        <f t="shared" si="12"/>
        <v>3.2292322065674881E-2</v>
      </c>
    </row>
    <row r="269" spans="2:11" ht="15" customHeight="1" thickBot="1" x14ac:dyDescent="0.4">
      <c r="B269" s="11" t="s">
        <v>171</v>
      </c>
      <c r="C269" s="11" t="s">
        <v>22</v>
      </c>
      <c r="D269" s="29"/>
      <c r="E269" s="12"/>
      <c r="F269" s="29"/>
      <c r="G269" s="12"/>
      <c r="H269" s="29"/>
      <c r="I269" s="12"/>
      <c r="J269" s="29"/>
      <c r="K269" s="85">
        <f t="shared" si="12"/>
        <v>0</v>
      </c>
    </row>
    <row r="270" spans="2:11" ht="15" customHeight="1" thickBot="1" x14ac:dyDescent="0.4">
      <c r="B270" s="18" t="s">
        <v>746</v>
      </c>
      <c r="C270" s="18" t="s">
        <v>747</v>
      </c>
      <c r="D270" s="66"/>
      <c r="E270" s="19">
        <f>E234+E268</f>
        <v>8880870.0977899991</v>
      </c>
      <c r="F270" s="66"/>
      <c r="G270" s="19">
        <f>G234+G268</f>
        <v>8816740.9588099979</v>
      </c>
      <c r="H270" s="66"/>
      <c r="I270" s="19">
        <f>I234+I268</f>
        <v>64129.13897999961</v>
      </c>
      <c r="J270" s="66"/>
      <c r="K270" s="86">
        <f t="shared" si="12"/>
        <v>7.2735650598784486E-3</v>
      </c>
    </row>
    <row r="271" spans="2:11" ht="15" customHeight="1" x14ac:dyDescent="0.35">
      <c r="B271" s="11" t="s">
        <v>748</v>
      </c>
      <c r="C271" s="11" t="s">
        <v>22</v>
      </c>
      <c r="D271" s="29"/>
      <c r="E271" s="12"/>
      <c r="F271" s="29"/>
      <c r="G271" s="12"/>
      <c r="H271" s="29"/>
      <c r="I271" s="12"/>
      <c r="J271" s="29"/>
      <c r="K271" s="85">
        <f t="shared" si="12"/>
        <v>0</v>
      </c>
    </row>
    <row r="272" spans="2:11" ht="15" customHeight="1" x14ac:dyDescent="0.35">
      <c r="B272" s="11" t="s">
        <v>749</v>
      </c>
      <c r="C272" s="11" t="s">
        <v>22</v>
      </c>
      <c r="D272" s="29"/>
      <c r="E272" s="12"/>
      <c r="F272" s="29"/>
      <c r="G272" s="12"/>
      <c r="H272" s="29"/>
      <c r="I272" s="12"/>
      <c r="J272" s="29"/>
      <c r="K272" s="85">
        <f t="shared" si="12"/>
        <v>0</v>
      </c>
    </row>
    <row r="273" spans="2:11" ht="15" customHeight="1" x14ac:dyDescent="0.35">
      <c r="B273" s="36" t="s">
        <v>750</v>
      </c>
      <c r="C273" s="36" t="s">
        <v>751</v>
      </c>
      <c r="D273" s="91"/>
      <c r="E273" s="37">
        <f>E164-E270</f>
        <v>-2.4729998782277107E-2</v>
      </c>
      <c r="F273" s="91"/>
      <c r="G273" s="37">
        <f>G164-G270</f>
        <v>-2.1639999002218246E-2</v>
      </c>
      <c r="H273" s="91"/>
      <c r="I273" s="37">
        <f>I164-I270</f>
        <v>-3.08999877597671E-3</v>
      </c>
      <c r="J273" s="91"/>
      <c r="K273" s="92">
        <f t="shared" si="12"/>
        <v>0</v>
      </c>
    </row>
  </sheetData>
  <mergeCells count="2">
    <mergeCell ref="B4:C4"/>
    <mergeCell ref="B6:C6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F28D2-AE17-4F30-AD19-45B76407BE8B}">
  <dimension ref="B3:X239"/>
  <sheetViews>
    <sheetView showGridLines="0" workbookViewId="0">
      <pane ySplit="8" topLeftCell="A9" activePane="bottomLeft" state="frozen"/>
      <selection pane="bottomLeft" activeCell="B4" sqref="B4:C4"/>
    </sheetView>
  </sheetViews>
  <sheetFormatPr defaultColWidth="9.1796875" defaultRowHeight="15" customHeight="1" x14ac:dyDescent="0.35"/>
  <cols>
    <col min="1" max="1" width="2.1796875" style="1" customWidth="1"/>
    <col min="2" max="2" width="10.7265625" style="1" customWidth="1"/>
    <col min="3" max="3" width="65.7265625" style="1" customWidth="1"/>
    <col min="4" max="4" width="1.54296875" style="1" customWidth="1"/>
    <col min="5" max="5" width="15.7265625" style="1" customWidth="1"/>
    <col min="6" max="6" width="1.54296875" style="1" customWidth="1"/>
    <col min="7" max="7" width="15.7265625" style="1" customWidth="1"/>
    <col min="8" max="8" width="1.54296875" style="1" customWidth="1"/>
    <col min="9" max="9" width="15.7265625" style="1" customWidth="1"/>
    <col min="10" max="10" width="1.54296875" style="1" customWidth="1"/>
    <col min="11" max="17" width="15.7265625" style="1" customWidth="1"/>
    <col min="18" max="30" width="12.7265625" style="1" customWidth="1"/>
    <col min="31" max="16384" width="9.1796875" style="1"/>
  </cols>
  <sheetData>
    <row r="3" spans="2:24" ht="15" customHeight="1" x14ac:dyDescent="0.35">
      <c r="B3" s="2" t="s">
        <v>1613</v>
      </c>
    </row>
    <row r="4" spans="2:24" ht="15" customHeight="1" x14ac:dyDescent="0.35">
      <c r="B4" s="88" t="s">
        <v>270</v>
      </c>
      <c r="C4" s="88"/>
    </row>
    <row r="5" spans="2:24" ht="15" customHeight="1" x14ac:dyDescent="0.35">
      <c r="B5" s="89" t="s">
        <v>1016</v>
      </c>
    </row>
    <row r="6" spans="2:24" ht="15" customHeight="1" x14ac:dyDescent="0.35">
      <c r="B6" s="56">
        <v>46189.33755275463</v>
      </c>
      <c r="C6" s="56"/>
    </row>
    <row r="8" spans="2:24" ht="39.5" thickBot="1" x14ac:dyDescent="0.5">
      <c r="B8" s="7"/>
      <c r="C8" s="28"/>
      <c r="D8" s="59"/>
      <c r="E8" s="8" t="s">
        <v>1471</v>
      </c>
      <c r="F8" s="59"/>
      <c r="G8" s="8" t="s">
        <v>1610</v>
      </c>
      <c r="H8" s="59"/>
      <c r="I8" s="8" t="s">
        <v>1611</v>
      </c>
      <c r="J8" s="59"/>
      <c r="K8" s="8" t="s">
        <v>1612</v>
      </c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</row>
    <row r="9" spans="2:24" ht="15" customHeight="1" x14ac:dyDescent="0.45">
      <c r="B9" s="11"/>
      <c r="C9" s="11"/>
      <c r="D9" s="29"/>
      <c r="E9" s="29"/>
      <c r="F9" s="29"/>
      <c r="G9" s="29"/>
      <c r="H9" s="29"/>
      <c r="I9" s="29"/>
      <c r="J9" s="29"/>
      <c r="K9" s="93">
        <f t="shared" ref="K9:K72" si="0">IF(ROUND(I9, 2)=0, 0, IFERROR(I9/ABS(G9), IF(I9&lt;0, -1, 1)))</f>
        <v>0</v>
      </c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</row>
    <row r="10" spans="2:24" ht="15" customHeight="1" x14ac:dyDescent="0.45">
      <c r="B10" s="34"/>
      <c r="C10" s="34" t="s">
        <v>754</v>
      </c>
      <c r="D10" s="69"/>
      <c r="E10" s="52"/>
      <c r="F10" s="69"/>
      <c r="G10" s="52"/>
      <c r="H10" s="69"/>
      <c r="I10" s="52"/>
      <c r="J10" s="69"/>
      <c r="K10" s="94">
        <f t="shared" si="0"/>
        <v>0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</row>
    <row r="11" spans="2:24" ht="15" customHeight="1" x14ac:dyDescent="0.35">
      <c r="B11" s="11"/>
      <c r="C11" s="11" t="s">
        <v>22</v>
      </c>
      <c r="D11" s="29"/>
      <c r="E11" s="29"/>
      <c r="F11" s="29"/>
      <c r="G11" s="29"/>
      <c r="H11" s="29"/>
      <c r="I11" s="29"/>
      <c r="J11" s="29"/>
      <c r="K11" s="93">
        <f t="shared" si="0"/>
        <v>0</v>
      </c>
    </row>
    <row r="12" spans="2:24" ht="15" customHeight="1" x14ac:dyDescent="0.35">
      <c r="B12" s="14" t="s">
        <v>755</v>
      </c>
      <c r="C12" s="14" t="s">
        <v>138</v>
      </c>
      <c r="D12" s="61"/>
      <c r="E12" s="30">
        <v>215234.27264000001</v>
      </c>
      <c r="F12" s="61"/>
      <c r="G12" s="30">
        <v>155215.15161</v>
      </c>
      <c r="H12" s="61"/>
      <c r="I12" s="30">
        <f>E12-G12</f>
        <v>60019.121030000009</v>
      </c>
      <c r="J12" s="61"/>
      <c r="K12" s="55">
        <f t="shared" si="0"/>
        <v>0.38668339016803288</v>
      </c>
    </row>
    <row r="13" spans="2:24" ht="15" customHeight="1" x14ac:dyDescent="0.35">
      <c r="B13" s="11"/>
      <c r="C13" s="11" t="s">
        <v>22</v>
      </c>
      <c r="D13" s="29"/>
      <c r="E13" s="29"/>
      <c r="F13" s="29"/>
      <c r="G13" s="29"/>
      <c r="H13" s="29"/>
      <c r="I13" s="29"/>
      <c r="J13" s="29"/>
      <c r="K13" s="93">
        <f t="shared" si="0"/>
        <v>0</v>
      </c>
    </row>
    <row r="14" spans="2:24" ht="15" customHeight="1" x14ac:dyDescent="0.35">
      <c r="B14" s="14" t="s">
        <v>756</v>
      </c>
      <c r="C14" s="14" t="s">
        <v>757</v>
      </c>
      <c r="D14" s="61"/>
      <c r="E14" s="30">
        <v>144870.31425</v>
      </c>
      <c r="F14" s="61"/>
      <c r="G14" s="30">
        <v>132514.23366</v>
      </c>
      <c r="H14" s="61"/>
      <c r="I14" s="30">
        <f>E14-G14</f>
        <v>12356.080589999998</v>
      </c>
      <c r="J14" s="61"/>
      <c r="K14" s="55">
        <f t="shared" si="0"/>
        <v>9.3243421847820224E-2</v>
      </c>
    </row>
    <row r="15" spans="2:24" ht="15" customHeight="1" x14ac:dyDescent="0.35">
      <c r="B15" s="11"/>
      <c r="C15" s="11" t="s">
        <v>22</v>
      </c>
      <c r="D15" s="29"/>
      <c r="E15" s="29"/>
      <c r="F15" s="29"/>
      <c r="G15" s="29"/>
      <c r="H15" s="29"/>
      <c r="I15" s="29"/>
      <c r="J15" s="29"/>
      <c r="K15" s="93">
        <f t="shared" si="0"/>
        <v>0</v>
      </c>
    </row>
    <row r="16" spans="2:24" ht="15" customHeight="1" x14ac:dyDescent="0.35">
      <c r="B16" s="34" t="s">
        <v>758</v>
      </c>
      <c r="C16" s="34" t="s">
        <v>126</v>
      </c>
      <c r="D16" s="69"/>
      <c r="E16" s="52">
        <f>E12+E14</f>
        <v>360104.58689000004</v>
      </c>
      <c r="F16" s="69"/>
      <c r="G16" s="52">
        <f>G12+G14</f>
        <v>287729.38526999997</v>
      </c>
      <c r="H16" s="69"/>
      <c r="I16" s="52">
        <f>I12+I14</f>
        <v>72375.201620000007</v>
      </c>
      <c r="J16" s="69"/>
      <c r="K16" s="94">
        <f t="shared" si="0"/>
        <v>0.25153913824993734</v>
      </c>
    </row>
    <row r="17" spans="2:11" ht="15" customHeight="1" x14ac:dyDescent="0.35">
      <c r="B17" s="11"/>
      <c r="C17" s="11" t="s">
        <v>22</v>
      </c>
      <c r="D17" s="29"/>
      <c r="E17" s="29"/>
      <c r="F17" s="29"/>
      <c r="G17" s="29"/>
      <c r="H17" s="29"/>
      <c r="I17" s="29"/>
      <c r="J17" s="29"/>
      <c r="K17" s="93">
        <f t="shared" si="0"/>
        <v>0</v>
      </c>
    </row>
    <row r="18" spans="2:11" ht="15" customHeight="1" x14ac:dyDescent="0.35">
      <c r="B18" s="14" t="s">
        <v>759</v>
      </c>
      <c r="C18" s="14" t="s">
        <v>760</v>
      </c>
      <c r="D18" s="61"/>
      <c r="E18" s="30">
        <v>7181.7586300000003</v>
      </c>
      <c r="F18" s="61"/>
      <c r="G18" s="30">
        <v>22211.593150000001</v>
      </c>
      <c r="H18" s="61"/>
      <c r="I18" s="30">
        <f>E18-G18</f>
        <v>-15029.83452</v>
      </c>
      <c r="J18" s="61"/>
      <c r="K18" s="55">
        <f t="shared" si="0"/>
        <v>-0.67666620842998826</v>
      </c>
    </row>
    <row r="19" spans="2:11" ht="15" customHeight="1" x14ac:dyDescent="0.35">
      <c r="B19" s="14" t="s">
        <v>761</v>
      </c>
      <c r="C19" s="14" t="s">
        <v>762</v>
      </c>
      <c r="D19" s="61"/>
      <c r="E19" s="30">
        <v>18081.29622</v>
      </c>
      <c r="F19" s="61"/>
      <c r="G19" s="30"/>
      <c r="H19" s="61"/>
      <c r="I19" s="30">
        <f>E19-G19</f>
        <v>18081.29622</v>
      </c>
      <c r="J19" s="61"/>
      <c r="K19" s="55">
        <f t="shared" si="0"/>
        <v>1</v>
      </c>
    </row>
    <row r="20" spans="2:11" ht="15" customHeight="1" x14ac:dyDescent="0.35">
      <c r="B20" s="11"/>
      <c r="C20" s="11" t="s">
        <v>22</v>
      </c>
      <c r="D20" s="29"/>
      <c r="E20" s="29"/>
      <c r="F20" s="29"/>
      <c r="G20" s="29"/>
      <c r="H20" s="29"/>
      <c r="I20" s="29"/>
      <c r="J20" s="29"/>
      <c r="K20" s="93">
        <f t="shared" si="0"/>
        <v>0</v>
      </c>
    </row>
    <row r="21" spans="2:11" ht="15" customHeight="1" x14ac:dyDescent="0.35">
      <c r="B21" s="34"/>
      <c r="C21" s="34" t="s">
        <v>763</v>
      </c>
      <c r="D21" s="69"/>
      <c r="E21" s="52">
        <f>E22+E23</f>
        <v>0</v>
      </c>
      <c r="F21" s="69"/>
      <c r="G21" s="52">
        <f>G22+G23</f>
        <v>0</v>
      </c>
      <c r="H21" s="69"/>
      <c r="I21" s="52">
        <f>I22+I23</f>
        <v>0</v>
      </c>
      <c r="J21" s="69"/>
      <c r="K21" s="94">
        <f t="shared" si="0"/>
        <v>0</v>
      </c>
    </row>
    <row r="22" spans="2:11" ht="15" customHeight="1" x14ac:dyDescent="0.35">
      <c r="B22" s="14" t="s">
        <v>764</v>
      </c>
      <c r="C22" s="14" t="s">
        <v>112</v>
      </c>
      <c r="D22" s="61"/>
      <c r="E22" s="30"/>
      <c r="F22" s="61"/>
      <c r="G22" s="30"/>
      <c r="H22" s="61"/>
      <c r="I22" s="30">
        <f>E22-G22</f>
        <v>0</v>
      </c>
      <c r="J22" s="61"/>
      <c r="K22" s="55">
        <f t="shared" si="0"/>
        <v>0</v>
      </c>
    </row>
    <row r="23" spans="2:11" ht="15" customHeight="1" x14ac:dyDescent="0.35">
      <c r="B23" s="14" t="s">
        <v>765</v>
      </c>
      <c r="C23" s="14" t="s">
        <v>110</v>
      </c>
      <c r="D23" s="61"/>
      <c r="E23" s="30"/>
      <c r="F23" s="61"/>
      <c r="G23" s="30"/>
      <c r="H23" s="61"/>
      <c r="I23" s="30">
        <f>E23-G23</f>
        <v>0</v>
      </c>
      <c r="J23" s="61"/>
      <c r="K23" s="55">
        <f t="shared" si="0"/>
        <v>0</v>
      </c>
    </row>
    <row r="24" spans="2:11" ht="15" customHeight="1" x14ac:dyDescent="0.35">
      <c r="B24" s="11"/>
      <c r="C24" s="11" t="s">
        <v>22</v>
      </c>
      <c r="D24" s="29"/>
      <c r="E24" s="29"/>
      <c r="F24" s="29"/>
      <c r="G24" s="29"/>
      <c r="H24" s="29"/>
      <c r="I24" s="29"/>
      <c r="J24" s="29"/>
      <c r="K24" s="93">
        <f t="shared" si="0"/>
        <v>0</v>
      </c>
    </row>
    <row r="25" spans="2:11" ht="15" customHeight="1" x14ac:dyDescent="0.35">
      <c r="B25" s="34"/>
      <c r="C25" s="34" t="s">
        <v>766</v>
      </c>
      <c r="D25" s="69"/>
      <c r="E25" s="52">
        <f>E26+E27</f>
        <v>1322.1887899999999</v>
      </c>
      <c r="F25" s="69"/>
      <c r="G25" s="52">
        <f>G26+G27</f>
        <v>-842.49275999999998</v>
      </c>
      <c r="H25" s="69"/>
      <c r="I25" s="52">
        <f>I26+I27</f>
        <v>2164.6815499999998</v>
      </c>
      <c r="J25" s="69"/>
      <c r="K25" s="94">
        <f t="shared" si="0"/>
        <v>2.5693770353587371</v>
      </c>
    </row>
    <row r="26" spans="2:11" ht="15" customHeight="1" x14ac:dyDescent="0.35">
      <c r="B26" s="14" t="s">
        <v>767</v>
      </c>
      <c r="C26" s="14" t="s">
        <v>768</v>
      </c>
      <c r="D26" s="61"/>
      <c r="E26" s="30"/>
      <c r="F26" s="61"/>
      <c r="G26" s="30">
        <v>-842.49275999999998</v>
      </c>
      <c r="H26" s="61"/>
      <c r="I26" s="30">
        <f>E26-G26</f>
        <v>842.49275999999998</v>
      </c>
      <c r="J26" s="61"/>
      <c r="K26" s="55">
        <f t="shared" si="0"/>
        <v>1</v>
      </c>
    </row>
    <row r="27" spans="2:11" ht="15" customHeight="1" x14ac:dyDescent="0.35">
      <c r="B27" s="14" t="s">
        <v>769</v>
      </c>
      <c r="C27" s="14" t="s">
        <v>770</v>
      </c>
      <c r="D27" s="61"/>
      <c r="E27" s="30">
        <v>1322.1887899999999</v>
      </c>
      <c r="F27" s="61"/>
      <c r="G27" s="30"/>
      <c r="H27" s="61"/>
      <c r="I27" s="30">
        <f>E27-G27</f>
        <v>1322.1887899999999</v>
      </c>
      <c r="J27" s="61"/>
      <c r="K27" s="55">
        <f t="shared" si="0"/>
        <v>1</v>
      </c>
    </row>
    <row r="28" spans="2:11" ht="15" customHeight="1" x14ac:dyDescent="0.35">
      <c r="B28" s="11"/>
      <c r="C28" s="11" t="s">
        <v>22</v>
      </c>
      <c r="D28" s="29"/>
      <c r="E28" s="29"/>
      <c r="F28" s="29"/>
      <c r="G28" s="29"/>
      <c r="H28" s="29"/>
      <c r="I28" s="29"/>
      <c r="J28" s="29"/>
      <c r="K28" s="93">
        <f t="shared" si="0"/>
        <v>0</v>
      </c>
    </row>
    <row r="29" spans="2:11" ht="15" customHeight="1" x14ac:dyDescent="0.35">
      <c r="B29" s="34"/>
      <c r="C29" s="34" t="s">
        <v>771</v>
      </c>
      <c r="D29" s="69"/>
      <c r="E29" s="52">
        <f>E30+E31+E32+E33+E34+E35+E36</f>
        <v>4813.9004599999998</v>
      </c>
      <c r="F29" s="69"/>
      <c r="G29" s="52">
        <f>G30+G31+G32+G33+G34+G35+G36</f>
        <v>6805.7644400000017</v>
      </c>
      <c r="H29" s="69"/>
      <c r="I29" s="52">
        <f>I30+I31+I32+I33+I34+I35+I36</f>
        <v>-1991.8639800000005</v>
      </c>
      <c r="J29" s="69"/>
      <c r="K29" s="94">
        <f t="shared" si="0"/>
        <v>-0.29267307112380753</v>
      </c>
    </row>
    <row r="30" spans="2:11" ht="15" customHeight="1" x14ac:dyDescent="0.35">
      <c r="B30" s="14" t="s">
        <v>772</v>
      </c>
      <c r="C30" s="14" t="s">
        <v>88</v>
      </c>
      <c r="D30" s="61"/>
      <c r="E30" s="30">
        <v>-2158.8922699999998</v>
      </c>
      <c r="F30" s="61"/>
      <c r="G30" s="30">
        <v>-82.081249999999997</v>
      </c>
      <c r="H30" s="61"/>
      <c r="I30" s="30">
        <f t="shared" ref="I30:I36" si="1">E30-G30</f>
        <v>-2076.8110199999996</v>
      </c>
      <c r="J30" s="61"/>
      <c r="K30" s="55">
        <f t="shared" si="0"/>
        <v>-25.301893185106216</v>
      </c>
    </row>
    <row r="31" spans="2:11" ht="15" customHeight="1" x14ac:dyDescent="0.35">
      <c r="B31" s="14" t="s">
        <v>773</v>
      </c>
      <c r="C31" s="14" t="s">
        <v>774</v>
      </c>
      <c r="D31" s="61"/>
      <c r="E31" s="30">
        <v>-84.691779999999994</v>
      </c>
      <c r="F31" s="61"/>
      <c r="G31" s="30">
        <v>2.6930499999999999</v>
      </c>
      <c r="H31" s="61"/>
      <c r="I31" s="30">
        <f t="shared" si="1"/>
        <v>-87.384829999999994</v>
      </c>
      <c r="J31" s="61"/>
      <c r="K31" s="55">
        <f t="shared" si="0"/>
        <v>-32.448276118155995</v>
      </c>
    </row>
    <row r="32" spans="2:11" ht="15" customHeight="1" x14ac:dyDescent="0.35">
      <c r="B32" s="14" t="s">
        <v>775</v>
      </c>
      <c r="C32" s="14" t="s">
        <v>776</v>
      </c>
      <c r="D32" s="61"/>
      <c r="E32" s="30">
        <v>-95.825000000000003</v>
      </c>
      <c r="F32" s="61"/>
      <c r="G32" s="30">
        <v>-389.18856</v>
      </c>
      <c r="H32" s="61"/>
      <c r="I32" s="30">
        <f t="shared" si="1"/>
        <v>293.36356000000001</v>
      </c>
      <c r="J32" s="61"/>
      <c r="K32" s="55">
        <f t="shared" si="0"/>
        <v>0.7537825880596285</v>
      </c>
    </row>
    <row r="33" spans="2:11" ht="15" customHeight="1" x14ac:dyDescent="0.35">
      <c r="B33" s="14" t="s">
        <v>777</v>
      </c>
      <c r="C33" s="14" t="s">
        <v>778</v>
      </c>
      <c r="D33" s="61"/>
      <c r="E33" s="30">
        <v>-4915.0925800000005</v>
      </c>
      <c r="F33" s="61"/>
      <c r="G33" s="30">
        <v>-6149.6798099999996</v>
      </c>
      <c r="H33" s="61"/>
      <c r="I33" s="30">
        <f t="shared" si="1"/>
        <v>1234.5872299999992</v>
      </c>
      <c r="J33" s="61"/>
      <c r="K33" s="55">
        <f t="shared" si="0"/>
        <v>0.20075634311764262</v>
      </c>
    </row>
    <row r="34" spans="2:11" ht="15" customHeight="1" x14ac:dyDescent="0.35">
      <c r="B34" s="14" t="s">
        <v>779</v>
      </c>
      <c r="C34" s="14" t="s">
        <v>780</v>
      </c>
      <c r="D34" s="61"/>
      <c r="E34" s="30">
        <v>-62.949339999999999</v>
      </c>
      <c r="F34" s="61"/>
      <c r="G34" s="30">
        <v>-109.93064</v>
      </c>
      <c r="H34" s="61"/>
      <c r="I34" s="30">
        <f t="shared" si="1"/>
        <v>46.981299999999997</v>
      </c>
      <c r="J34" s="61"/>
      <c r="K34" s="55">
        <f t="shared" si="0"/>
        <v>0.42737220487390959</v>
      </c>
    </row>
    <row r="35" spans="2:11" ht="15" customHeight="1" x14ac:dyDescent="0.35">
      <c r="B35" s="14" t="s">
        <v>781</v>
      </c>
      <c r="C35" s="14" t="s">
        <v>782</v>
      </c>
      <c r="D35" s="61"/>
      <c r="E35" s="30">
        <v>12131.351430000001</v>
      </c>
      <c r="F35" s="61"/>
      <c r="G35" s="30">
        <v>13533.951650000001</v>
      </c>
      <c r="H35" s="61"/>
      <c r="I35" s="30">
        <f t="shared" si="1"/>
        <v>-1402.6002200000003</v>
      </c>
      <c r="J35" s="61"/>
      <c r="K35" s="55">
        <f t="shared" si="0"/>
        <v>-0.10363567539418542</v>
      </c>
    </row>
    <row r="36" spans="2:11" ht="15" customHeight="1" x14ac:dyDescent="0.35">
      <c r="B36" s="14" t="s">
        <v>783</v>
      </c>
      <c r="C36" s="14" t="s">
        <v>784</v>
      </c>
      <c r="D36" s="61"/>
      <c r="E36" s="30"/>
      <c r="F36" s="61"/>
      <c r="G36" s="30"/>
      <c r="H36" s="61"/>
      <c r="I36" s="30">
        <f t="shared" si="1"/>
        <v>0</v>
      </c>
      <c r="J36" s="61"/>
      <c r="K36" s="55">
        <f t="shared" si="0"/>
        <v>0</v>
      </c>
    </row>
    <row r="37" spans="2:11" ht="15" customHeight="1" x14ac:dyDescent="0.35">
      <c r="B37" s="11"/>
      <c r="C37" s="11" t="s">
        <v>22</v>
      </c>
      <c r="D37" s="29"/>
      <c r="E37" s="29"/>
      <c r="F37" s="29"/>
      <c r="G37" s="29"/>
      <c r="H37" s="29"/>
      <c r="I37" s="29"/>
      <c r="J37" s="29"/>
      <c r="K37" s="93">
        <f t="shared" si="0"/>
        <v>0</v>
      </c>
    </row>
    <row r="38" spans="2:11" ht="15" customHeight="1" x14ac:dyDescent="0.35">
      <c r="B38" s="34"/>
      <c r="C38" s="34" t="s">
        <v>785</v>
      </c>
      <c r="D38" s="69"/>
      <c r="E38" s="52">
        <f>-(-(E39+E40)-E41)</f>
        <v>0</v>
      </c>
      <c r="F38" s="69"/>
      <c r="G38" s="52">
        <f>-(-(G39+G40)-G41)</f>
        <v>0</v>
      </c>
      <c r="H38" s="69"/>
      <c r="I38" s="52">
        <f>-(-(I39+I40)-I41)</f>
        <v>0</v>
      </c>
      <c r="J38" s="69"/>
      <c r="K38" s="94">
        <f t="shared" si="0"/>
        <v>0</v>
      </c>
    </row>
    <row r="39" spans="2:11" ht="15" customHeight="1" x14ac:dyDescent="0.35">
      <c r="B39" s="14" t="s">
        <v>786</v>
      </c>
      <c r="C39" s="14" t="s">
        <v>787</v>
      </c>
      <c r="D39" s="61"/>
      <c r="E39" s="30"/>
      <c r="F39" s="61"/>
      <c r="G39" s="30"/>
      <c r="H39" s="61"/>
      <c r="I39" s="30">
        <f>E39-G39</f>
        <v>0</v>
      </c>
      <c r="J39" s="61"/>
      <c r="K39" s="55">
        <f t="shared" si="0"/>
        <v>0</v>
      </c>
    </row>
    <row r="40" spans="2:11" ht="15" customHeight="1" x14ac:dyDescent="0.35">
      <c r="B40" s="14" t="s">
        <v>788</v>
      </c>
      <c r="C40" s="14" t="s">
        <v>789</v>
      </c>
      <c r="D40" s="61"/>
      <c r="E40" s="30"/>
      <c r="F40" s="61"/>
      <c r="G40" s="30"/>
      <c r="H40" s="61"/>
      <c r="I40" s="30">
        <f>E40-G40</f>
        <v>0</v>
      </c>
      <c r="J40" s="61"/>
      <c r="K40" s="55">
        <f t="shared" si="0"/>
        <v>0</v>
      </c>
    </row>
    <row r="41" spans="2:11" ht="15" customHeight="1" x14ac:dyDescent="0.35">
      <c r="B41" s="14" t="s">
        <v>790</v>
      </c>
      <c r="C41" s="14" t="s">
        <v>791</v>
      </c>
      <c r="D41" s="61"/>
      <c r="E41" s="30"/>
      <c r="F41" s="61"/>
      <c r="G41" s="30"/>
      <c r="H41" s="61"/>
      <c r="I41" s="30">
        <f>E41-G41</f>
        <v>0</v>
      </c>
      <c r="J41" s="61"/>
      <c r="K41" s="55">
        <f t="shared" si="0"/>
        <v>0</v>
      </c>
    </row>
    <row r="42" spans="2:11" ht="15" customHeight="1" x14ac:dyDescent="0.35">
      <c r="B42" s="11"/>
      <c r="C42" s="11" t="s">
        <v>22</v>
      </c>
      <c r="D42" s="29"/>
      <c r="E42" s="29"/>
      <c r="F42" s="29"/>
      <c r="G42" s="29"/>
      <c r="H42" s="29"/>
      <c r="I42" s="29"/>
      <c r="J42" s="29"/>
      <c r="K42" s="93">
        <f t="shared" si="0"/>
        <v>0</v>
      </c>
    </row>
    <row r="43" spans="2:11" ht="15" customHeight="1" x14ac:dyDescent="0.35">
      <c r="B43" s="34"/>
      <c r="C43" s="34" t="s">
        <v>792</v>
      </c>
      <c r="D43" s="69"/>
      <c r="E43" s="52">
        <f>E45+E49</f>
        <v>-2241.5044800000001</v>
      </c>
      <c r="F43" s="69"/>
      <c r="G43" s="52">
        <f>G45+G49</f>
        <v>-15515.731089999999</v>
      </c>
      <c r="H43" s="69"/>
      <c r="I43" s="52">
        <f>I45+I49</f>
        <v>13274.22661</v>
      </c>
      <c r="J43" s="69"/>
      <c r="K43" s="94">
        <f t="shared" si="0"/>
        <v>0.85553342817054456</v>
      </c>
    </row>
    <row r="44" spans="2:11" ht="15" customHeight="1" x14ac:dyDescent="0.35">
      <c r="B44" s="11"/>
      <c r="C44" s="11" t="s">
        <v>22</v>
      </c>
      <c r="D44" s="29"/>
      <c r="E44" s="29"/>
      <c r="F44" s="29"/>
      <c r="G44" s="29"/>
      <c r="H44" s="29"/>
      <c r="I44" s="29"/>
      <c r="J44" s="29"/>
      <c r="K44" s="93">
        <f t="shared" si="0"/>
        <v>0</v>
      </c>
    </row>
    <row r="45" spans="2:11" ht="15" customHeight="1" x14ac:dyDescent="0.35">
      <c r="B45" s="34"/>
      <c r="C45" s="34" t="s">
        <v>793</v>
      </c>
      <c r="D45" s="69"/>
      <c r="E45" s="52">
        <f>E46+E47</f>
        <v>0</v>
      </c>
      <c r="F45" s="69"/>
      <c r="G45" s="52">
        <f>G46+G47</f>
        <v>-0.51780999999999999</v>
      </c>
      <c r="H45" s="69"/>
      <c r="I45" s="52">
        <f>I46+I47</f>
        <v>0.51780999999999999</v>
      </c>
      <c r="J45" s="69"/>
      <c r="K45" s="94">
        <f t="shared" si="0"/>
        <v>1</v>
      </c>
    </row>
    <row r="46" spans="2:11" ht="15" customHeight="1" x14ac:dyDescent="0.35">
      <c r="B46" s="14" t="s">
        <v>794</v>
      </c>
      <c r="C46" s="14" t="s">
        <v>795</v>
      </c>
      <c r="D46" s="61"/>
      <c r="E46" s="30"/>
      <c r="F46" s="61"/>
      <c r="G46" s="30"/>
      <c r="H46" s="61"/>
      <c r="I46" s="30">
        <f>E46-G46</f>
        <v>0</v>
      </c>
      <c r="J46" s="61"/>
      <c r="K46" s="55">
        <f t="shared" si="0"/>
        <v>0</v>
      </c>
    </row>
    <row r="47" spans="2:11" ht="15" customHeight="1" x14ac:dyDescent="0.35">
      <c r="B47" s="14" t="s">
        <v>796</v>
      </c>
      <c r="C47" s="14" t="s">
        <v>797</v>
      </c>
      <c r="D47" s="61"/>
      <c r="E47" s="30"/>
      <c r="F47" s="61"/>
      <c r="G47" s="30">
        <v>-0.51780999999999999</v>
      </c>
      <c r="H47" s="61"/>
      <c r="I47" s="30">
        <f>E47-G47</f>
        <v>0.51780999999999999</v>
      </c>
      <c r="J47" s="61"/>
      <c r="K47" s="55">
        <f t="shared" si="0"/>
        <v>1</v>
      </c>
    </row>
    <row r="48" spans="2:11" ht="15" customHeight="1" x14ac:dyDescent="0.35">
      <c r="B48" s="11"/>
      <c r="C48" s="11" t="s">
        <v>22</v>
      </c>
      <c r="D48" s="29"/>
      <c r="E48" s="29"/>
      <c r="F48" s="29"/>
      <c r="G48" s="29"/>
      <c r="H48" s="29"/>
      <c r="I48" s="29"/>
      <c r="J48" s="29"/>
      <c r="K48" s="93">
        <f t="shared" si="0"/>
        <v>0</v>
      </c>
    </row>
    <row r="49" spans="2:11" ht="15" customHeight="1" x14ac:dyDescent="0.35">
      <c r="B49" s="34"/>
      <c r="C49" s="34" t="s">
        <v>798</v>
      </c>
      <c r="D49" s="69"/>
      <c r="E49" s="52">
        <f>-(-(E50+E51)-E52)</f>
        <v>-2241.5044800000001</v>
      </c>
      <c r="F49" s="69"/>
      <c r="G49" s="52">
        <f>-(-(G50+G51)-G52)</f>
        <v>-15515.21328</v>
      </c>
      <c r="H49" s="69"/>
      <c r="I49" s="52">
        <f>-(-(I50+I51)-I52)</f>
        <v>13273.7088</v>
      </c>
      <c r="J49" s="69"/>
      <c r="K49" s="94">
        <f t="shared" si="0"/>
        <v>0.85552860669408737</v>
      </c>
    </row>
    <row r="50" spans="2:11" ht="15" customHeight="1" x14ac:dyDescent="0.35">
      <c r="B50" s="14" t="s">
        <v>799</v>
      </c>
      <c r="C50" s="14" t="s">
        <v>800</v>
      </c>
      <c r="D50" s="61"/>
      <c r="E50" s="30"/>
      <c r="F50" s="61"/>
      <c r="G50" s="30">
        <v>-9182.5101300000006</v>
      </c>
      <c r="H50" s="61"/>
      <c r="I50" s="30">
        <f>E50-G50</f>
        <v>9182.5101300000006</v>
      </c>
      <c r="J50" s="61"/>
      <c r="K50" s="55">
        <f t="shared" si="0"/>
        <v>1</v>
      </c>
    </row>
    <row r="51" spans="2:11" ht="15" customHeight="1" x14ac:dyDescent="0.35">
      <c r="B51" s="14" t="s">
        <v>801</v>
      </c>
      <c r="C51" s="14" t="s">
        <v>802</v>
      </c>
      <c r="D51" s="61"/>
      <c r="E51" s="30">
        <v>-656.67547999999999</v>
      </c>
      <c r="F51" s="61"/>
      <c r="G51" s="30">
        <v>-879.58704</v>
      </c>
      <c r="H51" s="61"/>
      <c r="I51" s="30">
        <f>E51-G51</f>
        <v>222.91156000000001</v>
      </c>
      <c r="J51" s="61"/>
      <c r="K51" s="55">
        <f t="shared" si="0"/>
        <v>0.25342751753140885</v>
      </c>
    </row>
    <row r="52" spans="2:11" ht="15" customHeight="1" x14ac:dyDescent="0.35">
      <c r="B52" s="14" t="s">
        <v>803</v>
      </c>
      <c r="C52" s="14" t="s">
        <v>804</v>
      </c>
      <c r="D52" s="61"/>
      <c r="E52" s="30">
        <v>-1584.829</v>
      </c>
      <c r="F52" s="61"/>
      <c r="G52" s="30">
        <v>-5453.1161099999999</v>
      </c>
      <c r="H52" s="61"/>
      <c r="I52" s="30">
        <f>E52-G52</f>
        <v>3868.2871100000002</v>
      </c>
      <c r="J52" s="61"/>
      <c r="K52" s="55">
        <f t="shared" si="0"/>
        <v>0.70937185857940599</v>
      </c>
    </row>
    <row r="53" spans="2:11" ht="15" customHeight="1" x14ac:dyDescent="0.35">
      <c r="B53" s="11"/>
      <c r="C53" s="11" t="s">
        <v>22</v>
      </c>
      <c r="D53" s="29"/>
      <c r="E53" s="29"/>
      <c r="F53" s="29"/>
      <c r="G53" s="29"/>
      <c r="H53" s="29"/>
      <c r="I53" s="29"/>
      <c r="J53" s="29"/>
      <c r="K53" s="93">
        <f t="shared" si="0"/>
        <v>0</v>
      </c>
    </row>
    <row r="54" spans="2:11" ht="15" customHeight="1" x14ac:dyDescent="0.35">
      <c r="B54" s="34"/>
      <c r="C54" s="34" t="s">
        <v>805</v>
      </c>
      <c r="D54" s="69"/>
      <c r="E54" s="52">
        <f>E55+E56</f>
        <v>-20.940149999999999</v>
      </c>
      <c r="F54" s="69"/>
      <c r="G54" s="52">
        <f>G55+G56</f>
        <v>-121.05931</v>
      </c>
      <c r="H54" s="69"/>
      <c r="I54" s="52">
        <f>I55+I56</f>
        <v>100.11915999999999</v>
      </c>
      <c r="J54" s="69"/>
      <c r="K54" s="94">
        <f t="shared" si="0"/>
        <v>0.82702569509110857</v>
      </c>
    </row>
    <row r="55" spans="2:11" ht="15" customHeight="1" x14ac:dyDescent="0.35">
      <c r="B55" s="14" t="s">
        <v>806</v>
      </c>
      <c r="C55" s="14" t="s">
        <v>805</v>
      </c>
      <c r="D55" s="61"/>
      <c r="E55" s="30">
        <v>-20.940149999999999</v>
      </c>
      <c r="F55" s="61"/>
      <c r="G55" s="30">
        <v>-121.05931</v>
      </c>
      <c r="H55" s="61"/>
      <c r="I55" s="30">
        <f>E55-G55</f>
        <v>100.11915999999999</v>
      </c>
      <c r="J55" s="61"/>
      <c r="K55" s="55">
        <f t="shared" si="0"/>
        <v>0.82702569509110857</v>
      </c>
    </row>
    <row r="56" spans="2:11" ht="15" customHeight="1" x14ac:dyDescent="0.35">
      <c r="B56" s="14" t="s">
        <v>807</v>
      </c>
      <c r="C56" s="14" t="s">
        <v>808</v>
      </c>
      <c r="D56" s="61"/>
      <c r="E56" s="30"/>
      <c r="F56" s="61"/>
      <c r="G56" s="30"/>
      <c r="H56" s="61"/>
      <c r="I56" s="30">
        <f>E56-G56</f>
        <v>0</v>
      </c>
      <c r="J56" s="61"/>
      <c r="K56" s="55">
        <f t="shared" si="0"/>
        <v>0</v>
      </c>
    </row>
    <row r="57" spans="2:11" ht="15" customHeight="1" x14ac:dyDescent="0.35">
      <c r="B57" s="11"/>
      <c r="C57" s="11" t="s">
        <v>22</v>
      </c>
      <c r="D57" s="29"/>
      <c r="E57" s="29"/>
      <c r="F57" s="29"/>
      <c r="G57" s="29"/>
      <c r="H57" s="29"/>
      <c r="I57" s="29"/>
      <c r="J57" s="29"/>
      <c r="K57" s="93">
        <f t="shared" si="0"/>
        <v>0</v>
      </c>
    </row>
    <row r="58" spans="2:11" ht="15" customHeight="1" x14ac:dyDescent="0.35">
      <c r="B58" s="14" t="s">
        <v>809</v>
      </c>
      <c r="C58" s="14" t="s">
        <v>810</v>
      </c>
      <c r="D58" s="61"/>
      <c r="E58" s="30">
        <v>-79534.870349999997</v>
      </c>
      <c r="F58" s="61"/>
      <c r="G58" s="30">
        <v>-125085.63599</v>
      </c>
      <c r="H58" s="61"/>
      <c r="I58" s="30">
        <f>E58-G58</f>
        <v>45550.765639999998</v>
      </c>
      <c r="J58" s="61"/>
      <c r="K58" s="55">
        <f t="shared" si="0"/>
        <v>0.36415664580097401</v>
      </c>
    </row>
    <row r="59" spans="2:11" ht="15" customHeight="1" x14ac:dyDescent="0.35">
      <c r="B59" s="11"/>
      <c r="C59" s="11" t="s">
        <v>22</v>
      </c>
      <c r="D59" s="29"/>
      <c r="E59" s="29"/>
      <c r="F59" s="29"/>
      <c r="G59" s="29"/>
      <c r="H59" s="29"/>
      <c r="I59" s="29"/>
      <c r="J59" s="29"/>
      <c r="K59" s="93">
        <f t="shared" si="0"/>
        <v>0</v>
      </c>
    </row>
    <row r="60" spans="2:11" ht="15" customHeight="1" x14ac:dyDescent="0.35">
      <c r="B60" s="34"/>
      <c r="C60" s="34" t="s">
        <v>811</v>
      </c>
      <c r="D60" s="69"/>
      <c r="E60" s="52">
        <f>-(-(E61+E62)-E63)</f>
        <v>-45327.306960000002</v>
      </c>
      <c r="F60" s="69"/>
      <c r="G60" s="52">
        <f>-(-(G61+G62)-G63)</f>
        <v>-71061.94292999999</v>
      </c>
      <c r="H60" s="69"/>
      <c r="I60" s="52">
        <f>-(-(I61+I62)-I63)</f>
        <v>25734.635969999992</v>
      </c>
      <c r="J60" s="69"/>
      <c r="K60" s="94">
        <f t="shared" si="0"/>
        <v>0.3621437144682359</v>
      </c>
    </row>
    <row r="61" spans="2:11" ht="15" customHeight="1" x14ac:dyDescent="0.35">
      <c r="B61" s="14" t="s">
        <v>812</v>
      </c>
      <c r="C61" s="14" t="s">
        <v>813</v>
      </c>
      <c r="D61" s="61"/>
      <c r="E61" s="30">
        <v>-45327.306960000002</v>
      </c>
      <c r="F61" s="61"/>
      <c r="G61" s="30">
        <v>-70938.579759999993</v>
      </c>
      <c r="H61" s="61"/>
      <c r="I61" s="30">
        <f>E61-G61</f>
        <v>25611.272799999992</v>
      </c>
      <c r="J61" s="61"/>
      <c r="K61" s="55">
        <f t="shared" si="0"/>
        <v>0.36103447357768181</v>
      </c>
    </row>
    <row r="62" spans="2:11" ht="15" customHeight="1" x14ac:dyDescent="0.35">
      <c r="B62" s="14" t="s">
        <v>814</v>
      </c>
      <c r="C62" s="14" t="s">
        <v>815</v>
      </c>
      <c r="D62" s="61"/>
      <c r="E62" s="30"/>
      <c r="F62" s="61"/>
      <c r="G62" s="30">
        <v>-123.36317</v>
      </c>
      <c r="H62" s="61"/>
      <c r="I62" s="30">
        <f>E62-G62</f>
        <v>123.36317</v>
      </c>
      <c r="J62" s="61"/>
      <c r="K62" s="55">
        <f t="shared" si="0"/>
        <v>1</v>
      </c>
    </row>
    <row r="63" spans="2:11" ht="15" customHeight="1" x14ac:dyDescent="0.35">
      <c r="B63" s="14" t="s">
        <v>816</v>
      </c>
      <c r="C63" s="14" t="s">
        <v>817</v>
      </c>
      <c r="D63" s="61"/>
      <c r="E63" s="30"/>
      <c r="F63" s="61"/>
      <c r="G63" s="30"/>
      <c r="H63" s="61"/>
      <c r="I63" s="30">
        <f>E63-G63</f>
        <v>0</v>
      </c>
      <c r="J63" s="61"/>
      <c r="K63" s="55">
        <f t="shared" si="0"/>
        <v>0</v>
      </c>
    </row>
    <row r="64" spans="2:11" ht="15" customHeight="1" x14ac:dyDescent="0.35">
      <c r="B64" s="11"/>
      <c r="C64" s="11" t="s">
        <v>22</v>
      </c>
      <c r="D64" s="29"/>
      <c r="E64" s="29"/>
      <c r="F64" s="29"/>
      <c r="G64" s="29"/>
      <c r="H64" s="29"/>
      <c r="I64" s="29"/>
      <c r="J64" s="29"/>
      <c r="K64" s="93">
        <f t="shared" si="0"/>
        <v>0</v>
      </c>
    </row>
    <row r="65" spans="2:11" ht="15" customHeight="1" x14ac:dyDescent="0.35">
      <c r="B65" s="34" t="s">
        <v>818</v>
      </c>
      <c r="C65" s="34" t="s">
        <v>819</v>
      </c>
      <c r="D65" s="69"/>
      <c r="E65" s="52">
        <f>E66+E67</f>
        <v>16078.75246</v>
      </c>
      <c r="F65" s="69"/>
      <c r="G65" s="52">
        <f>G66+G67</f>
        <v>23338.545249999999</v>
      </c>
      <c r="H65" s="69"/>
      <c r="I65" s="52">
        <f>I66+I67</f>
        <v>-7259.7927899999995</v>
      </c>
      <c r="J65" s="69"/>
      <c r="K65" s="94">
        <f t="shared" si="0"/>
        <v>-0.31106449490462562</v>
      </c>
    </row>
    <row r="66" spans="2:11" ht="15" customHeight="1" x14ac:dyDescent="0.35">
      <c r="B66" s="14" t="s">
        <v>820</v>
      </c>
      <c r="C66" s="14" t="s">
        <v>821</v>
      </c>
      <c r="D66" s="61"/>
      <c r="E66" s="30">
        <v>15764.69167</v>
      </c>
      <c r="F66" s="61"/>
      <c r="G66" s="30">
        <v>10192.58201</v>
      </c>
      <c r="H66" s="61"/>
      <c r="I66" s="30">
        <f>E66-G66</f>
        <v>5572.1096600000001</v>
      </c>
      <c r="J66" s="61"/>
      <c r="K66" s="55">
        <f t="shared" si="0"/>
        <v>0.54668283802211959</v>
      </c>
    </row>
    <row r="67" spans="2:11" ht="15" customHeight="1" x14ac:dyDescent="0.35">
      <c r="B67" s="14" t="s">
        <v>822</v>
      </c>
      <c r="C67" s="14" t="s">
        <v>823</v>
      </c>
      <c r="D67" s="61"/>
      <c r="E67" s="30">
        <v>314.06079</v>
      </c>
      <c r="F67" s="61"/>
      <c r="G67" s="30">
        <v>13145.963239999999</v>
      </c>
      <c r="H67" s="61"/>
      <c r="I67" s="30">
        <f>E67-G67</f>
        <v>-12831.90245</v>
      </c>
      <c r="J67" s="61"/>
      <c r="K67" s="55">
        <f t="shared" si="0"/>
        <v>-0.97610971639990685</v>
      </c>
    </row>
    <row r="68" spans="2:11" ht="15" customHeight="1" x14ac:dyDescent="0.35">
      <c r="B68" s="11"/>
      <c r="C68" s="11" t="s">
        <v>22</v>
      </c>
      <c r="D68" s="29"/>
      <c r="E68" s="29"/>
      <c r="F68" s="29"/>
      <c r="G68" s="29"/>
      <c r="H68" s="29"/>
      <c r="I68" s="29"/>
      <c r="J68" s="29"/>
      <c r="K68" s="93">
        <f t="shared" si="0"/>
        <v>0</v>
      </c>
    </row>
    <row r="69" spans="2:11" ht="15" customHeight="1" x14ac:dyDescent="0.35">
      <c r="B69" s="34"/>
      <c r="C69" s="34" t="s">
        <v>824</v>
      </c>
      <c r="D69" s="69"/>
      <c r="E69" s="52">
        <f>-(-(E70+E71)-E72)</f>
        <v>-187248.63688999999</v>
      </c>
      <c r="F69" s="69"/>
      <c r="G69" s="52">
        <f>-(-(G70+G71)-G72)</f>
        <v>-175405.37828999999</v>
      </c>
      <c r="H69" s="69"/>
      <c r="I69" s="52">
        <f>-(-(I70+I71)-I72)</f>
        <v>-11843.258600000016</v>
      </c>
      <c r="J69" s="69"/>
      <c r="K69" s="94">
        <f t="shared" si="0"/>
        <v>-6.751935838831237E-2</v>
      </c>
    </row>
    <row r="70" spans="2:11" ht="15" customHeight="1" x14ac:dyDescent="0.35">
      <c r="B70" s="14" t="s">
        <v>825</v>
      </c>
      <c r="C70" s="14" t="s">
        <v>826</v>
      </c>
      <c r="D70" s="61"/>
      <c r="E70" s="30">
        <v>-8206.9828799999996</v>
      </c>
      <c r="F70" s="61"/>
      <c r="G70" s="30">
        <v>-9434.7648800000006</v>
      </c>
      <c r="H70" s="61"/>
      <c r="I70" s="30">
        <f>E70-G70</f>
        <v>1227.7820000000011</v>
      </c>
      <c r="J70" s="61"/>
      <c r="K70" s="55">
        <f t="shared" si="0"/>
        <v>0.13013382056851014</v>
      </c>
    </row>
    <row r="71" spans="2:11" ht="15" customHeight="1" x14ac:dyDescent="0.35">
      <c r="B71" s="14" t="s">
        <v>827</v>
      </c>
      <c r="C71" s="14" t="s">
        <v>828</v>
      </c>
      <c r="D71" s="61"/>
      <c r="E71" s="30">
        <v>-179388.10164000001</v>
      </c>
      <c r="F71" s="61"/>
      <c r="G71" s="30">
        <v>-166366.31659999999</v>
      </c>
      <c r="H71" s="61"/>
      <c r="I71" s="30">
        <f>E71-G71</f>
        <v>-13021.785040000017</v>
      </c>
      <c r="J71" s="61"/>
      <c r="K71" s="55">
        <f t="shared" si="0"/>
        <v>-7.8271763816883222E-2</v>
      </c>
    </row>
    <row r="72" spans="2:11" ht="15" customHeight="1" x14ac:dyDescent="0.35">
      <c r="B72" s="14" t="s">
        <v>829</v>
      </c>
      <c r="C72" s="14" t="s">
        <v>830</v>
      </c>
      <c r="D72" s="61"/>
      <c r="E72" s="30">
        <v>346.44763</v>
      </c>
      <c r="F72" s="61"/>
      <c r="G72" s="30">
        <v>395.70319000000001</v>
      </c>
      <c r="H72" s="61"/>
      <c r="I72" s="30">
        <f>E72-G72</f>
        <v>-49.255560000000003</v>
      </c>
      <c r="J72" s="61"/>
      <c r="K72" s="55">
        <f t="shared" si="0"/>
        <v>-0.12447602456780801</v>
      </c>
    </row>
    <row r="73" spans="2:11" ht="15" customHeight="1" x14ac:dyDescent="0.35">
      <c r="B73" s="11"/>
      <c r="C73" s="11" t="s">
        <v>22</v>
      </c>
      <c r="D73" s="29"/>
      <c r="E73" s="29"/>
      <c r="F73" s="29"/>
      <c r="G73" s="29"/>
      <c r="H73" s="29"/>
      <c r="I73" s="29"/>
      <c r="J73" s="29"/>
      <c r="K73" s="93">
        <f t="shared" ref="K73:K136" si="2">IF(ROUND(I73, 2)=0, 0, IFERROR(I73/ABS(G73), IF(I73&lt;0, -1, 1)))</f>
        <v>0</v>
      </c>
    </row>
    <row r="74" spans="2:11" ht="15" customHeight="1" x14ac:dyDescent="0.35">
      <c r="B74" s="34"/>
      <c r="C74" s="34" t="s">
        <v>831</v>
      </c>
      <c r="D74" s="69"/>
      <c r="E74" s="52">
        <f>E75+E76</f>
        <v>-105177.23638</v>
      </c>
      <c r="F74" s="69"/>
      <c r="G74" s="52">
        <f>G75+G76</f>
        <v>-63306.361119999994</v>
      </c>
      <c r="H74" s="69"/>
      <c r="I74" s="52">
        <f>I75+I76</f>
        <v>-41870.875260000015</v>
      </c>
      <c r="J74" s="69"/>
      <c r="K74" s="94">
        <f t="shared" si="2"/>
        <v>-0.66140075845825241</v>
      </c>
    </row>
    <row r="75" spans="2:11" ht="15" customHeight="1" x14ac:dyDescent="0.35">
      <c r="B75" s="14" t="s">
        <v>832</v>
      </c>
      <c r="C75" s="14" t="s">
        <v>833</v>
      </c>
      <c r="D75" s="61"/>
      <c r="E75" s="30">
        <v>10658.26325</v>
      </c>
      <c r="F75" s="61"/>
      <c r="G75" s="30">
        <v>3352.8227499999998</v>
      </c>
      <c r="H75" s="61"/>
      <c r="I75" s="30">
        <f>E75-G75</f>
        <v>7305.4405000000006</v>
      </c>
      <c r="J75" s="61"/>
      <c r="K75" s="55">
        <f t="shared" si="2"/>
        <v>2.1788925465863058</v>
      </c>
    </row>
    <row r="76" spans="2:11" ht="15" customHeight="1" x14ac:dyDescent="0.35">
      <c r="B76" s="14" t="s">
        <v>834</v>
      </c>
      <c r="C76" s="14" t="s">
        <v>835</v>
      </c>
      <c r="D76" s="61"/>
      <c r="E76" s="30">
        <v>-115835.49963000001</v>
      </c>
      <c r="F76" s="61"/>
      <c r="G76" s="30">
        <v>-66659.183869999993</v>
      </c>
      <c r="H76" s="61"/>
      <c r="I76" s="30">
        <f>E76-G76</f>
        <v>-49176.315760000012</v>
      </c>
      <c r="J76" s="61"/>
      <c r="K76" s="55">
        <f t="shared" si="2"/>
        <v>-0.73772754037770094</v>
      </c>
    </row>
    <row r="77" spans="2:11" ht="15" customHeight="1" x14ac:dyDescent="0.35">
      <c r="B77" s="11"/>
      <c r="C77" s="11" t="s">
        <v>22</v>
      </c>
      <c r="D77" s="29"/>
      <c r="E77" s="29"/>
      <c r="F77" s="29"/>
      <c r="G77" s="29"/>
      <c r="H77" s="29"/>
      <c r="I77" s="29"/>
      <c r="J77" s="29"/>
      <c r="K77" s="93">
        <f t="shared" si="2"/>
        <v>0</v>
      </c>
    </row>
    <row r="78" spans="2:11" ht="15" customHeight="1" x14ac:dyDescent="0.35">
      <c r="B78" s="34"/>
      <c r="C78" s="34" t="s">
        <v>836</v>
      </c>
      <c r="D78" s="69"/>
      <c r="E78" s="52">
        <f>-(-(E65+E69)-E74)</f>
        <v>-276347.12080999999</v>
      </c>
      <c r="F78" s="69"/>
      <c r="G78" s="52">
        <f>-(-(G65+G69)-G74)</f>
        <v>-215373.19415999998</v>
      </c>
      <c r="H78" s="69"/>
      <c r="I78" s="52">
        <f>-(-(I65+I69)-I74)</f>
        <v>-60973.92665000003</v>
      </c>
      <c r="J78" s="69"/>
      <c r="K78" s="94">
        <f t="shared" si="2"/>
        <v>-0.28310824328817225</v>
      </c>
    </row>
    <row r="79" spans="2:11" ht="15" customHeight="1" x14ac:dyDescent="0.35">
      <c r="B79" s="11"/>
      <c r="C79" s="11" t="s">
        <v>22</v>
      </c>
      <c r="D79" s="29"/>
      <c r="E79" s="29"/>
      <c r="F79" s="29"/>
      <c r="G79" s="29"/>
      <c r="H79" s="29"/>
      <c r="I79" s="29"/>
      <c r="J79" s="29"/>
      <c r="K79" s="93">
        <f t="shared" si="2"/>
        <v>0</v>
      </c>
    </row>
    <row r="80" spans="2:11" ht="15" customHeight="1" x14ac:dyDescent="0.35">
      <c r="B80" s="34"/>
      <c r="C80" s="34" t="s">
        <v>837</v>
      </c>
      <c r="D80" s="69"/>
      <c r="E80" s="52">
        <f>-(-(E82+E84)-E89-E94-E96)</f>
        <v>-78015.414319999996</v>
      </c>
      <c r="F80" s="69"/>
      <c r="G80" s="52">
        <f>-(-(G82+G84)-G89-G94-G96)</f>
        <v>-47409.934479999996</v>
      </c>
      <c r="H80" s="69"/>
      <c r="I80" s="52">
        <f>-(-(I82+I84)-I89-I94-I96)</f>
        <v>-30605.47984</v>
      </c>
      <c r="J80" s="69"/>
      <c r="K80" s="94">
        <f t="shared" si="2"/>
        <v>-0.64554992905360375</v>
      </c>
    </row>
    <row r="81" spans="2:11" ht="15" customHeight="1" x14ac:dyDescent="0.35">
      <c r="B81" s="11"/>
      <c r="C81" s="11" t="s">
        <v>22</v>
      </c>
      <c r="D81" s="29"/>
      <c r="E81" s="29"/>
      <c r="F81" s="29"/>
      <c r="G81" s="29"/>
      <c r="H81" s="29"/>
      <c r="I81" s="29"/>
      <c r="J81" s="29"/>
      <c r="K81" s="93">
        <f t="shared" si="2"/>
        <v>0</v>
      </c>
    </row>
    <row r="82" spans="2:11" ht="15" customHeight="1" x14ac:dyDescent="0.35">
      <c r="B82" s="14" t="s">
        <v>838</v>
      </c>
      <c r="C82" s="14" t="s">
        <v>839</v>
      </c>
      <c r="D82" s="61"/>
      <c r="E82" s="30">
        <v>-1630.9726000000001</v>
      </c>
      <c r="F82" s="61"/>
      <c r="G82" s="30">
        <v>-1241.8393699999999</v>
      </c>
      <c r="H82" s="61"/>
      <c r="I82" s="30">
        <f>E82-G82</f>
        <v>-389.13323000000014</v>
      </c>
      <c r="J82" s="61"/>
      <c r="K82" s="55">
        <f t="shared" si="2"/>
        <v>-0.3133523057817052</v>
      </c>
    </row>
    <row r="83" spans="2:11" ht="15" customHeight="1" x14ac:dyDescent="0.35">
      <c r="B83" s="11"/>
      <c r="C83" s="11" t="s">
        <v>22</v>
      </c>
      <c r="D83" s="29"/>
      <c r="E83" s="29"/>
      <c r="F83" s="29"/>
      <c r="G83" s="29"/>
      <c r="H83" s="29"/>
      <c r="I83" s="29"/>
      <c r="J83" s="29"/>
      <c r="K83" s="93">
        <f t="shared" si="2"/>
        <v>0</v>
      </c>
    </row>
    <row r="84" spans="2:11" ht="15" customHeight="1" x14ac:dyDescent="0.35">
      <c r="B84" s="34"/>
      <c r="C84" s="34" t="s">
        <v>840</v>
      </c>
      <c r="D84" s="69"/>
      <c r="E84" s="52">
        <f>-(-(E85+E86)-E87)</f>
        <v>-14692.671189999999</v>
      </c>
      <c r="F84" s="69"/>
      <c r="G84" s="52">
        <f>-(-(G85+G86)-G87)</f>
        <v>-14195.799989999998</v>
      </c>
      <c r="H84" s="69"/>
      <c r="I84" s="52">
        <f>-(-(I85+I86)-I87)</f>
        <v>-496.87120000000141</v>
      </c>
      <c r="J84" s="69"/>
      <c r="K84" s="94">
        <f t="shared" si="2"/>
        <v>-3.5001282094000642E-2</v>
      </c>
    </row>
    <row r="85" spans="2:11" ht="15" customHeight="1" x14ac:dyDescent="0.35">
      <c r="B85" s="14" t="s">
        <v>841</v>
      </c>
      <c r="C85" s="14" t="s">
        <v>842</v>
      </c>
      <c r="D85" s="61"/>
      <c r="E85" s="30">
        <v>4477.3370800000002</v>
      </c>
      <c r="F85" s="61"/>
      <c r="G85" s="30">
        <v>1891.5092099999999</v>
      </c>
      <c r="H85" s="61"/>
      <c r="I85" s="30">
        <f>E85-G85</f>
        <v>2585.8278700000001</v>
      </c>
      <c r="J85" s="61"/>
      <c r="K85" s="55">
        <f t="shared" si="2"/>
        <v>1.3670712552332749</v>
      </c>
    </row>
    <row r="86" spans="2:11" ht="15" customHeight="1" x14ac:dyDescent="0.35">
      <c r="B86" s="14" t="s">
        <v>843</v>
      </c>
      <c r="C86" s="14" t="s">
        <v>844</v>
      </c>
      <c r="D86" s="61"/>
      <c r="E86" s="30">
        <v>-12026.92376</v>
      </c>
      <c r="F86" s="61"/>
      <c r="G86" s="30">
        <v>-17851.784189999998</v>
      </c>
      <c r="H86" s="61"/>
      <c r="I86" s="30">
        <f>E86-G86</f>
        <v>5824.8604299999988</v>
      </c>
      <c r="J86" s="61"/>
      <c r="K86" s="55">
        <f t="shared" si="2"/>
        <v>0.32629009896181133</v>
      </c>
    </row>
    <row r="87" spans="2:11" ht="15" customHeight="1" x14ac:dyDescent="0.35">
      <c r="B87" s="14" t="s">
        <v>845</v>
      </c>
      <c r="C87" s="14" t="s">
        <v>846</v>
      </c>
      <c r="D87" s="61"/>
      <c r="E87" s="30">
        <v>-7143.0845099999997</v>
      </c>
      <c r="F87" s="61"/>
      <c r="G87" s="30">
        <v>1764.4749899999999</v>
      </c>
      <c r="H87" s="61"/>
      <c r="I87" s="30">
        <f>E87-G87</f>
        <v>-8907.5594999999994</v>
      </c>
      <c r="J87" s="61"/>
      <c r="K87" s="55">
        <f t="shared" si="2"/>
        <v>-5.0482775615878808</v>
      </c>
    </row>
    <row r="88" spans="2:11" ht="15" customHeight="1" x14ac:dyDescent="0.35">
      <c r="B88" s="11"/>
      <c r="C88" s="11" t="s">
        <v>22</v>
      </c>
      <c r="D88" s="29"/>
      <c r="E88" s="29"/>
      <c r="F88" s="29"/>
      <c r="G88" s="29"/>
      <c r="H88" s="29"/>
      <c r="I88" s="29"/>
      <c r="J88" s="29"/>
      <c r="K88" s="93">
        <f t="shared" si="2"/>
        <v>0</v>
      </c>
    </row>
    <row r="89" spans="2:11" ht="15" customHeight="1" x14ac:dyDescent="0.35">
      <c r="B89" s="34"/>
      <c r="C89" s="34" t="s">
        <v>847</v>
      </c>
      <c r="D89" s="69"/>
      <c r="E89" s="52">
        <f>-(-(E90+E91)-E92)</f>
        <v>-28149.807769999999</v>
      </c>
      <c r="F89" s="69"/>
      <c r="G89" s="52">
        <f>-(-(G90+G91)-G92)</f>
        <v>-24459.488550000002</v>
      </c>
      <c r="H89" s="69"/>
      <c r="I89" s="52">
        <f>-(-(I90+I91)-I92)</f>
        <v>-3690.3192199999976</v>
      </c>
      <c r="J89" s="69"/>
      <c r="K89" s="94">
        <f t="shared" si="2"/>
        <v>-0.15087474999553893</v>
      </c>
    </row>
    <row r="90" spans="2:11" ht="15" customHeight="1" x14ac:dyDescent="0.35">
      <c r="B90" s="14" t="s">
        <v>848</v>
      </c>
      <c r="C90" s="14" t="s">
        <v>849</v>
      </c>
      <c r="D90" s="61"/>
      <c r="E90" s="30">
        <v>-10092.09189</v>
      </c>
      <c r="F90" s="61"/>
      <c r="G90" s="30">
        <v>852.61472000000003</v>
      </c>
      <c r="H90" s="61"/>
      <c r="I90" s="30">
        <f>E90-G90</f>
        <v>-10944.706609999999</v>
      </c>
      <c r="J90" s="61"/>
      <c r="K90" s="55">
        <f t="shared" si="2"/>
        <v>-12.836638112464207</v>
      </c>
    </row>
    <row r="91" spans="2:11" ht="15" customHeight="1" x14ac:dyDescent="0.35">
      <c r="B91" s="14" t="s">
        <v>850</v>
      </c>
      <c r="C91" s="14" t="s">
        <v>636</v>
      </c>
      <c r="D91" s="61"/>
      <c r="E91" s="30">
        <v>-29.64</v>
      </c>
      <c r="F91" s="61"/>
      <c r="G91" s="30">
        <v>-1.4550000000000001</v>
      </c>
      <c r="H91" s="61"/>
      <c r="I91" s="30">
        <f>E91-G91</f>
        <v>-28.185000000000002</v>
      </c>
      <c r="J91" s="61"/>
      <c r="K91" s="55">
        <f t="shared" si="2"/>
        <v>-19.371134020618559</v>
      </c>
    </row>
    <row r="92" spans="2:11" ht="15" customHeight="1" x14ac:dyDescent="0.35">
      <c r="B92" s="14" t="s">
        <v>851</v>
      </c>
      <c r="C92" s="14" t="s">
        <v>852</v>
      </c>
      <c r="D92" s="61"/>
      <c r="E92" s="30">
        <v>-18028.07588</v>
      </c>
      <c r="F92" s="61"/>
      <c r="G92" s="30">
        <v>-25310.648270000002</v>
      </c>
      <c r="H92" s="61"/>
      <c r="I92" s="30">
        <f>E92-G92</f>
        <v>7282.5723900000012</v>
      </c>
      <c r="J92" s="61"/>
      <c r="K92" s="55">
        <f t="shared" si="2"/>
        <v>0.28772761220153453</v>
      </c>
    </row>
    <row r="93" spans="2:11" ht="15" customHeight="1" x14ac:dyDescent="0.35">
      <c r="B93" s="11"/>
      <c r="C93" s="11" t="s">
        <v>22</v>
      </c>
      <c r="D93" s="29"/>
      <c r="E93" s="29"/>
      <c r="F93" s="29"/>
      <c r="G93" s="29"/>
      <c r="H93" s="29"/>
      <c r="I93" s="29"/>
      <c r="J93" s="29"/>
      <c r="K93" s="93">
        <f t="shared" si="2"/>
        <v>0</v>
      </c>
    </row>
    <row r="94" spans="2:11" ht="15" customHeight="1" x14ac:dyDescent="0.35">
      <c r="B94" s="14" t="s">
        <v>853</v>
      </c>
      <c r="C94" s="14" t="s">
        <v>854</v>
      </c>
      <c r="D94" s="61"/>
      <c r="E94" s="30">
        <v>-2449.28296</v>
      </c>
      <c r="F94" s="61"/>
      <c r="G94" s="30">
        <v>-5053.0150299999996</v>
      </c>
      <c r="H94" s="61"/>
      <c r="I94" s="30">
        <f>E94-G94</f>
        <v>2603.7320699999996</v>
      </c>
      <c r="J94" s="61"/>
      <c r="K94" s="55">
        <f t="shared" si="2"/>
        <v>0.5152828666729693</v>
      </c>
    </row>
    <row r="95" spans="2:11" ht="15" customHeight="1" x14ac:dyDescent="0.35">
      <c r="B95" s="11"/>
      <c r="C95" s="11" t="s">
        <v>22</v>
      </c>
      <c r="D95" s="29"/>
      <c r="E95" s="29"/>
      <c r="F95" s="29"/>
      <c r="G95" s="29"/>
      <c r="H95" s="29"/>
      <c r="I95" s="29"/>
      <c r="J95" s="29"/>
      <c r="K95" s="93">
        <f t="shared" si="2"/>
        <v>0</v>
      </c>
    </row>
    <row r="96" spans="2:11" ht="15" customHeight="1" x14ac:dyDescent="0.35">
      <c r="B96" s="14" t="s">
        <v>855</v>
      </c>
      <c r="C96" s="14" t="s">
        <v>856</v>
      </c>
      <c r="D96" s="61"/>
      <c r="E96" s="30">
        <v>-31092.679800000002</v>
      </c>
      <c r="F96" s="61"/>
      <c r="G96" s="30">
        <v>-2459.7915400000002</v>
      </c>
      <c r="H96" s="61"/>
      <c r="I96" s="30">
        <f>E96-G96</f>
        <v>-28632.88826</v>
      </c>
      <c r="J96" s="61"/>
      <c r="K96" s="55">
        <f t="shared" si="2"/>
        <v>-11.640371874764639</v>
      </c>
    </row>
    <row r="97" spans="2:11" ht="15" customHeight="1" x14ac:dyDescent="0.35">
      <c r="B97" s="11"/>
      <c r="C97" s="11" t="s">
        <v>22</v>
      </c>
      <c r="D97" s="29"/>
      <c r="E97" s="29"/>
      <c r="F97" s="29"/>
      <c r="G97" s="29"/>
      <c r="H97" s="29"/>
      <c r="I97" s="29"/>
      <c r="J97" s="29"/>
      <c r="K97" s="93">
        <f t="shared" si="2"/>
        <v>0</v>
      </c>
    </row>
    <row r="98" spans="2:11" ht="15" customHeight="1" x14ac:dyDescent="0.35">
      <c r="B98" s="34"/>
      <c r="C98" s="34" t="s">
        <v>857</v>
      </c>
      <c r="D98" s="69"/>
      <c r="E98" s="52">
        <f>E78+E80</f>
        <v>-354362.53512999997</v>
      </c>
      <c r="F98" s="69"/>
      <c r="G98" s="52">
        <f>G78+G80</f>
        <v>-262783.12864000001</v>
      </c>
      <c r="H98" s="69"/>
      <c r="I98" s="52">
        <f>I78+I80</f>
        <v>-91579.406490000023</v>
      </c>
      <c r="J98" s="69"/>
      <c r="K98" s="94">
        <f t="shared" si="2"/>
        <v>-0.34849804461936867</v>
      </c>
    </row>
    <row r="99" spans="2:11" ht="15" customHeight="1" x14ac:dyDescent="0.35">
      <c r="B99" s="11"/>
      <c r="C99" s="11" t="s">
        <v>22</v>
      </c>
      <c r="D99" s="29"/>
      <c r="E99" s="29"/>
      <c r="F99" s="29"/>
      <c r="G99" s="29"/>
      <c r="H99" s="29"/>
      <c r="I99" s="29"/>
      <c r="J99" s="29"/>
      <c r="K99" s="93">
        <f t="shared" si="2"/>
        <v>0</v>
      </c>
    </row>
    <row r="100" spans="2:11" ht="15" customHeight="1" x14ac:dyDescent="0.35">
      <c r="B100" s="14" t="s">
        <v>858</v>
      </c>
      <c r="C100" s="14" t="s">
        <v>859</v>
      </c>
      <c r="D100" s="61"/>
      <c r="E100" s="30">
        <v>-19485.7088</v>
      </c>
      <c r="F100" s="61"/>
      <c r="G100" s="30"/>
      <c r="H100" s="61"/>
      <c r="I100" s="30">
        <f>E100-G100</f>
        <v>-19485.7088</v>
      </c>
      <c r="J100" s="61"/>
      <c r="K100" s="55">
        <f t="shared" si="2"/>
        <v>-1</v>
      </c>
    </row>
    <row r="101" spans="2:11" ht="15" customHeight="1" x14ac:dyDescent="0.35">
      <c r="B101" s="11"/>
      <c r="C101" s="11" t="s">
        <v>22</v>
      </c>
      <c r="D101" s="29"/>
      <c r="E101" s="29"/>
      <c r="F101" s="29"/>
      <c r="G101" s="29"/>
      <c r="H101" s="29"/>
      <c r="I101" s="29"/>
      <c r="J101" s="29"/>
      <c r="K101" s="93">
        <f t="shared" si="2"/>
        <v>0</v>
      </c>
    </row>
    <row r="102" spans="2:11" ht="15" customHeight="1" x14ac:dyDescent="0.35">
      <c r="B102" s="40"/>
      <c r="C102" s="40" t="s">
        <v>860</v>
      </c>
      <c r="D102" s="53"/>
      <c r="E102" s="53">
        <f>E16+E18+E19+E21+E25+E29+E38+E43+E54+E58+E60+E98+E100</f>
        <v>-109469.13487999994</v>
      </c>
      <c r="F102" s="53"/>
      <c r="G102" s="53">
        <f>G16+G18+G19+G21+G25+G29+G38+G43+G54+G58+G60+G98+G100</f>
        <v>-158663.24786000003</v>
      </c>
      <c r="H102" s="53"/>
      <c r="I102" s="53">
        <f>I16+I18+I19+I21+I25+I29+I38+I43+I54+I58+I60+I98+I100</f>
        <v>49194.112979999998</v>
      </c>
      <c r="J102" s="53"/>
      <c r="K102" s="95">
        <f t="shared" si="2"/>
        <v>0.31005361130264708</v>
      </c>
    </row>
    <row r="103" spans="2:11" ht="15" customHeight="1" x14ac:dyDescent="0.35">
      <c r="B103" s="11"/>
      <c r="C103" s="11" t="s">
        <v>22</v>
      </c>
      <c r="D103" s="29"/>
      <c r="E103" s="29"/>
      <c r="F103" s="29"/>
      <c r="G103" s="29"/>
      <c r="H103" s="29"/>
      <c r="I103" s="29"/>
      <c r="J103" s="29"/>
      <c r="K103" s="93">
        <f t="shared" si="2"/>
        <v>0</v>
      </c>
    </row>
    <row r="104" spans="2:11" ht="15" customHeight="1" x14ac:dyDescent="0.35">
      <c r="B104" s="34"/>
      <c r="C104" s="34" t="s">
        <v>861</v>
      </c>
      <c r="D104" s="69"/>
      <c r="E104" s="52"/>
      <c r="F104" s="69"/>
      <c r="G104" s="52"/>
      <c r="H104" s="69"/>
      <c r="I104" s="52"/>
      <c r="J104" s="69"/>
      <c r="K104" s="94">
        <f t="shared" si="2"/>
        <v>0</v>
      </c>
    </row>
    <row r="105" spans="2:11" ht="15" customHeight="1" x14ac:dyDescent="0.35">
      <c r="B105" s="11"/>
      <c r="C105" s="11" t="s">
        <v>22</v>
      </c>
      <c r="D105" s="29"/>
      <c r="E105" s="29"/>
      <c r="F105" s="29"/>
      <c r="G105" s="29"/>
      <c r="H105" s="29"/>
      <c r="I105" s="29"/>
      <c r="J105" s="29"/>
      <c r="K105" s="93">
        <f t="shared" si="2"/>
        <v>0</v>
      </c>
    </row>
    <row r="106" spans="2:11" ht="15" customHeight="1" x14ac:dyDescent="0.35">
      <c r="B106" s="34"/>
      <c r="C106" s="34" t="s">
        <v>862</v>
      </c>
      <c r="D106" s="69"/>
      <c r="E106" s="52">
        <f>-(-(E107+E108)-E109-E110-E111-E112)</f>
        <v>-174077.75907</v>
      </c>
      <c r="F106" s="69"/>
      <c r="G106" s="52">
        <f>-(-(G107+G108)-G109-G110-G111-G112)</f>
        <v>-210553.24412000002</v>
      </c>
      <c r="H106" s="69"/>
      <c r="I106" s="52">
        <f>-(-(I107+I108)-I109-I110-I111-I112)</f>
        <v>36475.485049999996</v>
      </c>
      <c r="J106" s="69"/>
      <c r="K106" s="94">
        <f t="shared" si="2"/>
        <v>0.17323639539465668</v>
      </c>
    </row>
    <row r="107" spans="2:11" ht="15" customHeight="1" x14ac:dyDescent="0.35">
      <c r="B107" s="14" t="s">
        <v>863</v>
      </c>
      <c r="C107" s="14" t="s">
        <v>864</v>
      </c>
      <c r="D107" s="61"/>
      <c r="E107" s="30">
        <v>-128454.11156</v>
      </c>
      <c r="F107" s="61"/>
      <c r="G107" s="30">
        <v>-120155.87057</v>
      </c>
      <c r="H107" s="61"/>
      <c r="I107" s="30">
        <f t="shared" ref="I107:I112" si="3">E107-G107</f>
        <v>-8298.2409900000057</v>
      </c>
      <c r="J107" s="61"/>
      <c r="K107" s="55">
        <f t="shared" si="2"/>
        <v>-6.9062301747176341E-2</v>
      </c>
    </row>
    <row r="108" spans="2:11" ht="15" customHeight="1" x14ac:dyDescent="0.35">
      <c r="B108" s="14" t="s">
        <v>865</v>
      </c>
      <c r="C108" s="14" t="s">
        <v>866</v>
      </c>
      <c r="D108" s="61"/>
      <c r="E108" s="30">
        <v>-521.40497000000005</v>
      </c>
      <c r="F108" s="61"/>
      <c r="G108" s="30">
        <v>-1146.6481100000001</v>
      </c>
      <c r="H108" s="61"/>
      <c r="I108" s="30">
        <f t="shared" si="3"/>
        <v>625.24314000000004</v>
      </c>
      <c r="J108" s="61"/>
      <c r="K108" s="55">
        <f t="shared" si="2"/>
        <v>0.54527900455877432</v>
      </c>
    </row>
    <row r="109" spans="2:11" ht="15" customHeight="1" x14ac:dyDescent="0.35">
      <c r="B109" s="14" t="s">
        <v>867</v>
      </c>
      <c r="C109" s="14" t="s">
        <v>868</v>
      </c>
      <c r="D109" s="61"/>
      <c r="E109" s="30">
        <v>-5760.6065699999999</v>
      </c>
      <c r="F109" s="61"/>
      <c r="G109" s="30">
        <v>-2182.7020499999999</v>
      </c>
      <c r="H109" s="61"/>
      <c r="I109" s="30">
        <f t="shared" si="3"/>
        <v>-3577.90452</v>
      </c>
      <c r="J109" s="61"/>
      <c r="K109" s="55">
        <f t="shared" si="2"/>
        <v>-1.6392088512493037</v>
      </c>
    </row>
    <row r="110" spans="2:11" ht="15" customHeight="1" x14ac:dyDescent="0.35">
      <c r="B110" s="14" t="s">
        <v>869</v>
      </c>
      <c r="C110" s="14" t="s">
        <v>870</v>
      </c>
      <c r="D110" s="61"/>
      <c r="E110" s="30">
        <v>-4132.0432099999998</v>
      </c>
      <c r="F110" s="61"/>
      <c r="G110" s="30">
        <v>-4278.4042300000001</v>
      </c>
      <c r="H110" s="61"/>
      <c r="I110" s="30">
        <f t="shared" si="3"/>
        <v>146.36102000000028</v>
      </c>
      <c r="J110" s="61"/>
      <c r="K110" s="55">
        <f t="shared" si="2"/>
        <v>3.4209254696814913E-2</v>
      </c>
    </row>
    <row r="111" spans="2:11" ht="15" customHeight="1" x14ac:dyDescent="0.35">
      <c r="B111" s="14" t="s">
        <v>871</v>
      </c>
      <c r="C111" s="14" t="s">
        <v>872</v>
      </c>
      <c r="D111" s="61"/>
      <c r="E111" s="30">
        <v>-34948.348080000003</v>
      </c>
      <c r="F111" s="61"/>
      <c r="G111" s="30">
        <v>-82207.321160000007</v>
      </c>
      <c r="H111" s="61"/>
      <c r="I111" s="30">
        <f t="shared" si="3"/>
        <v>47258.973080000003</v>
      </c>
      <c r="J111" s="61"/>
      <c r="K111" s="55">
        <f t="shared" si="2"/>
        <v>0.57487547840197739</v>
      </c>
    </row>
    <row r="112" spans="2:11" ht="15" customHeight="1" x14ac:dyDescent="0.35">
      <c r="B112" s="14" t="s">
        <v>873</v>
      </c>
      <c r="C112" s="14" t="s">
        <v>874</v>
      </c>
      <c r="D112" s="61"/>
      <c r="E112" s="30">
        <v>-261.24468000000002</v>
      </c>
      <c r="F112" s="61"/>
      <c r="G112" s="30">
        <v>-582.298</v>
      </c>
      <c r="H112" s="61"/>
      <c r="I112" s="30">
        <f t="shared" si="3"/>
        <v>321.05331999999999</v>
      </c>
      <c r="J112" s="61"/>
      <c r="K112" s="55">
        <f t="shared" si="2"/>
        <v>0.55135569759813696</v>
      </c>
    </row>
    <row r="113" spans="2:11" ht="15" customHeight="1" x14ac:dyDescent="0.35">
      <c r="B113" s="11"/>
      <c r="C113" s="11" t="s">
        <v>22</v>
      </c>
      <c r="D113" s="29"/>
      <c r="E113" s="29"/>
      <c r="F113" s="29"/>
      <c r="G113" s="29"/>
      <c r="H113" s="29"/>
      <c r="I113" s="29"/>
      <c r="J113" s="29"/>
      <c r="K113" s="93">
        <f t="shared" si="2"/>
        <v>0</v>
      </c>
    </row>
    <row r="114" spans="2:11" ht="15" customHeight="1" x14ac:dyDescent="0.35">
      <c r="B114" s="34"/>
      <c r="C114" s="34" t="s">
        <v>875</v>
      </c>
      <c r="D114" s="69"/>
      <c r="E114" s="52">
        <f>-(-(E115+E116)-E117-E118)</f>
        <v>-32346.7942</v>
      </c>
      <c r="F114" s="69"/>
      <c r="G114" s="52">
        <f>-(-(G115+G116)-G117-G118)</f>
        <v>-44319.112589999997</v>
      </c>
      <c r="H114" s="69"/>
      <c r="I114" s="52">
        <f>-(-(I115+I116)-I117-I118)</f>
        <v>11972.318389999999</v>
      </c>
      <c r="J114" s="69"/>
      <c r="K114" s="94">
        <f t="shared" si="2"/>
        <v>0.27013894661558246</v>
      </c>
    </row>
    <row r="115" spans="2:11" ht="15" customHeight="1" x14ac:dyDescent="0.35">
      <c r="B115" s="14" t="s">
        <v>876</v>
      </c>
      <c r="C115" s="14" t="s">
        <v>877</v>
      </c>
      <c r="D115" s="61"/>
      <c r="E115" s="30">
        <v>1.0000000000000001E-5</v>
      </c>
      <c r="F115" s="61"/>
      <c r="G115" s="30">
        <v>-144.86013</v>
      </c>
      <c r="H115" s="61"/>
      <c r="I115" s="30">
        <f>E115-G115</f>
        <v>144.86014</v>
      </c>
      <c r="J115" s="61"/>
      <c r="K115" s="55">
        <f t="shared" si="2"/>
        <v>1.0000000690321071</v>
      </c>
    </row>
    <row r="116" spans="2:11" ht="15" customHeight="1" x14ac:dyDescent="0.35">
      <c r="B116" s="14" t="s">
        <v>878</v>
      </c>
      <c r="C116" s="14" t="s">
        <v>879</v>
      </c>
      <c r="D116" s="61"/>
      <c r="E116" s="30">
        <v>-8231.9418399999995</v>
      </c>
      <c r="F116" s="61"/>
      <c r="G116" s="30">
        <v>-425.52843000000001</v>
      </c>
      <c r="H116" s="61"/>
      <c r="I116" s="30">
        <f>E116-G116</f>
        <v>-7806.4134099999992</v>
      </c>
      <c r="J116" s="61"/>
      <c r="K116" s="55">
        <f t="shared" si="2"/>
        <v>-18.345221751693533</v>
      </c>
    </row>
    <row r="117" spans="2:11" ht="15" customHeight="1" x14ac:dyDescent="0.35">
      <c r="B117" s="14" t="s">
        <v>880</v>
      </c>
      <c r="C117" s="14" t="s">
        <v>881</v>
      </c>
      <c r="D117" s="61"/>
      <c r="E117" s="30">
        <v>-381.42811</v>
      </c>
      <c r="F117" s="61"/>
      <c r="G117" s="30">
        <v>-306.91302000000002</v>
      </c>
      <c r="H117" s="61"/>
      <c r="I117" s="30">
        <f>E117-G117</f>
        <v>-74.515089999999987</v>
      </c>
      <c r="J117" s="61"/>
      <c r="K117" s="55">
        <f t="shared" si="2"/>
        <v>-0.24278895043292717</v>
      </c>
    </row>
    <row r="118" spans="2:11" ht="15" customHeight="1" x14ac:dyDescent="0.35">
      <c r="B118" s="14" t="s">
        <v>882</v>
      </c>
      <c r="C118" s="14" t="s">
        <v>883</v>
      </c>
      <c r="D118" s="61"/>
      <c r="E118" s="30">
        <v>-23733.42426</v>
      </c>
      <c r="F118" s="61"/>
      <c r="G118" s="30">
        <v>-43441.811009999998</v>
      </c>
      <c r="H118" s="61"/>
      <c r="I118" s="30">
        <f>E118-G118</f>
        <v>19708.386749999998</v>
      </c>
      <c r="J118" s="61"/>
      <c r="K118" s="55">
        <f t="shared" si="2"/>
        <v>0.45367323073762433</v>
      </c>
    </row>
    <row r="119" spans="2:11" ht="15" customHeight="1" x14ac:dyDescent="0.35">
      <c r="B119" s="11"/>
      <c r="C119" s="11" t="s">
        <v>22</v>
      </c>
      <c r="D119" s="29"/>
      <c r="E119" s="29"/>
      <c r="F119" s="29"/>
      <c r="G119" s="29"/>
      <c r="H119" s="29"/>
      <c r="I119" s="29"/>
      <c r="J119" s="29"/>
      <c r="K119" s="93">
        <f t="shared" si="2"/>
        <v>0</v>
      </c>
    </row>
    <row r="120" spans="2:11" ht="15" customHeight="1" x14ac:dyDescent="0.35">
      <c r="B120" s="34"/>
      <c r="C120" s="34" t="s">
        <v>884</v>
      </c>
      <c r="D120" s="69"/>
      <c r="E120" s="52">
        <f>E106+E114</f>
        <v>-206424.55327</v>
      </c>
      <c r="F120" s="69"/>
      <c r="G120" s="52">
        <f>G106+G114</f>
        <v>-254872.35671000002</v>
      </c>
      <c r="H120" s="69"/>
      <c r="I120" s="52">
        <f>I106+I114</f>
        <v>48447.803439999996</v>
      </c>
      <c r="J120" s="69"/>
      <c r="K120" s="94">
        <f t="shared" si="2"/>
        <v>0.19008653612100071</v>
      </c>
    </row>
    <row r="121" spans="2:11" ht="15" customHeight="1" x14ac:dyDescent="0.35">
      <c r="B121" s="11"/>
      <c r="C121" s="11" t="s">
        <v>22</v>
      </c>
      <c r="D121" s="29"/>
      <c r="E121" s="29"/>
      <c r="F121" s="29"/>
      <c r="G121" s="29"/>
      <c r="H121" s="29"/>
      <c r="I121" s="29"/>
      <c r="J121" s="29"/>
      <c r="K121" s="93">
        <f t="shared" si="2"/>
        <v>0</v>
      </c>
    </row>
    <row r="122" spans="2:11" ht="15" customHeight="1" x14ac:dyDescent="0.35">
      <c r="B122" s="34"/>
      <c r="C122" s="34" t="s">
        <v>885</v>
      </c>
      <c r="D122" s="69"/>
      <c r="E122" s="52">
        <f>E123+E124</f>
        <v>0</v>
      </c>
      <c r="F122" s="69"/>
      <c r="G122" s="52">
        <f>G123+G124</f>
        <v>0</v>
      </c>
      <c r="H122" s="69"/>
      <c r="I122" s="52">
        <f>I123+I124</f>
        <v>0</v>
      </c>
      <c r="J122" s="69"/>
      <c r="K122" s="94">
        <f t="shared" si="2"/>
        <v>0</v>
      </c>
    </row>
    <row r="123" spans="2:11" ht="15" customHeight="1" x14ac:dyDescent="0.35">
      <c r="B123" s="14" t="s">
        <v>886</v>
      </c>
      <c r="C123" s="14" t="s">
        <v>887</v>
      </c>
      <c r="D123" s="61"/>
      <c r="E123" s="30"/>
      <c r="F123" s="61"/>
      <c r="G123" s="30"/>
      <c r="H123" s="61"/>
      <c r="I123" s="30">
        <f>E123-G123</f>
        <v>0</v>
      </c>
      <c r="J123" s="61"/>
      <c r="K123" s="55">
        <f t="shared" si="2"/>
        <v>0</v>
      </c>
    </row>
    <row r="124" spans="2:11" ht="15" customHeight="1" x14ac:dyDescent="0.35">
      <c r="B124" s="14" t="s">
        <v>888</v>
      </c>
      <c r="C124" s="14" t="s">
        <v>889</v>
      </c>
      <c r="D124" s="61"/>
      <c r="E124" s="30"/>
      <c r="F124" s="61"/>
      <c r="G124" s="30"/>
      <c r="H124" s="61"/>
      <c r="I124" s="30">
        <f>E124-G124</f>
        <v>0</v>
      </c>
      <c r="J124" s="61"/>
      <c r="K124" s="55">
        <f t="shared" si="2"/>
        <v>0</v>
      </c>
    </row>
    <row r="125" spans="2:11" ht="15" customHeight="1" x14ac:dyDescent="0.35">
      <c r="B125" s="11"/>
      <c r="C125" s="11" t="s">
        <v>22</v>
      </c>
      <c r="D125" s="29"/>
      <c r="E125" s="29"/>
      <c r="F125" s="29"/>
      <c r="G125" s="29"/>
      <c r="H125" s="29"/>
      <c r="I125" s="29"/>
      <c r="J125" s="29"/>
      <c r="K125" s="93">
        <f t="shared" si="2"/>
        <v>0</v>
      </c>
    </row>
    <row r="126" spans="2:11" ht="15" customHeight="1" x14ac:dyDescent="0.35">
      <c r="B126" s="34"/>
      <c r="C126" s="34" t="s">
        <v>890</v>
      </c>
      <c r="D126" s="69"/>
      <c r="E126" s="52">
        <f>E120+E122</f>
        <v>-206424.55327</v>
      </c>
      <c r="F126" s="69"/>
      <c r="G126" s="52">
        <f>G120+G122</f>
        <v>-254872.35671000002</v>
      </c>
      <c r="H126" s="69"/>
      <c r="I126" s="52">
        <f>I120+I122</f>
        <v>48447.803439999996</v>
      </c>
      <c r="J126" s="69"/>
      <c r="K126" s="94">
        <f t="shared" si="2"/>
        <v>0.19008653612100071</v>
      </c>
    </row>
    <row r="127" spans="2:11" ht="15" customHeight="1" x14ac:dyDescent="0.35">
      <c r="B127" s="11"/>
      <c r="C127" s="11" t="s">
        <v>22</v>
      </c>
      <c r="D127" s="29"/>
      <c r="E127" s="29"/>
      <c r="F127" s="29"/>
      <c r="G127" s="29"/>
      <c r="H127" s="29"/>
      <c r="I127" s="29"/>
      <c r="J127" s="29"/>
      <c r="K127" s="93">
        <f t="shared" si="2"/>
        <v>0</v>
      </c>
    </row>
    <row r="128" spans="2:11" ht="15" customHeight="1" x14ac:dyDescent="0.35">
      <c r="B128" s="34" t="s">
        <v>891</v>
      </c>
      <c r="C128" s="34" t="s">
        <v>892</v>
      </c>
      <c r="D128" s="69"/>
      <c r="E128" s="52">
        <f>E129+E130</f>
        <v>2158.8922699999998</v>
      </c>
      <c r="F128" s="69"/>
      <c r="G128" s="52">
        <f>G129+G130</f>
        <v>91.271249999999995</v>
      </c>
      <c r="H128" s="69"/>
      <c r="I128" s="52">
        <f>I129+I130</f>
        <v>2067.62102</v>
      </c>
      <c r="J128" s="69"/>
      <c r="K128" s="94">
        <f t="shared" si="2"/>
        <v>22.65358500075325</v>
      </c>
    </row>
    <row r="129" spans="2:11" ht="15" customHeight="1" x14ac:dyDescent="0.35">
      <c r="B129" s="14" t="s">
        <v>893</v>
      </c>
      <c r="C129" s="14" t="s">
        <v>894</v>
      </c>
      <c r="D129" s="61"/>
      <c r="E129" s="30"/>
      <c r="F129" s="61"/>
      <c r="G129" s="30"/>
      <c r="H129" s="61"/>
      <c r="I129" s="30">
        <f>E129-G129</f>
        <v>0</v>
      </c>
      <c r="J129" s="61"/>
      <c r="K129" s="55">
        <f t="shared" si="2"/>
        <v>0</v>
      </c>
    </row>
    <row r="130" spans="2:11" ht="15" customHeight="1" x14ac:dyDescent="0.35">
      <c r="B130" s="14" t="s">
        <v>895</v>
      </c>
      <c r="C130" s="14" t="s">
        <v>896</v>
      </c>
      <c r="D130" s="61"/>
      <c r="E130" s="30">
        <v>2158.8922699999998</v>
      </c>
      <c r="F130" s="61"/>
      <c r="G130" s="30">
        <v>91.271249999999995</v>
      </c>
      <c r="H130" s="61"/>
      <c r="I130" s="30">
        <f>E130-G130</f>
        <v>2067.62102</v>
      </c>
      <c r="J130" s="61"/>
      <c r="K130" s="55">
        <f t="shared" si="2"/>
        <v>22.65358500075325</v>
      </c>
    </row>
    <row r="131" spans="2:11" ht="15" customHeight="1" x14ac:dyDescent="0.35">
      <c r="B131" s="11"/>
      <c r="C131" s="11" t="s">
        <v>22</v>
      </c>
      <c r="D131" s="29"/>
      <c r="E131" s="29"/>
      <c r="F131" s="29"/>
      <c r="G131" s="29"/>
      <c r="H131" s="29"/>
      <c r="I131" s="29"/>
      <c r="J131" s="29"/>
      <c r="K131" s="93">
        <f t="shared" si="2"/>
        <v>0</v>
      </c>
    </row>
    <row r="132" spans="2:11" ht="15" customHeight="1" x14ac:dyDescent="0.35">
      <c r="B132" s="34"/>
      <c r="C132" s="34" t="s">
        <v>897</v>
      </c>
      <c r="D132" s="69"/>
      <c r="E132" s="52">
        <f>E126+E128</f>
        <v>-204265.66099999999</v>
      </c>
      <c r="F132" s="69"/>
      <c r="G132" s="52">
        <f>G126+G128</f>
        <v>-254781.08546000003</v>
      </c>
      <c r="H132" s="69"/>
      <c r="I132" s="52">
        <f>I126+I128</f>
        <v>50515.424459999995</v>
      </c>
      <c r="J132" s="69"/>
      <c r="K132" s="94">
        <f t="shared" si="2"/>
        <v>0.19826991618626566</v>
      </c>
    </row>
    <row r="133" spans="2:11" ht="15" customHeight="1" x14ac:dyDescent="0.35">
      <c r="B133" s="11"/>
      <c r="C133" s="11" t="s">
        <v>22</v>
      </c>
      <c r="D133" s="29"/>
      <c r="E133" s="29"/>
      <c r="F133" s="29"/>
      <c r="G133" s="29"/>
      <c r="H133" s="29"/>
      <c r="I133" s="29"/>
      <c r="J133" s="29"/>
      <c r="K133" s="93">
        <f t="shared" si="2"/>
        <v>0</v>
      </c>
    </row>
    <row r="134" spans="2:11" ht="15" customHeight="1" x14ac:dyDescent="0.35">
      <c r="B134" s="34"/>
      <c r="C134" s="34" t="s">
        <v>898</v>
      </c>
      <c r="D134" s="69"/>
      <c r="E134" s="52">
        <f>E135+E136</f>
        <v>0</v>
      </c>
      <c r="F134" s="69"/>
      <c r="G134" s="52">
        <f>G135+G136</f>
        <v>0</v>
      </c>
      <c r="H134" s="69"/>
      <c r="I134" s="52">
        <f>I135+I136</f>
        <v>0</v>
      </c>
      <c r="J134" s="69"/>
      <c r="K134" s="94">
        <f t="shared" si="2"/>
        <v>0</v>
      </c>
    </row>
    <row r="135" spans="2:11" ht="15" customHeight="1" x14ac:dyDescent="0.35">
      <c r="B135" s="14" t="s">
        <v>899</v>
      </c>
      <c r="C135" s="14" t="s">
        <v>900</v>
      </c>
      <c r="D135" s="61"/>
      <c r="E135" s="30"/>
      <c r="F135" s="61"/>
      <c r="G135" s="30"/>
      <c r="H135" s="61"/>
      <c r="I135" s="30">
        <f>E135-G135</f>
        <v>0</v>
      </c>
      <c r="J135" s="61"/>
      <c r="K135" s="55">
        <f t="shared" si="2"/>
        <v>0</v>
      </c>
    </row>
    <row r="136" spans="2:11" ht="15" customHeight="1" x14ac:dyDescent="0.35">
      <c r="B136" s="14" t="s">
        <v>901</v>
      </c>
      <c r="C136" s="14" t="s">
        <v>902</v>
      </c>
      <c r="D136" s="61"/>
      <c r="E136" s="30"/>
      <c r="F136" s="61"/>
      <c r="G136" s="30"/>
      <c r="H136" s="61"/>
      <c r="I136" s="30">
        <f>E136-G136</f>
        <v>0</v>
      </c>
      <c r="J136" s="61"/>
      <c r="K136" s="55">
        <f t="shared" si="2"/>
        <v>0</v>
      </c>
    </row>
    <row r="137" spans="2:11" ht="15" customHeight="1" x14ac:dyDescent="0.35">
      <c r="B137" s="11"/>
      <c r="C137" s="11" t="s">
        <v>22</v>
      </c>
      <c r="D137" s="29"/>
      <c r="E137" s="29"/>
      <c r="F137" s="29"/>
      <c r="G137" s="29"/>
      <c r="H137" s="29"/>
      <c r="I137" s="29"/>
      <c r="J137" s="29"/>
      <c r="K137" s="93">
        <f t="shared" ref="K137:K200" si="4">IF(ROUND(I137, 2)=0, 0, IFERROR(I137/ABS(G137), IF(I137&lt;0, -1, 1)))</f>
        <v>0</v>
      </c>
    </row>
    <row r="138" spans="2:11" ht="15" customHeight="1" x14ac:dyDescent="0.35">
      <c r="B138" s="34"/>
      <c r="C138" s="34" t="s">
        <v>903</v>
      </c>
      <c r="D138" s="69"/>
      <c r="E138" s="52">
        <f>E139+E140</f>
        <v>0</v>
      </c>
      <c r="F138" s="69"/>
      <c r="G138" s="52">
        <f>G139+G140</f>
        <v>0</v>
      </c>
      <c r="H138" s="69"/>
      <c r="I138" s="52">
        <f>I139+I140</f>
        <v>0</v>
      </c>
      <c r="J138" s="69"/>
      <c r="K138" s="94">
        <f t="shared" si="4"/>
        <v>0</v>
      </c>
    </row>
    <row r="139" spans="2:11" ht="15" customHeight="1" x14ac:dyDescent="0.35">
      <c r="B139" s="14" t="s">
        <v>904</v>
      </c>
      <c r="C139" s="14" t="s">
        <v>905</v>
      </c>
      <c r="D139" s="61"/>
      <c r="E139" s="30"/>
      <c r="F139" s="61"/>
      <c r="G139" s="30"/>
      <c r="H139" s="61"/>
      <c r="I139" s="30">
        <f>E139-G139</f>
        <v>0</v>
      </c>
      <c r="J139" s="61"/>
      <c r="K139" s="55">
        <f t="shared" si="4"/>
        <v>0</v>
      </c>
    </row>
    <row r="140" spans="2:11" ht="15" customHeight="1" x14ac:dyDescent="0.35">
      <c r="B140" s="14" t="s">
        <v>906</v>
      </c>
      <c r="C140" s="14" t="s">
        <v>907</v>
      </c>
      <c r="D140" s="61"/>
      <c r="E140" s="30">
        <f>E141+E142</f>
        <v>0</v>
      </c>
      <c r="F140" s="61"/>
      <c r="G140" s="30">
        <f>G141+G142</f>
        <v>0</v>
      </c>
      <c r="H140" s="61"/>
      <c r="I140" s="30">
        <f>I141+I142</f>
        <v>0</v>
      </c>
      <c r="J140" s="61"/>
      <c r="K140" s="55">
        <f t="shared" si="4"/>
        <v>0</v>
      </c>
    </row>
    <row r="141" spans="2:11" ht="15" customHeight="1" x14ac:dyDescent="0.35">
      <c r="B141" s="14" t="s">
        <v>908</v>
      </c>
      <c r="C141" s="14" t="s">
        <v>909</v>
      </c>
      <c r="D141" s="61"/>
      <c r="E141" s="30"/>
      <c r="F141" s="61"/>
      <c r="G141" s="30"/>
      <c r="H141" s="61"/>
      <c r="I141" s="30">
        <f>E141-G141</f>
        <v>0</v>
      </c>
      <c r="J141" s="61"/>
      <c r="K141" s="55">
        <f t="shared" si="4"/>
        <v>0</v>
      </c>
    </row>
    <row r="142" spans="2:11" ht="15" customHeight="1" x14ac:dyDescent="0.35">
      <c r="B142" s="14" t="s">
        <v>910</v>
      </c>
      <c r="C142" s="14" t="s">
        <v>911</v>
      </c>
      <c r="D142" s="61"/>
      <c r="E142" s="30"/>
      <c r="F142" s="61"/>
      <c r="G142" s="30"/>
      <c r="H142" s="61"/>
      <c r="I142" s="30">
        <f>E142-G142</f>
        <v>0</v>
      </c>
      <c r="J142" s="61"/>
      <c r="K142" s="55">
        <f t="shared" si="4"/>
        <v>0</v>
      </c>
    </row>
    <row r="143" spans="2:11" ht="15" customHeight="1" x14ac:dyDescent="0.35">
      <c r="B143" s="11"/>
      <c r="C143" s="11" t="s">
        <v>22</v>
      </c>
      <c r="D143" s="29"/>
      <c r="E143" s="29"/>
      <c r="F143" s="29"/>
      <c r="G143" s="29"/>
      <c r="H143" s="29"/>
      <c r="I143" s="29"/>
      <c r="J143" s="29"/>
      <c r="K143" s="93">
        <f t="shared" si="4"/>
        <v>0</v>
      </c>
    </row>
    <row r="144" spans="2:11" ht="15" customHeight="1" x14ac:dyDescent="0.35">
      <c r="B144" s="34"/>
      <c r="C144" s="34" t="s">
        <v>912</v>
      </c>
      <c r="D144" s="69"/>
      <c r="E144" s="52">
        <f>E145+E146</f>
        <v>329000</v>
      </c>
      <c r="F144" s="69"/>
      <c r="G144" s="52">
        <f>G145+G146</f>
        <v>761424.99158999999</v>
      </c>
      <c r="H144" s="69"/>
      <c r="I144" s="52">
        <f>I145+I146</f>
        <v>-432424.99158999999</v>
      </c>
      <c r="J144" s="69"/>
      <c r="K144" s="94">
        <f t="shared" si="4"/>
        <v>-0.56791541696971948</v>
      </c>
    </row>
    <row r="145" spans="2:11" ht="15" customHeight="1" x14ac:dyDescent="0.35">
      <c r="B145" s="14" t="s">
        <v>913</v>
      </c>
      <c r="C145" s="14" t="s">
        <v>914</v>
      </c>
      <c r="D145" s="61"/>
      <c r="E145" s="30">
        <v>329000</v>
      </c>
      <c r="F145" s="61"/>
      <c r="G145" s="30">
        <v>760940.41018999997</v>
      </c>
      <c r="H145" s="61"/>
      <c r="I145" s="30">
        <f>E145-G145</f>
        <v>-431940.41018999997</v>
      </c>
      <c r="J145" s="61"/>
      <c r="K145" s="55">
        <f t="shared" si="4"/>
        <v>-0.56764025724714551</v>
      </c>
    </row>
    <row r="146" spans="2:11" ht="15" customHeight="1" x14ac:dyDescent="0.35">
      <c r="B146" s="14" t="s">
        <v>915</v>
      </c>
      <c r="C146" s="14" t="s">
        <v>916</v>
      </c>
      <c r="D146" s="61"/>
      <c r="E146" s="30"/>
      <c r="F146" s="61"/>
      <c r="G146" s="30">
        <v>484.58139999999997</v>
      </c>
      <c r="H146" s="61"/>
      <c r="I146" s="30">
        <f>E146-G146</f>
        <v>-484.58139999999997</v>
      </c>
      <c r="J146" s="61"/>
      <c r="K146" s="55">
        <f t="shared" si="4"/>
        <v>-1</v>
      </c>
    </row>
    <row r="147" spans="2:11" ht="15" customHeight="1" x14ac:dyDescent="0.35">
      <c r="B147" s="11"/>
      <c r="C147" s="11" t="s">
        <v>22</v>
      </c>
      <c r="D147" s="29"/>
      <c r="E147" s="29"/>
      <c r="F147" s="29"/>
      <c r="G147" s="29"/>
      <c r="H147" s="29"/>
      <c r="I147" s="29"/>
      <c r="J147" s="29"/>
      <c r="K147" s="93">
        <f t="shared" si="4"/>
        <v>0</v>
      </c>
    </row>
    <row r="148" spans="2:11" ht="15" customHeight="1" x14ac:dyDescent="0.35">
      <c r="B148" s="34"/>
      <c r="C148" s="34" t="s">
        <v>917</v>
      </c>
      <c r="D148" s="69"/>
      <c r="E148" s="52">
        <f>E149+E150</f>
        <v>-87260.482879999996</v>
      </c>
      <c r="F148" s="69"/>
      <c r="G148" s="52">
        <f>G149+G150</f>
        <v>-85513.453009999997</v>
      </c>
      <c r="H148" s="69"/>
      <c r="I148" s="52">
        <f>I149+I150</f>
        <v>-1747.029870000003</v>
      </c>
      <c r="J148" s="69"/>
      <c r="K148" s="94">
        <f t="shared" si="4"/>
        <v>-2.042988335175407E-2</v>
      </c>
    </row>
    <row r="149" spans="2:11" ht="15" customHeight="1" x14ac:dyDescent="0.35">
      <c r="B149" s="14" t="s">
        <v>918</v>
      </c>
      <c r="C149" s="14" t="s">
        <v>919</v>
      </c>
      <c r="D149" s="61"/>
      <c r="E149" s="30">
        <v>-87325.869030000002</v>
      </c>
      <c r="F149" s="61"/>
      <c r="G149" s="30">
        <v>-85530.223989999999</v>
      </c>
      <c r="H149" s="61"/>
      <c r="I149" s="30">
        <f>E149-G149</f>
        <v>-1795.6450400000031</v>
      </c>
      <c r="J149" s="61"/>
      <c r="K149" s="55">
        <f t="shared" si="4"/>
        <v>-2.0994274961912245E-2</v>
      </c>
    </row>
    <row r="150" spans="2:11" ht="15" customHeight="1" x14ac:dyDescent="0.35">
      <c r="B150" s="14" t="s">
        <v>920</v>
      </c>
      <c r="C150" s="14" t="s">
        <v>921</v>
      </c>
      <c r="D150" s="61"/>
      <c r="E150" s="30">
        <v>65.386150000000001</v>
      </c>
      <c r="F150" s="61"/>
      <c r="G150" s="30">
        <v>16.770980000000002</v>
      </c>
      <c r="H150" s="61"/>
      <c r="I150" s="30">
        <f>E150-G150</f>
        <v>48.615169999999999</v>
      </c>
      <c r="J150" s="61"/>
      <c r="K150" s="55">
        <f t="shared" si="4"/>
        <v>2.8987673946304864</v>
      </c>
    </row>
    <row r="151" spans="2:11" ht="15" customHeight="1" x14ac:dyDescent="0.35">
      <c r="B151" s="11"/>
      <c r="C151" s="11" t="s">
        <v>22</v>
      </c>
      <c r="D151" s="29"/>
      <c r="E151" s="29"/>
      <c r="F151" s="29"/>
      <c r="G151" s="29"/>
      <c r="H151" s="29"/>
      <c r="I151" s="29"/>
      <c r="J151" s="29"/>
      <c r="K151" s="93">
        <f t="shared" si="4"/>
        <v>0</v>
      </c>
    </row>
    <row r="152" spans="2:11" ht="15" customHeight="1" x14ac:dyDescent="0.35">
      <c r="B152" s="34"/>
      <c r="C152" s="34" t="s">
        <v>922</v>
      </c>
      <c r="D152" s="69"/>
      <c r="E152" s="52">
        <f>-(-E153)</f>
        <v>3632.4903599999998</v>
      </c>
      <c r="F152" s="69"/>
      <c r="G152" s="52">
        <f>-(-G153)</f>
        <v>-3982.5099500000001</v>
      </c>
      <c r="H152" s="69"/>
      <c r="I152" s="52">
        <f>-(-I153)</f>
        <v>7615.0003099999994</v>
      </c>
      <c r="J152" s="69"/>
      <c r="K152" s="94">
        <f t="shared" si="4"/>
        <v>1.9121108059001835</v>
      </c>
    </row>
    <row r="153" spans="2:11" ht="15" customHeight="1" x14ac:dyDescent="0.35">
      <c r="B153" s="14" t="s">
        <v>923</v>
      </c>
      <c r="C153" s="14" t="s">
        <v>924</v>
      </c>
      <c r="D153" s="61"/>
      <c r="E153" s="30">
        <v>3632.4903599999998</v>
      </c>
      <c r="F153" s="61"/>
      <c r="G153" s="30">
        <v>-3982.5099500000001</v>
      </c>
      <c r="H153" s="61"/>
      <c r="I153" s="30">
        <f>E153-G153</f>
        <v>7615.0003099999994</v>
      </c>
      <c r="J153" s="61"/>
      <c r="K153" s="55">
        <f t="shared" si="4"/>
        <v>1.9121108059001835</v>
      </c>
    </row>
    <row r="154" spans="2:11" ht="15" customHeight="1" x14ac:dyDescent="0.35">
      <c r="B154" s="11"/>
      <c r="C154" s="11" t="s">
        <v>22</v>
      </c>
      <c r="D154" s="29"/>
      <c r="E154" s="29"/>
      <c r="F154" s="29"/>
      <c r="G154" s="29"/>
      <c r="H154" s="29"/>
      <c r="I154" s="29"/>
      <c r="J154" s="29"/>
      <c r="K154" s="93">
        <f t="shared" si="4"/>
        <v>0</v>
      </c>
    </row>
    <row r="155" spans="2:11" ht="15" customHeight="1" x14ac:dyDescent="0.35">
      <c r="B155" s="34"/>
      <c r="C155" s="34" t="s">
        <v>925</v>
      </c>
      <c r="D155" s="69"/>
      <c r="E155" s="52">
        <f>E156+E157</f>
        <v>0</v>
      </c>
      <c r="F155" s="69"/>
      <c r="G155" s="52">
        <f>G156+G157</f>
        <v>0</v>
      </c>
      <c r="H155" s="69"/>
      <c r="I155" s="52">
        <f>I156+I157</f>
        <v>0</v>
      </c>
      <c r="J155" s="69"/>
      <c r="K155" s="94">
        <f t="shared" si="4"/>
        <v>0</v>
      </c>
    </row>
    <row r="156" spans="2:11" ht="15" customHeight="1" x14ac:dyDescent="0.35">
      <c r="B156" s="14" t="s">
        <v>926</v>
      </c>
      <c r="C156" s="14" t="s">
        <v>927</v>
      </c>
      <c r="D156" s="61"/>
      <c r="E156" s="30"/>
      <c r="F156" s="61"/>
      <c r="G156" s="30"/>
      <c r="H156" s="61"/>
      <c r="I156" s="30">
        <f>E156-G156</f>
        <v>0</v>
      </c>
      <c r="J156" s="61"/>
      <c r="K156" s="55">
        <f t="shared" si="4"/>
        <v>0</v>
      </c>
    </row>
    <row r="157" spans="2:11" ht="15" customHeight="1" x14ac:dyDescent="0.35">
      <c r="B157" s="14" t="s">
        <v>928</v>
      </c>
      <c r="C157" s="14" t="s">
        <v>929</v>
      </c>
      <c r="D157" s="61"/>
      <c r="E157" s="30"/>
      <c r="F157" s="61"/>
      <c r="G157" s="30"/>
      <c r="H157" s="61"/>
      <c r="I157" s="30">
        <f>E157-G157</f>
        <v>0</v>
      </c>
      <c r="J157" s="61"/>
      <c r="K157" s="55">
        <f t="shared" si="4"/>
        <v>0</v>
      </c>
    </row>
    <row r="158" spans="2:11" ht="15" customHeight="1" x14ac:dyDescent="0.35">
      <c r="B158" s="11"/>
      <c r="C158" s="11" t="s">
        <v>22</v>
      </c>
      <c r="D158" s="29"/>
      <c r="E158" s="29"/>
      <c r="F158" s="29"/>
      <c r="G158" s="29"/>
      <c r="H158" s="29"/>
      <c r="I158" s="29"/>
      <c r="J158" s="29"/>
      <c r="K158" s="93">
        <f t="shared" si="4"/>
        <v>0</v>
      </c>
    </row>
    <row r="159" spans="2:11" ht="15" customHeight="1" x14ac:dyDescent="0.35">
      <c r="B159" s="34"/>
      <c r="C159" s="34" t="s">
        <v>930</v>
      </c>
      <c r="D159" s="69"/>
      <c r="E159" s="52">
        <f>-(-E134-E138-E144-E148-E152-E155)</f>
        <v>245372.00748</v>
      </c>
      <c r="F159" s="69"/>
      <c r="G159" s="52">
        <f>-(-G134-G138-G144-G148-G152-G155)</f>
        <v>671929.02862999996</v>
      </c>
      <c r="H159" s="69"/>
      <c r="I159" s="52">
        <f>-(-I134-I138-I144-I148-I152-I155)</f>
        <v>-426557.02115000004</v>
      </c>
      <c r="J159" s="69"/>
      <c r="K159" s="94">
        <f t="shared" si="4"/>
        <v>-0.63482451713644472</v>
      </c>
    </row>
    <row r="160" spans="2:11" ht="15" customHeight="1" x14ac:dyDescent="0.35">
      <c r="B160" s="11"/>
      <c r="C160" s="11" t="s">
        <v>22</v>
      </c>
      <c r="D160" s="29"/>
      <c r="E160" s="29"/>
      <c r="F160" s="29"/>
      <c r="G160" s="29"/>
      <c r="H160" s="29"/>
      <c r="I160" s="29"/>
      <c r="J160" s="29"/>
      <c r="K160" s="93">
        <f t="shared" si="4"/>
        <v>0</v>
      </c>
    </row>
    <row r="161" spans="2:11" ht="15" customHeight="1" x14ac:dyDescent="0.35">
      <c r="B161" s="40"/>
      <c r="C161" s="40" t="s">
        <v>931</v>
      </c>
      <c r="D161" s="53"/>
      <c r="E161" s="53">
        <f>E132+E159</f>
        <v>41106.346480000007</v>
      </c>
      <c r="F161" s="53"/>
      <c r="G161" s="53">
        <f>G132+G159</f>
        <v>417147.94316999993</v>
      </c>
      <c r="H161" s="53"/>
      <c r="I161" s="53">
        <f>I132+I159</f>
        <v>-376041.59669000003</v>
      </c>
      <c r="J161" s="53"/>
      <c r="K161" s="95">
        <f t="shared" si="4"/>
        <v>-0.90145859004452078</v>
      </c>
    </row>
    <row r="162" spans="2:11" ht="15" customHeight="1" x14ac:dyDescent="0.35">
      <c r="B162" s="11"/>
      <c r="C162" s="11" t="s">
        <v>22</v>
      </c>
      <c r="D162" s="29"/>
      <c r="E162" s="29"/>
      <c r="F162" s="29"/>
      <c r="G162" s="29"/>
      <c r="H162" s="29"/>
      <c r="I162" s="29"/>
      <c r="J162" s="29"/>
      <c r="K162" s="93">
        <f t="shared" si="4"/>
        <v>0</v>
      </c>
    </row>
    <row r="163" spans="2:11" ht="15" customHeight="1" x14ac:dyDescent="0.35">
      <c r="B163" s="34"/>
      <c r="C163" s="34" t="s">
        <v>932</v>
      </c>
      <c r="D163" s="69"/>
      <c r="E163" s="52"/>
      <c r="F163" s="69"/>
      <c r="G163" s="52"/>
      <c r="H163" s="69"/>
      <c r="I163" s="52"/>
      <c r="J163" s="69"/>
      <c r="K163" s="94">
        <f t="shared" si="4"/>
        <v>0</v>
      </c>
    </row>
    <row r="164" spans="2:11" ht="15" customHeight="1" x14ac:dyDescent="0.35">
      <c r="B164" s="11"/>
      <c r="C164" s="11" t="s">
        <v>22</v>
      </c>
      <c r="D164" s="29"/>
      <c r="E164" s="29"/>
      <c r="F164" s="29"/>
      <c r="G164" s="29"/>
      <c r="H164" s="29"/>
      <c r="I164" s="29"/>
      <c r="J164" s="29"/>
      <c r="K164" s="93">
        <f t="shared" si="4"/>
        <v>0</v>
      </c>
    </row>
    <row r="165" spans="2:11" ht="15" customHeight="1" x14ac:dyDescent="0.35">
      <c r="B165" s="34"/>
      <c r="C165" s="34" t="s">
        <v>933</v>
      </c>
      <c r="D165" s="69"/>
      <c r="E165" s="52">
        <f>-(-(E166+E167)-E168)</f>
        <v>0</v>
      </c>
      <c r="F165" s="69"/>
      <c r="G165" s="52">
        <f>-(-(G166+G167)-G168)</f>
        <v>0</v>
      </c>
      <c r="H165" s="69"/>
      <c r="I165" s="52">
        <f>-(-(I166+I167)-I168)</f>
        <v>0</v>
      </c>
      <c r="J165" s="69"/>
      <c r="K165" s="94">
        <f t="shared" si="4"/>
        <v>0</v>
      </c>
    </row>
    <row r="166" spans="2:11" ht="15" customHeight="1" x14ac:dyDescent="0.35">
      <c r="B166" s="14" t="s">
        <v>934</v>
      </c>
      <c r="C166" s="14" t="s">
        <v>935</v>
      </c>
      <c r="D166" s="61"/>
      <c r="E166" s="30"/>
      <c r="F166" s="61"/>
      <c r="G166" s="30"/>
      <c r="H166" s="61"/>
      <c r="I166" s="30">
        <f>E166-G166</f>
        <v>0</v>
      </c>
      <c r="J166" s="61"/>
      <c r="K166" s="55">
        <f t="shared" si="4"/>
        <v>0</v>
      </c>
    </row>
    <row r="167" spans="2:11" ht="15" customHeight="1" x14ac:dyDescent="0.35">
      <c r="B167" s="14" t="s">
        <v>936</v>
      </c>
      <c r="C167" s="14" t="s">
        <v>937</v>
      </c>
      <c r="D167" s="61"/>
      <c r="E167" s="30"/>
      <c r="F167" s="61"/>
      <c r="G167" s="30"/>
      <c r="H167" s="61"/>
      <c r="I167" s="30">
        <f>E167-G167</f>
        <v>0</v>
      </c>
      <c r="J167" s="61"/>
      <c r="K167" s="55">
        <f t="shared" si="4"/>
        <v>0</v>
      </c>
    </row>
    <row r="168" spans="2:11" ht="15" customHeight="1" x14ac:dyDescent="0.35">
      <c r="B168" s="14" t="s">
        <v>938</v>
      </c>
      <c r="C168" s="14" t="s">
        <v>939</v>
      </c>
      <c r="D168" s="61"/>
      <c r="E168" s="30"/>
      <c r="F168" s="61"/>
      <c r="G168" s="30"/>
      <c r="H168" s="61"/>
      <c r="I168" s="30">
        <f>E168-G168</f>
        <v>0</v>
      </c>
      <c r="J168" s="61"/>
      <c r="K168" s="55">
        <f t="shared" si="4"/>
        <v>0</v>
      </c>
    </row>
    <row r="169" spans="2:11" ht="15" customHeight="1" x14ac:dyDescent="0.35">
      <c r="B169" s="11"/>
      <c r="C169" s="11" t="s">
        <v>22</v>
      </c>
      <c r="D169" s="29"/>
      <c r="E169" s="29"/>
      <c r="F169" s="29"/>
      <c r="G169" s="29"/>
      <c r="H169" s="29"/>
      <c r="I169" s="29"/>
      <c r="J169" s="29"/>
      <c r="K169" s="93">
        <f t="shared" si="4"/>
        <v>0</v>
      </c>
    </row>
    <row r="170" spans="2:11" ht="15" customHeight="1" x14ac:dyDescent="0.35">
      <c r="B170" s="34"/>
      <c r="C170" s="34" t="s">
        <v>940</v>
      </c>
      <c r="D170" s="69"/>
      <c r="E170" s="52">
        <f>E171+E172</f>
        <v>0</v>
      </c>
      <c r="F170" s="69"/>
      <c r="G170" s="52">
        <f>G171+G172</f>
        <v>0</v>
      </c>
      <c r="H170" s="69"/>
      <c r="I170" s="52">
        <f>I171+I172</f>
        <v>0</v>
      </c>
      <c r="J170" s="69"/>
      <c r="K170" s="94">
        <f t="shared" si="4"/>
        <v>0</v>
      </c>
    </row>
    <row r="171" spans="2:11" ht="15" customHeight="1" x14ac:dyDescent="0.35">
      <c r="B171" s="14" t="s">
        <v>941</v>
      </c>
      <c r="C171" s="14" t="s">
        <v>942</v>
      </c>
      <c r="D171" s="61"/>
      <c r="E171" s="30"/>
      <c r="F171" s="61"/>
      <c r="G171" s="30"/>
      <c r="H171" s="61"/>
      <c r="I171" s="30">
        <f>E171-G171</f>
        <v>0</v>
      </c>
      <c r="J171" s="61"/>
      <c r="K171" s="55">
        <f t="shared" si="4"/>
        <v>0</v>
      </c>
    </row>
    <row r="172" spans="2:11" ht="15" customHeight="1" x14ac:dyDescent="0.35">
      <c r="B172" s="14" t="s">
        <v>943</v>
      </c>
      <c r="C172" s="14" t="s">
        <v>944</v>
      </c>
      <c r="D172" s="61"/>
      <c r="E172" s="30"/>
      <c r="F172" s="61"/>
      <c r="G172" s="30"/>
      <c r="H172" s="61"/>
      <c r="I172" s="30">
        <f>E172-G172</f>
        <v>0</v>
      </c>
      <c r="J172" s="61"/>
      <c r="K172" s="55">
        <f t="shared" si="4"/>
        <v>0</v>
      </c>
    </row>
    <row r="173" spans="2:11" ht="15" customHeight="1" x14ac:dyDescent="0.35">
      <c r="B173" s="11"/>
      <c r="C173" s="11" t="s">
        <v>22</v>
      </c>
      <c r="D173" s="29"/>
      <c r="E173" s="29"/>
      <c r="F173" s="29"/>
      <c r="G173" s="29"/>
      <c r="H173" s="29"/>
      <c r="I173" s="29"/>
      <c r="J173" s="29"/>
      <c r="K173" s="93">
        <f t="shared" si="4"/>
        <v>0</v>
      </c>
    </row>
    <row r="174" spans="2:11" ht="15" customHeight="1" x14ac:dyDescent="0.35">
      <c r="B174" s="14" t="s">
        <v>945</v>
      </c>
      <c r="C174" s="14" t="s">
        <v>946</v>
      </c>
      <c r="D174" s="61"/>
      <c r="E174" s="30"/>
      <c r="F174" s="61"/>
      <c r="G174" s="30"/>
      <c r="H174" s="61"/>
      <c r="I174" s="30">
        <f>E174-G174</f>
        <v>0</v>
      </c>
      <c r="J174" s="61"/>
      <c r="K174" s="55">
        <f t="shared" si="4"/>
        <v>0</v>
      </c>
    </row>
    <row r="175" spans="2:11" ht="15" customHeight="1" x14ac:dyDescent="0.35">
      <c r="B175" s="11"/>
      <c r="C175" s="11" t="s">
        <v>22</v>
      </c>
      <c r="D175" s="29"/>
      <c r="E175" s="29"/>
      <c r="F175" s="29"/>
      <c r="G175" s="29"/>
      <c r="H175" s="29"/>
      <c r="I175" s="29"/>
      <c r="J175" s="29"/>
      <c r="K175" s="93">
        <f t="shared" si="4"/>
        <v>0</v>
      </c>
    </row>
    <row r="176" spans="2:11" ht="15" customHeight="1" x14ac:dyDescent="0.35">
      <c r="B176" s="14" t="s">
        <v>947</v>
      </c>
      <c r="C176" s="14" t="s">
        <v>948</v>
      </c>
      <c r="D176" s="61"/>
      <c r="E176" s="30"/>
      <c r="F176" s="61"/>
      <c r="G176" s="30"/>
      <c r="H176" s="61"/>
      <c r="I176" s="30">
        <f>E176-G176</f>
        <v>0</v>
      </c>
      <c r="J176" s="61"/>
      <c r="K176" s="55">
        <f t="shared" si="4"/>
        <v>0</v>
      </c>
    </row>
    <row r="177" spans="2:11" ht="15" customHeight="1" x14ac:dyDescent="0.35">
      <c r="B177" s="11"/>
      <c r="C177" s="11" t="s">
        <v>22</v>
      </c>
      <c r="D177" s="29"/>
      <c r="E177" s="29"/>
      <c r="F177" s="29"/>
      <c r="G177" s="29"/>
      <c r="H177" s="29"/>
      <c r="I177" s="29"/>
      <c r="J177" s="29"/>
      <c r="K177" s="93">
        <f t="shared" si="4"/>
        <v>0</v>
      </c>
    </row>
    <row r="178" spans="2:11" ht="15" customHeight="1" x14ac:dyDescent="0.35">
      <c r="B178" s="14" t="s">
        <v>949</v>
      </c>
      <c r="C178" s="14" t="s">
        <v>950</v>
      </c>
      <c r="D178" s="61"/>
      <c r="E178" s="30"/>
      <c r="F178" s="61"/>
      <c r="G178" s="30"/>
      <c r="H178" s="61"/>
      <c r="I178" s="30">
        <f>E178-G178</f>
        <v>0</v>
      </c>
      <c r="J178" s="61"/>
      <c r="K178" s="55">
        <f t="shared" si="4"/>
        <v>0</v>
      </c>
    </row>
    <row r="179" spans="2:11" ht="15" customHeight="1" x14ac:dyDescent="0.35">
      <c r="B179" s="11"/>
      <c r="C179" s="11" t="s">
        <v>22</v>
      </c>
      <c r="D179" s="29"/>
      <c r="E179" s="29"/>
      <c r="F179" s="29"/>
      <c r="G179" s="29"/>
      <c r="H179" s="29"/>
      <c r="I179" s="29"/>
      <c r="J179" s="29"/>
      <c r="K179" s="93">
        <f t="shared" si="4"/>
        <v>0</v>
      </c>
    </row>
    <row r="180" spans="2:11" ht="15" customHeight="1" x14ac:dyDescent="0.35">
      <c r="B180" s="34"/>
      <c r="C180" s="34" t="s">
        <v>951</v>
      </c>
      <c r="D180" s="69"/>
      <c r="E180" s="52">
        <f>E181+E182</f>
        <v>0</v>
      </c>
      <c r="F180" s="69"/>
      <c r="G180" s="52">
        <f>G181+G182</f>
        <v>0</v>
      </c>
      <c r="H180" s="69"/>
      <c r="I180" s="52">
        <f>I181+I182</f>
        <v>0</v>
      </c>
      <c r="J180" s="69"/>
      <c r="K180" s="94">
        <f t="shared" si="4"/>
        <v>0</v>
      </c>
    </row>
    <row r="181" spans="2:11" ht="15" customHeight="1" x14ac:dyDescent="0.35">
      <c r="B181" s="14" t="s">
        <v>952</v>
      </c>
      <c r="C181" s="14" t="s">
        <v>953</v>
      </c>
      <c r="D181" s="61"/>
      <c r="E181" s="30"/>
      <c r="F181" s="61"/>
      <c r="G181" s="30"/>
      <c r="H181" s="61"/>
      <c r="I181" s="30">
        <f>E181-G181</f>
        <v>0</v>
      </c>
      <c r="J181" s="61"/>
      <c r="K181" s="55">
        <f t="shared" si="4"/>
        <v>0</v>
      </c>
    </row>
    <row r="182" spans="2:11" ht="15" customHeight="1" x14ac:dyDescent="0.35">
      <c r="B182" s="14" t="s">
        <v>954</v>
      </c>
      <c r="C182" s="14" t="s">
        <v>955</v>
      </c>
      <c r="D182" s="61"/>
      <c r="E182" s="30"/>
      <c r="F182" s="61"/>
      <c r="G182" s="30"/>
      <c r="H182" s="61"/>
      <c r="I182" s="30">
        <f>E182-G182</f>
        <v>0</v>
      </c>
      <c r="J182" s="61"/>
      <c r="K182" s="55">
        <f t="shared" si="4"/>
        <v>0</v>
      </c>
    </row>
    <row r="183" spans="2:11" ht="15" customHeight="1" x14ac:dyDescent="0.35">
      <c r="B183" s="11"/>
      <c r="C183" s="11" t="s">
        <v>22</v>
      </c>
      <c r="D183" s="29"/>
      <c r="E183" s="29"/>
      <c r="F183" s="29"/>
      <c r="G183" s="29"/>
      <c r="H183" s="29"/>
      <c r="I183" s="29"/>
      <c r="J183" s="29"/>
      <c r="K183" s="93">
        <f t="shared" si="4"/>
        <v>0</v>
      </c>
    </row>
    <row r="184" spans="2:11" ht="15" customHeight="1" x14ac:dyDescent="0.35">
      <c r="B184" s="34"/>
      <c r="C184" s="34" t="s">
        <v>956</v>
      </c>
      <c r="D184" s="69"/>
      <c r="E184" s="52">
        <f>-(-(E185+E186)-E187-E188-E189)</f>
        <v>0</v>
      </c>
      <c r="F184" s="69"/>
      <c r="G184" s="52">
        <f>-(-(G185+G186)-G187-G188-G189)</f>
        <v>-105714.101</v>
      </c>
      <c r="H184" s="69"/>
      <c r="I184" s="52">
        <f>-(-(I185+I186)-I187-I188-I189)</f>
        <v>105714.101</v>
      </c>
      <c r="J184" s="69"/>
      <c r="K184" s="94">
        <f t="shared" si="4"/>
        <v>1</v>
      </c>
    </row>
    <row r="185" spans="2:11" ht="15" customHeight="1" x14ac:dyDescent="0.35">
      <c r="B185" s="14" t="s">
        <v>957</v>
      </c>
      <c r="C185" s="14" t="s">
        <v>958</v>
      </c>
      <c r="D185" s="61"/>
      <c r="E185" s="30"/>
      <c r="F185" s="61"/>
      <c r="G185" s="30"/>
      <c r="H185" s="61"/>
      <c r="I185" s="30">
        <f>E185-G185</f>
        <v>0</v>
      </c>
      <c r="J185" s="61"/>
      <c r="K185" s="55">
        <f t="shared" si="4"/>
        <v>0</v>
      </c>
    </row>
    <row r="186" spans="2:11" ht="15" customHeight="1" x14ac:dyDescent="0.35">
      <c r="B186" s="14" t="s">
        <v>959</v>
      </c>
      <c r="C186" s="14" t="s">
        <v>960</v>
      </c>
      <c r="D186" s="61"/>
      <c r="E186" s="30">
        <v>200</v>
      </c>
      <c r="F186" s="61"/>
      <c r="G186" s="30">
        <v>1100</v>
      </c>
      <c r="H186" s="61"/>
      <c r="I186" s="30">
        <f>E186-G186</f>
        <v>-900</v>
      </c>
      <c r="J186" s="61"/>
      <c r="K186" s="55">
        <f t="shared" si="4"/>
        <v>-0.81818181818181823</v>
      </c>
    </row>
    <row r="187" spans="2:11" ht="15" customHeight="1" x14ac:dyDescent="0.35">
      <c r="B187" s="14" t="s">
        <v>961</v>
      </c>
      <c r="C187" s="14" t="s">
        <v>962</v>
      </c>
      <c r="D187" s="61"/>
      <c r="E187" s="30"/>
      <c r="F187" s="61"/>
      <c r="G187" s="30">
        <v>-105714.101</v>
      </c>
      <c r="H187" s="61"/>
      <c r="I187" s="30">
        <f>E187-G187</f>
        <v>105714.101</v>
      </c>
      <c r="J187" s="61"/>
      <c r="K187" s="55">
        <f t="shared" si="4"/>
        <v>1</v>
      </c>
    </row>
    <row r="188" spans="2:11" ht="15" customHeight="1" x14ac:dyDescent="0.35">
      <c r="B188" s="14" t="s">
        <v>963</v>
      </c>
      <c r="C188" s="14" t="s">
        <v>964</v>
      </c>
      <c r="D188" s="61"/>
      <c r="E188" s="30">
        <v>-200</v>
      </c>
      <c r="F188" s="61"/>
      <c r="G188" s="30">
        <v>-1100</v>
      </c>
      <c r="H188" s="61"/>
      <c r="I188" s="30">
        <f>E188-G188</f>
        <v>900</v>
      </c>
      <c r="J188" s="61"/>
      <c r="K188" s="55">
        <f t="shared" si="4"/>
        <v>0.81818181818181823</v>
      </c>
    </row>
    <row r="189" spans="2:11" ht="15" customHeight="1" x14ac:dyDescent="0.35">
      <c r="B189" s="14" t="s">
        <v>965</v>
      </c>
      <c r="C189" s="14" t="s">
        <v>966</v>
      </c>
      <c r="D189" s="61"/>
      <c r="E189" s="30"/>
      <c r="F189" s="61"/>
      <c r="G189" s="30"/>
      <c r="H189" s="61"/>
      <c r="I189" s="30">
        <f>E189-G189</f>
        <v>0</v>
      </c>
      <c r="J189" s="61"/>
      <c r="K189" s="55">
        <f t="shared" si="4"/>
        <v>0</v>
      </c>
    </row>
    <row r="190" spans="2:11" ht="15" customHeight="1" x14ac:dyDescent="0.35">
      <c r="B190" s="11"/>
      <c r="C190" s="11" t="s">
        <v>22</v>
      </c>
      <c r="D190" s="29"/>
      <c r="E190" s="29"/>
      <c r="F190" s="29"/>
      <c r="G190" s="29"/>
      <c r="H190" s="29"/>
      <c r="I190" s="29"/>
      <c r="J190" s="29"/>
      <c r="K190" s="93">
        <f t="shared" si="4"/>
        <v>0</v>
      </c>
    </row>
    <row r="191" spans="2:11" ht="15" customHeight="1" x14ac:dyDescent="0.35">
      <c r="B191" s="34"/>
      <c r="C191" s="34" t="s">
        <v>967</v>
      </c>
      <c r="D191" s="69"/>
      <c r="E191" s="52">
        <f>E193+E198+E202</f>
        <v>69236.507869999987</v>
      </c>
      <c r="F191" s="69"/>
      <c r="G191" s="52">
        <f>G193+G198+G202</f>
        <v>-157422.30273</v>
      </c>
      <c r="H191" s="69"/>
      <c r="I191" s="52">
        <f>I193+I198+I202</f>
        <v>226658.8106</v>
      </c>
      <c r="J191" s="69"/>
      <c r="K191" s="94">
        <f t="shared" si="4"/>
        <v>1.439813842570641</v>
      </c>
    </row>
    <row r="192" spans="2:11" ht="15" customHeight="1" x14ac:dyDescent="0.35">
      <c r="B192" s="11"/>
      <c r="C192" s="11" t="s">
        <v>22</v>
      </c>
      <c r="D192" s="29"/>
      <c r="E192" s="29"/>
      <c r="F192" s="29"/>
      <c r="G192" s="29"/>
      <c r="H192" s="29"/>
      <c r="I192" s="29"/>
      <c r="J192" s="29"/>
      <c r="K192" s="93">
        <f t="shared" si="4"/>
        <v>0</v>
      </c>
    </row>
    <row r="193" spans="2:11" ht="15" customHeight="1" x14ac:dyDescent="0.35">
      <c r="B193" s="34"/>
      <c r="C193" s="34" t="s">
        <v>968</v>
      </c>
      <c r="D193" s="69"/>
      <c r="E193" s="52">
        <f>-(-(E194+E195)-E196)</f>
        <v>76157.919899999994</v>
      </c>
      <c r="F193" s="69"/>
      <c r="G193" s="52">
        <f>-(-(G194+G195)-G196)</f>
        <v>73425.219809999995</v>
      </c>
      <c r="H193" s="69"/>
      <c r="I193" s="52">
        <f>-(-(I194+I195)-I196)</f>
        <v>2732.7000900000021</v>
      </c>
      <c r="J193" s="69"/>
      <c r="K193" s="94">
        <f t="shared" si="4"/>
        <v>3.721745875696824E-2</v>
      </c>
    </row>
    <row r="194" spans="2:11" ht="15" customHeight="1" x14ac:dyDescent="0.35">
      <c r="B194" s="14" t="s">
        <v>969</v>
      </c>
      <c r="C194" s="14" t="s">
        <v>970</v>
      </c>
      <c r="D194" s="61"/>
      <c r="E194" s="30">
        <v>76361.240319999997</v>
      </c>
      <c r="F194" s="61"/>
      <c r="G194" s="30">
        <v>73425.219809999995</v>
      </c>
      <c r="H194" s="61"/>
      <c r="I194" s="30">
        <f>E194-G194</f>
        <v>2936.0205100000021</v>
      </c>
      <c r="J194" s="61"/>
      <c r="K194" s="55">
        <f t="shared" si="4"/>
        <v>3.9986540286803977E-2</v>
      </c>
    </row>
    <row r="195" spans="2:11" ht="15" customHeight="1" x14ac:dyDescent="0.35">
      <c r="B195" s="14" t="s">
        <v>971</v>
      </c>
      <c r="C195" s="14" t="s">
        <v>972</v>
      </c>
      <c r="D195" s="61"/>
      <c r="E195" s="30">
        <v>-203.32042000000001</v>
      </c>
      <c r="F195" s="61"/>
      <c r="G195" s="30"/>
      <c r="H195" s="61"/>
      <c r="I195" s="30">
        <f>E195-G195</f>
        <v>-203.32042000000001</v>
      </c>
      <c r="J195" s="61"/>
      <c r="K195" s="55">
        <f t="shared" si="4"/>
        <v>-1</v>
      </c>
    </row>
    <row r="196" spans="2:11" ht="15" customHeight="1" x14ac:dyDescent="0.35">
      <c r="B196" s="14" t="s">
        <v>973</v>
      </c>
      <c r="C196" s="14" t="s">
        <v>974</v>
      </c>
      <c r="D196" s="61"/>
      <c r="E196" s="30"/>
      <c r="F196" s="61"/>
      <c r="G196" s="30"/>
      <c r="H196" s="61"/>
      <c r="I196" s="30">
        <f>E196-G196</f>
        <v>0</v>
      </c>
      <c r="J196" s="61"/>
      <c r="K196" s="55">
        <f t="shared" si="4"/>
        <v>0</v>
      </c>
    </row>
    <row r="197" spans="2:11" ht="15" customHeight="1" x14ac:dyDescent="0.35">
      <c r="B197" s="11"/>
      <c r="C197" s="11" t="s">
        <v>22</v>
      </c>
      <c r="D197" s="29"/>
      <c r="E197" s="29"/>
      <c r="F197" s="29"/>
      <c r="G197" s="29"/>
      <c r="H197" s="29"/>
      <c r="I197" s="29"/>
      <c r="J197" s="29"/>
      <c r="K197" s="93">
        <f t="shared" si="4"/>
        <v>0</v>
      </c>
    </row>
    <row r="198" spans="2:11" ht="15" customHeight="1" x14ac:dyDescent="0.35">
      <c r="B198" s="34" t="s">
        <v>975</v>
      </c>
      <c r="C198" s="34" t="s">
        <v>976</v>
      </c>
      <c r="D198" s="69"/>
      <c r="E198" s="52">
        <f>E199+E200</f>
        <v>-6889.3020300000007</v>
      </c>
      <c r="F198" s="69"/>
      <c r="G198" s="52">
        <f>G199+G200</f>
        <v>-20846.457539999999</v>
      </c>
      <c r="H198" s="69"/>
      <c r="I198" s="52">
        <f>I199+I200</f>
        <v>13957.155509999997</v>
      </c>
      <c r="J198" s="69"/>
      <c r="K198" s="94">
        <f t="shared" si="4"/>
        <v>0.66952169130986061</v>
      </c>
    </row>
    <row r="199" spans="2:11" ht="15" customHeight="1" x14ac:dyDescent="0.35">
      <c r="B199" s="14" t="s">
        <v>977</v>
      </c>
      <c r="C199" s="14" t="s">
        <v>978</v>
      </c>
      <c r="D199" s="61"/>
      <c r="E199" s="30">
        <v>-8474.1310300000005</v>
      </c>
      <c r="F199" s="61"/>
      <c r="G199" s="30">
        <v>-26299.573649999998</v>
      </c>
      <c r="H199" s="61"/>
      <c r="I199" s="30">
        <f>E199-G199</f>
        <v>17825.442619999998</v>
      </c>
      <c r="J199" s="61"/>
      <c r="K199" s="55">
        <f t="shared" si="4"/>
        <v>0.67778447123229313</v>
      </c>
    </row>
    <row r="200" spans="2:11" ht="15" customHeight="1" x14ac:dyDescent="0.35">
      <c r="B200" s="14" t="s">
        <v>979</v>
      </c>
      <c r="C200" s="14" t="s">
        <v>980</v>
      </c>
      <c r="D200" s="61"/>
      <c r="E200" s="30">
        <v>1584.829</v>
      </c>
      <c r="F200" s="61"/>
      <c r="G200" s="30">
        <v>5453.1161099999999</v>
      </c>
      <c r="H200" s="61"/>
      <c r="I200" s="30">
        <f>E200-G200</f>
        <v>-3868.2871100000002</v>
      </c>
      <c r="J200" s="61"/>
      <c r="K200" s="55">
        <f t="shared" si="4"/>
        <v>-0.70937185857940599</v>
      </c>
    </row>
    <row r="201" spans="2:11" ht="15" customHeight="1" x14ac:dyDescent="0.35">
      <c r="B201" s="11"/>
      <c r="C201" s="11" t="s">
        <v>22</v>
      </c>
      <c r="D201" s="29"/>
      <c r="E201" s="29"/>
      <c r="F201" s="29"/>
      <c r="G201" s="29"/>
      <c r="H201" s="29"/>
      <c r="I201" s="29"/>
      <c r="J201" s="29"/>
      <c r="K201" s="93">
        <f t="shared" ref="K201:K239" si="5">IF(ROUND(I201, 2)=0, 0, IFERROR(I201/ABS(G201), IF(I201&lt;0, -1, 1)))</f>
        <v>0</v>
      </c>
    </row>
    <row r="202" spans="2:11" ht="15" customHeight="1" x14ac:dyDescent="0.35">
      <c r="B202" s="34"/>
      <c r="C202" s="34" t="s">
        <v>981</v>
      </c>
      <c r="D202" s="69"/>
      <c r="E202" s="52">
        <f>E204+E208</f>
        <v>-32.11</v>
      </c>
      <c r="F202" s="69"/>
      <c r="G202" s="52">
        <f>G204+G208</f>
        <v>-210001.065</v>
      </c>
      <c r="H202" s="69"/>
      <c r="I202" s="52">
        <f>I204+I208</f>
        <v>209968.95499999999</v>
      </c>
      <c r="J202" s="69"/>
      <c r="K202" s="94">
        <f t="shared" si="5"/>
        <v>0.99984709601353683</v>
      </c>
    </row>
    <row r="203" spans="2:11" ht="15" customHeight="1" x14ac:dyDescent="0.35">
      <c r="B203" s="11"/>
      <c r="C203" s="11" t="s">
        <v>22</v>
      </c>
      <c r="D203" s="29"/>
      <c r="E203" s="29"/>
      <c r="F203" s="29"/>
      <c r="G203" s="29"/>
      <c r="H203" s="29"/>
      <c r="I203" s="29"/>
      <c r="J203" s="29"/>
      <c r="K203" s="93">
        <f t="shared" si="5"/>
        <v>0</v>
      </c>
    </row>
    <row r="204" spans="2:11" ht="15" customHeight="1" x14ac:dyDescent="0.35">
      <c r="B204" s="34"/>
      <c r="C204" s="34" t="s">
        <v>982</v>
      </c>
      <c r="D204" s="69"/>
      <c r="E204" s="52">
        <f>E205+E206</f>
        <v>0</v>
      </c>
      <c r="F204" s="69"/>
      <c r="G204" s="52">
        <f>G205+G206</f>
        <v>-210000</v>
      </c>
      <c r="H204" s="69"/>
      <c r="I204" s="52">
        <f>I205+I206</f>
        <v>210000</v>
      </c>
      <c r="J204" s="69"/>
      <c r="K204" s="94">
        <f t="shared" si="5"/>
        <v>1</v>
      </c>
    </row>
    <row r="205" spans="2:11" ht="15" customHeight="1" x14ac:dyDescent="0.35">
      <c r="B205" s="14" t="s">
        <v>983</v>
      </c>
      <c r="C205" s="14" t="s">
        <v>984</v>
      </c>
      <c r="D205" s="61"/>
      <c r="E205" s="30"/>
      <c r="F205" s="61"/>
      <c r="G205" s="30">
        <v>-210000</v>
      </c>
      <c r="H205" s="61"/>
      <c r="I205" s="30">
        <f>E205-G205</f>
        <v>210000</v>
      </c>
      <c r="J205" s="61"/>
      <c r="K205" s="55">
        <f t="shared" si="5"/>
        <v>1</v>
      </c>
    </row>
    <row r="206" spans="2:11" ht="15" customHeight="1" x14ac:dyDescent="0.35">
      <c r="B206" s="14" t="s">
        <v>985</v>
      </c>
      <c r="C206" s="14" t="s">
        <v>986</v>
      </c>
      <c r="D206" s="61"/>
      <c r="E206" s="30"/>
      <c r="F206" s="61"/>
      <c r="G206" s="30"/>
      <c r="H206" s="61"/>
      <c r="I206" s="30">
        <f>E206-G206</f>
        <v>0</v>
      </c>
      <c r="J206" s="61"/>
      <c r="K206" s="55">
        <f t="shared" si="5"/>
        <v>0</v>
      </c>
    </row>
    <row r="207" spans="2:11" ht="15" customHeight="1" x14ac:dyDescent="0.35">
      <c r="B207" s="11"/>
      <c r="C207" s="11" t="s">
        <v>22</v>
      </c>
      <c r="D207" s="29"/>
      <c r="E207" s="29"/>
      <c r="F207" s="29"/>
      <c r="G207" s="29"/>
      <c r="H207" s="29"/>
      <c r="I207" s="29"/>
      <c r="J207" s="29"/>
      <c r="K207" s="93">
        <f t="shared" si="5"/>
        <v>0</v>
      </c>
    </row>
    <row r="208" spans="2:11" ht="15" customHeight="1" x14ac:dyDescent="0.35">
      <c r="B208" s="34"/>
      <c r="C208" s="34" t="s">
        <v>987</v>
      </c>
      <c r="D208" s="69"/>
      <c r="E208" s="52">
        <f>-(-(E209+E210)-E211)</f>
        <v>-32.11</v>
      </c>
      <c r="F208" s="69"/>
      <c r="G208" s="52">
        <f>-(-(G209+G210)-G211)</f>
        <v>-1.0649999999999999</v>
      </c>
      <c r="H208" s="69"/>
      <c r="I208" s="52">
        <f>-(-(I209+I210)-I211)</f>
        <v>-31.044999999999998</v>
      </c>
      <c r="J208" s="69"/>
      <c r="K208" s="94">
        <f t="shared" si="5"/>
        <v>-29.150234741784036</v>
      </c>
    </row>
    <row r="209" spans="2:11" ht="15" customHeight="1" x14ac:dyDescent="0.35">
      <c r="B209" s="14" t="s">
        <v>988</v>
      </c>
      <c r="C209" s="14" t="s">
        <v>989</v>
      </c>
      <c r="D209" s="61"/>
      <c r="E209" s="30"/>
      <c r="F209" s="61"/>
      <c r="G209" s="30"/>
      <c r="H209" s="61"/>
      <c r="I209" s="30">
        <f>E209-G209</f>
        <v>0</v>
      </c>
      <c r="J209" s="61"/>
      <c r="K209" s="55">
        <f t="shared" si="5"/>
        <v>0</v>
      </c>
    </row>
    <row r="210" spans="2:11" ht="15" customHeight="1" x14ac:dyDescent="0.35">
      <c r="B210" s="14" t="s">
        <v>990</v>
      </c>
      <c r="C210" s="14" t="s">
        <v>991</v>
      </c>
      <c r="D210" s="61"/>
      <c r="E210" s="30"/>
      <c r="F210" s="61"/>
      <c r="G210" s="30"/>
      <c r="H210" s="61"/>
      <c r="I210" s="30">
        <f>E210-G210</f>
        <v>0</v>
      </c>
      <c r="J210" s="61"/>
      <c r="K210" s="55">
        <f t="shared" si="5"/>
        <v>0</v>
      </c>
    </row>
    <row r="211" spans="2:11" ht="15" customHeight="1" x14ac:dyDescent="0.35">
      <c r="B211" s="14" t="s">
        <v>992</v>
      </c>
      <c r="C211" s="14" t="s">
        <v>993</v>
      </c>
      <c r="D211" s="61"/>
      <c r="E211" s="30">
        <v>-32.11</v>
      </c>
      <c r="F211" s="61"/>
      <c r="G211" s="30">
        <v>-1.0649999999999999</v>
      </c>
      <c r="H211" s="61"/>
      <c r="I211" s="30">
        <f>E211-G211</f>
        <v>-31.044999999999998</v>
      </c>
      <c r="J211" s="61"/>
      <c r="K211" s="55">
        <f t="shared" si="5"/>
        <v>-29.150234741784036</v>
      </c>
    </row>
    <row r="212" spans="2:11" ht="15" customHeight="1" x14ac:dyDescent="0.35">
      <c r="B212" s="11"/>
      <c r="C212" s="11" t="s">
        <v>22</v>
      </c>
      <c r="D212" s="29"/>
      <c r="E212" s="29"/>
      <c r="F212" s="29"/>
      <c r="G212" s="29"/>
      <c r="H212" s="29"/>
      <c r="I212" s="29"/>
      <c r="J212" s="29"/>
      <c r="K212" s="93">
        <f t="shared" si="5"/>
        <v>0</v>
      </c>
    </row>
    <row r="213" spans="2:11" ht="15" customHeight="1" x14ac:dyDescent="0.35">
      <c r="B213" s="40"/>
      <c r="C213" s="40" t="s">
        <v>994</v>
      </c>
      <c r="D213" s="53"/>
      <c r="E213" s="53">
        <f>E165+E170+E174+E176+E178+E180+E184+E191</f>
        <v>69236.507869999987</v>
      </c>
      <c r="F213" s="53"/>
      <c r="G213" s="53">
        <f>G165+G170+G174+G176+G178+G180+G184+G191</f>
        <v>-263136.40373000002</v>
      </c>
      <c r="H213" s="53"/>
      <c r="I213" s="53">
        <f>I165+I170+I174+I176+I178+I180+I184+I191</f>
        <v>332372.91159999999</v>
      </c>
      <c r="J213" s="53"/>
      <c r="K213" s="95">
        <f t="shared" si="5"/>
        <v>1.2631202178359267</v>
      </c>
    </row>
    <row r="214" spans="2:11" ht="15" customHeight="1" x14ac:dyDescent="0.35">
      <c r="B214" s="11"/>
      <c r="C214" s="11" t="s">
        <v>22</v>
      </c>
      <c r="D214" s="29"/>
      <c r="E214" s="29"/>
      <c r="F214" s="29"/>
      <c r="G214" s="29"/>
      <c r="H214" s="29"/>
      <c r="I214" s="29"/>
      <c r="J214" s="29"/>
      <c r="K214" s="93">
        <f t="shared" si="5"/>
        <v>0</v>
      </c>
    </row>
    <row r="215" spans="2:11" ht="15" customHeight="1" x14ac:dyDescent="0.35">
      <c r="B215" s="40" t="s">
        <v>995</v>
      </c>
      <c r="C215" s="40" t="s">
        <v>996</v>
      </c>
      <c r="D215" s="53"/>
      <c r="E215" s="53">
        <f>E102+E161+E213</f>
        <v>873.71947000005457</v>
      </c>
      <c r="F215" s="53"/>
      <c r="G215" s="53">
        <f>G102+G161+G213</f>
        <v>-4651.7084200001264</v>
      </c>
      <c r="H215" s="53"/>
      <c r="I215" s="53">
        <f>I102+I161+I213</f>
        <v>5525.4278899999335</v>
      </c>
      <c r="J215" s="53"/>
      <c r="K215" s="95">
        <f t="shared" si="5"/>
        <v>1.187827651931757</v>
      </c>
    </row>
    <row r="216" spans="2:11" ht="15" customHeight="1" x14ac:dyDescent="0.35">
      <c r="B216" s="11"/>
      <c r="C216" s="11" t="s">
        <v>22</v>
      </c>
      <c r="D216" s="29"/>
      <c r="E216" s="29"/>
      <c r="F216" s="29"/>
      <c r="G216" s="29"/>
      <c r="H216" s="29"/>
      <c r="I216" s="29"/>
      <c r="J216" s="29"/>
      <c r="K216" s="93">
        <f t="shared" si="5"/>
        <v>0</v>
      </c>
    </row>
    <row r="217" spans="2:11" ht="15" customHeight="1" x14ac:dyDescent="0.35">
      <c r="B217" s="14" t="s">
        <v>997</v>
      </c>
      <c r="C217" s="14" t="s">
        <v>998</v>
      </c>
      <c r="D217" s="61"/>
      <c r="E217" s="30">
        <v>1955.4903200000001</v>
      </c>
      <c r="F217" s="61"/>
      <c r="G217" s="30">
        <v>872.16663000000005</v>
      </c>
      <c r="H217" s="61"/>
      <c r="I217" s="30">
        <f>E217-G217</f>
        <v>1083.3236900000002</v>
      </c>
      <c r="J217" s="61"/>
      <c r="K217" s="55">
        <f t="shared" si="5"/>
        <v>1.2421063277782138</v>
      </c>
    </row>
    <row r="218" spans="2:11" ht="15" customHeight="1" x14ac:dyDescent="0.35">
      <c r="B218" s="14" t="s">
        <v>999</v>
      </c>
      <c r="C218" s="14" t="s">
        <v>996</v>
      </c>
      <c r="D218" s="61"/>
      <c r="E218" s="30">
        <f>E220-E219-E217</f>
        <v>873.71523999999977</v>
      </c>
      <c r="F218" s="61"/>
      <c r="G218" s="30">
        <f>G220-G219-G217</f>
        <v>-4651.7094999999999</v>
      </c>
      <c r="H218" s="61"/>
      <c r="I218" s="30">
        <f>I220-I219-I217</f>
        <v>5525.4247399999995</v>
      </c>
      <c r="J218" s="61"/>
      <c r="K218" s="55">
        <f t="shared" si="5"/>
        <v>1.1878266989802351</v>
      </c>
    </row>
    <row r="219" spans="2:11" ht="15" customHeight="1" x14ac:dyDescent="0.35">
      <c r="B219" s="14" t="s">
        <v>1000</v>
      </c>
      <c r="C219" s="14" t="s">
        <v>1001</v>
      </c>
      <c r="D219" s="61"/>
      <c r="E219" s="30"/>
      <c r="F219" s="61"/>
      <c r="G219" s="30"/>
      <c r="H219" s="61"/>
      <c r="I219" s="30">
        <f>E219-G219</f>
        <v>0</v>
      </c>
      <c r="J219" s="61"/>
      <c r="K219" s="55">
        <f t="shared" si="5"/>
        <v>0</v>
      </c>
    </row>
    <row r="220" spans="2:11" ht="15" customHeight="1" x14ac:dyDescent="0.35">
      <c r="B220" s="14" t="s">
        <v>1002</v>
      </c>
      <c r="C220" s="14" t="s">
        <v>1003</v>
      </c>
      <c r="D220" s="61"/>
      <c r="E220" s="30">
        <v>2829.2055599999999</v>
      </c>
      <c r="F220" s="61"/>
      <c r="G220" s="30">
        <v>-3779.5428700000002</v>
      </c>
      <c r="H220" s="61"/>
      <c r="I220" s="30">
        <f>E220-G220</f>
        <v>6608.7484299999996</v>
      </c>
      <c r="J220" s="61"/>
      <c r="K220" s="55">
        <f t="shared" si="5"/>
        <v>1.7485576053275456</v>
      </c>
    </row>
    <row r="221" spans="2:11" ht="15" customHeight="1" x14ac:dyDescent="0.35">
      <c r="B221" s="11"/>
      <c r="C221" s="11" t="s">
        <v>22</v>
      </c>
      <c r="D221" s="29"/>
      <c r="E221" s="29"/>
      <c r="F221" s="29"/>
      <c r="G221" s="29"/>
      <c r="H221" s="29"/>
      <c r="I221" s="29"/>
      <c r="J221" s="29"/>
      <c r="K221" s="93">
        <f t="shared" si="5"/>
        <v>0</v>
      </c>
    </row>
    <row r="222" spans="2:11" ht="15" customHeight="1" x14ac:dyDescent="0.35">
      <c r="B222" s="11"/>
      <c r="C222" s="11" t="s">
        <v>22</v>
      </c>
      <c r="D222" s="29"/>
      <c r="E222" s="29"/>
      <c r="F222" s="29"/>
      <c r="G222" s="29"/>
      <c r="H222" s="29"/>
      <c r="I222" s="29"/>
      <c r="J222" s="29"/>
      <c r="K222" s="93">
        <f t="shared" si="5"/>
        <v>0</v>
      </c>
    </row>
    <row r="223" spans="2:11" ht="15" customHeight="1" x14ac:dyDescent="0.35">
      <c r="B223" s="36"/>
      <c r="C223" s="36" t="s">
        <v>751</v>
      </c>
      <c r="D223" s="71"/>
      <c r="E223" s="54">
        <f>E215-E218</f>
        <v>4.2300000548038952E-3</v>
      </c>
      <c r="F223" s="71"/>
      <c r="G223" s="54">
        <f>G215-G218</f>
        <v>1.0799998735819827E-3</v>
      </c>
      <c r="H223" s="71"/>
      <c r="I223" s="54">
        <f>I215-I218</f>
        <v>3.1499999340667273E-3</v>
      </c>
      <c r="J223" s="71"/>
      <c r="K223" s="96">
        <f t="shared" si="5"/>
        <v>0</v>
      </c>
    </row>
    <row r="224" spans="2:11" ht="15" customHeight="1" x14ac:dyDescent="0.35">
      <c r="B224" s="11"/>
      <c r="C224" s="11" t="s">
        <v>22</v>
      </c>
      <c r="D224" s="29"/>
      <c r="E224" s="29"/>
      <c r="F224" s="29"/>
      <c r="G224" s="29"/>
      <c r="H224" s="29"/>
      <c r="I224" s="29"/>
      <c r="J224" s="29"/>
      <c r="K224" s="93">
        <f t="shared" si="5"/>
        <v>0</v>
      </c>
    </row>
    <row r="225" spans="2:11" ht="15" customHeight="1" x14ac:dyDescent="0.35">
      <c r="B225" s="11"/>
      <c r="C225" s="11" t="s">
        <v>22</v>
      </c>
      <c r="D225" s="29"/>
      <c r="E225" s="29"/>
      <c r="F225" s="29"/>
      <c r="G225" s="29"/>
      <c r="H225" s="29"/>
      <c r="I225" s="29"/>
      <c r="J225" s="29"/>
      <c r="K225" s="93">
        <f t="shared" si="5"/>
        <v>0</v>
      </c>
    </row>
    <row r="226" spans="2:11" ht="15" customHeight="1" x14ac:dyDescent="0.35">
      <c r="B226" s="34"/>
      <c r="C226" s="34" t="s">
        <v>1004</v>
      </c>
      <c r="D226" s="69"/>
      <c r="E226" s="52"/>
      <c r="F226" s="69"/>
      <c r="G226" s="52"/>
      <c r="H226" s="69"/>
      <c r="I226" s="52"/>
      <c r="J226" s="69"/>
      <c r="K226" s="94">
        <f t="shared" si="5"/>
        <v>0</v>
      </c>
    </row>
    <row r="227" spans="2:11" ht="15" customHeight="1" x14ac:dyDescent="0.35">
      <c r="B227" s="11"/>
      <c r="C227" s="11" t="s">
        <v>22</v>
      </c>
      <c r="D227" s="29"/>
      <c r="E227" s="29"/>
      <c r="F227" s="29"/>
      <c r="G227" s="29"/>
      <c r="H227" s="29"/>
      <c r="I227" s="29"/>
      <c r="J227" s="29"/>
      <c r="K227" s="93">
        <f t="shared" si="5"/>
        <v>0</v>
      </c>
    </row>
    <row r="228" spans="2:11" ht="15" customHeight="1" x14ac:dyDescent="0.35">
      <c r="B228" s="14"/>
      <c r="C228" s="14" t="s">
        <v>890</v>
      </c>
      <c r="D228" s="61"/>
      <c r="E228" s="30">
        <f>E126</f>
        <v>-206424.55327</v>
      </c>
      <c r="F228" s="61"/>
      <c r="G228" s="30">
        <f>G126</f>
        <v>-254872.35671000002</v>
      </c>
      <c r="H228" s="61"/>
      <c r="I228" s="30">
        <f>I126</f>
        <v>48447.803439999996</v>
      </c>
      <c r="J228" s="61"/>
      <c r="K228" s="55">
        <f t="shared" si="5"/>
        <v>0.19008653612100071</v>
      </c>
    </row>
    <row r="229" spans="2:11" ht="15" customHeight="1" x14ac:dyDescent="0.35">
      <c r="B229" s="14"/>
      <c r="C229" s="14" t="s">
        <v>892</v>
      </c>
      <c r="D229" s="61"/>
      <c r="E229" s="30">
        <f>E128</f>
        <v>2158.8922699999998</v>
      </c>
      <c r="F229" s="61"/>
      <c r="G229" s="30">
        <f>G128</f>
        <v>91.271249999999995</v>
      </c>
      <c r="H229" s="61"/>
      <c r="I229" s="30">
        <f>I128</f>
        <v>2067.62102</v>
      </c>
      <c r="J229" s="61"/>
      <c r="K229" s="55">
        <f t="shared" si="5"/>
        <v>22.65358500075325</v>
      </c>
    </row>
    <row r="230" spans="2:11" ht="15" customHeight="1" x14ac:dyDescent="0.35">
      <c r="B230" s="34"/>
      <c r="C230" s="34" t="s">
        <v>1005</v>
      </c>
      <c r="D230" s="69"/>
      <c r="E230" s="52">
        <f>E102+E228+E229</f>
        <v>-313734.79587999993</v>
      </c>
      <c r="F230" s="69"/>
      <c r="G230" s="52">
        <f>G102+G228+G229</f>
        <v>-413444.33332000009</v>
      </c>
      <c r="H230" s="69"/>
      <c r="I230" s="52">
        <f>I102+I228+I229</f>
        <v>99709.53744</v>
      </c>
      <c r="J230" s="69"/>
      <c r="K230" s="94">
        <f t="shared" si="5"/>
        <v>0.24116798660492517</v>
      </c>
    </row>
    <row r="231" spans="2:11" ht="15" customHeight="1" x14ac:dyDescent="0.35">
      <c r="B231" s="14"/>
      <c r="C231" s="14" t="s">
        <v>976</v>
      </c>
      <c r="D231" s="61"/>
      <c r="E231" s="30">
        <f>E198</f>
        <v>-6889.3020300000007</v>
      </c>
      <c r="F231" s="61"/>
      <c r="G231" s="30">
        <f>G198</f>
        <v>-20846.457539999999</v>
      </c>
      <c r="H231" s="61"/>
      <c r="I231" s="30">
        <f>I198</f>
        <v>13957.155509999997</v>
      </c>
      <c r="J231" s="61"/>
      <c r="K231" s="55">
        <f t="shared" si="5"/>
        <v>0.66952169130986061</v>
      </c>
    </row>
    <row r="232" spans="2:11" ht="15" customHeight="1" x14ac:dyDescent="0.35">
      <c r="B232" s="34"/>
      <c r="C232" s="34" t="s">
        <v>1006</v>
      </c>
      <c r="D232" s="69"/>
      <c r="E232" s="52">
        <f>E230+E231</f>
        <v>-320624.09790999995</v>
      </c>
      <c r="F232" s="69"/>
      <c r="G232" s="52">
        <f>G230+G231</f>
        <v>-434290.79086000007</v>
      </c>
      <c r="H232" s="69"/>
      <c r="I232" s="52">
        <f>I230+I231</f>
        <v>113666.69295</v>
      </c>
      <c r="J232" s="69"/>
      <c r="K232" s="94">
        <f t="shared" si="5"/>
        <v>0.26172945717986018</v>
      </c>
    </row>
    <row r="233" spans="2:11" ht="15" customHeight="1" x14ac:dyDescent="0.35">
      <c r="B233" s="14"/>
      <c r="C233" s="14" t="s">
        <v>813</v>
      </c>
      <c r="D233" s="61"/>
      <c r="E233" s="30">
        <f>E61</f>
        <v>-45327.306960000002</v>
      </c>
      <c r="F233" s="61"/>
      <c r="G233" s="30">
        <f>G61</f>
        <v>-70938.579759999993</v>
      </c>
      <c r="H233" s="61"/>
      <c r="I233" s="30">
        <f>I61</f>
        <v>25611.272799999992</v>
      </c>
      <c r="J233" s="61"/>
      <c r="K233" s="55">
        <f t="shared" si="5"/>
        <v>0.36103447357768181</v>
      </c>
    </row>
    <row r="234" spans="2:11" ht="15" customHeight="1" x14ac:dyDescent="0.35">
      <c r="B234" s="34"/>
      <c r="C234" s="34" t="s">
        <v>1007</v>
      </c>
      <c r="D234" s="69"/>
      <c r="E234" s="52">
        <f>E232-E233</f>
        <v>-275296.79094999994</v>
      </c>
      <c r="F234" s="69"/>
      <c r="G234" s="52">
        <f>G232-G233</f>
        <v>-363352.21110000007</v>
      </c>
      <c r="H234" s="69"/>
      <c r="I234" s="52">
        <f>I232-I233</f>
        <v>88055.420150000005</v>
      </c>
      <c r="J234" s="69"/>
      <c r="K234" s="94">
        <f t="shared" si="5"/>
        <v>0.24234177599586923</v>
      </c>
    </row>
    <row r="235" spans="2:11" ht="15" customHeight="1" x14ac:dyDescent="0.35">
      <c r="B235" s="11"/>
      <c r="C235" s="11" t="s">
        <v>22</v>
      </c>
      <c r="D235" s="29"/>
      <c r="E235" s="29"/>
      <c r="F235" s="29"/>
      <c r="G235" s="29"/>
      <c r="H235" s="29"/>
      <c r="I235" s="29"/>
      <c r="J235" s="29"/>
      <c r="K235" s="93">
        <f t="shared" si="5"/>
        <v>0</v>
      </c>
    </row>
    <row r="236" spans="2:11" ht="15" customHeight="1" x14ac:dyDescent="0.35">
      <c r="B236" s="44"/>
      <c r="C236" s="44" t="s">
        <v>1008</v>
      </c>
      <c r="D236" s="73"/>
      <c r="E236" s="55">
        <v>-0.764491209</v>
      </c>
      <c r="F236" s="73"/>
      <c r="G236" s="55">
        <v>-1.262826217</v>
      </c>
      <c r="H236" s="73"/>
      <c r="I236" s="55">
        <f>E236-G236</f>
        <v>0.49833500799999997</v>
      </c>
      <c r="J236" s="73"/>
      <c r="K236" s="55">
        <f t="shared" si="5"/>
        <v>0.39461883297280326</v>
      </c>
    </row>
    <row r="237" spans="2:11" ht="15" customHeight="1" x14ac:dyDescent="0.35">
      <c r="B237" s="44"/>
      <c r="C237" s="44" t="s">
        <v>1009</v>
      </c>
      <c r="D237" s="73"/>
      <c r="E237" s="55">
        <v>-1.601005674</v>
      </c>
      <c r="F237" s="73"/>
      <c r="G237" s="55">
        <v>-4.5152794299999996</v>
      </c>
      <c r="H237" s="73"/>
      <c r="I237" s="55">
        <f>E237-G237</f>
        <v>2.9142737559999996</v>
      </c>
      <c r="J237" s="73"/>
      <c r="K237" s="55">
        <f t="shared" si="5"/>
        <v>0.64542489588512575</v>
      </c>
    </row>
    <row r="238" spans="2:11" ht="15" customHeight="1" x14ac:dyDescent="0.35">
      <c r="B238" s="44"/>
      <c r="C238" s="44" t="s">
        <v>1010</v>
      </c>
      <c r="D238" s="73"/>
      <c r="E238" s="55">
        <v>-0.244677272</v>
      </c>
      <c r="F238" s="73"/>
      <c r="G238" s="55">
        <v>-0.39076302000000002</v>
      </c>
      <c r="H238" s="73"/>
      <c r="I238" s="55">
        <f>E238-G238</f>
        <v>0.14608574800000002</v>
      </c>
      <c r="J238" s="73"/>
      <c r="K238" s="55">
        <f t="shared" si="5"/>
        <v>0.3738474229214423</v>
      </c>
    </row>
    <row r="239" spans="2:11" ht="15" customHeight="1" x14ac:dyDescent="0.35">
      <c r="B239" s="11"/>
      <c r="C239" s="11" t="s">
        <v>22</v>
      </c>
      <c r="D239" s="29"/>
      <c r="E239" s="12"/>
      <c r="F239" s="29"/>
      <c r="G239" s="12"/>
      <c r="H239" s="29"/>
      <c r="I239" s="12"/>
      <c r="J239" s="29"/>
      <c r="K239" s="85">
        <f t="shared" si="5"/>
        <v>0</v>
      </c>
    </row>
  </sheetData>
  <mergeCells count="2">
    <mergeCell ref="B4:C4"/>
    <mergeCell ref="B6:C6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09CF1-D2B0-47F2-89F4-55FD8063F7EC}">
  <dimension ref="A3:BG351"/>
  <sheetViews>
    <sheetView showGridLines="0" zoomScale="90" zoomScaleNormal="90" workbookViewId="0">
      <pane xSplit="10" ySplit="10" topLeftCell="K11" activePane="bottomRight" state="frozen"/>
      <selection pane="topRight" activeCell="K1" sqref="K1"/>
      <selection pane="bottomLeft" activeCell="A9" sqref="A9"/>
      <selection pane="bottomRight" activeCell="M12" sqref="M12"/>
    </sheetView>
  </sheetViews>
  <sheetFormatPr defaultColWidth="9.1796875" defaultRowHeight="16" customHeight="1" outlineLevelCol="1" x14ac:dyDescent="0.35"/>
  <cols>
    <col min="1" max="1" width="1.7265625" style="1" customWidth="1"/>
    <col min="2" max="2" width="10.7265625" style="1" customWidth="1"/>
    <col min="3" max="3" width="60.7265625" style="1" customWidth="1"/>
    <col min="4" max="4" width="1.54296875" style="1" customWidth="1"/>
    <col min="5" max="5" width="14.7265625" style="1" customWidth="1"/>
    <col min="6" max="6" width="1.54296875" style="1" hidden="1" customWidth="1" outlineLevel="1"/>
    <col min="7" max="7" width="14.7265625" style="1" hidden="1" customWidth="1" outlineLevel="1"/>
    <col min="8" max="8" width="1.54296875" style="1" hidden="1" customWidth="1" outlineLevel="1"/>
    <col min="9" max="9" width="14.7265625" style="1" hidden="1" customWidth="1" outlineLevel="1"/>
    <col min="10" max="10" width="2.7265625" style="1" customWidth="1" collapsed="1"/>
    <col min="11" max="79" width="14.7265625" style="1" customWidth="1"/>
    <col min="80" max="16384" width="9.1796875" style="1"/>
  </cols>
  <sheetData>
    <row r="3" spans="1:59" ht="16" customHeight="1" x14ac:dyDescent="0.35">
      <c r="B3" s="2" t="s">
        <v>1614</v>
      </c>
    </row>
    <row r="4" spans="1:59" ht="16" customHeight="1" x14ac:dyDescent="0.35">
      <c r="B4" s="4" t="s">
        <v>270</v>
      </c>
    </row>
    <row r="5" spans="1:59" ht="16" customHeight="1" x14ac:dyDescent="0.35">
      <c r="B5" s="4" t="s">
        <v>1016</v>
      </c>
    </row>
    <row r="6" spans="1:59" ht="16" customHeight="1" x14ac:dyDescent="0.35">
      <c r="A6" s="5"/>
      <c r="B6" s="4" t="s">
        <v>1615</v>
      </c>
    </row>
    <row r="7" spans="1:59" ht="16" customHeight="1" x14ac:dyDescent="0.35">
      <c r="A7" s="5"/>
      <c r="B7" s="4"/>
    </row>
    <row r="8" spans="1:59" ht="16" customHeight="1" x14ac:dyDescent="0.35">
      <c r="A8" s="5"/>
      <c r="B8" s="56">
        <v>46189.342477175924</v>
      </c>
      <c r="C8" s="56"/>
    </row>
    <row r="9" spans="1:59" ht="91.5" thickBot="1" x14ac:dyDescent="0.5">
      <c r="B9" s="7"/>
      <c r="C9" s="28"/>
      <c r="D9" s="59"/>
      <c r="E9" s="8" t="s">
        <v>1616</v>
      </c>
      <c r="F9" s="59"/>
      <c r="G9" s="8" t="s">
        <v>1617</v>
      </c>
      <c r="H9" s="59"/>
      <c r="I9" s="8" t="s">
        <v>751</v>
      </c>
      <c r="J9" s="59"/>
      <c r="K9" s="8" t="s">
        <v>1618</v>
      </c>
      <c r="L9" s="8" t="s">
        <v>1619</v>
      </c>
      <c r="M9" s="8" t="s">
        <v>1620</v>
      </c>
      <c r="N9" s="8" t="s">
        <v>1621</v>
      </c>
      <c r="O9" s="8" t="s">
        <v>1622</v>
      </c>
      <c r="P9" s="8" t="s">
        <v>1623</v>
      </c>
      <c r="Q9" s="8" t="s">
        <v>1624</v>
      </c>
      <c r="R9" s="8" t="s">
        <v>1625</v>
      </c>
      <c r="S9" s="8" t="s">
        <v>1626</v>
      </c>
      <c r="T9" s="8" t="s">
        <v>1627</v>
      </c>
      <c r="U9" s="8" t="s">
        <v>1628</v>
      </c>
      <c r="V9" s="8" t="s">
        <v>1629</v>
      </c>
      <c r="W9" s="8" t="s">
        <v>1630</v>
      </c>
      <c r="X9" s="8" t="s">
        <v>1631</v>
      </c>
      <c r="Y9" s="8" t="s">
        <v>1632</v>
      </c>
      <c r="Z9" s="8" t="s">
        <v>1633</v>
      </c>
      <c r="AA9" s="8" t="s">
        <v>1634</v>
      </c>
      <c r="AB9" s="8" t="s">
        <v>1635</v>
      </c>
      <c r="AC9" s="8" t="s">
        <v>1636</v>
      </c>
      <c r="AD9" s="8" t="s">
        <v>1637</v>
      </c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97"/>
    </row>
    <row r="10" spans="1:59" ht="26.5" thickBot="1" x14ac:dyDescent="0.5">
      <c r="B10" s="28"/>
      <c r="C10" s="28"/>
      <c r="D10" s="59"/>
      <c r="E10" s="8" t="s">
        <v>1638</v>
      </c>
      <c r="F10" s="59"/>
      <c r="G10" s="8"/>
      <c r="H10" s="59"/>
      <c r="I10" s="8"/>
      <c r="J10" s="59"/>
      <c r="K10" s="8" t="s">
        <v>1639</v>
      </c>
      <c r="L10" s="8" t="s">
        <v>1640</v>
      </c>
      <c r="M10" s="8" t="s">
        <v>1641</v>
      </c>
      <c r="N10" s="8" t="s">
        <v>1642</v>
      </c>
      <c r="O10" s="8" t="s">
        <v>1643</v>
      </c>
      <c r="P10" s="8" t="s">
        <v>1644</v>
      </c>
      <c r="Q10" s="8" t="s">
        <v>1645</v>
      </c>
      <c r="R10" s="8" t="s">
        <v>1646</v>
      </c>
      <c r="S10" s="8" t="s">
        <v>1647</v>
      </c>
      <c r="T10" s="8" t="s">
        <v>1648</v>
      </c>
      <c r="U10" s="8" t="s">
        <v>1649</v>
      </c>
      <c r="V10" s="8" t="s">
        <v>1650</v>
      </c>
      <c r="W10" s="8" t="s">
        <v>1651</v>
      </c>
      <c r="X10" s="8" t="s">
        <v>1652</v>
      </c>
      <c r="Y10" s="8" t="s">
        <v>1653</v>
      </c>
      <c r="Z10" s="8" t="s">
        <v>1654</v>
      </c>
      <c r="AA10" s="8" t="s">
        <v>1655</v>
      </c>
      <c r="AB10" s="8" t="s">
        <v>1656</v>
      </c>
      <c r="AC10" s="8" t="s">
        <v>1657</v>
      </c>
      <c r="AD10" s="8" t="s">
        <v>1658</v>
      </c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97"/>
    </row>
    <row r="11" spans="1:59" ht="16" customHeight="1" x14ac:dyDescent="0.45">
      <c r="B11" s="11"/>
      <c r="C11" s="11"/>
      <c r="D11" s="29"/>
      <c r="E11" s="29"/>
      <c r="F11" s="12"/>
      <c r="G11" s="12"/>
      <c r="H11" s="12"/>
      <c r="I11" s="12"/>
      <c r="J11" s="12"/>
      <c r="K11" s="29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98"/>
      <c r="AX11" s="98"/>
      <c r="AY11" s="98"/>
      <c r="AZ11" s="98"/>
      <c r="BA11" s="98"/>
      <c r="BB11" s="98"/>
      <c r="BC11" s="98"/>
      <c r="BD11" s="98"/>
      <c r="BE11" s="98"/>
      <c r="BF11" s="98"/>
      <c r="BG11" s="98"/>
    </row>
    <row r="12" spans="1:59" ht="16" customHeight="1" x14ac:dyDescent="0.45">
      <c r="B12" s="14" t="s">
        <v>285</v>
      </c>
      <c r="C12" s="14" t="s">
        <v>286</v>
      </c>
      <c r="D12" s="61"/>
      <c r="E12" s="30">
        <v>2829.2055599999999</v>
      </c>
      <c r="F12" s="63"/>
      <c r="G12" s="15">
        <f t="shared" ref="G12:G43" si="0">SUM(K12:AD12)</f>
        <v>2829.2055600000003</v>
      </c>
      <c r="H12" s="63"/>
      <c r="I12" s="15">
        <f t="shared" ref="I12:I75" si="1">E12-G12</f>
        <v>0</v>
      </c>
      <c r="J12" s="63"/>
      <c r="K12" s="15">
        <v>1955.4903200000001</v>
      </c>
      <c r="L12" s="15"/>
      <c r="M12" s="15"/>
      <c r="N12" s="15"/>
      <c r="O12" s="15">
        <v>873.71523999999999</v>
      </c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98"/>
      <c r="AX12" s="98"/>
      <c r="AY12" s="98"/>
      <c r="AZ12" s="98"/>
      <c r="BA12" s="98"/>
      <c r="BB12" s="98"/>
      <c r="BC12" s="98"/>
      <c r="BD12" s="98"/>
      <c r="BE12" s="98"/>
      <c r="BF12" s="98"/>
      <c r="BG12" s="98"/>
    </row>
    <row r="13" spans="1:59" ht="16" customHeight="1" x14ac:dyDescent="0.45">
      <c r="B13" s="14" t="s">
        <v>287</v>
      </c>
      <c r="C13" s="14" t="s">
        <v>288</v>
      </c>
      <c r="D13" s="61"/>
      <c r="E13" s="30"/>
      <c r="F13" s="63"/>
      <c r="G13" s="15">
        <f t="shared" si="0"/>
        <v>0</v>
      </c>
      <c r="H13" s="63"/>
      <c r="I13" s="15">
        <f t="shared" si="1"/>
        <v>0</v>
      </c>
      <c r="J13" s="63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98"/>
      <c r="AX13" s="98"/>
      <c r="AY13" s="98"/>
      <c r="AZ13" s="98"/>
      <c r="BA13" s="98"/>
      <c r="BB13" s="98"/>
      <c r="BC13" s="98"/>
      <c r="BD13" s="98"/>
      <c r="BE13" s="98"/>
      <c r="BF13" s="98"/>
      <c r="BG13" s="98"/>
    </row>
    <row r="14" spans="1:59" ht="16" customHeight="1" x14ac:dyDescent="0.45">
      <c r="B14" s="14" t="s">
        <v>291</v>
      </c>
      <c r="C14" s="14" t="s">
        <v>292</v>
      </c>
      <c r="D14" s="61"/>
      <c r="E14" s="30"/>
      <c r="F14" s="63"/>
      <c r="G14" s="15">
        <f t="shared" si="0"/>
        <v>0</v>
      </c>
      <c r="H14" s="63"/>
      <c r="I14" s="15">
        <f t="shared" si="1"/>
        <v>0</v>
      </c>
      <c r="J14" s="63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98"/>
      <c r="AX14" s="98"/>
      <c r="AY14" s="98"/>
      <c r="AZ14" s="98"/>
      <c r="BA14" s="98"/>
      <c r="BB14" s="98"/>
      <c r="BC14" s="98"/>
      <c r="BD14" s="98"/>
      <c r="BE14" s="98"/>
      <c r="BF14" s="98"/>
      <c r="BG14" s="98"/>
    </row>
    <row r="15" spans="1:59" ht="16" customHeight="1" x14ac:dyDescent="0.45">
      <c r="B15" s="14" t="s">
        <v>1248</v>
      </c>
      <c r="C15" s="14" t="s">
        <v>1249</v>
      </c>
      <c r="D15" s="61"/>
      <c r="E15" s="30"/>
      <c r="F15" s="63"/>
      <c r="G15" s="15">
        <f t="shared" si="0"/>
        <v>0</v>
      </c>
      <c r="H15" s="63"/>
      <c r="I15" s="15">
        <f t="shared" si="1"/>
        <v>0</v>
      </c>
      <c r="J15" s="63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98"/>
      <c r="AX15" s="98"/>
      <c r="AY15" s="98"/>
      <c r="AZ15" s="98"/>
      <c r="BA15" s="98"/>
      <c r="BB15" s="98"/>
      <c r="BC15" s="98"/>
      <c r="BD15" s="98"/>
      <c r="BE15" s="98"/>
      <c r="BF15" s="98"/>
      <c r="BG15" s="98"/>
    </row>
    <row r="16" spans="1:59" ht="16" customHeight="1" x14ac:dyDescent="0.45">
      <c r="B16" s="14" t="s">
        <v>1250</v>
      </c>
      <c r="C16" s="14" t="s">
        <v>1251</v>
      </c>
      <c r="D16" s="61"/>
      <c r="E16" s="30"/>
      <c r="F16" s="63"/>
      <c r="G16" s="15">
        <f t="shared" si="0"/>
        <v>0</v>
      </c>
      <c r="H16" s="63"/>
      <c r="I16" s="15">
        <f t="shared" si="1"/>
        <v>0</v>
      </c>
      <c r="J16" s="63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</row>
    <row r="17" spans="2:48" ht="16" customHeight="1" x14ac:dyDescent="0.45">
      <c r="B17" s="14" t="s">
        <v>298</v>
      </c>
      <c r="C17" s="14" t="s">
        <v>299</v>
      </c>
      <c r="D17" s="61"/>
      <c r="E17" s="30">
        <v>1826177.92937</v>
      </c>
      <c r="F17" s="63"/>
      <c r="G17" s="15">
        <f t="shared" si="0"/>
        <v>1826177.92937</v>
      </c>
      <c r="H17" s="63"/>
      <c r="I17" s="15">
        <f t="shared" si="1"/>
        <v>0</v>
      </c>
      <c r="J17" s="63"/>
      <c r="K17" s="15">
        <v>2155177.92937</v>
      </c>
      <c r="L17" s="15"/>
      <c r="M17" s="15"/>
      <c r="N17" s="15"/>
      <c r="O17" s="15">
        <v>-329000</v>
      </c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</row>
    <row r="18" spans="2:48" ht="16" customHeight="1" x14ac:dyDescent="0.45">
      <c r="B18" s="14" t="s">
        <v>1252</v>
      </c>
      <c r="C18" s="14" t="s">
        <v>1659</v>
      </c>
      <c r="D18" s="61"/>
      <c r="E18" s="30"/>
      <c r="F18" s="63"/>
      <c r="G18" s="15">
        <f t="shared" si="0"/>
        <v>0</v>
      </c>
      <c r="H18" s="63"/>
      <c r="I18" s="15">
        <f t="shared" si="1"/>
        <v>0</v>
      </c>
      <c r="J18" s="63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</row>
    <row r="19" spans="2:48" ht="16" customHeight="1" x14ac:dyDescent="0.45">
      <c r="B19" s="14" t="s">
        <v>1254</v>
      </c>
      <c r="C19" s="14" t="s">
        <v>1660</v>
      </c>
      <c r="D19" s="61"/>
      <c r="E19" s="30"/>
      <c r="F19" s="63"/>
      <c r="G19" s="15">
        <f t="shared" si="0"/>
        <v>0</v>
      </c>
      <c r="H19" s="63"/>
      <c r="I19" s="15">
        <f t="shared" si="1"/>
        <v>0</v>
      </c>
      <c r="J19" s="63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</row>
    <row r="20" spans="2:48" ht="16" customHeight="1" x14ac:dyDescent="0.35">
      <c r="B20" s="14" t="s">
        <v>1256</v>
      </c>
      <c r="C20" s="14" t="s">
        <v>1661</v>
      </c>
      <c r="D20" s="61"/>
      <c r="E20" s="30"/>
      <c r="F20" s="63"/>
      <c r="G20" s="15">
        <f t="shared" si="0"/>
        <v>0</v>
      </c>
      <c r="H20" s="63"/>
      <c r="I20" s="15">
        <f t="shared" si="1"/>
        <v>0</v>
      </c>
      <c r="J20" s="63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 spans="2:48" ht="16" customHeight="1" x14ac:dyDescent="0.35">
      <c r="B21" s="14" t="s">
        <v>1258</v>
      </c>
      <c r="C21" s="14" t="s">
        <v>1662</v>
      </c>
      <c r="D21" s="61"/>
      <c r="E21" s="30"/>
      <c r="F21" s="63"/>
      <c r="G21" s="15">
        <f t="shared" si="0"/>
        <v>0</v>
      </c>
      <c r="H21" s="63"/>
      <c r="I21" s="15">
        <f t="shared" si="1"/>
        <v>0</v>
      </c>
      <c r="J21" s="63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 spans="2:48" ht="16" customHeight="1" x14ac:dyDescent="0.35">
      <c r="B22" s="14" t="s">
        <v>311</v>
      </c>
      <c r="C22" s="14" t="s">
        <v>312</v>
      </c>
      <c r="D22" s="61"/>
      <c r="E22" s="30">
        <v>2951.72606</v>
      </c>
      <c r="F22" s="63"/>
      <c r="G22" s="15">
        <f t="shared" si="0"/>
        <v>2951.72606</v>
      </c>
      <c r="H22" s="63"/>
      <c r="I22" s="15">
        <f t="shared" si="1"/>
        <v>0</v>
      </c>
      <c r="J22" s="63"/>
      <c r="K22" s="15">
        <v>46.18591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>
        <v>2905.5401499999998</v>
      </c>
      <c r="AB22" s="15"/>
      <c r="AC22" s="15"/>
      <c r="AD22" s="15"/>
    </row>
    <row r="23" spans="2:48" ht="16" customHeight="1" x14ac:dyDescent="0.35">
      <c r="B23" s="14" t="s">
        <v>304</v>
      </c>
      <c r="C23" s="14" t="s">
        <v>1260</v>
      </c>
      <c r="D23" s="61"/>
      <c r="E23" s="30"/>
      <c r="F23" s="63"/>
      <c r="G23" s="15">
        <f t="shared" si="0"/>
        <v>0</v>
      </c>
      <c r="H23" s="63"/>
      <c r="I23" s="15">
        <f t="shared" si="1"/>
        <v>0</v>
      </c>
      <c r="J23" s="63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 spans="2:48" ht="16" customHeight="1" x14ac:dyDescent="0.35">
      <c r="B24" s="14" t="s">
        <v>306</v>
      </c>
      <c r="C24" s="14" t="s">
        <v>1261</v>
      </c>
      <c r="D24" s="61"/>
      <c r="E24" s="30"/>
      <c r="F24" s="63"/>
      <c r="G24" s="15">
        <f t="shared" si="0"/>
        <v>0</v>
      </c>
      <c r="H24" s="63"/>
      <c r="I24" s="15">
        <f t="shared" si="1"/>
        <v>0</v>
      </c>
      <c r="J24" s="63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 spans="2:48" ht="16" customHeight="1" x14ac:dyDescent="0.35">
      <c r="B25" s="14" t="s">
        <v>314</v>
      </c>
      <c r="C25" s="14" t="s">
        <v>1262</v>
      </c>
      <c r="D25" s="61"/>
      <c r="E25" s="30">
        <v>28358.191350000001</v>
      </c>
      <c r="F25" s="63"/>
      <c r="G25" s="15">
        <f t="shared" si="0"/>
        <v>28358.191350000001</v>
      </c>
      <c r="H25" s="63"/>
      <c r="I25" s="15">
        <f t="shared" si="1"/>
        <v>0</v>
      </c>
      <c r="J25" s="63"/>
      <c r="K25" s="15">
        <v>20151.208470000001</v>
      </c>
      <c r="L25" s="15"/>
      <c r="M25" s="15"/>
      <c r="N25" s="15"/>
      <c r="O25" s="15">
        <v>8206.9828799999996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>
        <v>0</v>
      </c>
      <c r="AA25" s="15">
        <v>0</v>
      </c>
      <c r="AB25" s="15"/>
      <c r="AC25" s="15"/>
      <c r="AD25" s="15"/>
    </row>
    <row r="26" spans="2:48" ht="16" customHeight="1" x14ac:dyDescent="0.35">
      <c r="B26" s="14" t="s">
        <v>343</v>
      </c>
      <c r="C26" s="14" t="s">
        <v>1267</v>
      </c>
      <c r="D26" s="61"/>
      <c r="E26" s="30">
        <v>74889.687460000001</v>
      </c>
      <c r="F26" s="63"/>
      <c r="G26" s="15">
        <f t="shared" si="0"/>
        <v>74889.68845999999</v>
      </c>
      <c r="H26" s="63"/>
      <c r="I26" s="15">
        <f t="shared" si="1"/>
        <v>-9.9999998928979039E-4</v>
      </c>
      <c r="J26" s="63"/>
      <c r="K26" s="15">
        <v>62862.796139999999</v>
      </c>
      <c r="L26" s="15"/>
      <c r="M26" s="15"/>
      <c r="N26" s="15"/>
      <c r="O26" s="15">
        <v>12026.92376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>
        <v>-3.1570000000000001E-2</v>
      </c>
      <c r="AB26" s="15"/>
      <c r="AC26" s="15"/>
      <c r="AD26" s="15">
        <v>1.2999999999999999E-4</v>
      </c>
    </row>
    <row r="27" spans="2:48" ht="16" customHeight="1" x14ac:dyDescent="0.35">
      <c r="B27" s="14" t="s">
        <v>316</v>
      </c>
      <c r="C27" s="14" t="s">
        <v>1263</v>
      </c>
      <c r="D27" s="61"/>
      <c r="E27" s="30"/>
      <c r="F27" s="63"/>
      <c r="G27" s="15">
        <f t="shared" si="0"/>
        <v>0</v>
      </c>
      <c r="H27" s="63"/>
      <c r="I27" s="15">
        <f t="shared" si="1"/>
        <v>0</v>
      </c>
      <c r="J27" s="63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 spans="2:48" ht="16" customHeight="1" x14ac:dyDescent="0.35">
      <c r="B28" s="14" t="s">
        <v>320</v>
      </c>
      <c r="C28" s="14" t="s">
        <v>1264</v>
      </c>
      <c r="D28" s="61"/>
      <c r="E28" s="30"/>
      <c r="F28" s="63"/>
      <c r="G28" s="15">
        <f t="shared" si="0"/>
        <v>0</v>
      </c>
      <c r="H28" s="63"/>
      <c r="I28" s="15">
        <f t="shared" si="1"/>
        <v>0</v>
      </c>
      <c r="J28" s="63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 spans="2:48" ht="16" customHeight="1" x14ac:dyDescent="0.35">
      <c r="B29" s="14" t="s">
        <v>322</v>
      </c>
      <c r="C29" s="14" t="s">
        <v>1265</v>
      </c>
      <c r="D29" s="61"/>
      <c r="E29" s="30">
        <v>-5328.4569000000001</v>
      </c>
      <c r="F29" s="63"/>
      <c r="G29" s="15">
        <f t="shared" si="0"/>
        <v>-5328.4568999999992</v>
      </c>
      <c r="H29" s="63"/>
      <c r="I29" s="15">
        <f t="shared" si="1"/>
        <v>0</v>
      </c>
      <c r="J29" s="63"/>
      <c r="K29" s="15">
        <v>-5109.9999399999997</v>
      </c>
      <c r="L29" s="15"/>
      <c r="M29" s="15"/>
      <c r="N29" s="15"/>
      <c r="O29" s="15"/>
      <c r="P29" s="15"/>
      <c r="Q29" s="15"/>
      <c r="R29" s="15"/>
      <c r="S29" s="15"/>
      <c r="T29" s="15">
        <v>-346.44763</v>
      </c>
      <c r="U29" s="15"/>
      <c r="V29" s="15"/>
      <c r="W29" s="15"/>
      <c r="X29" s="15"/>
      <c r="Y29" s="15"/>
      <c r="Z29" s="15"/>
      <c r="AA29" s="15">
        <v>127.54334</v>
      </c>
      <c r="AB29" s="15"/>
      <c r="AC29" s="15"/>
      <c r="AD29" s="15">
        <v>0.44733000000000001</v>
      </c>
    </row>
    <row r="30" spans="2:48" ht="16" customHeight="1" x14ac:dyDescent="0.35">
      <c r="B30" s="14" t="s">
        <v>345</v>
      </c>
      <c r="C30" s="14" t="s">
        <v>1268</v>
      </c>
      <c r="D30" s="61"/>
      <c r="E30" s="30"/>
      <c r="F30" s="63"/>
      <c r="G30" s="15">
        <f t="shared" si="0"/>
        <v>0</v>
      </c>
      <c r="H30" s="63"/>
      <c r="I30" s="15">
        <f t="shared" si="1"/>
        <v>0</v>
      </c>
      <c r="J30" s="63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 spans="2:48" ht="16" customHeight="1" x14ac:dyDescent="0.35">
      <c r="B31" s="14" t="s">
        <v>347</v>
      </c>
      <c r="C31" s="14" t="s">
        <v>1269</v>
      </c>
      <c r="D31" s="61"/>
      <c r="E31" s="30">
        <v>14026.896290000001</v>
      </c>
      <c r="F31" s="63"/>
      <c r="G31" s="15">
        <f t="shared" si="0"/>
        <v>14026.896289999999</v>
      </c>
      <c r="H31" s="63"/>
      <c r="I31" s="15">
        <f t="shared" si="1"/>
        <v>0</v>
      </c>
      <c r="J31" s="63"/>
      <c r="K31" s="15">
        <v>18504.237160000001</v>
      </c>
      <c r="L31" s="15"/>
      <c r="M31" s="15"/>
      <c r="N31" s="15"/>
      <c r="O31" s="15">
        <v>-4477.3370800000002</v>
      </c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>
        <v>-3.79E-3</v>
      </c>
    </row>
    <row r="32" spans="2:48" ht="16" customHeight="1" x14ac:dyDescent="0.35">
      <c r="B32" s="14" t="s">
        <v>349</v>
      </c>
      <c r="C32" s="14" t="s">
        <v>1270</v>
      </c>
      <c r="D32" s="61"/>
      <c r="E32" s="30"/>
      <c r="F32" s="63"/>
      <c r="G32" s="15">
        <f t="shared" si="0"/>
        <v>0</v>
      </c>
      <c r="H32" s="63"/>
      <c r="I32" s="15">
        <f t="shared" si="1"/>
        <v>0</v>
      </c>
      <c r="J32" s="63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 spans="2:30" ht="16" customHeight="1" x14ac:dyDescent="0.35">
      <c r="B33" s="14" t="s">
        <v>351</v>
      </c>
      <c r="C33" s="14" t="s">
        <v>1271</v>
      </c>
      <c r="D33" s="61"/>
      <c r="E33" s="30"/>
      <c r="F33" s="63"/>
      <c r="G33" s="15">
        <f t="shared" si="0"/>
        <v>0</v>
      </c>
      <c r="H33" s="63"/>
      <c r="I33" s="15">
        <f t="shared" si="1"/>
        <v>0</v>
      </c>
      <c r="J33" s="63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 spans="2:30" ht="16" customHeight="1" x14ac:dyDescent="0.35">
      <c r="B34" s="14" t="s">
        <v>318</v>
      </c>
      <c r="C34" s="14" t="s">
        <v>1266</v>
      </c>
      <c r="D34" s="61"/>
      <c r="E34" s="30">
        <v>433358.47532999999</v>
      </c>
      <c r="F34" s="63"/>
      <c r="G34" s="15">
        <f t="shared" si="0"/>
        <v>433358.47532999999</v>
      </c>
      <c r="H34" s="63"/>
      <c r="I34" s="15">
        <f t="shared" si="1"/>
        <v>0</v>
      </c>
      <c r="J34" s="63"/>
      <c r="K34" s="15">
        <v>254589.07206999999</v>
      </c>
      <c r="L34" s="15"/>
      <c r="M34" s="15"/>
      <c r="N34" s="15"/>
      <c r="O34" s="15">
        <v>178902.22998999999</v>
      </c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>
        <v>-125.40434</v>
      </c>
      <c r="AB34" s="15"/>
      <c r="AC34" s="15"/>
      <c r="AD34" s="15">
        <v>-7.42239</v>
      </c>
    </row>
    <row r="35" spans="2:30" ht="16" customHeight="1" x14ac:dyDescent="0.35">
      <c r="B35" s="14" t="s">
        <v>324</v>
      </c>
      <c r="C35" s="14" t="s">
        <v>325</v>
      </c>
      <c r="D35" s="61"/>
      <c r="E35" s="30">
        <v>555.31349999999998</v>
      </c>
      <c r="F35" s="63"/>
      <c r="G35" s="15">
        <f t="shared" si="0"/>
        <v>555.31349999999998</v>
      </c>
      <c r="H35" s="63"/>
      <c r="I35" s="15">
        <f t="shared" si="1"/>
        <v>0</v>
      </c>
      <c r="J35" s="63"/>
      <c r="K35" s="15">
        <v>69.441850000000002</v>
      </c>
      <c r="L35" s="15"/>
      <c r="M35" s="15"/>
      <c r="N35" s="15"/>
      <c r="O35" s="15">
        <v>485.87164999999999</v>
      </c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 spans="2:30" ht="16" customHeight="1" x14ac:dyDescent="0.35">
      <c r="B36" s="14" t="s">
        <v>329</v>
      </c>
      <c r="C36" s="14" t="s">
        <v>330</v>
      </c>
      <c r="D36" s="61"/>
      <c r="E36" s="30">
        <v>71864.971239999999</v>
      </c>
      <c r="F36" s="63"/>
      <c r="G36" s="15">
        <f t="shared" si="0"/>
        <v>71864.971239999999</v>
      </c>
      <c r="H36" s="63"/>
      <c r="I36" s="15">
        <f t="shared" si="1"/>
        <v>0</v>
      </c>
      <c r="J36" s="63"/>
      <c r="K36" s="15">
        <v>66917.712150000007</v>
      </c>
      <c r="L36" s="15"/>
      <c r="M36" s="15"/>
      <c r="N36" s="15"/>
      <c r="O36" s="15">
        <v>4956.2496499999997</v>
      </c>
      <c r="P36" s="15"/>
      <c r="Q36" s="15"/>
      <c r="R36" s="15"/>
      <c r="S36" s="15"/>
      <c r="T36" s="15"/>
      <c r="U36" s="15"/>
      <c r="V36" s="15"/>
      <c r="W36" s="15"/>
      <c r="X36" s="15">
        <v>-8.9905600000000003</v>
      </c>
      <c r="Y36" s="15"/>
      <c r="Z36" s="15"/>
      <c r="AA36" s="15"/>
      <c r="AB36" s="15"/>
      <c r="AC36" s="15"/>
      <c r="AD36" s="15"/>
    </row>
    <row r="37" spans="2:30" ht="16" customHeight="1" x14ac:dyDescent="0.35">
      <c r="B37" s="14" t="s">
        <v>333</v>
      </c>
      <c r="C37" s="14" t="s">
        <v>1663</v>
      </c>
      <c r="D37" s="61"/>
      <c r="E37" s="30">
        <v>269889.33257999999</v>
      </c>
      <c r="F37" s="63"/>
      <c r="G37" s="15">
        <f t="shared" si="0"/>
        <v>269889.3325800001</v>
      </c>
      <c r="H37" s="63"/>
      <c r="I37" s="15">
        <f t="shared" si="1"/>
        <v>0</v>
      </c>
      <c r="J37" s="63"/>
      <c r="K37" s="15">
        <v>284865.10538000002</v>
      </c>
      <c r="L37" s="15"/>
      <c r="M37" s="15"/>
      <c r="N37" s="15"/>
      <c r="O37" s="15">
        <v>-19743.27507</v>
      </c>
      <c r="P37" s="15"/>
      <c r="Q37" s="15"/>
      <c r="R37" s="15"/>
      <c r="S37" s="15"/>
      <c r="T37" s="15"/>
      <c r="U37" s="15"/>
      <c r="V37" s="15"/>
      <c r="W37" s="15"/>
      <c r="X37" s="15">
        <v>-199.56190000000001</v>
      </c>
      <c r="Y37" s="15"/>
      <c r="Z37" s="15"/>
      <c r="AA37" s="15">
        <v>4967.0641699999996</v>
      </c>
      <c r="AB37" s="15"/>
      <c r="AC37" s="15"/>
      <c r="AD37" s="15"/>
    </row>
    <row r="38" spans="2:30" ht="16" customHeight="1" x14ac:dyDescent="0.35">
      <c r="B38" s="14" t="s">
        <v>331</v>
      </c>
      <c r="C38" s="14" t="s">
        <v>332</v>
      </c>
      <c r="D38" s="61"/>
      <c r="E38" s="30"/>
      <c r="F38" s="63"/>
      <c r="G38" s="15">
        <f t="shared" si="0"/>
        <v>0</v>
      </c>
      <c r="H38" s="63"/>
      <c r="I38" s="15">
        <f t="shared" si="1"/>
        <v>0</v>
      </c>
      <c r="J38" s="63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 spans="2:30" ht="16" customHeight="1" x14ac:dyDescent="0.35">
      <c r="B39" s="14" t="s">
        <v>335</v>
      </c>
      <c r="C39" s="14" t="s">
        <v>336</v>
      </c>
      <c r="D39" s="61"/>
      <c r="E39" s="30">
        <v>22271.24958</v>
      </c>
      <c r="F39" s="63"/>
      <c r="G39" s="15">
        <f t="shared" si="0"/>
        <v>22271.249580000003</v>
      </c>
      <c r="H39" s="63"/>
      <c r="I39" s="15">
        <f t="shared" si="1"/>
        <v>0</v>
      </c>
      <c r="J39" s="63"/>
      <c r="K39" s="15">
        <v>19854.960330000002</v>
      </c>
      <c r="L39" s="15"/>
      <c r="M39" s="15"/>
      <c r="N39" s="15"/>
      <c r="O39" s="15">
        <v>2416.2892499999998</v>
      </c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 spans="2:30" ht="16" customHeight="1" x14ac:dyDescent="0.35">
      <c r="B40" s="14" t="s">
        <v>337</v>
      </c>
      <c r="C40" s="14" t="s">
        <v>338</v>
      </c>
      <c r="D40" s="61"/>
      <c r="E40" s="30">
        <v>153565.52843999999</v>
      </c>
      <c r="F40" s="63"/>
      <c r="G40" s="15">
        <f t="shared" si="0"/>
        <v>153565.52843999997</v>
      </c>
      <c r="H40" s="63"/>
      <c r="I40" s="15">
        <f t="shared" si="1"/>
        <v>0</v>
      </c>
      <c r="J40" s="63"/>
      <c r="K40" s="15">
        <v>162032.05515999999</v>
      </c>
      <c r="L40" s="15"/>
      <c r="M40" s="15"/>
      <c r="N40" s="15"/>
      <c r="O40" s="15">
        <v>-3393.9555</v>
      </c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>
        <v>-5072.5712199999998</v>
      </c>
      <c r="AB40" s="15"/>
      <c r="AC40" s="15"/>
      <c r="AD40" s="15"/>
    </row>
    <row r="41" spans="2:30" ht="16" customHeight="1" x14ac:dyDescent="0.35">
      <c r="B41" s="14" t="s">
        <v>339</v>
      </c>
      <c r="C41" s="14" t="s">
        <v>340</v>
      </c>
      <c r="D41" s="61"/>
      <c r="E41" s="30"/>
      <c r="F41" s="63"/>
      <c r="G41" s="15">
        <f t="shared" si="0"/>
        <v>0</v>
      </c>
      <c r="H41" s="63"/>
      <c r="I41" s="15">
        <f t="shared" si="1"/>
        <v>0</v>
      </c>
      <c r="J41" s="63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 spans="2:30" ht="16" customHeight="1" x14ac:dyDescent="0.35">
      <c r="B42" s="14" t="s">
        <v>1272</v>
      </c>
      <c r="C42" s="14" t="s">
        <v>1273</v>
      </c>
      <c r="D42" s="61"/>
      <c r="E42" s="30"/>
      <c r="F42" s="63"/>
      <c r="G42" s="15">
        <f t="shared" si="0"/>
        <v>0</v>
      </c>
      <c r="H42" s="63"/>
      <c r="I42" s="15">
        <f t="shared" si="1"/>
        <v>0</v>
      </c>
      <c r="J42" s="63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 spans="2:30" ht="16" customHeight="1" x14ac:dyDescent="0.35">
      <c r="B43" s="14" t="s">
        <v>1274</v>
      </c>
      <c r="C43" s="14" t="s">
        <v>1275</v>
      </c>
      <c r="D43" s="61"/>
      <c r="E43" s="30"/>
      <c r="F43" s="63"/>
      <c r="G43" s="15">
        <f t="shared" si="0"/>
        <v>0</v>
      </c>
      <c r="H43" s="63"/>
      <c r="I43" s="15">
        <f t="shared" si="1"/>
        <v>0</v>
      </c>
      <c r="J43" s="63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 spans="2:30" ht="16" customHeight="1" x14ac:dyDescent="0.35">
      <c r="B44" s="14" t="s">
        <v>1276</v>
      </c>
      <c r="C44" s="14" t="s">
        <v>1277</v>
      </c>
      <c r="D44" s="61"/>
      <c r="E44" s="30"/>
      <c r="F44" s="63"/>
      <c r="G44" s="15">
        <f t="shared" ref="G44:G107" si="2">SUM(K44:AD44)</f>
        <v>0</v>
      </c>
      <c r="H44" s="63"/>
      <c r="I44" s="15">
        <f t="shared" si="1"/>
        <v>0</v>
      </c>
      <c r="J44" s="63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 spans="2:30" ht="16" customHeight="1" x14ac:dyDescent="0.35">
      <c r="B45" s="14" t="s">
        <v>1278</v>
      </c>
      <c r="C45" s="14" t="s">
        <v>1279</v>
      </c>
      <c r="D45" s="61"/>
      <c r="E45" s="30"/>
      <c r="F45" s="63"/>
      <c r="G45" s="15">
        <f t="shared" si="2"/>
        <v>0</v>
      </c>
      <c r="H45" s="63"/>
      <c r="I45" s="15">
        <f t="shared" si="1"/>
        <v>0</v>
      </c>
      <c r="J45" s="63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 spans="2:30" ht="16" customHeight="1" x14ac:dyDescent="0.35">
      <c r="B46" s="14" t="s">
        <v>1280</v>
      </c>
      <c r="C46" s="14" t="s">
        <v>1281</v>
      </c>
      <c r="D46" s="61"/>
      <c r="E46" s="30"/>
      <c r="F46" s="63"/>
      <c r="G46" s="15">
        <f t="shared" si="2"/>
        <v>0</v>
      </c>
      <c r="H46" s="63"/>
      <c r="I46" s="15">
        <f t="shared" si="1"/>
        <v>0</v>
      </c>
      <c r="J46" s="63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 spans="2:30" ht="16" customHeight="1" x14ac:dyDescent="0.35">
      <c r="B47" s="14" t="s">
        <v>1282</v>
      </c>
      <c r="C47" s="14" t="s">
        <v>1283</v>
      </c>
      <c r="D47" s="61"/>
      <c r="E47" s="30"/>
      <c r="F47" s="63"/>
      <c r="G47" s="15">
        <f t="shared" si="2"/>
        <v>0</v>
      </c>
      <c r="H47" s="63"/>
      <c r="I47" s="15">
        <f t="shared" si="1"/>
        <v>0</v>
      </c>
      <c r="J47" s="63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 spans="2:30" ht="16" customHeight="1" x14ac:dyDescent="0.35">
      <c r="B48" s="14" t="s">
        <v>359</v>
      </c>
      <c r="C48" s="14" t="s">
        <v>1664</v>
      </c>
      <c r="D48" s="61"/>
      <c r="E48" s="30">
        <v>39556.490230000003</v>
      </c>
      <c r="F48" s="63"/>
      <c r="G48" s="15">
        <f t="shared" si="2"/>
        <v>39556.490229999996</v>
      </c>
      <c r="H48" s="63"/>
      <c r="I48" s="15">
        <f t="shared" si="1"/>
        <v>0</v>
      </c>
      <c r="J48" s="63"/>
      <c r="K48" s="15">
        <v>32231.405719999999</v>
      </c>
      <c r="L48" s="15"/>
      <c r="M48" s="15"/>
      <c r="N48" s="15"/>
      <c r="O48" s="15">
        <v>7143.0845099999997</v>
      </c>
      <c r="P48" s="15"/>
      <c r="Q48" s="15"/>
      <c r="R48" s="15"/>
      <c r="S48" s="15"/>
      <c r="T48" s="15"/>
      <c r="U48" s="15"/>
      <c r="V48" s="15"/>
      <c r="W48" s="15"/>
      <c r="X48" s="15"/>
      <c r="Y48" s="15">
        <v>0</v>
      </c>
      <c r="Z48" s="15">
        <v>182</v>
      </c>
      <c r="AA48" s="15"/>
      <c r="AB48" s="15"/>
      <c r="AC48" s="15"/>
      <c r="AD48" s="15"/>
    </row>
    <row r="49" spans="2:30" ht="16" customHeight="1" x14ac:dyDescent="0.35">
      <c r="B49" s="14" t="s">
        <v>1284</v>
      </c>
      <c r="C49" s="14" t="s">
        <v>1285</v>
      </c>
      <c r="D49" s="61"/>
      <c r="E49" s="30"/>
      <c r="F49" s="63"/>
      <c r="G49" s="15">
        <f t="shared" si="2"/>
        <v>0</v>
      </c>
      <c r="H49" s="63"/>
      <c r="I49" s="15">
        <f t="shared" si="1"/>
        <v>0</v>
      </c>
      <c r="J49" s="63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 spans="2:30" ht="16" customHeight="1" x14ac:dyDescent="0.35">
      <c r="B50" s="14" t="s">
        <v>1286</v>
      </c>
      <c r="C50" s="14" t="s">
        <v>1287</v>
      </c>
      <c r="D50" s="61"/>
      <c r="E50" s="30"/>
      <c r="F50" s="63"/>
      <c r="G50" s="15">
        <f t="shared" si="2"/>
        <v>0</v>
      </c>
      <c r="H50" s="63"/>
      <c r="I50" s="15">
        <f t="shared" si="1"/>
        <v>0</v>
      </c>
      <c r="J50" s="63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 spans="2:30" ht="16" customHeight="1" x14ac:dyDescent="0.35">
      <c r="B51" s="14" t="s">
        <v>1288</v>
      </c>
      <c r="C51" s="14" t="s">
        <v>1289</v>
      </c>
      <c r="D51" s="61"/>
      <c r="E51" s="30"/>
      <c r="F51" s="63"/>
      <c r="G51" s="15">
        <f t="shared" si="2"/>
        <v>0</v>
      </c>
      <c r="H51" s="63"/>
      <c r="I51" s="15">
        <f t="shared" si="1"/>
        <v>0</v>
      </c>
      <c r="J51" s="63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 spans="2:30" ht="16" customHeight="1" x14ac:dyDescent="0.35">
      <c r="B52" s="14" t="s">
        <v>1290</v>
      </c>
      <c r="C52" s="14" t="s">
        <v>1291</v>
      </c>
      <c r="D52" s="61"/>
      <c r="E52" s="30"/>
      <c r="F52" s="63"/>
      <c r="G52" s="15">
        <f t="shared" si="2"/>
        <v>0</v>
      </c>
      <c r="H52" s="63"/>
      <c r="I52" s="15">
        <f t="shared" si="1"/>
        <v>0</v>
      </c>
      <c r="J52" s="63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 spans="2:30" ht="16" customHeight="1" x14ac:dyDescent="0.35">
      <c r="B53" s="14" t="s">
        <v>1292</v>
      </c>
      <c r="C53" s="14" t="s">
        <v>1293</v>
      </c>
      <c r="D53" s="61"/>
      <c r="E53" s="30"/>
      <c r="F53" s="63"/>
      <c r="G53" s="15">
        <f t="shared" si="2"/>
        <v>0</v>
      </c>
      <c r="H53" s="63"/>
      <c r="I53" s="15">
        <f t="shared" si="1"/>
        <v>0</v>
      </c>
      <c r="J53" s="63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 spans="2:30" ht="16" customHeight="1" x14ac:dyDescent="0.35">
      <c r="B54" s="14" t="s">
        <v>1294</v>
      </c>
      <c r="C54" s="14" t="s">
        <v>1295</v>
      </c>
      <c r="D54" s="61"/>
      <c r="E54" s="30"/>
      <c r="F54" s="63"/>
      <c r="G54" s="15">
        <f t="shared" si="2"/>
        <v>0</v>
      </c>
      <c r="H54" s="63"/>
      <c r="I54" s="15">
        <f t="shared" si="1"/>
        <v>0</v>
      </c>
      <c r="J54" s="63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 spans="2:30" ht="16" customHeight="1" x14ac:dyDescent="0.35">
      <c r="B55" s="14" t="s">
        <v>1296</v>
      </c>
      <c r="C55" s="14" t="s">
        <v>1297</v>
      </c>
      <c r="D55" s="61"/>
      <c r="E55" s="30"/>
      <c r="F55" s="63"/>
      <c r="G55" s="15">
        <f t="shared" si="2"/>
        <v>0</v>
      </c>
      <c r="H55" s="63"/>
      <c r="I55" s="15">
        <f t="shared" si="1"/>
        <v>0</v>
      </c>
      <c r="J55" s="63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 spans="2:30" ht="16" customHeight="1" x14ac:dyDescent="0.35">
      <c r="B56" s="14" t="s">
        <v>361</v>
      </c>
      <c r="C56" s="14" t="s">
        <v>1298</v>
      </c>
      <c r="D56" s="61"/>
      <c r="E56" s="30">
        <v>102881.78434</v>
      </c>
      <c r="F56" s="63"/>
      <c r="G56" s="15">
        <f t="shared" si="2"/>
        <v>102881.78434</v>
      </c>
      <c r="H56" s="63"/>
      <c r="I56" s="15">
        <f t="shared" si="1"/>
        <v>0</v>
      </c>
      <c r="J56" s="63"/>
      <c r="K56" s="15">
        <v>0</v>
      </c>
      <c r="L56" s="15"/>
      <c r="M56" s="15"/>
      <c r="N56" s="15"/>
      <c r="O56" s="15">
        <v>102881.78434</v>
      </c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 spans="2:30" ht="16" customHeight="1" x14ac:dyDescent="0.35">
      <c r="B57" s="14" t="s">
        <v>368</v>
      </c>
      <c r="C57" s="14" t="s">
        <v>1665</v>
      </c>
      <c r="D57" s="61"/>
      <c r="E57" s="30"/>
      <c r="F57" s="63"/>
      <c r="G57" s="15">
        <f t="shared" si="2"/>
        <v>0</v>
      </c>
      <c r="H57" s="63"/>
      <c r="I57" s="15">
        <f t="shared" si="1"/>
        <v>0</v>
      </c>
      <c r="J57" s="63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 spans="2:30" ht="16" customHeight="1" x14ac:dyDescent="0.35">
      <c r="B58" s="14" t="s">
        <v>363</v>
      </c>
      <c r="C58" s="14" t="s">
        <v>364</v>
      </c>
      <c r="D58" s="61"/>
      <c r="E58" s="30">
        <v>1.3999999999999999E-4</v>
      </c>
      <c r="F58" s="63"/>
      <c r="G58" s="15">
        <f t="shared" si="2"/>
        <v>1.3999999999999999E-4</v>
      </c>
      <c r="H58" s="63"/>
      <c r="I58" s="15">
        <f t="shared" si="1"/>
        <v>0</v>
      </c>
      <c r="J58" s="63"/>
      <c r="K58" s="15">
        <v>1.3999999999999999E-4</v>
      </c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 spans="2:30" ht="16" customHeight="1" x14ac:dyDescent="0.35">
      <c r="B59" s="14" t="s">
        <v>1300</v>
      </c>
      <c r="C59" s="14" t="s">
        <v>375</v>
      </c>
      <c r="D59" s="61"/>
      <c r="E59" s="30">
        <v>-5.7099999999999998E-3</v>
      </c>
      <c r="F59" s="63"/>
      <c r="G59" s="15">
        <f t="shared" si="2"/>
        <v>-5.7099999999999998E-3</v>
      </c>
      <c r="H59" s="63"/>
      <c r="I59" s="15">
        <f t="shared" si="1"/>
        <v>0</v>
      </c>
      <c r="J59" s="63"/>
      <c r="K59" s="15">
        <v>-5.7099999999999998E-3</v>
      </c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 spans="2:30" ht="16" customHeight="1" x14ac:dyDescent="0.35">
      <c r="B60" s="14" t="s">
        <v>1301</v>
      </c>
      <c r="C60" s="14" t="s">
        <v>1302</v>
      </c>
      <c r="D60" s="61"/>
      <c r="E60" s="30"/>
      <c r="F60" s="63"/>
      <c r="G60" s="15">
        <f t="shared" si="2"/>
        <v>0</v>
      </c>
      <c r="H60" s="63"/>
      <c r="I60" s="15">
        <f t="shared" si="1"/>
        <v>0</v>
      </c>
      <c r="J60" s="63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 spans="2:30" ht="16" customHeight="1" x14ac:dyDescent="0.35">
      <c r="B61" s="14" t="s">
        <v>1303</v>
      </c>
      <c r="C61" s="14" t="s">
        <v>1304</v>
      </c>
      <c r="D61" s="61"/>
      <c r="E61" s="30">
        <v>-1186975.8529999999</v>
      </c>
      <c r="F61" s="63"/>
      <c r="G61" s="15">
        <f t="shared" si="2"/>
        <v>-1186975.8529999999</v>
      </c>
      <c r="H61" s="63"/>
      <c r="I61" s="15">
        <f t="shared" si="1"/>
        <v>0</v>
      </c>
      <c r="J61" s="63"/>
      <c r="K61" s="15">
        <v>-1186975.8529999999</v>
      </c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 spans="2:30" ht="16" customHeight="1" x14ac:dyDescent="0.35">
      <c r="B62" s="14" t="s">
        <v>1305</v>
      </c>
      <c r="C62" s="14" t="s">
        <v>1306</v>
      </c>
      <c r="D62" s="61"/>
      <c r="E62" s="30">
        <v>1186975.8529999999</v>
      </c>
      <c r="F62" s="63"/>
      <c r="G62" s="15">
        <f t="shared" si="2"/>
        <v>1186975.8529999999</v>
      </c>
      <c r="H62" s="63"/>
      <c r="I62" s="15">
        <f t="shared" si="1"/>
        <v>0</v>
      </c>
      <c r="J62" s="63"/>
      <c r="K62" s="15">
        <v>1186975.8529999999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 spans="2:30" ht="16" customHeight="1" x14ac:dyDescent="0.35">
      <c r="B63" s="14" t="s">
        <v>391</v>
      </c>
      <c r="C63" s="14" t="s">
        <v>392</v>
      </c>
      <c r="D63" s="61"/>
      <c r="E63" s="30"/>
      <c r="F63" s="63"/>
      <c r="G63" s="15">
        <f t="shared" si="2"/>
        <v>0</v>
      </c>
      <c r="H63" s="63"/>
      <c r="I63" s="15">
        <f t="shared" si="1"/>
        <v>0</v>
      </c>
      <c r="J63" s="63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 spans="2:30" ht="16" customHeight="1" x14ac:dyDescent="0.35">
      <c r="B64" s="14" t="s">
        <v>393</v>
      </c>
      <c r="C64" s="14" t="s">
        <v>394</v>
      </c>
      <c r="D64" s="61"/>
      <c r="E64" s="30"/>
      <c r="F64" s="63"/>
      <c r="G64" s="15">
        <f t="shared" si="2"/>
        <v>0</v>
      </c>
      <c r="H64" s="63"/>
      <c r="I64" s="15">
        <f t="shared" si="1"/>
        <v>0</v>
      </c>
      <c r="J64" s="63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 spans="2:30" ht="16" customHeight="1" x14ac:dyDescent="0.35">
      <c r="B65" s="14" t="s">
        <v>1307</v>
      </c>
      <c r="C65" s="14" t="s">
        <v>1666</v>
      </c>
      <c r="D65" s="61"/>
      <c r="E65" s="30"/>
      <c r="F65" s="63"/>
      <c r="G65" s="15">
        <f t="shared" si="2"/>
        <v>0</v>
      </c>
      <c r="H65" s="63"/>
      <c r="I65" s="15">
        <f t="shared" si="1"/>
        <v>0</v>
      </c>
      <c r="J65" s="63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 spans="2:30" ht="16" customHeight="1" x14ac:dyDescent="0.35">
      <c r="B66" s="14" t="s">
        <v>1309</v>
      </c>
      <c r="C66" s="14" t="s">
        <v>1667</v>
      </c>
      <c r="D66" s="61"/>
      <c r="E66" s="30"/>
      <c r="F66" s="63"/>
      <c r="G66" s="15">
        <f t="shared" si="2"/>
        <v>0</v>
      </c>
      <c r="H66" s="63"/>
      <c r="I66" s="15">
        <f t="shared" si="1"/>
        <v>0</v>
      </c>
      <c r="J66" s="63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 spans="2:30" ht="16" customHeight="1" x14ac:dyDescent="0.35">
      <c r="B67" s="14" t="s">
        <v>378</v>
      </c>
      <c r="C67" s="14" t="s">
        <v>379</v>
      </c>
      <c r="D67" s="61"/>
      <c r="E67" s="30">
        <v>1097931.3343</v>
      </c>
      <c r="F67" s="63"/>
      <c r="G67" s="15">
        <f t="shared" si="2"/>
        <v>1097931.3353000002</v>
      </c>
      <c r="H67" s="63"/>
      <c r="I67" s="15">
        <f t="shared" si="1"/>
        <v>-1.0000001639127731E-3</v>
      </c>
      <c r="J67" s="63"/>
      <c r="K67" s="15">
        <v>1039900.7241</v>
      </c>
      <c r="L67" s="15"/>
      <c r="M67" s="15"/>
      <c r="N67" s="15"/>
      <c r="O67" s="15">
        <v>87325.869030000002</v>
      </c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>
        <v>-30638.94945</v>
      </c>
      <c r="AA67" s="15"/>
      <c r="AB67" s="15"/>
      <c r="AC67" s="15">
        <v>1375.15941</v>
      </c>
      <c r="AD67" s="15">
        <v>-31.467790000000001</v>
      </c>
    </row>
    <row r="68" spans="2:30" ht="16" customHeight="1" x14ac:dyDescent="0.35">
      <c r="B68" s="14" t="s">
        <v>1311</v>
      </c>
      <c r="C68" s="14" t="s">
        <v>1668</v>
      </c>
      <c r="D68" s="61"/>
      <c r="E68" s="30"/>
      <c r="F68" s="63"/>
      <c r="G68" s="15">
        <f t="shared" si="2"/>
        <v>0</v>
      </c>
      <c r="H68" s="63"/>
      <c r="I68" s="15">
        <f t="shared" si="1"/>
        <v>0</v>
      </c>
      <c r="J68" s="63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 spans="2:30" ht="16" customHeight="1" x14ac:dyDescent="0.35">
      <c r="B69" s="14" t="s">
        <v>1313</v>
      </c>
      <c r="C69" s="14" t="s">
        <v>1669</v>
      </c>
      <c r="D69" s="61"/>
      <c r="E69" s="30"/>
      <c r="F69" s="63"/>
      <c r="G69" s="15">
        <f t="shared" si="2"/>
        <v>0</v>
      </c>
      <c r="H69" s="63"/>
      <c r="I69" s="15">
        <f t="shared" si="1"/>
        <v>0</v>
      </c>
      <c r="J69" s="63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 spans="2:30" ht="16" customHeight="1" x14ac:dyDescent="0.35">
      <c r="B70" s="14" t="s">
        <v>1315</v>
      </c>
      <c r="C70" s="14" t="s">
        <v>1316</v>
      </c>
      <c r="D70" s="61"/>
      <c r="E70" s="30"/>
      <c r="F70" s="63"/>
      <c r="G70" s="15">
        <f t="shared" si="2"/>
        <v>0</v>
      </c>
      <c r="H70" s="63"/>
      <c r="I70" s="15">
        <f t="shared" si="1"/>
        <v>0</v>
      </c>
      <c r="J70" s="63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 spans="2:30" ht="16" customHeight="1" x14ac:dyDescent="0.35">
      <c r="B71" s="14" t="s">
        <v>1317</v>
      </c>
      <c r="C71" s="14" t="s">
        <v>1670</v>
      </c>
      <c r="D71" s="61"/>
      <c r="E71" s="30">
        <v>123.71153</v>
      </c>
      <c r="F71" s="63"/>
      <c r="G71" s="15">
        <f t="shared" si="2"/>
        <v>123.71153</v>
      </c>
      <c r="H71" s="63"/>
      <c r="I71" s="15">
        <f t="shared" si="1"/>
        <v>0</v>
      </c>
      <c r="J71" s="63"/>
      <c r="K71" s="15">
        <v>189.09768</v>
      </c>
      <c r="L71" s="15"/>
      <c r="M71" s="15"/>
      <c r="N71" s="15"/>
      <c r="O71" s="15"/>
      <c r="P71" s="15">
        <v>-65.386150000000001</v>
      </c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 spans="2:30" ht="16" customHeight="1" x14ac:dyDescent="0.35">
      <c r="B72" s="14" t="s">
        <v>1319</v>
      </c>
      <c r="C72" s="14" t="s">
        <v>1671</v>
      </c>
      <c r="D72" s="61"/>
      <c r="E72" s="30"/>
      <c r="F72" s="63"/>
      <c r="G72" s="15">
        <f t="shared" si="2"/>
        <v>0</v>
      </c>
      <c r="H72" s="63"/>
      <c r="I72" s="15">
        <f t="shared" si="1"/>
        <v>0</v>
      </c>
      <c r="J72" s="63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 spans="2:30" ht="16" customHeight="1" x14ac:dyDescent="0.35">
      <c r="B73" s="14" t="s">
        <v>1321</v>
      </c>
      <c r="C73" s="14" t="s">
        <v>1672</v>
      </c>
      <c r="D73" s="61"/>
      <c r="E73" s="30"/>
      <c r="F73" s="63"/>
      <c r="G73" s="15">
        <f t="shared" si="2"/>
        <v>0</v>
      </c>
      <c r="H73" s="63"/>
      <c r="I73" s="15">
        <f t="shared" si="1"/>
        <v>0</v>
      </c>
      <c r="J73" s="63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 spans="2:30" ht="16" customHeight="1" x14ac:dyDescent="0.35">
      <c r="B74" s="14" t="s">
        <v>397</v>
      </c>
      <c r="C74" s="14" t="s">
        <v>1673</v>
      </c>
      <c r="D74" s="61"/>
      <c r="E74" s="30">
        <v>749.22055999999998</v>
      </c>
      <c r="F74" s="63"/>
      <c r="G74" s="15">
        <f t="shared" si="2"/>
        <v>749.22055999999998</v>
      </c>
      <c r="H74" s="63"/>
      <c r="I74" s="15">
        <f t="shared" si="1"/>
        <v>0</v>
      </c>
      <c r="J74" s="63"/>
      <c r="K74" s="15">
        <v>1.4702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>
        <v>747.75036</v>
      </c>
      <c r="AB74" s="15"/>
      <c r="AC74" s="15"/>
      <c r="AD74" s="15"/>
    </row>
    <row r="75" spans="2:30" ht="16" customHeight="1" x14ac:dyDescent="0.35">
      <c r="B75" s="14" t="s">
        <v>400</v>
      </c>
      <c r="C75" s="14" t="s">
        <v>401</v>
      </c>
      <c r="D75" s="61"/>
      <c r="E75" s="30">
        <v>316453.20688999997</v>
      </c>
      <c r="F75" s="63"/>
      <c r="G75" s="15">
        <f t="shared" si="2"/>
        <v>316453.20689000003</v>
      </c>
      <c r="H75" s="63"/>
      <c r="I75" s="15">
        <f t="shared" si="1"/>
        <v>0</v>
      </c>
      <c r="J75" s="63"/>
      <c r="K75" s="15">
        <v>315383.85635000002</v>
      </c>
      <c r="L75" s="15"/>
      <c r="M75" s="15"/>
      <c r="N75" s="15"/>
      <c r="O75" s="15"/>
      <c r="P75" s="15"/>
      <c r="Q75" s="15"/>
      <c r="R75" s="15"/>
      <c r="S75" s="15"/>
      <c r="T75" s="15"/>
      <c r="U75" s="15">
        <v>-2803.2970700000001</v>
      </c>
      <c r="V75" s="15"/>
      <c r="W75" s="15"/>
      <c r="X75" s="15"/>
      <c r="Y75" s="15"/>
      <c r="Z75" s="15">
        <v>3872.64761</v>
      </c>
      <c r="AA75" s="15"/>
      <c r="AB75" s="15"/>
      <c r="AC75" s="15"/>
      <c r="AD75" s="15"/>
    </row>
    <row r="76" spans="2:30" ht="16" customHeight="1" x14ac:dyDescent="0.35">
      <c r="B76" s="14" t="s">
        <v>402</v>
      </c>
      <c r="C76" s="14" t="s">
        <v>1323</v>
      </c>
      <c r="D76" s="61"/>
      <c r="E76" s="30">
        <v>-126044.46915</v>
      </c>
      <c r="F76" s="63"/>
      <c r="G76" s="15">
        <f t="shared" si="2"/>
        <v>-126044.46915</v>
      </c>
      <c r="H76" s="63"/>
      <c r="I76" s="15">
        <f t="shared" ref="I76:I120" si="3">E76-G76</f>
        <v>0</v>
      </c>
      <c r="J76" s="63"/>
      <c r="K76" s="15">
        <v>-125413.50255</v>
      </c>
      <c r="L76" s="15"/>
      <c r="M76" s="15"/>
      <c r="N76" s="15"/>
      <c r="O76" s="15"/>
      <c r="P76" s="15"/>
      <c r="Q76" s="15"/>
      <c r="R76" s="15"/>
      <c r="S76" s="15"/>
      <c r="T76" s="15">
        <v>-3434.2636699999998</v>
      </c>
      <c r="U76" s="15">
        <v>2803.2970700000001</v>
      </c>
      <c r="V76" s="15"/>
      <c r="W76" s="15"/>
      <c r="X76" s="15"/>
      <c r="Y76" s="15"/>
      <c r="Z76" s="15"/>
      <c r="AA76" s="15">
        <v>0</v>
      </c>
      <c r="AB76" s="15"/>
      <c r="AC76" s="15"/>
      <c r="AD76" s="15"/>
    </row>
    <row r="77" spans="2:30" ht="16" customHeight="1" x14ac:dyDescent="0.35">
      <c r="B77" s="14" t="s">
        <v>438</v>
      </c>
      <c r="C77" s="14" t="s">
        <v>1324</v>
      </c>
      <c r="D77" s="61"/>
      <c r="E77" s="30">
        <v>27708.20062</v>
      </c>
      <c r="F77" s="63"/>
      <c r="G77" s="15">
        <f t="shared" si="2"/>
        <v>27708.20062</v>
      </c>
      <c r="H77" s="63"/>
      <c r="I77" s="15">
        <f t="shared" si="3"/>
        <v>0</v>
      </c>
      <c r="J77" s="63"/>
      <c r="K77" s="15">
        <v>27927.275379999999</v>
      </c>
      <c r="L77" s="15"/>
      <c r="M77" s="15"/>
      <c r="N77" s="15"/>
      <c r="O77" s="15"/>
      <c r="P77" s="15"/>
      <c r="Q77" s="15">
        <v>210.37223</v>
      </c>
      <c r="R77" s="15"/>
      <c r="S77" s="15"/>
      <c r="T77" s="15"/>
      <c r="U77" s="15"/>
      <c r="V77" s="15"/>
      <c r="W77" s="15"/>
      <c r="X77" s="15"/>
      <c r="Y77" s="15"/>
      <c r="Z77" s="15"/>
      <c r="AA77" s="15">
        <v>-429.44699000000003</v>
      </c>
      <c r="AB77" s="15"/>
      <c r="AC77" s="15"/>
      <c r="AD77" s="15"/>
    </row>
    <row r="78" spans="2:30" ht="16" customHeight="1" x14ac:dyDescent="0.35">
      <c r="B78" s="14" t="s">
        <v>544</v>
      </c>
      <c r="C78" s="14" t="s">
        <v>1325</v>
      </c>
      <c r="D78" s="61"/>
      <c r="E78" s="30">
        <v>37957.170510000004</v>
      </c>
      <c r="F78" s="63"/>
      <c r="G78" s="15">
        <f t="shared" si="2"/>
        <v>37957.170510000004</v>
      </c>
      <c r="H78" s="63"/>
      <c r="I78" s="15">
        <f t="shared" si="3"/>
        <v>0</v>
      </c>
      <c r="J78" s="63"/>
      <c r="K78" s="15">
        <v>42157.676229999997</v>
      </c>
      <c r="L78" s="15"/>
      <c r="M78" s="15"/>
      <c r="N78" s="15"/>
      <c r="O78" s="15"/>
      <c r="P78" s="15"/>
      <c r="Q78" s="15">
        <v>122.30707</v>
      </c>
      <c r="R78" s="15"/>
      <c r="S78" s="15"/>
      <c r="T78" s="15"/>
      <c r="U78" s="15">
        <v>-4300.0406400000002</v>
      </c>
      <c r="V78" s="15"/>
      <c r="W78" s="15"/>
      <c r="X78" s="15"/>
      <c r="Y78" s="15"/>
      <c r="Z78" s="15"/>
      <c r="AA78" s="15">
        <v>-22.77215</v>
      </c>
      <c r="AB78" s="15"/>
      <c r="AC78" s="15"/>
      <c r="AD78" s="15"/>
    </row>
    <row r="79" spans="2:30" ht="16" customHeight="1" x14ac:dyDescent="0.35">
      <c r="B79" s="14" t="s">
        <v>440</v>
      </c>
      <c r="C79" s="14" t="s">
        <v>1326</v>
      </c>
      <c r="D79" s="61"/>
      <c r="E79" s="30">
        <v>-3291.2001399999999</v>
      </c>
      <c r="F79" s="63"/>
      <c r="G79" s="15">
        <f t="shared" si="2"/>
        <v>-3291.2001399999999</v>
      </c>
      <c r="H79" s="63"/>
      <c r="I79" s="15">
        <f t="shared" si="3"/>
        <v>0</v>
      </c>
      <c r="J79" s="63"/>
      <c r="K79" s="15">
        <v>-3146.4605499999998</v>
      </c>
      <c r="L79" s="15"/>
      <c r="M79" s="15"/>
      <c r="N79" s="15"/>
      <c r="O79" s="15"/>
      <c r="P79" s="15"/>
      <c r="Q79" s="15"/>
      <c r="R79" s="15"/>
      <c r="S79" s="15"/>
      <c r="T79" s="15">
        <v>-574.18610000000001</v>
      </c>
      <c r="U79" s="15"/>
      <c r="V79" s="15"/>
      <c r="W79" s="15"/>
      <c r="X79" s="15"/>
      <c r="Y79" s="15"/>
      <c r="Z79" s="15"/>
      <c r="AA79" s="15">
        <v>429.44650999999999</v>
      </c>
      <c r="AB79" s="15"/>
      <c r="AC79" s="15"/>
      <c r="AD79" s="15"/>
    </row>
    <row r="80" spans="2:30" ht="16" customHeight="1" x14ac:dyDescent="0.35">
      <c r="B80" s="14" t="s">
        <v>406</v>
      </c>
      <c r="C80" s="14" t="s">
        <v>407</v>
      </c>
      <c r="D80" s="61"/>
      <c r="E80" s="30">
        <v>2212550.1204599999</v>
      </c>
      <c r="F80" s="63"/>
      <c r="G80" s="15">
        <f t="shared" si="2"/>
        <v>2212550.1204599999</v>
      </c>
      <c r="H80" s="63"/>
      <c r="I80" s="15">
        <f t="shared" si="3"/>
        <v>0</v>
      </c>
      <c r="J80" s="63"/>
      <c r="K80" s="15">
        <v>2202694.01076</v>
      </c>
      <c r="L80" s="15"/>
      <c r="M80" s="15"/>
      <c r="N80" s="15"/>
      <c r="O80" s="15"/>
      <c r="P80" s="15"/>
      <c r="Q80" s="15"/>
      <c r="R80" s="15"/>
      <c r="S80" s="15"/>
      <c r="T80" s="15"/>
      <c r="U80" s="15">
        <v>-1645.25396</v>
      </c>
      <c r="V80" s="15"/>
      <c r="W80" s="15"/>
      <c r="X80" s="15"/>
      <c r="Y80" s="15"/>
      <c r="Z80" s="15">
        <v>11501.363660000001</v>
      </c>
      <c r="AA80" s="15"/>
      <c r="AB80" s="15"/>
      <c r="AC80" s="15"/>
      <c r="AD80" s="15"/>
    </row>
    <row r="81" spans="2:30" ht="16" customHeight="1" x14ac:dyDescent="0.35">
      <c r="B81" s="14" t="s">
        <v>408</v>
      </c>
      <c r="C81" s="14" t="s">
        <v>409</v>
      </c>
      <c r="D81" s="61"/>
      <c r="E81" s="30">
        <v>-1252353.9518599999</v>
      </c>
      <c r="F81" s="63"/>
      <c r="G81" s="15">
        <f t="shared" si="2"/>
        <v>-1252353.9518600001</v>
      </c>
      <c r="H81" s="63"/>
      <c r="I81" s="15">
        <f t="shared" si="3"/>
        <v>0</v>
      </c>
      <c r="J81" s="63"/>
      <c r="K81" s="15">
        <v>-1223060.5483500001</v>
      </c>
      <c r="L81" s="15"/>
      <c r="M81" s="15"/>
      <c r="N81" s="15"/>
      <c r="O81" s="15"/>
      <c r="P81" s="15"/>
      <c r="Q81" s="15"/>
      <c r="R81" s="15"/>
      <c r="S81" s="15"/>
      <c r="T81" s="15">
        <v>-29549.213299999999</v>
      </c>
      <c r="U81" s="15">
        <v>1645.25396</v>
      </c>
      <c r="V81" s="15"/>
      <c r="W81" s="15"/>
      <c r="X81" s="15"/>
      <c r="Y81" s="15"/>
      <c r="Z81" s="15">
        <v>-1389.44417</v>
      </c>
      <c r="AA81" s="15"/>
      <c r="AB81" s="15"/>
      <c r="AC81" s="15"/>
      <c r="AD81" s="15"/>
    </row>
    <row r="82" spans="2:30" ht="16" customHeight="1" x14ac:dyDescent="0.35">
      <c r="B82" s="14" t="s">
        <v>444</v>
      </c>
      <c r="C82" s="14" t="s">
        <v>1327</v>
      </c>
      <c r="D82" s="61"/>
      <c r="E82" s="30">
        <v>25069.32372</v>
      </c>
      <c r="F82" s="63"/>
      <c r="G82" s="15">
        <f t="shared" si="2"/>
        <v>25069.32372</v>
      </c>
      <c r="H82" s="63"/>
      <c r="I82" s="15">
        <f t="shared" si="3"/>
        <v>0</v>
      </c>
      <c r="J82" s="63"/>
      <c r="K82" s="15">
        <v>25069.32372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 spans="2:30" ht="16" customHeight="1" x14ac:dyDescent="0.35">
      <c r="B83" s="14" t="s">
        <v>546</v>
      </c>
      <c r="C83" s="14" t="s">
        <v>1328</v>
      </c>
      <c r="D83" s="61"/>
      <c r="E83" s="30">
        <v>10459.43957</v>
      </c>
      <c r="F83" s="63"/>
      <c r="G83" s="15">
        <f t="shared" si="2"/>
        <v>10459.43957</v>
      </c>
      <c r="H83" s="63"/>
      <c r="I83" s="15">
        <f t="shared" si="3"/>
        <v>0</v>
      </c>
      <c r="J83" s="63"/>
      <c r="K83" s="15">
        <v>11242.98624</v>
      </c>
      <c r="L83" s="15"/>
      <c r="M83" s="15"/>
      <c r="N83" s="15"/>
      <c r="O83" s="15"/>
      <c r="P83" s="15"/>
      <c r="Q83" s="15"/>
      <c r="R83" s="15"/>
      <c r="S83" s="15"/>
      <c r="T83" s="15"/>
      <c r="U83" s="15">
        <v>-783.54666999999995</v>
      </c>
      <c r="V83" s="15"/>
      <c r="W83" s="15"/>
      <c r="X83" s="15"/>
      <c r="Y83" s="15"/>
      <c r="Z83" s="15"/>
      <c r="AA83" s="15"/>
      <c r="AB83" s="15"/>
      <c r="AC83" s="15"/>
      <c r="AD83" s="15"/>
    </row>
    <row r="84" spans="2:30" ht="16" customHeight="1" x14ac:dyDescent="0.35">
      <c r="B84" s="14" t="s">
        <v>446</v>
      </c>
      <c r="C84" s="14" t="s">
        <v>1329</v>
      </c>
      <c r="D84" s="61"/>
      <c r="E84" s="30">
        <v>-16467.272990000001</v>
      </c>
      <c r="F84" s="63"/>
      <c r="G84" s="15">
        <f t="shared" si="2"/>
        <v>-16467.272990000001</v>
      </c>
      <c r="H84" s="63"/>
      <c r="I84" s="15">
        <f t="shared" si="3"/>
        <v>0</v>
      </c>
      <c r="J84" s="63"/>
      <c r="K84" s="15">
        <v>-16140.01657</v>
      </c>
      <c r="L84" s="15"/>
      <c r="M84" s="15"/>
      <c r="N84" s="15"/>
      <c r="O84" s="15"/>
      <c r="P84" s="15"/>
      <c r="Q84" s="15"/>
      <c r="R84" s="15"/>
      <c r="S84" s="15"/>
      <c r="T84" s="15">
        <v>-327.25641999999999</v>
      </c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 spans="2:30" ht="16" customHeight="1" x14ac:dyDescent="0.35">
      <c r="B85" s="14" t="s">
        <v>412</v>
      </c>
      <c r="C85" s="14" t="s">
        <v>413</v>
      </c>
      <c r="D85" s="61"/>
      <c r="E85" s="30">
        <v>5379937.7546800002</v>
      </c>
      <c r="F85" s="63"/>
      <c r="G85" s="15">
        <f t="shared" si="2"/>
        <v>5379937.7546899999</v>
      </c>
      <c r="H85" s="63"/>
      <c r="I85" s="15">
        <f t="shared" si="3"/>
        <v>-9.9996104836463928E-6</v>
      </c>
      <c r="J85" s="63"/>
      <c r="K85" s="15">
        <v>5268602.1741199996</v>
      </c>
      <c r="L85" s="15"/>
      <c r="M85" s="15"/>
      <c r="N85" s="15"/>
      <c r="O85" s="15"/>
      <c r="P85" s="15"/>
      <c r="Q85" s="15"/>
      <c r="R85" s="15"/>
      <c r="S85" s="15"/>
      <c r="T85" s="15"/>
      <c r="U85" s="15">
        <v>-6409.3945599999997</v>
      </c>
      <c r="V85" s="15"/>
      <c r="W85" s="15"/>
      <c r="X85" s="15"/>
      <c r="Y85" s="15"/>
      <c r="Z85" s="15">
        <v>117746.25500999999</v>
      </c>
      <c r="AA85" s="15"/>
      <c r="AB85" s="15"/>
      <c r="AC85" s="15"/>
      <c r="AD85" s="15">
        <v>-1.2798799999999999</v>
      </c>
    </row>
    <row r="86" spans="2:30" ht="16" customHeight="1" x14ac:dyDescent="0.35">
      <c r="B86" s="14" t="s">
        <v>414</v>
      </c>
      <c r="C86" s="14" t="s">
        <v>415</v>
      </c>
      <c r="D86" s="61"/>
      <c r="E86" s="30">
        <v>-3615209.9793699998</v>
      </c>
      <c r="F86" s="63"/>
      <c r="G86" s="15">
        <f t="shared" si="2"/>
        <v>-3615209.9793700003</v>
      </c>
      <c r="H86" s="63"/>
      <c r="I86" s="15">
        <f t="shared" si="3"/>
        <v>0</v>
      </c>
      <c r="J86" s="63"/>
      <c r="K86" s="15">
        <v>-3516755.0314500001</v>
      </c>
      <c r="L86" s="15"/>
      <c r="M86" s="15"/>
      <c r="N86" s="15"/>
      <c r="O86" s="15"/>
      <c r="P86" s="15"/>
      <c r="Q86" s="15"/>
      <c r="R86" s="15"/>
      <c r="S86" s="15"/>
      <c r="T86" s="15">
        <v>-104171.65021000001</v>
      </c>
      <c r="U86" s="15">
        <v>6409.3945599999997</v>
      </c>
      <c r="V86" s="15"/>
      <c r="W86" s="15"/>
      <c r="X86" s="15"/>
      <c r="Y86" s="15"/>
      <c r="Z86" s="15">
        <v>-693.88423</v>
      </c>
      <c r="AA86" s="15"/>
      <c r="AB86" s="15"/>
      <c r="AC86" s="15"/>
      <c r="AD86" s="15">
        <v>1.1919599999999999</v>
      </c>
    </row>
    <row r="87" spans="2:30" ht="16" customHeight="1" x14ac:dyDescent="0.35">
      <c r="B87" s="14" t="s">
        <v>450</v>
      </c>
      <c r="C87" s="14" t="s">
        <v>1330</v>
      </c>
      <c r="D87" s="61"/>
      <c r="E87" s="30">
        <v>34567.395909999999</v>
      </c>
      <c r="F87" s="63"/>
      <c r="G87" s="15">
        <f t="shared" si="2"/>
        <v>34567.395909999999</v>
      </c>
      <c r="H87" s="63"/>
      <c r="I87" s="15">
        <f t="shared" si="3"/>
        <v>0</v>
      </c>
      <c r="J87" s="63"/>
      <c r="K87" s="15">
        <v>33894.322169999999</v>
      </c>
      <c r="L87" s="15"/>
      <c r="M87" s="15"/>
      <c r="N87" s="15"/>
      <c r="O87" s="15"/>
      <c r="P87" s="15"/>
      <c r="Q87" s="15">
        <v>673.07374000000004</v>
      </c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 spans="2:30" ht="16" customHeight="1" x14ac:dyDescent="0.35">
      <c r="B88" s="14" t="s">
        <v>548</v>
      </c>
      <c r="C88" s="14" t="s">
        <v>1331</v>
      </c>
      <c r="D88" s="61"/>
      <c r="E88" s="30">
        <v>3850.5225999999998</v>
      </c>
      <c r="F88" s="63"/>
      <c r="G88" s="15">
        <f t="shared" si="2"/>
        <v>3850.5226000000002</v>
      </c>
      <c r="H88" s="63"/>
      <c r="I88" s="15">
        <f t="shared" si="3"/>
        <v>0</v>
      </c>
      <c r="J88" s="63"/>
      <c r="K88" s="15">
        <v>3911.5958500000002</v>
      </c>
      <c r="L88" s="15"/>
      <c r="M88" s="15"/>
      <c r="N88" s="15"/>
      <c r="O88" s="15"/>
      <c r="P88" s="15"/>
      <c r="Q88" s="15">
        <v>469.02096999999998</v>
      </c>
      <c r="R88" s="15"/>
      <c r="S88" s="15"/>
      <c r="T88" s="15"/>
      <c r="U88" s="15">
        <v>-530.09421999999995</v>
      </c>
      <c r="V88" s="15"/>
      <c r="W88" s="15"/>
      <c r="X88" s="15"/>
      <c r="Y88" s="15"/>
      <c r="Z88" s="15"/>
      <c r="AA88" s="15"/>
      <c r="AB88" s="15"/>
      <c r="AC88" s="15"/>
      <c r="AD88" s="15"/>
    </row>
    <row r="89" spans="2:30" ht="16" customHeight="1" x14ac:dyDescent="0.35">
      <c r="B89" s="14" t="s">
        <v>452</v>
      </c>
      <c r="C89" s="14" t="s">
        <v>1332</v>
      </c>
      <c r="D89" s="61"/>
      <c r="E89" s="30">
        <v>-24536.28702</v>
      </c>
      <c r="F89" s="63"/>
      <c r="G89" s="15">
        <f t="shared" si="2"/>
        <v>-24536.28702</v>
      </c>
      <c r="H89" s="63"/>
      <c r="I89" s="15">
        <f t="shared" si="3"/>
        <v>0</v>
      </c>
      <c r="J89" s="63"/>
      <c r="K89" s="15">
        <v>-23294.240989999998</v>
      </c>
      <c r="L89" s="15"/>
      <c r="M89" s="15"/>
      <c r="N89" s="15"/>
      <c r="O89" s="15"/>
      <c r="P89" s="15"/>
      <c r="Q89" s="15"/>
      <c r="R89" s="15"/>
      <c r="S89" s="15"/>
      <c r="T89" s="15">
        <v>-1242.04603</v>
      </c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 spans="2:30" ht="16" customHeight="1" x14ac:dyDescent="0.35">
      <c r="B90" s="14" t="s">
        <v>418</v>
      </c>
      <c r="C90" s="14" t="s">
        <v>419</v>
      </c>
      <c r="D90" s="61"/>
      <c r="E90" s="30">
        <v>455392.18517999997</v>
      </c>
      <c r="F90" s="63"/>
      <c r="G90" s="15">
        <f t="shared" si="2"/>
        <v>455392.18517999997</v>
      </c>
      <c r="H90" s="63"/>
      <c r="I90" s="15">
        <f t="shared" si="3"/>
        <v>0</v>
      </c>
      <c r="J90" s="63"/>
      <c r="K90" s="15">
        <v>460412.85333999997</v>
      </c>
      <c r="L90" s="15"/>
      <c r="M90" s="15"/>
      <c r="N90" s="15"/>
      <c r="O90" s="15"/>
      <c r="P90" s="15"/>
      <c r="Q90" s="15"/>
      <c r="R90" s="15"/>
      <c r="S90" s="15"/>
      <c r="T90" s="15"/>
      <c r="U90" s="15">
        <v>-1924.84872</v>
      </c>
      <c r="V90" s="15"/>
      <c r="W90" s="15"/>
      <c r="X90" s="15"/>
      <c r="Y90" s="15"/>
      <c r="Z90" s="15">
        <v>-3092.9760299999998</v>
      </c>
      <c r="AA90" s="15"/>
      <c r="AB90" s="15"/>
      <c r="AC90" s="15"/>
      <c r="AD90" s="15">
        <v>-2.84341</v>
      </c>
    </row>
    <row r="91" spans="2:30" ht="16" customHeight="1" x14ac:dyDescent="0.35">
      <c r="B91" s="14" t="s">
        <v>420</v>
      </c>
      <c r="C91" s="14" t="s">
        <v>421</v>
      </c>
      <c r="D91" s="61"/>
      <c r="E91" s="30">
        <v>-340337.68946999998</v>
      </c>
      <c r="F91" s="63"/>
      <c r="G91" s="15">
        <f t="shared" si="2"/>
        <v>-340337.68946999998</v>
      </c>
      <c r="H91" s="63"/>
      <c r="I91" s="15">
        <f t="shared" si="3"/>
        <v>0</v>
      </c>
      <c r="J91" s="63"/>
      <c r="K91" s="15">
        <v>-337449.04856999998</v>
      </c>
      <c r="L91" s="15"/>
      <c r="M91" s="15"/>
      <c r="N91" s="15"/>
      <c r="O91" s="15"/>
      <c r="P91" s="15"/>
      <c r="Q91" s="15"/>
      <c r="R91" s="15"/>
      <c r="S91" s="15"/>
      <c r="T91" s="15">
        <v>-6897.0979100000004</v>
      </c>
      <c r="U91" s="15">
        <v>1924.84872</v>
      </c>
      <c r="V91" s="15"/>
      <c r="W91" s="15"/>
      <c r="X91" s="15"/>
      <c r="Y91" s="15"/>
      <c r="Z91" s="15">
        <v>2083.3283999999999</v>
      </c>
      <c r="AA91" s="15">
        <v>0</v>
      </c>
      <c r="AB91" s="15"/>
      <c r="AC91" s="15"/>
      <c r="AD91" s="15">
        <v>0.27989000000000003</v>
      </c>
    </row>
    <row r="92" spans="2:30" ht="16" customHeight="1" x14ac:dyDescent="0.35">
      <c r="B92" s="14" t="s">
        <v>456</v>
      </c>
      <c r="C92" s="14" t="s">
        <v>1333</v>
      </c>
      <c r="D92" s="61"/>
      <c r="E92" s="30">
        <v>65404.1535</v>
      </c>
      <c r="F92" s="63"/>
      <c r="G92" s="15">
        <f t="shared" si="2"/>
        <v>65404.153500000008</v>
      </c>
      <c r="H92" s="63"/>
      <c r="I92" s="15">
        <f t="shared" si="3"/>
        <v>0</v>
      </c>
      <c r="J92" s="63"/>
      <c r="K92" s="15">
        <v>61250.868970000003</v>
      </c>
      <c r="L92" s="15"/>
      <c r="M92" s="15"/>
      <c r="N92" s="15"/>
      <c r="O92" s="15"/>
      <c r="P92" s="15"/>
      <c r="Q92" s="15">
        <v>3307.63931</v>
      </c>
      <c r="R92" s="15"/>
      <c r="S92" s="15"/>
      <c r="T92" s="15"/>
      <c r="U92" s="15"/>
      <c r="V92" s="15"/>
      <c r="W92" s="15"/>
      <c r="X92" s="15"/>
      <c r="Y92" s="15"/>
      <c r="Z92" s="15">
        <v>984.96762999999999</v>
      </c>
      <c r="AA92" s="15">
        <v>-139.32240999999999</v>
      </c>
      <c r="AB92" s="15"/>
      <c r="AC92" s="15"/>
      <c r="AD92" s="15"/>
    </row>
    <row r="93" spans="2:30" ht="16" customHeight="1" x14ac:dyDescent="0.35">
      <c r="B93" s="14" t="s">
        <v>550</v>
      </c>
      <c r="C93" s="14" t="s">
        <v>1334</v>
      </c>
      <c r="D93" s="61"/>
      <c r="E93" s="30">
        <v>115507.72745000001</v>
      </c>
      <c r="F93" s="63"/>
      <c r="G93" s="15">
        <f t="shared" si="2"/>
        <v>115507.72745000001</v>
      </c>
      <c r="H93" s="63"/>
      <c r="I93" s="15">
        <f t="shared" si="3"/>
        <v>0</v>
      </c>
      <c r="J93" s="63"/>
      <c r="K93" s="15">
        <v>103984.17892999999</v>
      </c>
      <c r="L93" s="15"/>
      <c r="M93" s="15"/>
      <c r="N93" s="15"/>
      <c r="O93" s="15"/>
      <c r="P93" s="15"/>
      <c r="Q93" s="15">
        <v>11224.75397</v>
      </c>
      <c r="R93" s="15"/>
      <c r="S93" s="15"/>
      <c r="T93" s="15"/>
      <c r="U93" s="15">
        <v>-8983.0548299999991</v>
      </c>
      <c r="V93" s="15"/>
      <c r="W93" s="15"/>
      <c r="X93" s="15"/>
      <c r="Y93" s="15"/>
      <c r="Z93" s="15">
        <v>9294.1646500000006</v>
      </c>
      <c r="AA93" s="15">
        <v>-12.31527</v>
      </c>
      <c r="AB93" s="15"/>
      <c r="AC93" s="15"/>
      <c r="AD93" s="15"/>
    </row>
    <row r="94" spans="2:30" ht="16" customHeight="1" x14ac:dyDescent="0.35">
      <c r="B94" s="14" t="s">
        <v>458</v>
      </c>
      <c r="C94" s="14" t="s">
        <v>1335</v>
      </c>
      <c r="D94" s="61"/>
      <c r="E94" s="30">
        <v>-33630.94829</v>
      </c>
      <c r="F94" s="63"/>
      <c r="G94" s="15">
        <f t="shared" si="2"/>
        <v>-33630.948289999993</v>
      </c>
      <c r="H94" s="63"/>
      <c r="I94" s="15">
        <f t="shared" si="3"/>
        <v>0</v>
      </c>
      <c r="J94" s="63"/>
      <c r="K94" s="15">
        <v>-17297.655920000001</v>
      </c>
      <c r="L94" s="15"/>
      <c r="M94" s="15"/>
      <c r="N94" s="15"/>
      <c r="O94" s="15"/>
      <c r="P94" s="15"/>
      <c r="Q94" s="15"/>
      <c r="R94" s="15"/>
      <c r="S94" s="15"/>
      <c r="T94" s="15">
        <v>-5038.2695999999996</v>
      </c>
      <c r="U94" s="15"/>
      <c r="V94" s="15"/>
      <c r="W94" s="15"/>
      <c r="X94" s="15"/>
      <c r="Y94" s="15"/>
      <c r="Z94" s="15">
        <v>-11445.82099</v>
      </c>
      <c r="AA94" s="15">
        <v>150.79942</v>
      </c>
      <c r="AB94" s="15"/>
      <c r="AC94" s="15"/>
      <c r="AD94" s="15">
        <v>-1.1999999999999999E-3</v>
      </c>
    </row>
    <row r="95" spans="2:30" ht="16" customHeight="1" x14ac:dyDescent="0.35">
      <c r="B95" s="14" t="s">
        <v>424</v>
      </c>
      <c r="C95" s="14" t="s">
        <v>1336</v>
      </c>
      <c r="D95" s="61"/>
      <c r="E95" s="30">
        <v>263357.25829999999</v>
      </c>
      <c r="F95" s="63"/>
      <c r="G95" s="15">
        <f t="shared" si="2"/>
        <v>263357.25829999999</v>
      </c>
      <c r="H95" s="63"/>
      <c r="I95" s="15">
        <f t="shared" si="3"/>
        <v>0</v>
      </c>
      <c r="J95" s="63"/>
      <c r="K95" s="15">
        <v>193987.31203</v>
      </c>
      <c r="L95" s="15"/>
      <c r="M95" s="15"/>
      <c r="N95" s="15"/>
      <c r="O95" s="15"/>
      <c r="P95" s="15">
        <v>199412.67454000001</v>
      </c>
      <c r="Q95" s="15"/>
      <c r="R95" s="15"/>
      <c r="S95" s="15"/>
      <c r="T95" s="15"/>
      <c r="U95" s="15"/>
      <c r="V95" s="15"/>
      <c r="W95" s="15"/>
      <c r="X95" s="15"/>
      <c r="Y95" s="15"/>
      <c r="Z95" s="15">
        <v>-130042.72827000001</v>
      </c>
      <c r="AA95" s="15"/>
      <c r="AB95" s="15"/>
      <c r="AC95" s="15"/>
      <c r="AD95" s="15"/>
    </row>
    <row r="96" spans="2:30" ht="16" customHeight="1" x14ac:dyDescent="0.35">
      <c r="B96" s="14" t="s">
        <v>426</v>
      </c>
      <c r="C96" s="14" t="s">
        <v>1337</v>
      </c>
      <c r="D96" s="61"/>
      <c r="E96" s="30"/>
      <c r="F96" s="63"/>
      <c r="G96" s="15">
        <f t="shared" si="2"/>
        <v>0</v>
      </c>
      <c r="H96" s="63"/>
      <c r="I96" s="15">
        <f t="shared" si="3"/>
        <v>0</v>
      </c>
      <c r="J96" s="63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</row>
    <row r="97" spans="2:30" ht="16" customHeight="1" x14ac:dyDescent="0.35">
      <c r="B97" s="14" t="s">
        <v>462</v>
      </c>
      <c r="C97" s="14" t="s">
        <v>1338</v>
      </c>
      <c r="D97" s="61"/>
      <c r="E97" s="30"/>
      <c r="F97" s="63"/>
      <c r="G97" s="15">
        <f t="shared" si="2"/>
        <v>0</v>
      </c>
      <c r="H97" s="63"/>
      <c r="I97" s="15">
        <f t="shared" si="3"/>
        <v>0</v>
      </c>
      <c r="J97" s="63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</row>
    <row r="98" spans="2:30" ht="16" customHeight="1" x14ac:dyDescent="0.35">
      <c r="B98" s="14" t="s">
        <v>464</v>
      </c>
      <c r="C98" s="14" t="s">
        <v>1339</v>
      </c>
      <c r="D98" s="61"/>
      <c r="E98" s="30"/>
      <c r="F98" s="63"/>
      <c r="G98" s="15">
        <f t="shared" si="2"/>
        <v>0</v>
      </c>
      <c r="H98" s="63"/>
      <c r="I98" s="15">
        <f t="shared" si="3"/>
        <v>0</v>
      </c>
      <c r="J98" s="63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</row>
    <row r="99" spans="2:30" ht="16" customHeight="1" x14ac:dyDescent="0.35">
      <c r="B99" s="14" t="s">
        <v>533</v>
      </c>
      <c r="C99" s="14" t="s">
        <v>1340</v>
      </c>
      <c r="D99" s="61"/>
      <c r="E99" s="30">
        <v>82815.630990000005</v>
      </c>
      <c r="F99" s="63"/>
      <c r="G99" s="15">
        <f t="shared" si="2"/>
        <v>82815.630990000005</v>
      </c>
      <c r="H99" s="63"/>
      <c r="I99" s="15">
        <f t="shared" si="3"/>
        <v>0</v>
      </c>
      <c r="J99" s="63"/>
      <c r="K99" s="15">
        <v>82815.630990000005</v>
      </c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</row>
    <row r="100" spans="2:30" ht="16" customHeight="1" x14ac:dyDescent="0.35">
      <c r="B100" s="14" t="s">
        <v>537</v>
      </c>
      <c r="C100" s="14" t="s">
        <v>1341</v>
      </c>
      <c r="D100" s="61"/>
      <c r="E100" s="30">
        <v>1052539.90766</v>
      </c>
      <c r="F100" s="63"/>
      <c r="G100" s="15">
        <f t="shared" si="2"/>
        <v>1052539.90766</v>
      </c>
      <c r="H100" s="63"/>
      <c r="I100" s="15">
        <f t="shared" si="3"/>
        <v>0</v>
      </c>
      <c r="J100" s="63"/>
      <c r="K100" s="15">
        <v>1052539.90766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</row>
    <row r="101" spans="2:30" ht="16" customHeight="1" x14ac:dyDescent="0.35">
      <c r="B101" s="14" t="s">
        <v>535</v>
      </c>
      <c r="C101" s="14" t="s">
        <v>1342</v>
      </c>
      <c r="D101" s="61"/>
      <c r="E101" s="30">
        <v>-2.0000000000000002E-5</v>
      </c>
      <c r="F101" s="63"/>
      <c r="G101" s="15">
        <f t="shared" si="2"/>
        <v>-2.0000000000000002E-5</v>
      </c>
      <c r="H101" s="63"/>
      <c r="I101" s="15">
        <f t="shared" si="3"/>
        <v>0</v>
      </c>
      <c r="J101" s="63"/>
      <c r="K101" s="15">
        <v>-2.0000000000000002E-5</v>
      </c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</row>
    <row r="102" spans="2:30" ht="16" customHeight="1" x14ac:dyDescent="0.35">
      <c r="B102" s="14" t="s">
        <v>539</v>
      </c>
      <c r="C102" s="14" t="s">
        <v>1343</v>
      </c>
      <c r="D102" s="61"/>
      <c r="E102" s="30"/>
      <c r="F102" s="63"/>
      <c r="G102" s="15">
        <f t="shared" si="2"/>
        <v>0</v>
      </c>
      <c r="H102" s="63"/>
      <c r="I102" s="15">
        <f t="shared" si="3"/>
        <v>0</v>
      </c>
      <c r="J102" s="63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</row>
    <row r="103" spans="2:30" ht="16" customHeight="1" x14ac:dyDescent="0.35">
      <c r="B103" s="14" t="s">
        <v>519</v>
      </c>
      <c r="C103" s="14" t="s">
        <v>1344</v>
      </c>
      <c r="D103" s="61"/>
      <c r="E103" s="30"/>
      <c r="F103" s="63"/>
      <c r="G103" s="15">
        <f t="shared" si="2"/>
        <v>0</v>
      </c>
      <c r="H103" s="63"/>
      <c r="I103" s="15">
        <f t="shared" si="3"/>
        <v>0</v>
      </c>
      <c r="J103" s="63"/>
      <c r="K103" s="15">
        <v>72589.582559999995</v>
      </c>
      <c r="L103" s="15">
        <v>-72589.582559999995</v>
      </c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</row>
    <row r="104" spans="2:30" ht="16" customHeight="1" x14ac:dyDescent="0.35">
      <c r="B104" s="14" t="s">
        <v>521</v>
      </c>
      <c r="C104" s="14" t="s">
        <v>1345</v>
      </c>
      <c r="D104" s="61"/>
      <c r="E104" s="30"/>
      <c r="F104" s="63"/>
      <c r="G104" s="15">
        <f t="shared" si="2"/>
        <v>0</v>
      </c>
      <c r="H104" s="63"/>
      <c r="I104" s="15">
        <f t="shared" si="3"/>
        <v>0</v>
      </c>
      <c r="J104" s="63"/>
      <c r="K104" s="15">
        <v>-71057.927249999993</v>
      </c>
      <c r="L104" s="15">
        <v>71057.927249999993</v>
      </c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</row>
    <row r="105" spans="2:30" ht="16" customHeight="1" x14ac:dyDescent="0.35">
      <c r="B105" s="14" t="s">
        <v>483</v>
      </c>
      <c r="C105" s="14" t="s">
        <v>1346</v>
      </c>
      <c r="D105" s="61"/>
      <c r="E105" s="30"/>
      <c r="F105" s="63"/>
      <c r="G105" s="15">
        <f t="shared" si="2"/>
        <v>0</v>
      </c>
      <c r="H105" s="63"/>
      <c r="I105" s="15">
        <f t="shared" si="3"/>
        <v>0</v>
      </c>
      <c r="J105" s="63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</row>
    <row r="106" spans="2:30" ht="16" customHeight="1" x14ac:dyDescent="0.35">
      <c r="B106" s="14" t="s">
        <v>485</v>
      </c>
      <c r="C106" s="14" t="s">
        <v>1347</v>
      </c>
      <c r="D106" s="61"/>
      <c r="E106" s="30"/>
      <c r="F106" s="63"/>
      <c r="G106" s="15">
        <f t="shared" si="2"/>
        <v>0</v>
      </c>
      <c r="H106" s="63"/>
      <c r="I106" s="15">
        <f t="shared" si="3"/>
        <v>0</v>
      </c>
      <c r="J106" s="63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</row>
    <row r="107" spans="2:30" ht="16" customHeight="1" x14ac:dyDescent="0.35">
      <c r="B107" s="14" t="s">
        <v>489</v>
      </c>
      <c r="C107" s="14" t="s">
        <v>1348</v>
      </c>
      <c r="D107" s="61"/>
      <c r="E107" s="30">
        <v>2836.7139200000001</v>
      </c>
      <c r="F107" s="63"/>
      <c r="G107" s="15">
        <f t="shared" si="2"/>
        <v>2836.7139200000001</v>
      </c>
      <c r="H107" s="63"/>
      <c r="I107" s="15">
        <f t="shared" si="3"/>
        <v>0</v>
      </c>
      <c r="J107" s="63"/>
      <c r="K107" s="15"/>
      <c r="L107" s="15">
        <v>2836.7139200000001</v>
      </c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</row>
    <row r="108" spans="2:30" ht="16" customHeight="1" x14ac:dyDescent="0.35">
      <c r="B108" s="14" t="s">
        <v>491</v>
      </c>
      <c r="C108" s="14" t="s">
        <v>1349</v>
      </c>
      <c r="D108" s="61"/>
      <c r="E108" s="30">
        <v>-2836.7139200000001</v>
      </c>
      <c r="F108" s="63"/>
      <c r="G108" s="15">
        <f t="shared" ref="G108:G120" si="4">SUM(K108:AD108)</f>
        <v>-2836.7139200000001</v>
      </c>
      <c r="H108" s="63"/>
      <c r="I108" s="15">
        <f t="shared" si="3"/>
        <v>0</v>
      </c>
      <c r="J108" s="63"/>
      <c r="K108" s="15"/>
      <c r="L108" s="15">
        <v>-2836.7139200000001</v>
      </c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</row>
    <row r="109" spans="2:30" ht="16" customHeight="1" x14ac:dyDescent="0.35">
      <c r="B109" s="14" t="s">
        <v>495</v>
      </c>
      <c r="C109" s="14" t="s">
        <v>1350</v>
      </c>
      <c r="D109" s="61"/>
      <c r="E109" s="30">
        <v>60067.568070000001</v>
      </c>
      <c r="F109" s="63"/>
      <c r="G109" s="15">
        <f t="shared" si="4"/>
        <v>60067.568069999994</v>
      </c>
      <c r="H109" s="63"/>
      <c r="I109" s="15">
        <f t="shared" si="3"/>
        <v>0</v>
      </c>
      <c r="J109" s="63"/>
      <c r="K109" s="15"/>
      <c r="L109" s="15">
        <v>55508.92916</v>
      </c>
      <c r="M109" s="15"/>
      <c r="N109" s="15"/>
      <c r="O109" s="15">
        <v>2.0058400000000001</v>
      </c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>
        <v>4556.6330699999999</v>
      </c>
      <c r="AA109" s="15"/>
      <c r="AB109" s="15"/>
      <c r="AC109" s="15"/>
      <c r="AD109" s="15"/>
    </row>
    <row r="110" spans="2:30" ht="16" customHeight="1" x14ac:dyDescent="0.35">
      <c r="B110" s="14" t="s">
        <v>497</v>
      </c>
      <c r="C110" s="14" t="s">
        <v>1351</v>
      </c>
      <c r="D110" s="61"/>
      <c r="E110" s="30">
        <v>-58791.737739999997</v>
      </c>
      <c r="F110" s="63"/>
      <c r="G110" s="15">
        <f t="shared" si="4"/>
        <v>-58791.737739999997</v>
      </c>
      <c r="H110" s="63"/>
      <c r="I110" s="15">
        <f t="shared" si="3"/>
        <v>0</v>
      </c>
      <c r="J110" s="63"/>
      <c r="K110" s="15"/>
      <c r="L110" s="15">
        <v>-53982.30949</v>
      </c>
      <c r="M110" s="15"/>
      <c r="N110" s="15"/>
      <c r="O110" s="15"/>
      <c r="P110" s="15"/>
      <c r="Q110" s="15"/>
      <c r="R110" s="15"/>
      <c r="S110" s="15"/>
      <c r="T110" s="15">
        <v>-252.79517999999999</v>
      </c>
      <c r="U110" s="15"/>
      <c r="V110" s="15"/>
      <c r="W110" s="15"/>
      <c r="X110" s="15"/>
      <c r="Y110" s="15"/>
      <c r="Z110" s="15">
        <v>-4556.6330699999999</v>
      </c>
      <c r="AA110" s="15"/>
      <c r="AB110" s="15"/>
      <c r="AC110" s="15"/>
      <c r="AD110" s="15"/>
    </row>
    <row r="111" spans="2:30" ht="16" customHeight="1" x14ac:dyDescent="0.35">
      <c r="B111" s="14" t="s">
        <v>501</v>
      </c>
      <c r="C111" s="14" t="s">
        <v>1352</v>
      </c>
      <c r="D111" s="61"/>
      <c r="E111" s="30"/>
      <c r="F111" s="63"/>
      <c r="G111" s="15">
        <f t="shared" si="4"/>
        <v>0</v>
      </c>
      <c r="H111" s="63"/>
      <c r="I111" s="15">
        <f t="shared" si="3"/>
        <v>0</v>
      </c>
      <c r="J111" s="63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</row>
    <row r="112" spans="2:30" ht="16" customHeight="1" x14ac:dyDescent="0.35">
      <c r="B112" s="14" t="s">
        <v>503</v>
      </c>
      <c r="C112" s="14" t="s">
        <v>1353</v>
      </c>
      <c r="D112" s="61"/>
      <c r="E112" s="30"/>
      <c r="F112" s="63"/>
      <c r="G112" s="15">
        <f t="shared" si="4"/>
        <v>0</v>
      </c>
      <c r="H112" s="63"/>
      <c r="I112" s="15">
        <f t="shared" si="3"/>
        <v>0</v>
      </c>
      <c r="J112" s="63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</row>
    <row r="113" spans="2:30" ht="16" customHeight="1" x14ac:dyDescent="0.35">
      <c r="B113" s="14" t="s">
        <v>507</v>
      </c>
      <c r="C113" s="14" t="s">
        <v>1354</v>
      </c>
      <c r="D113" s="61"/>
      <c r="E113" s="30">
        <v>4264.5429999999997</v>
      </c>
      <c r="F113" s="63"/>
      <c r="G113" s="15">
        <f t="shared" si="4"/>
        <v>4264.5429999999997</v>
      </c>
      <c r="H113" s="63"/>
      <c r="I113" s="15">
        <f t="shared" si="3"/>
        <v>0</v>
      </c>
      <c r="J113" s="63"/>
      <c r="K113" s="15"/>
      <c r="L113" s="15"/>
      <c r="M113" s="15"/>
      <c r="N113" s="15"/>
      <c r="O113" s="15">
        <v>0</v>
      </c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>
        <v>4264.5429999999997</v>
      </c>
      <c r="AA113" s="15"/>
      <c r="AB113" s="15"/>
      <c r="AC113" s="15"/>
      <c r="AD113" s="15"/>
    </row>
    <row r="114" spans="2:30" ht="16" customHeight="1" x14ac:dyDescent="0.35">
      <c r="B114" s="14" t="s">
        <v>509</v>
      </c>
      <c r="C114" s="14" t="s">
        <v>1355</v>
      </c>
      <c r="D114" s="61"/>
      <c r="E114" s="30">
        <v>-4264.5429999999997</v>
      </c>
      <c r="F114" s="63"/>
      <c r="G114" s="15">
        <f t="shared" si="4"/>
        <v>-4264.5429999999997</v>
      </c>
      <c r="H114" s="63"/>
      <c r="I114" s="15">
        <f t="shared" si="3"/>
        <v>0</v>
      </c>
      <c r="J114" s="63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>
        <v>-4264.5429999999997</v>
      </c>
      <c r="AA114" s="15"/>
      <c r="AB114" s="15"/>
      <c r="AC114" s="15"/>
      <c r="AD114" s="15"/>
    </row>
    <row r="115" spans="2:30" ht="16" customHeight="1" x14ac:dyDescent="0.35">
      <c r="B115" s="14" t="s">
        <v>513</v>
      </c>
      <c r="C115" s="14" t="s">
        <v>1356</v>
      </c>
      <c r="D115" s="61"/>
      <c r="E115" s="30">
        <v>5422.7634099999996</v>
      </c>
      <c r="F115" s="63"/>
      <c r="G115" s="15">
        <f t="shared" si="4"/>
        <v>5422.7634099999996</v>
      </c>
      <c r="H115" s="63"/>
      <c r="I115" s="15">
        <f t="shared" si="3"/>
        <v>0</v>
      </c>
      <c r="J115" s="63"/>
      <c r="K115" s="15"/>
      <c r="L115" s="15">
        <v>14243.939479999999</v>
      </c>
      <c r="M115" s="15"/>
      <c r="N115" s="15"/>
      <c r="O115" s="15">
        <v>-2.0058400000000001</v>
      </c>
      <c r="P115" s="15">
        <v>2.0058400000000001</v>
      </c>
      <c r="Q115" s="15"/>
      <c r="R115" s="15"/>
      <c r="S115" s="15"/>
      <c r="T115" s="15"/>
      <c r="U115" s="15"/>
      <c r="V115" s="15"/>
      <c r="W115" s="15"/>
      <c r="X115" s="15"/>
      <c r="Y115" s="15"/>
      <c r="Z115" s="15">
        <v>-8821.1760699999995</v>
      </c>
      <c r="AA115" s="15"/>
      <c r="AB115" s="15"/>
      <c r="AC115" s="15"/>
      <c r="AD115" s="15"/>
    </row>
    <row r="116" spans="2:30" ht="16" customHeight="1" x14ac:dyDescent="0.35">
      <c r="B116" s="14" t="s">
        <v>515</v>
      </c>
      <c r="C116" s="14" t="s">
        <v>1357</v>
      </c>
      <c r="D116" s="61"/>
      <c r="E116" s="30">
        <v>-5417.7277700000004</v>
      </c>
      <c r="F116" s="63"/>
      <c r="G116" s="15">
        <f t="shared" si="4"/>
        <v>-5417.7277700000013</v>
      </c>
      <c r="H116" s="63"/>
      <c r="I116" s="15">
        <f t="shared" si="3"/>
        <v>0</v>
      </c>
      <c r="J116" s="63"/>
      <c r="K116" s="15"/>
      <c r="L116" s="15">
        <v>-14238.903840000001</v>
      </c>
      <c r="M116" s="15"/>
      <c r="N116" s="15"/>
      <c r="O116" s="15"/>
      <c r="P116" s="15"/>
      <c r="Q116" s="15"/>
      <c r="R116" s="15"/>
      <c r="S116" s="15"/>
      <c r="T116" s="15">
        <v>0</v>
      </c>
      <c r="U116" s="15"/>
      <c r="V116" s="15"/>
      <c r="W116" s="15"/>
      <c r="X116" s="15"/>
      <c r="Y116" s="15"/>
      <c r="Z116" s="15">
        <v>8821.1760699999995</v>
      </c>
      <c r="AA116" s="15"/>
      <c r="AB116" s="15"/>
      <c r="AC116" s="15"/>
      <c r="AD116" s="15"/>
    </row>
    <row r="117" spans="2:30" ht="16" customHeight="1" x14ac:dyDescent="0.35">
      <c r="B117" s="14" t="s">
        <v>554</v>
      </c>
      <c r="C117" s="14" t="s">
        <v>555</v>
      </c>
      <c r="D117" s="61"/>
      <c r="E117" s="30">
        <v>0</v>
      </c>
      <c r="F117" s="63"/>
      <c r="G117" s="15">
        <f t="shared" si="4"/>
        <v>-8.6770868268359891E-15</v>
      </c>
      <c r="H117" s="63"/>
      <c r="I117" s="15">
        <f t="shared" si="3"/>
        <v>8.6770868268359891E-15</v>
      </c>
      <c r="J117" s="63"/>
      <c r="K117" s="15">
        <v>264.19027999999997</v>
      </c>
      <c r="L117" s="15"/>
      <c r="M117" s="15"/>
      <c r="N117" s="15"/>
      <c r="O117" s="15">
        <v>-2.5000000000000001E-4</v>
      </c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>
        <v>-264.16023999999999</v>
      </c>
      <c r="AA117" s="15"/>
      <c r="AB117" s="15"/>
      <c r="AC117" s="15"/>
      <c r="AD117" s="15">
        <v>-2.9790000000000001E-2</v>
      </c>
    </row>
    <row r="118" spans="2:30" ht="16" customHeight="1" x14ac:dyDescent="0.35">
      <c r="B118" s="14" t="s">
        <v>384</v>
      </c>
      <c r="C118" s="14" t="s">
        <v>385</v>
      </c>
      <c r="D118" s="61"/>
      <c r="E118" s="30">
        <v>182.98912000000001</v>
      </c>
      <c r="F118" s="63"/>
      <c r="G118" s="15">
        <f t="shared" si="4"/>
        <v>182.98912000000001</v>
      </c>
      <c r="H118" s="63"/>
      <c r="I118" s="15">
        <f t="shared" si="3"/>
        <v>0</v>
      </c>
      <c r="J118" s="63"/>
      <c r="K118" s="15">
        <v>198.80812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>
        <v>-15.819000000000001</v>
      </c>
      <c r="AB118" s="15"/>
      <c r="AC118" s="15"/>
      <c r="AD118" s="15"/>
    </row>
    <row r="119" spans="2:30" ht="16" customHeight="1" x14ac:dyDescent="0.35">
      <c r="B119" s="14" t="s">
        <v>386</v>
      </c>
      <c r="C119" s="14" t="s">
        <v>387</v>
      </c>
      <c r="D119" s="61"/>
      <c r="E119" s="30">
        <v>71055.432990000001</v>
      </c>
      <c r="F119" s="63"/>
      <c r="G119" s="15">
        <f t="shared" si="4"/>
        <v>71055.432990000001</v>
      </c>
      <c r="H119" s="63"/>
      <c r="I119" s="15">
        <f t="shared" si="3"/>
        <v>0</v>
      </c>
      <c r="J119" s="63"/>
      <c r="K119" s="15">
        <v>77189.929189999995</v>
      </c>
      <c r="L119" s="15"/>
      <c r="M119" s="15"/>
      <c r="N119" s="15"/>
      <c r="O119" s="15">
        <v>-3634.4962</v>
      </c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>
        <v>-2500</v>
      </c>
      <c r="AB119" s="15"/>
      <c r="AC119" s="15"/>
      <c r="AD119" s="15"/>
    </row>
    <row r="120" spans="2:30" ht="16" customHeight="1" x14ac:dyDescent="0.35">
      <c r="B120" s="14" t="s">
        <v>557</v>
      </c>
      <c r="C120" s="14" t="s">
        <v>558</v>
      </c>
      <c r="D120" s="61"/>
      <c r="E120" s="30"/>
      <c r="F120" s="63"/>
      <c r="G120" s="15">
        <f t="shared" si="4"/>
        <v>0</v>
      </c>
      <c r="H120" s="63"/>
      <c r="I120" s="15">
        <f t="shared" si="3"/>
        <v>0</v>
      </c>
      <c r="J120" s="63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</row>
    <row r="121" spans="2:30" ht="16" customHeight="1" x14ac:dyDescent="0.35">
      <c r="B121" s="16" t="s">
        <v>1358</v>
      </c>
      <c r="C121" s="16"/>
      <c r="D121" s="64"/>
      <c r="E121" s="31">
        <f>SUBTOTAL(109, E12:E120)</f>
        <v>8880870.0730599985</v>
      </c>
      <c r="F121" s="65"/>
      <c r="G121" s="17">
        <f>SUBTOTAL(109, G12:G120)</f>
        <v>8880870.0750699975</v>
      </c>
      <c r="H121" s="65"/>
      <c r="I121" s="17">
        <f>SUBTOTAL(109, I12:I120)</f>
        <v>-2.0099997636775328E-3</v>
      </c>
      <c r="J121" s="65"/>
      <c r="K121" s="17">
        <f t="shared" ref="K121:AD121" si="5">SUBTOTAL(109, K12:K120)</f>
        <v>8816740.9371700007</v>
      </c>
      <c r="L121" s="17">
        <f t="shared" si="5"/>
        <v>0</v>
      </c>
      <c r="M121" s="17">
        <f t="shared" si="5"/>
        <v>0</v>
      </c>
      <c r="N121" s="17">
        <f t="shared" si="5"/>
        <v>0</v>
      </c>
      <c r="O121" s="17">
        <f t="shared" si="5"/>
        <v>44969.936199999931</v>
      </c>
      <c r="P121" s="17">
        <f t="shared" si="5"/>
        <v>199349.29423</v>
      </c>
      <c r="Q121" s="17">
        <f t="shared" si="5"/>
        <v>16007.167289999999</v>
      </c>
      <c r="R121" s="17">
        <f t="shared" si="5"/>
        <v>0</v>
      </c>
      <c r="S121" s="17">
        <f t="shared" si="5"/>
        <v>0</v>
      </c>
      <c r="T121" s="17">
        <f t="shared" si="5"/>
        <v>-151833.22605</v>
      </c>
      <c r="U121" s="17">
        <f t="shared" si="5"/>
        <v>-14596.736359999999</v>
      </c>
      <c r="V121" s="17">
        <f t="shared" si="5"/>
        <v>0</v>
      </c>
      <c r="W121" s="17">
        <f t="shared" si="5"/>
        <v>0</v>
      </c>
      <c r="X121" s="17">
        <f t="shared" si="5"/>
        <v>-208.55246</v>
      </c>
      <c r="Y121" s="17">
        <f t="shared" si="5"/>
        <v>0</v>
      </c>
      <c r="Z121" s="17">
        <f t="shared" si="5"/>
        <v>-31903.236420000019</v>
      </c>
      <c r="AA121" s="17">
        <f t="shared" si="5"/>
        <v>1010.4610000000002</v>
      </c>
      <c r="AB121" s="17">
        <f t="shared" si="5"/>
        <v>0</v>
      </c>
      <c r="AC121" s="17">
        <f t="shared" si="5"/>
        <v>1375.15941</v>
      </c>
      <c r="AD121" s="17">
        <f t="shared" si="5"/>
        <v>-41.128939999999993</v>
      </c>
    </row>
    <row r="122" spans="2:30" ht="16" customHeight="1" x14ac:dyDescent="0.35">
      <c r="B122" s="11"/>
      <c r="C122" s="11"/>
      <c r="D122" s="29"/>
      <c r="E122" s="29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spans="2:30" ht="16" customHeight="1" x14ac:dyDescent="0.35">
      <c r="B123" s="14" t="s">
        <v>577</v>
      </c>
      <c r="C123" s="14" t="s">
        <v>1365</v>
      </c>
      <c r="D123" s="61"/>
      <c r="E123" s="30">
        <v>-3.0000000000000001E-3</v>
      </c>
      <c r="F123" s="63"/>
      <c r="G123" s="15">
        <f t="shared" ref="G123:G154" si="6">SUM(K123:AD123)</f>
        <v>-3.0000000000000001E-3</v>
      </c>
      <c r="H123" s="63"/>
      <c r="I123" s="15">
        <f t="shared" ref="I123:I186" si="7">E123-G123</f>
        <v>0</v>
      </c>
      <c r="J123" s="63"/>
      <c r="K123" s="15">
        <v>-1.2899999999999999E-3</v>
      </c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>
        <v>-5.2999999999999998E-4</v>
      </c>
      <c r="AB123" s="15"/>
      <c r="AC123" s="15"/>
      <c r="AD123" s="15">
        <v>-1.1800000000000001E-3</v>
      </c>
    </row>
    <row r="124" spans="2:30" ht="16" customHeight="1" x14ac:dyDescent="0.35">
      <c r="B124" s="14" t="s">
        <v>579</v>
      </c>
      <c r="C124" s="14" t="s">
        <v>1359</v>
      </c>
      <c r="D124" s="61"/>
      <c r="E124" s="30"/>
      <c r="F124" s="63"/>
      <c r="G124" s="15">
        <f t="shared" si="6"/>
        <v>0</v>
      </c>
      <c r="H124" s="63"/>
      <c r="I124" s="15">
        <f t="shared" si="7"/>
        <v>0</v>
      </c>
      <c r="J124" s="63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</row>
    <row r="125" spans="2:30" ht="16" customHeight="1" x14ac:dyDescent="0.35">
      <c r="B125" s="14" t="s">
        <v>581</v>
      </c>
      <c r="C125" s="14" t="s">
        <v>1360</v>
      </c>
      <c r="D125" s="61"/>
      <c r="E125" s="30"/>
      <c r="F125" s="63"/>
      <c r="G125" s="15">
        <f t="shared" si="6"/>
        <v>0</v>
      </c>
      <c r="H125" s="63"/>
      <c r="I125" s="15">
        <f t="shared" si="7"/>
        <v>0</v>
      </c>
      <c r="J125" s="63"/>
      <c r="K125" s="15"/>
      <c r="L125" s="15"/>
      <c r="M125" s="15"/>
      <c r="N125" s="15"/>
      <c r="O125" s="15"/>
      <c r="P125" s="15">
        <v>200</v>
      </c>
      <c r="Q125" s="15"/>
      <c r="R125" s="15"/>
      <c r="S125" s="15"/>
      <c r="T125" s="15"/>
      <c r="U125" s="15">
        <v>-200</v>
      </c>
      <c r="V125" s="15"/>
      <c r="W125" s="15"/>
      <c r="X125" s="15"/>
      <c r="Y125" s="15"/>
      <c r="Z125" s="15"/>
      <c r="AA125" s="15"/>
      <c r="AB125" s="15"/>
      <c r="AC125" s="15"/>
      <c r="AD125" s="15"/>
    </row>
    <row r="126" spans="2:30" ht="16" customHeight="1" x14ac:dyDescent="0.35">
      <c r="B126" s="14" t="s">
        <v>583</v>
      </c>
      <c r="C126" s="14" t="s">
        <v>584</v>
      </c>
      <c r="D126" s="61"/>
      <c r="E126" s="30"/>
      <c r="F126" s="63"/>
      <c r="G126" s="15">
        <f t="shared" si="6"/>
        <v>0</v>
      </c>
      <c r="H126" s="63"/>
      <c r="I126" s="15">
        <f t="shared" si="7"/>
        <v>0</v>
      </c>
      <c r="J126" s="63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</row>
    <row r="127" spans="2:30" ht="16" customHeight="1" x14ac:dyDescent="0.35">
      <c r="B127" s="14" t="s">
        <v>599</v>
      </c>
      <c r="C127" s="14" t="s">
        <v>1368</v>
      </c>
      <c r="D127" s="61"/>
      <c r="E127" s="30">
        <v>552.51444000000004</v>
      </c>
      <c r="F127" s="63"/>
      <c r="G127" s="15">
        <f t="shared" si="6"/>
        <v>552.51443999999992</v>
      </c>
      <c r="H127" s="63"/>
      <c r="I127" s="15">
        <f t="shared" si="7"/>
        <v>0</v>
      </c>
      <c r="J127" s="63"/>
      <c r="K127" s="15">
        <v>328.03298999999998</v>
      </c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>
        <v>224.48145</v>
      </c>
      <c r="AB127" s="15"/>
      <c r="AC127" s="15"/>
      <c r="AD127" s="15"/>
    </row>
    <row r="128" spans="2:30" ht="16" customHeight="1" x14ac:dyDescent="0.35">
      <c r="B128" s="14" t="s">
        <v>585</v>
      </c>
      <c r="C128" s="14" t="s">
        <v>1366</v>
      </c>
      <c r="D128" s="61"/>
      <c r="E128" s="30"/>
      <c r="F128" s="63"/>
      <c r="G128" s="15">
        <f t="shared" si="6"/>
        <v>0</v>
      </c>
      <c r="H128" s="63"/>
      <c r="I128" s="15">
        <f t="shared" si="7"/>
        <v>0</v>
      </c>
      <c r="J128" s="63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</row>
    <row r="129" spans="2:30" ht="16" customHeight="1" x14ac:dyDescent="0.35">
      <c r="B129" s="14" t="s">
        <v>587</v>
      </c>
      <c r="C129" s="14" t="s">
        <v>1361</v>
      </c>
      <c r="D129" s="61"/>
      <c r="E129" s="30"/>
      <c r="F129" s="63"/>
      <c r="G129" s="15">
        <f t="shared" si="6"/>
        <v>0</v>
      </c>
      <c r="H129" s="63"/>
      <c r="I129" s="15">
        <f t="shared" si="7"/>
        <v>0</v>
      </c>
      <c r="J129" s="63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</row>
    <row r="130" spans="2:30" ht="16" customHeight="1" x14ac:dyDescent="0.35">
      <c r="B130" s="14" t="s">
        <v>589</v>
      </c>
      <c r="C130" s="14" t="s">
        <v>1362</v>
      </c>
      <c r="D130" s="61"/>
      <c r="E130" s="30"/>
      <c r="F130" s="63"/>
      <c r="G130" s="15">
        <f t="shared" si="6"/>
        <v>0</v>
      </c>
      <c r="H130" s="63"/>
      <c r="I130" s="15">
        <f t="shared" si="7"/>
        <v>0</v>
      </c>
      <c r="J130" s="63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</row>
    <row r="131" spans="2:30" ht="16" customHeight="1" x14ac:dyDescent="0.35">
      <c r="B131" s="14" t="s">
        <v>591</v>
      </c>
      <c r="C131" s="14" t="s">
        <v>1363</v>
      </c>
      <c r="D131" s="61"/>
      <c r="E131" s="30"/>
      <c r="F131" s="63"/>
      <c r="G131" s="15">
        <f t="shared" si="6"/>
        <v>0</v>
      </c>
      <c r="H131" s="63"/>
      <c r="I131" s="15">
        <f t="shared" si="7"/>
        <v>0</v>
      </c>
      <c r="J131" s="63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</row>
    <row r="132" spans="2:30" ht="16" customHeight="1" x14ac:dyDescent="0.35">
      <c r="B132" s="14" t="s">
        <v>593</v>
      </c>
      <c r="C132" s="14" t="s">
        <v>1364</v>
      </c>
      <c r="D132" s="61"/>
      <c r="E132" s="30">
        <v>16698.55186</v>
      </c>
      <c r="F132" s="63"/>
      <c r="G132" s="15">
        <f t="shared" si="6"/>
        <v>16698.55186</v>
      </c>
      <c r="H132" s="63"/>
      <c r="I132" s="15">
        <f t="shared" si="7"/>
        <v>0</v>
      </c>
      <c r="J132" s="63"/>
      <c r="K132" s="15">
        <v>15675.482760000001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>
        <v>1023.0691</v>
      </c>
      <c r="AA132" s="15"/>
      <c r="AB132" s="15"/>
      <c r="AC132" s="15"/>
      <c r="AD132" s="15"/>
    </row>
    <row r="133" spans="2:30" ht="16" customHeight="1" x14ac:dyDescent="0.35">
      <c r="B133" s="14" t="s">
        <v>595</v>
      </c>
      <c r="C133" s="14" t="s">
        <v>596</v>
      </c>
      <c r="D133" s="61"/>
      <c r="E133" s="30">
        <v>3.0000000000000001E-3</v>
      </c>
      <c r="F133" s="63"/>
      <c r="G133" s="15">
        <f t="shared" si="6"/>
        <v>2.9999999999956797E-3</v>
      </c>
      <c r="H133" s="63"/>
      <c r="I133" s="15">
        <f t="shared" si="7"/>
        <v>4.3203288169202381E-15</v>
      </c>
      <c r="J133" s="63"/>
      <c r="K133" s="15">
        <v>81.427999999999997</v>
      </c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>
        <v>-81.417000000000002</v>
      </c>
      <c r="AB133" s="15"/>
      <c r="AC133" s="15"/>
      <c r="AD133" s="15">
        <v>-8.0000000000000002E-3</v>
      </c>
    </row>
    <row r="134" spans="2:30" ht="16" customHeight="1" x14ac:dyDescent="0.35">
      <c r="B134" s="14" t="s">
        <v>1373</v>
      </c>
      <c r="C134" s="14" t="s">
        <v>1374</v>
      </c>
      <c r="D134" s="61"/>
      <c r="E134" s="30"/>
      <c r="F134" s="63"/>
      <c r="G134" s="15">
        <f t="shared" si="6"/>
        <v>0</v>
      </c>
      <c r="H134" s="63"/>
      <c r="I134" s="15">
        <f t="shared" si="7"/>
        <v>0</v>
      </c>
      <c r="J134" s="63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</row>
    <row r="135" spans="2:30" ht="16" customHeight="1" x14ac:dyDescent="0.35">
      <c r="B135" s="14" t="s">
        <v>1375</v>
      </c>
      <c r="C135" s="14" t="s">
        <v>1376</v>
      </c>
      <c r="D135" s="61"/>
      <c r="E135" s="30"/>
      <c r="F135" s="63"/>
      <c r="G135" s="15">
        <f t="shared" si="6"/>
        <v>0</v>
      </c>
      <c r="H135" s="63"/>
      <c r="I135" s="15">
        <f t="shared" si="7"/>
        <v>0</v>
      </c>
      <c r="J135" s="63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</row>
    <row r="136" spans="2:30" ht="16" customHeight="1" x14ac:dyDescent="0.35">
      <c r="B136" s="14" t="s">
        <v>1377</v>
      </c>
      <c r="C136" s="14" t="s">
        <v>1378</v>
      </c>
      <c r="D136" s="61"/>
      <c r="E136" s="30"/>
      <c r="F136" s="63"/>
      <c r="G136" s="15">
        <f t="shared" si="6"/>
        <v>0</v>
      </c>
      <c r="H136" s="63"/>
      <c r="I136" s="15">
        <f t="shared" si="7"/>
        <v>0</v>
      </c>
      <c r="J136" s="63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</row>
    <row r="137" spans="2:30" ht="16" customHeight="1" x14ac:dyDescent="0.35">
      <c r="B137" s="14" t="s">
        <v>1379</v>
      </c>
      <c r="C137" s="14" t="s">
        <v>1380</v>
      </c>
      <c r="D137" s="61"/>
      <c r="E137" s="30"/>
      <c r="F137" s="63"/>
      <c r="G137" s="15">
        <f t="shared" si="6"/>
        <v>0</v>
      </c>
      <c r="H137" s="63"/>
      <c r="I137" s="15">
        <f t="shared" si="7"/>
        <v>0</v>
      </c>
      <c r="J137" s="63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</row>
    <row r="138" spans="2:30" ht="16" customHeight="1" x14ac:dyDescent="0.35">
      <c r="B138" s="14" t="s">
        <v>1381</v>
      </c>
      <c r="C138" s="14" t="s">
        <v>1382</v>
      </c>
      <c r="D138" s="61"/>
      <c r="E138" s="30"/>
      <c r="F138" s="63"/>
      <c r="G138" s="15">
        <f t="shared" si="6"/>
        <v>0</v>
      </c>
      <c r="H138" s="63"/>
      <c r="I138" s="15">
        <f t="shared" si="7"/>
        <v>0</v>
      </c>
      <c r="J138" s="63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</row>
    <row r="139" spans="2:30" ht="16" customHeight="1" x14ac:dyDescent="0.35">
      <c r="B139" s="14" t="s">
        <v>1383</v>
      </c>
      <c r="C139" s="14" t="s">
        <v>1384</v>
      </c>
      <c r="D139" s="61"/>
      <c r="E139" s="30">
        <v>61.400289999999998</v>
      </c>
      <c r="F139" s="63"/>
      <c r="G139" s="15">
        <f t="shared" si="6"/>
        <v>61.400289999999998</v>
      </c>
      <c r="H139" s="63"/>
      <c r="I139" s="15">
        <f t="shared" si="7"/>
        <v>0</v>
      </c>
      <c r="J139" s="63"/>
      <c r="K139" s="15">
        <v>68.014849999999996</v>
      </c>
      <c r="L139" s="15"/>
      <c r="M139" s="15"/>
      <c r="N139" s="15"/>
      <c r="O139" s="15">
        <v>-6.61456</v>
      </c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</row>
    <row r="140" spans="2:30" ht="16" customHeight="1" x14ac:dyDescent="0.35">
      <c r="B140" s="14" t="s">
        <v>566</v>
      </c>
      <c r="C140" s="14" t="s">
        <v>1369</v>
      </c>
      <c r="D140" s="61"/>
      <c r="E140" s="30">
        <v>15743.256020000001</v>
      </c>
      <c r="F140" s="63"/>
      <c r="G140" s="15">
        <f t="shared" si="6"/>
        <v>15743.256019999999</v>
      </c>
      <c r="H140" s="63"/>
      <c r="I140" s="15">
        <f t="shared" si="7"/>
        <v>0</v>
      </c>
      <c r="J140" s="63"/>
      <c r="K140" s="15">
        <v>5090.3005599999997</v>
      </c>
      <c r="L140" s="15"/>
      <c r="M140" s="15"/>
      <c r="N140" s="15"/>
      <c r="O140" s="15">
        <v>10658.26325</v>
      </c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>
        <v>-5.3077899999999998</v>
      </c>
      <c r="AB140" s="15"/>
      <c r="AC140" s="15"/>
      <c r="AD140" s="15"/>
    </row>
    <row r="141" spans="2:30" ht="16" customHeight="1" x14ac:dyDescent="0.35">
      <c r="B141" s="14" t="s">
        <v>615</v>
      </c>
      <c r="C141" s="14" t="s">
        <v>1389</v>
      </c>
      <c r="D141" s="61"/>
      <c r="E141" s="30">
        <v>15191.34895</v>
      </c>
      <c r="F141" s="63"/>
      <c r="G141" s="15">
        <f t="shared" si="6"/>
        <v>15191.351950000002</v>
      </c>
      <c r="H141" s="63"/>
      <c r="I141" s="15">
        <f t="shared" si="7"/>
        <v>-3.0000000024301698E-3</v>
      </c>
      <c r="J141" s="63"/>
      <c r="K141" s="15">
        <v>25283.44196</v>
      </c>
      <c r="L141" s="15"/>
      <c r="M141" s="15"/>
      <c r="N141" s="15"/>
      <c r="O141" s="15">
        <v>-10092.09189</v>
      </c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>
        <v>3.1850200000000002</v>
      </c>
      <c r="AB141" s="15"/>
      <c r="AC141" s="15"/>
      <c r="AD141" s="15">
        <v>-3.1831399999999999</v>
      </c>
    </row>
    <row r="142" spans="2:30" ht="16" customHeight="1" x14ac:dyDescent="0.35">
      <c r="B142" s="14" t="s">
        <v>568</v>
      </c>
      <c r="C142" s="14" t="s">
        <v>1370</v>
      </c>
      <c r="D142" s="61"/>
      <c r="E142" s="30"/>
      <c r="F142" s="63"/>
      <c r="G142" s="15">
        <f t="shared" si="6"/>
        <v>0</v>
      </c>
      <c r="H142" s="63"/>
      <c r="I142" s="15">
        <f t="shared" si="7"/>
        <v>0</v>
      </c>
      <c r="J142" s="63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</row>
    <row r="143" spans="2:30" ht="16" customHeight="1" x14ac:dyDescent="0.35">
      <c r="B143" s="14" t="s">
        <v>617</v>
      </c>
      <c r="C143" s="14" t="s">
        <v>1390</v>
      </c>
      <c r="D143" s="61"/>
      <c r="E143" s="30"/>
      <c r="F143" s="63"/>
      <c r="G143" s="15">
        <f t="shared" si="6"/>
        <v>0</v>
      </c>
      <c r="H143" s="63"/>
      <c r="I143" s="15">
        <f t="shared" si="7"/>
        <v>0</v>
      </c>
      <c r="J143" s="63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</row>
    <row r="144" spans="2:30" ht="16" customHeight="1" x14ac:dyDescent="0.35">
      <c r="B144" s="14" t="s">
        <v>627</v>
      </c>
      <c r="C144" s="14" t="s">
        <v>1391</v>
      </c>
      <c r="D144" s="61"/>
      <c r="E144" s="30">
        <v>34724.782500000001</v>
      </c>
      <c r="F144" s="63"/>
      <c r="G144" s="15">
        <f t="shared" si="6"/>
        <v>34724.782500000001</v>
      </c>
      <c r="H144" s="63"/>
      <c r="I144" s="15">
        <f t="shared" si="7"/>
        <v>0</v>
      </c>
      <c r="J144" s="63"/>
      <c r="K144" s="15">
        <v>36342.577539999998</v>
      </c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>
        <v>-1617.79504</v>
      </c>
      <c r="AA144" s="15"/>
      <c r="AB144" s="15"/>
      <c r="AC144" s="15"/>
      <c r="AD144" s="15"/>
    </row>
    <row r="145" spans="2:30" ht="16" customHeight="1" x14ac:dyDescent="0.35">
      <c r="B145" s="14" t="s">
        <v>572</v>
      </c>
      <c r="C145" s="14" t="s">
        <v>573</v>
      </c>
      <c r="D145" s="61"/>
      <c r="E145" s="30">
        <v>3157.8740899999998</v>
      </c>
      <c r="F145" s="63"/>
      <c r="G145" s="15">
        <f t="shared" si="6"/>
        <v>3157.8740899999998</v>
      </c>
      <c r="H145" s="63"/>
      <c r="I145" s="15">
        <f t="shared" si="7"/>
        <v>0</v>
      </c>
      <c r="J145" s="63"/>
      <c r="K145" s="15">
        <v>7896.5782099999997</v>
      </c>
      <c r="L145" s="15"/>
      <c r="M145" s="15"/>
      <c r="N145" s="15"/>
      <c r="O145" s="15">
        <v>-4738.7041099999997</v>
      </c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>
        <v>-1.0000000000000001E-5</v>
      </c>
    </row>
    <row r="146" spans="2:30" ht="16" customHeight="1" x14ac:dyDescent="0.35">
      <c r="B146" s="14" t="s">
        <v>629</v>
      </c>
      <c r="C146" s="14" t="s">
        <v>1674</v>
      </c>
      <c r="D146" s="61"/>
      <c r="E146" s="30"/>
      <c r="F146" s="63"/>
      <c r="G146" s="15">
        <f t="shared" si="6"/>
        <v>0</v>
      </c>
      <c r="H146" s="63"/>
      <c r="I146" s="15">
        <f t="shared" si="7"/>
        <v>0</v>
      </c>
      <c r="J146" s="63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</row>
    <row r="147" spans="2:30" ht="16" customHeight="1" x14ac:dyDescent="0.35">
      <c r="B147" s="14" t="s">
        <v>570</v>
      </c>
      <c r="C147" s="14" t="s">
        <v>1372</v>
      </c>
      <c r="D147" s="61"/>
      <c r="E147" s="30">
        <v>334182.90156999999</v>
      </c>
      <c r="F147" s="63"/>
      <c r="G147" s="15">
        <f t="shared" si="6"/>
        <v>334182.90156999999</v>
      </c>
      <c r="H147" s="63"/>
      <c r="I147" s="15">
        <f t="shared" si="7"/>
        <v>0</v>
      </c>
      <c r="J147" s="63"/>
      <c r="K147" s="15">
        <v>445280.91593999998</v>
      </c>
      <c r="L147" s="15"/>
      <c r="M147" s="15"/>
      <c r="N147" s="15"/>
      <c r="O147" s="15">
        <v>-111096.79552</v>
      </c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>
        <v>3.884E-2</v>
      </c>
      <c r="AB147" s="15"/>
      <c r="AC147" s="15"/>
      <c r="AD147" s="15">
        <v>-1.25769</v>
      </c>
    </row>
    <row r="148" spans="2:30" ht="16" customHeight="1" x14ac:dyDescent="0.35">
      <c r="B148" s="14" t="s">
        <v>643</v>
      </c>
      <c r="C148" s="14" t="s">
        <v>1675</v>
      </c>
      <c r="D148" s="61"/>
      <c r="E148" s="30"/>
      <c r="F148" s="63"/>
      <c r="G148" s="15">
        <f t="shared" si="6"/>
        <v>0</v>
      </c>
      <c r="H148" s="63"/>
      <c r="I148" s="15">
        <f t="shared" si="7"/>
        <v>0</v>
      </c>
      <c r="J148" s="63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</row>
    <row r="149" spans="2:30" ht="16" customHeight="1" x14ac:dyDescent="0.35">
      <c r="B149" s="14" t="s">
        <v>621</v>
      </c>
      <c r="C149" s="14" t="s">
        <v>1676</v>
      </c>
      <c r="D149" s="61"/>
      <c r="E149" s="30">
        <v>20295.965250000001</v>
      </c>
      <c r="F149" s="63"/>
      <c r="G149" s="15">
        <f t="shared" si="6"/>
        <v>20295.965250000001</v>
      </c>
      <c r="H149" s="63"/>
      <c r="I149" s="15">
        <f t="shared" si="7"/>
        <v>0</v>
      </c>
      <c r="J149" s="63"/>
      <c r="K149" s="15">
        <v>27307.843980000001</v>
      </c>
      <c r="L149" s="15"/>
      <c r="M149" s="15"/>
      <c r="N149" s="15"/>
      <c r="O149" s="15">
        <v>-7011.8787300000004</v>
      </c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</row>
    <row r="150" spans="2:30" ht="16" customHeight="1" x14ac:dyDescent="0.35">
      <c r="B150" s="14" t="s">
        <v>623</v>
      </c>
      <c r="C150" s="14" t="s">
        <v>1386</v>
      </c>
      <c r="D150" s="61"/>
      <c r="E150" s="30"/>
      <c r="F150" s="63"/>
      <c r="G150" s="15">
        <f t="shared" si="6"/>
        <v>0</v>
      </c>
      <c r="H150" s="63"/>
      <c r="I150" s="15">
        <f t="shared" si="7"/>
        <v>0</v>
      </c>
      <c r="J150" s="63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</row>
    <row r="151" spans="2:30" ht="16" customHeight="1" x14ac:dyDescent="0.35">
      <c r="B151" s="14" t="s">
        <v>625</v>
      </c>
      <c r="C151" s="14" t="s">
        <v>1387</v>
      </c>
      <c r="D151" s="61"/>
      <c r="E151" s="30">
        <v>12871.554959999999</v>
      </c>
      <c r="F151" s="63"/>
      <c r="G151" s="15">
        <f t="shared" si="6"/>
        <v>12871.55495</v>
      </c>
      <c r="H151" s="63"/>
      <c r="I151" s="15">
        <f t="shared" si="7"/>
        <v>9.9999997473787516E-6</v>
      </c>
      <c r="J151" s="63"/>
      <c r="K151" s="15">
        <v>30077.96919</v>
      </c>
      <c r="L151" s="15"/>
      <c r="M151" s="15"/>
      <c r="N151" s="15"/>
      <c r="O151" s="15">
        <v>-17158.07762</v>
      </c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>
        <v>-47.84601</v>
      </c>
      <c r="AA151" s="15"/>
      <c r="AB151" s="15"/>
      <c r="AC151" s="15"/>
      <c r="AD151" s="15">
        <v>-0.49060999999999999</v>
      </c>
    </row>
    <row r="152" spans="2:30" ht="16" customHeight="1" x14ac:dyDescent="0.35">
      <c r="B152" s="14" t="s">
        <v>619</v>
      </c>
      <c r="C152" s="14" t="s">
        <v>1388</v>
      </c>
      <c r="D152" s="61"/>
      <c r="E152" s="30">
        <v>44020.872629999998</v>
      </c>
      <c r="F152" s="63"/>
      <c r="G152" s="15">
        <f t="shared" si="6"/>
        <v>44020.872629999998</v>
      </c>
      <c r="H152" s="63"/>
      <c r="I152" s="15">
        <f t="shared" si="7"/>
        <v>0</v>
      </c>
      <c r="J152" s="63"/>
      <c r="K152" s="15">
        <v>44892.438190000001</v>
      </c>
      <c r="L152" s="15"/>
      <c r="M152" s="15"/>
      <c r="N152" s="15"/>
      <c r="O152" s="15">
        <v>-869.99825999999996</v>
      </c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>
        <v>-1.5672999999999999</v>
      </c>
    </row>
    <row r="153" spans="2:30" ht="16" customHeight="1" x14ac:dyDescent="0.35">
      <c r="B153" s="14" t="s">
        <v>1393</v>
      </c>
      <c r="C153" s="14" t="s">
        <v>1394</v>
      </c>
      <c r="D153" s="61"/>
      <c r="E153" s="30"/>
      <c r="F153" s="63"/>
      <c r="G153" s="15">
        <f t="shared" si="6"/>
        <v>0</v>
      </c>
      <c r="H153" s="63"/>
      <c r="I153" s="15">
        <f t="shared" si="7"/>
        <v>0</v>
      </c>
      <c r="J153" s="63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</row>
    <row r="154" spans="2:30" ht="16" customHeight="1" x14ac:dyDescent="0.35">
      <c r="B154" s="14" t="s">
        <v>1395</v>
      </c>
      <c r="C154" s="14" t="s">
        <v>1396</v>
      </c>
      <c r="D154" s="61"/>
      <c r="E154" s="30">
        <v>4980.0187999999998</v>
      </c>
      <c r="F154" s="63"/>
      <c r="G154" s="15">
        <f t="shared" si="6"/>
        <v>4980.0187999999998</v>
      </c>
      <c r="H154" s="63"/>
      <c r="I154" s="15">
        <f t="shared" si="7"/>
        <v>0</v>
      </c>
      <c r="J154" s="63"/>
      <c r="K154" s="15">
        <v>6778.3650200000002</v>
      </c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>
        <v>-1798.3462199999999</v>
      </c>
      <c r="W154" s="15"/>
      <c r="X154" s="15"/>
      <c r="Y154" s="15"/>
      <c r="Z154" s="15"/>
      <c r="AA154" s="15"/>
      <c r="AB154" s="15"/>
      <c r="AC154" s="15"/>
      <c r="AD154" s="15"/>
    </row>
    <row r="155" spans="2:30" ht="16" customHeight="1" x14ac:dyDescent="0.35">
      <c r="B155" s="14" t="s">
        <v>1397</v>
      </c>
      <c r="C155" s="14" t="s">
        <v>1398</v>
      </c>
      <c r="D155" s="61"/>
      <c r="E155" s="30">
        <v>33653.46</v>
      </c>
      <c r="F155" s="63"/>
      <c r="G155" s="15">
        <f t="shared" ref="G155:G217" si="8">SUM(K155:AD155)</f>
        <v>33653.46</v>
      </c>
      <c r="H155" s="63"/>
      <c r="I155" s="15">
        <f t="shared" si="7"/>
        <v>0</v>
      </c>
      <c r="J155" s="63"/>
      <c r="K155" s="15">
        <v>15472</v>
      </c>
      <c r="L155" s="15"/>
      <c r="M155" s="15"/>
      <c r="N155" s="15"/>
      <c r="O155" s="15"/>
      <c r="P155" s="15"/>
      <c r="Q155" s="15"/>
      <c r="R155" s="15"/>
      <c r="S155" s="15"/>
      <c r="T155" s="15">
        <v>11.482279999999999</v>
      </c>
      <c r="U155" s="15"/>
      <c r="V155" s="15">
        <v>-11.482279999999999</v>
      </c>
      <c r="W155" s="15"/>
      <c r="X155" s="15"/>
      <c r="Y155" s="15"/>
      <c r="Z155" s="15">
        <v>18181.46</v>
      </c>
      <c r="AA155" s="15"/>
      <c r="AB155" s="15"/>
      <c r="AC155" s="15"/>
      <c r="AD155" s="15"/>
    </row>
    <row r="156" spans="2:30" ht="16" customHeight="1" x14ac:dyDescent="0.35">
      <c r="B156" s="14" t="s">
        <v>1399</v>
      </c>
      <c r="C156" s="14" t="s">
        <v>1400</v>
      </c>
      <c r="D156" s="61"/>
      <c r="E156" s="30">
        <v>9777.5305200000003</v>
      </c>
      <c r="F156" s="63"/>
      <c r="G156" s="15">
        <f t="shared" si="8"/>
        <v>9777.5305200000003</v>
      </c>
      <c r="H156" s="63"/>
      <c r="I156" s="15">
        <f t="shared" si="7"/>
        <v>0</v>
      </c>
      <c r="J156" s="63"/>
      <c r="K156" s="15">
        <v>9867.5305200000003</v>
      </c>
      <c r="L156" s="15"/>
      <c r="M156" s="15"/>
      <c r="N156" s="15"/>
      <c r="O156" s="15"/>
      <c r="P156" s="15"/>
      <c r="Q156" s="15"/>
      <c r="R156" s="15"/>
      <c r="S156" s="15"/>
      <c r="T156" s="15">
        <v>5.8250000000000002</v>
      </c>
      <c r="U156" s="15"/>
      <c r="V156" s="15">
        <v>-95.825000000000003</v>
      </c>
      <c r="W156" s="15"/>
      <c r="X156" s="15"/>
      <c r="Y156" s="15"/>
      <c r="Z156" s="15"/>
      <c r="AA156" s="15"/>
      <c r="AB156" s="15"/>
      <c r="AC156" s="15"/>
      <c r="AD156" s="15"/>
    </row>
    <row r="157" spans="2:30" ht="16" customHeight="1" x14ac:dyDescent="0.35">
      <c r="B157" s="14" t="s">
        <v>1401</v>
      </c>
      <c r="C157" s="14" t="s">
        <v>1402</v>
      </c>
      <c r="D157" s="61"/>
      <c r="E157" s="30">
        <v>910.26625000000001</v>
      </c>
      <c r="F157" s="63"/>
      <c r="G157" s="15">
        <f t="shared" si="8"/>
        <v>910.26625000000035</v>
      </c>
      <c r="H157" s="63"/>
      <c r="I157" s="15">
        <f t="shared" si="7"/>
        <v>0</v>
      </c>
      <c r="J157" s="63"/>
      <c r="K157" s="15">
        <v>1177.0290500000001</v>
      </c>
      <c r="L157" s="15"/>
      <c r="M157" s="15"/>
      <c r="N157" s="15"/>
      <c r="O157" s="15"/>
      <c r="P157" s="15"/>
      <c r="Q157" s="15"/>
      <c r="R157" s="15"/>
      <c r="S157" s="15"/>
      <c r="T157" s="15">
        <v>1316.3637900000001</v>
      </c>
      <c r="U157" s="15"/>
      <c r="V157" s="15">
        <v>-1630.9726000000001</v>
      </c>
      <c r="W157" s="15"/>
      <c r="X157" s="15"/>
      <c r="Y157" s="15"/>
      <c r="Z157" s="15">
        <v>47.84601</v>
      </c>
      <c r="AA157" s="15"/>
      <c r="AB157" s="15"/>
      <c r="AC157" s="15"/>
      <c r="AD157" s="15"/>
    </row>
    <row r="158" spans="2:30" ht="16" customHeight="1" x14ac:dyDescent="0.35">
      <c r="B158" s="14" t="s">
        <v>1403</v>
      </c>
      <c r="C158" s="14" t="s">
        <v>1404</v>
      </c>
      <c r="D158" s="61"/>
      <c r="E158" s="30"/>
      <c r="F158" s="63"/>
      <c r="G158" s="15">
        <f t="shared" si="8"/>
        <v>0</v>
      </c>
      <c r="H158" s="63"/>
      <c r="I158" s="15">
        <f t="shared" si="7"/>
        <v>0</v>
      </c>
      <c r="J158" s="63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</row>
    <row r="159" spans="2:30" ht="16" customHeight="1" x14ac:dyDescent="0.35">
      <c r="B159" s="14" t="s">
        <v>602</v>
      </c>
      <c r="C159" s="14" t="s">
        <v>1407</v>
      </c>
      <c r="D159" s="61"/>
      <c r="E159" s="30">
        <v>13.629860000000001</v>
      </c>
      <c r="F159" s="63"/>
      <c r="G159" s="15">
        <f t="shared" si="8"/>
        <v>13.629860000000015</v>
      </c>
      <c r="H159" s="63"/>
      <c r="I159" s="15">
        <f t="shared" si="7"/>
        <v>-1.4210854715202004E-14</v>
      </c>
      <c r="J159" s="63"/>
      <c r="K159" s="15">
        <v>-18545.41459</v>
      </c>
      <c r="L159" s="15"/>
      <c r="M159" s="15"/>
      <c r="N159" s="15"/>
      <c r="O159" s="15">
        <v>18559.11073</v>
      </c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>
        <v>-1.4999999999999999E-4</v>
      </c>
      <c r="AA159" s="15"/>
      <c r="AB159" s="15"/>
      <c r="AC159" s="15"/>
      <c r="AD159" s="15">
        <v>-6.6129999999999994E-2</v>
      </c>
    </row>
    <row r="160" spans="2:30" ht="16" customHeight="1" x14ac:dyDescent="0.35">
      <c r="B160" s="14" t="s">
        <v>604</v>
      </c>
      <c r="C160" s="14" t="s">
        <v>1408</v>
      </c>
      <c r="D160" s="61"/>
      <c r="E160" s="30">
        <v>0</v>
      </c>
      <c r="F160" s="63"/>
      <c r="G160" s="15">
        <f t="shared" si="8"/>
        <v>0</v>
      </c>
      <c r="H160" s="63"/>
      <c r="I160" s="15">
        <f t="shared" si="7"/>
        <v>0</v>
      </c>
      <c r="J160" s="63"/>
      <c r="K160" s="15">
        <v>0</v>
      </c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</row>
    <row r="161" spans="2:30" ht="16" customHeight="1" x14ac:dyDescent="0.35">
      <c r="B161" s="14" t="s">
        <v>1405</v>
      </c>
      <c r="C161" s="14" t="s">
        <v>1406</v>
      </c>
      <c r="D161" s="61"/>
      <c r="E161" s="30"/>
      <c r="F161" s="63"/>
      <c r="G161" s="15">
        <f t="shared" si="8"/>
        <v>0</v>
      </c>
      <c r="H161" s="63"/>
      <c r="I161" s="15">
        <f t="shared" si="7"/>
        <v>0</v>
      </c>
      <c r="J161" s="63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</row>
    <row r="162" spans="2:30" ht="16" customHeight="1" x14ac:dyDescent="0.35">
      <c r="B162" s="14" t="s">
        <v>631</v>
      </c>
      <c r="C162" s="14" t="s">
        <v>632</v>
      </c>
      <c r="D162" s="61"/>
      <c r="E162" s="30"/>
      <c r="F162" s="63"/>
      <c r="G162" s="15">
        <f t="shared" si="8"/>
        <v>0</v>
      </c>
      <c r="H162" s="63"/>
      <c r="I162" s="15">
        <f t="shared" si="7"/>
        <v>0</v>
      </c>
      <c r="J162" s="63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</row>
    <row r="163" spans="2:30" ht="16" customHeight="1" x14ac:dyDescent="0.35">
      <c r="B163" s="14" t="s">
        <v>633</v>
      </c>
      <c r="C163" s="14" t="s">
        <v>634</v>
      </c>
      <c r="D163" s="61"/>
      <c r="E163" s="30"/>
      <c r="F163" s="63"/>
      <c r="G163" s="15">
        <f t="shared" si="8"/>
        <v>0</v>
      </c>
      <c r="H163" s="63"/>
      <c r="I163" s="15">
        <f t="shared" si="7"/>
        <v>0</v>
      </c>
      <c r="J163" s="63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</row>
    <row r="164" spans="2:30" ht="16" customHeight="1" x14ac:dyDescent="0.35">
      <c r="B164" s="14" t="s">
        <v>635</v>
      </c>
      <c r="C164" s="14" t="s">
        <v>636</v>
      </c>
      <c r="D164" s="61"/>
      <c r="E164" s="30">
        <v>5.31</v>
      </c>
      <c r="F164" s="63"/>
      <c r="G164" s="15">
        <f t="shared" si="8"/>
        <v>5.3059999999999983</v>
      </c>
      <c r="H164" s="63"/>
      <c r="I164" s="15">
        <f t="shared" si="7"/>
        <v>4.0000000000013358E-3</v>
      </c>
      <c r="J164" s="63"/>
      <c r="K164" s="15">
        <v>43.853999999999999</v>
      </c>
      <c r="L164" s="15"/>
      <c r="M164" s="15"/>
      <c r="N164" s="15"/>
      <c r="O164" s="15">
        <v>-29.64</v>
      </c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>
        <v>0</v>
      </c>
      <c r="AA164" s="15">
        <v>-8.66</v>
      </c>
      <c r="AB164" s="15"/>
      <c r="AC164" s="15"/>
      <c r="AD164" s="15">
        <v>-0.248</v>
      </c>
    </row>
    <row r="165" spans="2:30" ht="16" customHeight="1" x14ac:dyDescent="0.35">
      <c r="B165" s="14" t="s">
        <v>648</v>
      </c>
      <c r="C165" s="14" t="s">
        <v>1413</v>
      </c>
      <c r="D165" s="61"/>
      <c r="E165" s="30">
        <v>1046637.09841</v>
      </c>
      <c r="F165" s="63"/>
      <c r="G165" s="15">
        <f t="shared" si="8"/>
        <v>1046637.0984199999</v>
      </c>
      <c r="H165" s="63"/>
      <c r="I165" s="15">
        <f t="shared" si="7"/>
        <v>-9.9999597296118736E-6</v>
      </c>
      <c r="J165" s="63"/>
      <c r="K165" s="15">
        <v>1003714.55469</v>
      </c>
      <c r="L165" s="15"/>
      <c r="M165" s="15"/>
      <c r="N165" s="15"/>
      <c r="O165" s="15">
        <v>0</v>
      </c>
      <c r="P165" s="15">
        <v>76361.240319999997</v>
      </c>
      <c r="Q165" s="15"/>
      <c r="R165" s="15"/>
      <c r="S165" s="15"/>
      <c r="T165" s="15"/>
      <c r="U165" s="15"/>
      <c r="V165" s="15"/>
      <c r="W165" s="15"/>
      <c r="X165" s="15"/>
      <c r="Y165" s="15"/>
      <c r="Z165" s="15">
        <v>-32865.02779</v>
      </c>
      <c r="AA165" s="15">
        <v>-549.45379000000003</v>
      </c>
      <c r="AB165" s="15"/>
      <c r="AC165" s="15"/>
      <c r="AD165" s="15">
        <v>-24.215009999999999</v>
      </c>
    </row>
    <row r="166" spans="2:30" ht="16" customHeight="1" x14ac:dyDescent="0.35">
      <c r="B166" s="14" t="s">
        <v>650</v>
      </c>
      <c r="C166" s="14" t="s">
        <v>1677</v>
      </c>
      <c r="D166" s="61"/>
      <c r="E166" s="30"/>
      <c r="F166" s="63"/>
      <c r="G166" s="15">
        <f t="shared" si="8"/>
        <v>0</v>
      </c>
      <c r="H166" s="63"/>
      <c r="I166" s="15">
        <f t="shared" si="7"/>
        <v>0</v>
      </c>
      <c r="J166" s="63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</row>
    <row r="167" spans="2:30" ht="16" customHeight="1" x14ac:dyDescent="0.35">
      <c r="B167" s="14" t="s">
        <v>652</v>
      </c>
      <c r="C167" s="14" t="s">
        <v>1678</v>
      </c>
      <c r="D167" s="61"/>
      <c r="E167" s="30"/>
      <c r="F167" s="63"/>
      <c r="G167" s="15">
        <f t="shared" si="8"/>
        <v>0</v>
      </c>
      <c r="H167" s="63"/>
      <c r="I167" s="15">
        <f t="shared" si="7"/>
        <v>0</v>
      </c>
      <c r="J167" s="63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</row>
    <row r="168" spans="2:30" ht="16" customHeight="1" x14ac:dyDescent="0.35">
      <c r="B168" s="14" t="s">
        <v>654</v>
      </c>
      <c r="C168" s="14" t="s">
        <v>1411</v>
      </c>
      <c r="D168" s="61"/>
      <c r="E168" s="30">
        <v>0</v>
      </c>
      <c r="F168" s="63"/>
      <c r="G168" s="15">
        <f t="shared" si="8"/>
        <v>0</v>
      </c>
      <c r="H168" s="63"/>
      <c r="I168" s="15">
        <f t="shared" si="7"/>
        <v>0</v>
      </c>
      <c r="J168" s="63"/>
      <c r="K168" s="15">
        <v>0</v>
      </c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</row>
    <row r="169" spans="2:30" ht="16" customHeight="1" x14ac:dyDescent="0.35">
      <c r="B169" s="14" t="s">
        <v>656</v>
      </c>
      <c r="C169" s="14" t="s">
        <v>1412</v>
      </c>
      <c r="D169" s="61"/>
      <c r="E169" s="30">
        <v>71959.299050000001</v>
      </c>
      <c r="F169" s="63"/>
      <c r="G169" s="15">
        <f t="shared" si="8"/>
        <v>71959.299049999987</v>
      </c>
      <c r="H169" s="63"/>
      <c r="I169" s="15">
        <f t="shared" si="7"/>
        <v>0</v>
      </c>
      <c r="J169" s="63"/>
      <c r="K169" s="15">
        <v>75728.253419999994</v>
      </c>
      <c r="L169" s="15"/>
      <c r="M169" s="15"/>
      <c r="N169" s="15"/>
      <c r="O169" s="15"/>
      <c r="P169" s="15">
        <v>-203.32042000000001</v>
      </c>
      <c r="Q169" s="15">
        <v>4191.0852800000002</v>
      </c>
      <c r="R169" s="15"/>
      <c r="S169" s="15"/>
      <c r="T169" s="15"/>
      <c r="U169" s="15">
        <v>-8474.1310300000005</v>
      </c>
      <c r="V169" s="15"/>
      <c r="W169" s="15">
        <v>1584.829</v>
      </c>
      <c r="X169" s="15"/>
      <c r="Y169" s="15"/>
      <c r="Z169" s="15">
        <v>-846.40494000000001</v>
      </c>
      <c r="AA169" s="15">
        <v>-21.010490000000001</v>
      </c>
      <c r="AB169" s="15"/>
      <c r="AC169" s="15"/>
      <c r="AD169" s="15">
        <v>-1.7700000000000001E-3</v>
      </c>
    </row>
    <row r="170" spans="2:30" ht="16" customHeight="1" x14ac:dyDescent="0.35">
      <c r="B170" s="14" t="s">
        <v>663</v>
      </c>
      <c r="C170" s="14" t="s">
        <v>1679</v>
      </c>
      <c r="D170" s="61"/>
      <c r="E170" s="30">
        <v>8.7067599999999992</v>
      </c>
      <c r="F170" s="63"/>
      <c r="G170" s="15">
        <f t="shared" si="8"/>
        <v>8.7067600000000009</v>
      </c>
      <c r="H170" s="63"/>
      <c r="I170" s="15">
        <f t="shared" si="7"/>
        <v>0</v>
      </c>
      <c r="J170" s="63"/>
      <c r="K170" s="15">
        <v>22.857250000000001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>
        <v>-14.15049</v>
      </c>
      <c r="AB170" s="15"/>
      <c r="AC170" s="15"/>
      <c r="AD170" s="15"/>
    </row>
    <row r="171" spans="2:30" ht="16" customHeight="1" x14ac:dyDescent="0.35">
      <c r="B171" s="14" t="s">
        <v>669</v>
      </c>
      <c r="C171" s="14" t="s">
        <v>670</v>
      </c>
      <c r="D171" s="61"/>
      <c r="E171" s="30">
        <v>431455.56251999998</v>
      </c>
      <c r="F171" s="63"/>
      <c r="G171" s="15">
        <f t="shared" si="8"/>
        <v>431455.56252000004</v>
      </c>
      <c r="H171" s="63"/>
      <c r="I171" s="15">
        <f t="shared" si="7"/>
        <v>0</v>
      </c>
      <c r="J171" s="63"/>
      <c r="K171" s="15">
        <v>448639.2487</v>
      </c>
      <c r="L171" s="15"/>
      <c r="M171" s="15"/>
      <c r="N171" s="15"/>
      <c r="O171" s="15"/>
      <c r="P171" s="15"/>
      <c r="Q171" s="15"/>
      <c r="R171" s="15"/>
      <c r="S171" s="15"/>
      <c r="T171" s="15">
        <v>-17981.622459999999</v>
      </c>
      <c r="U171" s="15"/>
      <c r="V171" s="15"/>
      <c r="W171" s="15"/>
      <c r="X171" s="15"/>
      <c r="Y171" s="15"/>
      <c r="Z171" s="15"/>
      <c r="AA171" s="15">
        <v>797.93628000000001</v>
      </c>
      <c r="AB171" s="15"/>
      <c r="AC171" s="15"/>
      <c r="AD171" s="15"/>
    </row>
    <row r="172" spans="2:30" ht="16" customHeight="1" x14ac:dyDescent="0.35">
      <c r="B172" s="14" t="s">
        <v>1430</v>
      </c>
      <c r="C172" s="14" t="s">
        <v>1431</v>
      </c>
      <c r="D172" s="61"/>
      <c r="E172" s="30">
        <v>95764.741190000001</v>
      </c>
      <c r="F172" s="63"/>
      <c r="G172" s="15">
        <f t="shared" si="8"/>
        <v>95764.741190000001</v>
      </c>
      <c r="H172" s="63"/>
      <c r="I172" s="15">
        <f t="shared" si="7"/>
        <v>0</v>
      </c>
      <c r="J172" s="63"/>
      <c r="K172" s="15">
        <v>98465.698109999998</v>
      </c>
      <c r="L172" s="15"/>
      <c r="M172" s="15"/>
      <c r="N172" s="15"/>
      <c r="O172" s="15"/>
      <c r="P172" s="15"/>
      <c r="Q172" s="15"/>
      <c r="R172" s="15"/>
      <c r="S172" s="15"/>
      <c r="T172" s="15">
        <v>-62.949339999999999</v>
      </c>
      <c r="U172" s="15"/>
      <c r="V172" s="15">
        <v>-4915.0925800000005</v>
      </c>
      <c r="W172" s="15">
        <v>2277.085</v>
      </c>
      <c r="X172" s="15"/>
      <c r="Y172" s="15"/>
      <c r="Z172" s="15"/>
      <c r="AA172" s="15"/>
      <c r="AB172" s="15"/>
      <c r="AC172" s="15"/>
      <c r="AD172" s="15"/>
    </row>
    <row r="173" spans="2:30" ht="16" customHeight="1" x14ac:dyDescent="0.35">
      <c r="B173" s="14" t="s">
        <v>1414</v>
      </c>
      <c r="C173" s="14" t="s">
        <v>1415</v>
      </c>
      <c r="D173" s="61"/>
      <c r="E173" s="30">
        <v>75926.175919999994</v>
      </c>
      <c r="F173" s="63"/>
      <c r="G173" s="15">
        <f t="shared" si="8"/>
        <v>75926.175919999994</v>
      </c>
      <c r="H173" s="63"/>
      <c r="I173" s="15">
        <f t="shared" si="7"/>
        <v>0</v>
      </c>
      <c r="J173" s="63"/>
      <c r="K173" s="15">
        <v>74910.727809999997</v>
      </c>
      <c r="L173" s="15"/>
      <c r="M173" s="15"/>
      <c r="N173" s="15"/>
      <c r="O173" s="15"/>
      <c r="P173" s="15"/>
      <c r="Q173" s="15"/>
      <c r="R173" s="15"/>
      <c r="S173" s="15"/>
      <c r="T173" s="15">
        <v>1101.09087</v>
      </c>
      <c r="U173" s="15"/>
      <c r="V173" s="15">
        <v>-650.93673999999999</v>
      </c>
      <c r="W173" s="15">
        <v>565.29398000000003</v>
      </c>
      <c r="X173" s="15"/>
      <c r="Y173" s="15"/>
      <c r="Z173" s="15"/>
      <c r="AA173" s="15"/>
      <c r="AB173" s="15"/>
      <c r="AC173" s="15"/>
      <c r="AD173" s="15"/>
    </row>
    <row r="174" spans="2:30" ht="16" customHeight="1" x14ac:dyDescent="0.35">
      <c r="B174" s="14" t="s">
        <v>1416</v>
      </c>
      <c r="C174" s="14" t="s">
        <v>1417</v>
      </c>
      <c r="D174" s="61"/>
      <c r="E174" s="30">
        <v>820.81299999999999</v>
      </c>
      <c r="F174" s="63"/>
      <c r="G174" s="15">
        <f t="shared" si="8"/>
        <v>820.81299999999999</v>
      </c>
      <c r="H174" s="63"/>
      <c r="I174" s="15">
        <f t="shared" si="7"/>
        <v>0</v>
      </c>
      <c r="J174" s="63"/>
      <c r="K174" s="15">
        <v>820.81299999999999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>
        <v>0</v>
      </c>
      <c r="W174" s="15"/>
      <c r="X174" s="15"/>
      <c r="Y174" s="15"/>
      <c r="Z174" s="15"/>
      <c r="AA174" s="15"/>
      <c r="AB174" s="15"/>
      <c r="AC174" s="15"/>
      <c r="AD174" s="15"/>
    </row>
    <row r="175" spans="2:30" ht="16" customHeight="1" x14ac:dyDescent="0.35">
      <c r="B175" s="14" t="s">
        <v>1418</v>
      </c>
      <c r="C175" s="14" t="s">
        <v>1419</v>
      </c>
      <c r="D175" s="61"/>
      <c r="E175" s="30"/>
      <c r="F175" s="63"/>
      <c r="G175" s="15">
        <f t="shared" si="8"/>
        <v>0</v>
      </c>
      <c r="H175" s="63"/>
      <c r="I175" s="15">
        <f t="shared" si="7"/>
        <v>0</v>
      </c>
      <c r="J175" s="63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</row>
    <row r="176" spans="2:30" ht="16" customHeight="1" x14ac:dyDescent="0.35">
      <c r="B176" s="14" t="s">
        <v>1420</v>
      </c>
      <c r="C176" s="14" t="s">
        <v>1421</v>
      </c>
      <c r="D176" s="61"/>
      <c r="E176" s="30">
        <v>1667.65753</v>
      </c>
      <c r="F176" s="63"/>
      <c r="G176" s="15">
        <f t="shared" si="8"/>
        <v>1667.65753</v>
      </c>
      <c r="H176" s="63"/>
      <c r="I176" s="15">
        <f t="shared" si="7"/>
        <v>0</v>
      </c>
      <c r="J176" s="63"/>
      <c r="K176" s="15">
        <v>1222.1278400000001</v>
      </c>
      <c r="L176" s="15"/>
      <c r="M176" s="15"/>
      <c r="N176" s="15"/>
      <c r="O176" s="15"/>
      <c r="P176" s="15"/>
      <c r="Q176" s="15"/>
      <c r="R176" s="15"/>
      <c r="S176" s="15"/>
      <c r="T176" s="15">
        <v>476.44103000000001</v>
      </c>
      <c r="U176" s="15"/>
      <c r="V176" s="15">
        <v>721.97357999999997</v>
      </c>
      <c r="W176" s="15"/>
      <c r="X176" s="15"/>
      <c r="Y176" s="15"/>
      <c r="Z176" s="15">
        <v>-752.88491999999997</v>
      </c>
      <c r="AA176" s="15"/>
      <c r="AB176" s="15"/>
      <c r="AC176" s="15"/>
      <c r="AD176" s="15"/>
    </row>
    <row r="177" spans="2:30" ht="16" customHeight="1" x14ac:dyDescent="0.35">
      <c r="B177" s="14" t="s">
        <v>1422</v>
      </c>
      <c r="C177" s="14" t="s">
        <v>1423</v>
      </c>
      <c r="D177" s="61"/>
      <c r="E177" s="30">
        <v>70207.530710000006</v>
      </c>
      <c r="F177" s="63"/>
      <c r="G177" s="15">
        <f t="shared" si="8"/>
        <v>70207.530710000021</v>
      </c>
      <c r="H177" s="63"/>
      <c r="I177" s="15">
        <f t="shared" si="7"/>
        <v>0</v>
      </c>
      <c r="J177" s="63"/>
      <c r="K177" s="15">
        <v>116509.68789</v>
      </c>
      <c r="L177" s="15"/>
      <c r="M177" s="15"/>
      <c r="N177" s="15"/>
      <c r="O177" s="15"/>
      <c r="P177" s="15"/>
      <c r="Q177" s="15"/>
      <c r="R177" s="15"/>
      <c r="S177" s="15"/>
      <c r="T177" s="15">
        <v>10684.887000000001</v>
      </c>
      <c r="U177" s="15"/>
      <c r="V177" s="15">
        <v>-31803.1711</v>
      </c>
      <c r="W177" s="15">
        <v>-7937.2979999999998</v>
      </c>
      <c r="X177" s="15"/>
      <c r="Y177" s="15"/>
      <c r="Z177" s="15">
        <v>-17246.575079999999</v>
      </c>
      <c r="AA177" s="15"/>
      <c r="AB177" s="15"/>
      <c r="AC177" s="15"/>
      <c r="AD177" s="15"/>
    </row>
    <row r="178" spans="2:30" ht="16" customHeight="1" x14ac:dyDescent="0.35">
      <c r="B178" s="14" t="s">
        <v>1424</v>
      </c>
      <c r="C178" s="14" t="s">
        <v>1425</v>
      </c>
      <c r="D178" s="61"/>
      <c r="E178" s="30"/>
      <c r="F178" s="63"/>
      <c r="G178" s="15">
        <f t="shared" si="8"/>
        <v>0</v>
      </c>
      <c r="H178" s="63"/>
      <c r="I178" s="15">
        <f t="shared" si="7"/>
        <v>0</v>
      </c>
      <c r="J178" s="63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</row>
    <row r="179" spans="2:30" ht="16" customHeight="1" x14ac:dyDescent="0.35">
      <c r="B179" s="14" t="s">
        <v>1426</v>
      </c>
      <c r="C179" s="14" t="s">
        <v>1427</v>
      </c>
      <c r="D179" s="61"/>
      <c r="E179" s="30">
        <v>2708.4449300000001</v>
      </c>
      <c r="F179" s="63"/>
      <c r="G179" s="15">
        <f t="shared" si="8"/>
        <v>2708.4449299999997</v>
      </c>
      <c r="H179" s="63"/>
      <c r="I179" s="15">
        <f t="shared" si="7"/>
        <v>0</v>
      </c>
      <c r="J179" s="63"/>
      <c r="K179" s="15">
        <v>2850.9946799999998</v>
      </c>
      <c r="L179" s="15"/>
      <c r="M179" s="15"/>
      <c r="N179" s="15"/>
      <c r="O179" s="15"/>
      <c r="P179" s="15"/>
      <c r="Q179" s="15"/>
      <c r="R179" s="15"/>
      <c r="S179" s="15"/>
      <c r="T179" s="15">
        <v>-142.54974999999999</v>
      </c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</row>
    <row r="180" spans="2:30" ht="16" customHeight="1" x14ac:dyDescent="0.35">
      <c r="B180" s="14" t="s">
        <v>1428</v>
      </c>
      <c r="C180" s="14" t="s">
        <v>1429</v>
      </c>
      <c r="D180" s="61"/>
      <c r="E180" s="30"/>
      <c r="F180" s="63"/>
      <c r="G180" s="15">
        <f t="shared" si="8"/>
        <v>0</v>
      </c>
      <c r="H180" s="63"/>
      <c r="I180" s="15">
        <f t="shared" si="7"/>
        <v>0</v>
      </c>
      <c r="J180" s="63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</row>
    <row r="181" spans="2:30" ht="16" customHeight="1" x14ac:dyDescent="0.35">
      <c r="B181" s="14" t="s">
        <v>674</v>
      </c>
      <c r="C181" s="14" t="s">
        <v>1432</v>
      </c>
      <c r="D181" s="61"/>
      <c r="E181" s="30">
        <v>133131.45379</v>
      </c>
      <c r="F181" s="63"/>
      <c r="G181" s="15">
        <f t="shared" si="8"/>
        <v>133131.45379000003</v>
      </c>
      <c r="H181" s="63"/>
      <c r="I181" s="15">
        <f t="shared" si="7"/>
        <v>0</v>
      </c>
      <c r="J181" s="63"/>
      <c r="K181" s="15">
        <v>137129.37026</v>
      </c>
      <c r="L181" s="15"/>
      <c r="M181" s="15"/>
      <c r="N181" s="15"/>
      <c r="O181" s="15"/>
      <c r="P181" s="15"/>
      <c r="Q181" s="15">
        <v>11816.08201</v>
      </c>
      <c r="R181" s="15"/>
      <c r="S181" s="15"/>
      <c r="T181" s="15"/>
      <c r="U181" s="15">
        <v>-19485.7088</v>
      </c>
      <c r="V181" s="15"/>
      <c r="W181" s="15">
        <v>3484.5598599999998</v>
      </c>
      <c r="X181" s="15"/>
      <c r="Y181" s="15"/>
      <c r="Z181" s="15">
        <v>274.44216</v>
      </c>
      <c r="AA181" s="15">
        <v>-87.291700000000006</v>
      </c>
      <c r="AB181" s="15"/>
      <c r="AC181" s="15"/>
      <c r="AD181" s="15"/>
    </row>
    <row r="182" spans="2:30" ht="16" customHeight="1" x14ac:dyDescent="0.35">
      <c r="B182" s="14" t="s">
        <v>677</v>
      </c>
      <c r="C182" s="14" t="s">
        <v>678</v>
      </c>
      <c r="D182" s="61"/>
      <c r="E182" s="30">
        <v>11291.107</v>
      </c>
      <c r="F182" s="63"/>
      <c r="G182" s="15">
        <f t="shared" si="8"/>
        <v>11291.107</v>
      </c>
      <c r="H182" s="63"/>
      <c r="I182" s="15">
        <f t="shared" si="7"/>
        <v>0</v>
      </c>
      <c r="J182" s="63"/>
      <c r="K182" s="15">
        <v>11097.91</v>
      </c>
      <c r="L182" s="15"/>
      <c r="M182" s="15"/>
      <c r="N182" s="15"/>
      <c r="O182" s="15">
        <v>193.197</v>
      </c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</row>
    <row r="183" spans="2:30" ht="16" customHeight="1" x14ac:dyDescent="0.35">
      <c r="B183" s="14" t="s">
        <v>658</v>
      </c>
      <c r="C183" s="14" t="s">
        <v>659</v>
      </c>
      <c r="D183" s="61"/>
      <c r="E183" s="30">
        <v>-78.828999999999994</v>
      </c>
      <c r="F183" s="63"/>
      <c r="G183" s="15">
        <f t="shared" si="8"/>
        <v>-78.828000000000088</v>
      </c>
      <c r="H183" s="63"/>
      <c r="I183" s="15">
        <f t="shared" si="7"/>
        <v>-9.9999999990529886E-4</v>
      </c>
      <c r="J183" s="63"/>
      <c r="K183" s="15">
        <v>-46.722999999999999</v>
      </c>
      <c r="L183" s="15"/>
      <c r="M183" s="15"/>
      <c r="N183" s="15"/>
      <c r="O183" s="15">
        <v>-3652.6210000000001</v>
      </c>
      <c r="P183" s="15">
        <v>3620.511</v>
      </c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>
        <v>5.0000000000000001E-3</v>
      </c>
    </row>
    <row r="184" spans="2:30" ht="16" customHeight="1" x14ac:dyDescent="0.35">
      <c r="B184" s="14" t="s">
        <v>1433</v>
      </c>
      <c r="C184" s="14" t="s">
        <v>1434</v>
      </c>
      <c r="D184" s="61"/>
      <c r="E184" s="30">
        <v>-5331.7996400000002</v>
      </c>
      <c r="F184" s="63"/>
      <c r="G184" s="15">
        <f t="shared" si="8"/>
        <v>-5331.7996400000002</v>
      </c>
      <c r="H184" s="63"/>
      <c r="I184" s="15">
        <f t="shared" si="7"/>
        <v>0</v>
      </c>
      <c r="J184" s="63"/>
      <c r="K184" s="15">
        <v>-5331.7996400000002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</row>
    <row r="185" spans="2:30" ht="16" customHeight="1" x14ac:dyDescent="0.35">
      <c r="B185" s="14" t="s">
        <v>1435</v>
      </c>
      <c r="C185" s="14" t="s">
        <v>1436</v>
      </c>
      <c r="D185" s="61"/>
      <c r="E185" s="30"/>
      <c r="F185" s="63"/>
      <c r="G185" s="15">
        <f t="shared" si="8"/>
        <v>0</v>
      </c>
      <c r="H185" s="63"/>
      <c r="I185" s="15">
        <f t="shared" si="7"/>
        <v>0</v>
      </c>
      <c r="J185" s="63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</row>
    <row r="186" spans="2:30" ht="16" customHeight="1" x14ac:dyDescent="0.35">
      <c r="B186" s="14" t="s">
        <v>688</v>
      </c>
      <c r="C186" s="14" t="s">
        <v>1437</v>
      </c>
      <c r="D186" s="61"/>
      <c r="E186" s="30">
        <v>10032657.489019999</v>
      </c>
      <c r="F186" s="63"/>
      <c r="G186" s="15">
        <f t="shared" si="8"/>
        <v>10032657.489019999</v>
      </c>
      <c r="H186" s="63"/>
      <c r="I186" s="15">
        <f t="shared" si="7"/>
        <v>0</v>
      </c>
      <c r="J186" s="63"/>
      <c r="K186" s="15">
        <v>10032657.489019999</v>
      </c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</row>
    <row r="187" spans="2:30" ht="16" customHeight="1" x14ac:dyDescent="0.35">
      <c r="B187" s="14" t="s">
        <v>691</v>
      </c>
      <c r="C187" s="14" t="s">
        <v>1680</v>
      </c>
      <c r="D187" s="61"/>
      <c r="E187" s="30"/>
      <c r="F187" s="63"/>
      <c r="G187" s="15">
        <f t="shared" si="8"/>
        <v>0</v>
      </c>
      <c r="H187" s="63"/>
      <c r="I187" s="15">
        <f t="shared" ref="I187:I217" si="9">E187-G187</f>
        <v>0</v>
      </c>
      <c r="J187" s="63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</row>
    <row r="188" spans="2:30" ht="16" customHeight="1" x14ac:dyDescent="0.35">
      <c r="B188" s="14" t="s">
        <v>694</v>
      </c>
      <c r="C188" s="14" t="s">
        <v>695</v>
      </c>
      <c r="D188" s="61"/>
      <c r="E188" s="30">
        <v>-0.30901000000000001</v>
      </c>
      <c r="F188" s="63"/>
      <c r="G188" s="15">
        <f t="shared" si="8"/>
        <v>-0.30901000000000067</v>
      </c>
      <c r="H188" s="63"/>
      <c r="I188" s="15">
        <f t="shared" si="9"/>
        <v>6.6613381477509392E-16</v>
      </c>
      <c r="J188" s="63"/>
      <c r="K188" s="15">
        <v>67.820989999999995</v>
      </c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>
        <v>-68.13</v>
      </c>
      <c r="AA188" s="15"/>
      <c r="AB188" s="15"/>
      <c r="AC188" s="15"/>
      <c r="AD188" s="15"/>
    </row>
    <row r="189" spans="2:30" ht="16" customHeight="1" x14ac:dyDescent="0.35">
      <c r="B189" s="14" t="s">
        <v>696</v>
      </c>
      <c r="C189" s="14" t="s">
        <v>1438</v>
      </c>
      <c r="D189" s="61"/>
      <c r="E189" s="30">
        <v>-4701793.52575</v>
      </c>
      <c r="F189" s="63"/>
      <c r="G189" s="15">
        <f t="shared" si="8"/>
        <v>-4701793.52575</v>
      </c>
      <c r="H189" s="63"/>
      <c r="I189" s="15">
        <f t="shared" si="9"/>
        <v>0</v>
      </c>
      <c r="J189" s="63"/>
      <c r="K189" s="15">
        <v>-5392953.1598199997</v>
      </c>
      <c r="L189" s="15"/>
      <c r="M189" s="15">
        <v>687769.86442999996</v>
      </c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>
        <v>2014.61023</v>
      </c>
      <c r="AA189" s="15"/>
      <c r="AB189" s="15"/>
      <c r="AC189" s="15">
        <v>1375.15941</v>
      </c>
      <c r="AD189" s="15"/>
    </row>
    <row r="190" spans="2:30" ht="16" customHeight="1" x14ac:dyDescent="0.35">
      <c r="B190" s="14" t="s">
        <v>698</v>
      </c>
      <c r="C190" s="14" t="s">
        <v>699</v>
      </c>
      <c r="D190" s="61"/>
      <c r="E190" s="30">
        <v>195961.07592</v>
      </c>
      <c r="F190" s="63"/>
      <c r="G190" s="15">
        <f t="shared" si="8"/>
        <v>195961.07592</v>
      </c>
      <c r="H190" s="63"/>
      <c r="I190" s="15">
        <f t="shared" si="9"/>
        <v>0</v>
      </c>
      <c r="J190" s="63"/>
      <c r="K190" s="15">
        <v>687769.86442999996</v>
      </c>
      <c r="L190" s="15"/>
      <c r="M190" s="15">
        <v>-687769.86442999996</v>
      </c>
      <c r="N190" s="15">
        <v>195961.07592</v>
      </c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</row>
    <row r="191" spans="2:30" ht="16" customHeight="1" x14ac:dyDescent="0.35">
      <c r="B191" s="14" t="s">
        <v>700</v>
      </c>
      <c r="C191" s="14" t="s">
        <v>1440</v>
      </c>
      <c r="D191" s="61"/>
      <c r="E191" s="30">
        <v>1052539.90766</v>
      </c>
      <c r="F191" s="63"/>
      <c r="G191" s="15">
        <f t="shared" si="8"/>
        <v>1052539.90766</v>
      </c>
      <c r="H191" s="63"/>
      <c r="I191" s="15">
        <f t="shared" si="9"/>
        <v>0</v>
      </c>
      <c r="J191" s="63"/>
      <c r="K191" s="15">
        <v>1052539.90766</v>
      </c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</row>
    <row r="192" spans="2:30" ht="16" customHeight="1" x14ac:dyDescent="0.35">
      <c r="B192" s="14" t="s">
        <v>702</v>
      </c>
      <c r="C192" s="14" t="s">
        <v>1441</v>
      </c>
      <c r="D192" s="61"/>
      <c r="E192" s="30">
        <v>36239.577120000002</v>
      </c>
      <c r="F192" s="63"/>
      <c r="G192" s="15">
        <f t="shared" si="8"/>
        <v>36239.577119999994</v>
      </c>
      <c r="H192" s="63"/>
      <c r="I192" s="15">
        <f t="shared" si="9"/>
        <v>0</v>
      </c>
      <c r="J192" s="63"/>
      <c r="K192" s="15">
        <v>36249.673239999996</v>
      </c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>
        <v>-10.096120000000001</v>
      </c>
    </row>
    <row r="193" spans="2:30" ht="16" customHeight="1" x14ac:dyDescent="0.35">
      <c r="B193" s="14" t="s">
        <v>704</v>
      </c>
      <c r="C193" s="14" t="s">
        <v>705</v>
      </c>
      <c r="D193" s="61"/>
      <c r="E193" s="30"/>
      <c r="F193" s="63"/>
      <c r="G193" s="15">
        <f t="shared" si="8"/>
        <v>0</v>
      </c>
      <c r="H193" s="63"/>
      <c r="I193" s="15">
        <f t="shared" si="9"/>
        <v>0</v>
      </c>
      <c r="J193" s="63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</row>
    <row r="194" spans="2:30" ht="16" customHeight="1" x14ac:dyDescent="0.35">
      <c r="B194" s="14" t="s">
        <v>706</v>
      </c>
      <c r="C194" s="14" t="s">
        <v>1442</v>
      </c>
      <c r="D194" s="61"/>
      <c r="E194" s="30"/>
      <c r="F194" s="63"/>
      <c r="G194" s="15">
        <f t="shared" si="8"/>
        <v>0</v>
      </c>
      <c r="H194" s="63"/>
      <c r="I194" s="15">
        <f t="shared" si="9"/>
        <v>0</v>
      </c>
      <c r="J194" s="63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</row>
    <row r="195" spans="2:30" ht="16" customHeight="1" x14ac:dyDescent="0.35">
      <c r="B195" s="14" t="s">
        <v>708</v>
      </c>
      <c r="C195" s="14" t="s">
        <v>709</v>
      </c>
      <c r="D195" s="61"/>
      <c r="E195" s="30"/>
      <c r="F195" s="63"/>
      <c r="G195" s="15">
        <f t="shared" si="8"/>
        <v>0</v>
      </c>
      <c r="H195" s="63"/>
      <c r="I195" s="15">
        <f t="shared" si="9"/>
        <v>0</v>
      </c>
      <c r="J195" s="63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</row>
    <row r="196" spans="2:30" ht="16" customHeight="1" x14ac:dyDescent="0.35">
      <c r="B196" s="14" t="s">
        <v>710</v>
      </c>
      <c r="C196" s="14" t="s">
        <v>711</v>
      </c>
      <c r="D196" s="61"/>
      <c r="E196" s="30"/>
      <c r="F196" s="63"/>
      <c r="G196" s="15">
        <f t="shared" si="8"/>
        <v>0</v>
      </c>
      <c r="H196" s="63"/>
      <c r="I196" s="15">
        <f t="shared" si="9"/>
        <v>0</v>
      </c>
      <c r="J196" s="63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</row>
    <row r="197" spans="2:30" ht="16" customHeight="1" x14ac:dyDescent="0.35">
      <c r="B197" s="14" t="s">
        <v>712</v>
      </c>
      <c r="C197" s="14" t="s">
        <v>713</v>
      </c>
      <c r="D197" s="61"/>
      <c r="E197" s="30"/>
      <c r="F197" s="63"/>
      <c r="G197" s="15">
        <f t="shared" si="8"/>
        <v>0</v>
      </c>
      <c r="H197" s="63"/>
      <c r="I197" s="15">
        <f t="shared" si="9"/>
        <v>0</v>
      </c>
      <c r="J197" s="63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</row>
    <row r="198" spans="2:30" ht="16" customHeight="1" x14ac:dyDescent="0.35">
      <c r="B198" s="14" t="s">
        <v>714</v>
      </c>
      <c r="C198" s="14" t="s">
        <v>1681</v>
      </c>
      <c r="D198" s="61"/>
      <c r="E198" s="30">
        <v>0</v>
      </c>
      <c r="F198" s="63"/>
      <c r="G198" s="15">
        <f t="shared" si="8"/>
        <v>0</v>
      </c>
      <c r="H198" s="63"/>
      <c r="I198" s="15">
        <f t="shared" si="9"/>
        <v>0</v>
      </c>
      <c r="J198" s="63"/>
      <c r="K198" s="15">
        <v>0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</row>
    <row r="199" spans="2:30" ht="16" customHeight="1" x14ac:dyDescent="0.35">
      <c r="B199" s="14" t="s">
        <v>716</v>
      </c>
      <c r="C199" s="14" t="s">
        <v>1444</v>
      </c>
      <c r="D199" s="61"/>
      <c r="E199" s="30"/>
      <c r="F199" s="63"/>
      <c r="G199" s="15">
        <f t="shared" si="8"/>
        <v>0</v>
      </c>
      <c r="H199" s="63"/>
      <c r="I199" s="15">
        <f t="shared" si="9"/>
        <v>0</v>
      </c>
      <c r="J199" s="63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</row>
    <row r="200" spans="2:30" ht="16" customHeight="1" x14ac:dyDescent="0.35">
      <c r="B200" s="14" t="s">
        <v>718</v>
      </c>
      <c r="C200" s="14" t="s">
        <v>1445</v>
      </c>
      <c r="D200" s="61"/>
      <c r="E200" s="30"/>
      <c r="F200" s="63"/>
      <c r="G200" s="15">
        <f t="shared" si="8"/>
        <v>0</v>
      </c>
      <c r="H200" s="63"/>
      <c r="I200" s="15">
        <f t="shared" si="9"/>
        <v>0</v>
      </c>
      <c r="J200" s="63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</row>
    <row r="201" spans="2:30" ht="16" customHeight="1" x14ac:dyDescent="0.35">
      <c r="B201" s="14" t="s">
        <v>720</v>
      </c>
      <c r="C201" s="14" t="s">
        <v>721</v>
      </c>
      <c r="D201" s="61"/>
      <c r="E201" s="30">
        <v>1634.6095299999999</v>
      </c>
      <c r="F201" s="63"/>
      <c r="G201" s="15">
        <f t="shared" si="8"/>
        <v>1634.6095299999997</v>
      </c>
      <c r="H201" s="63"/>
      <c r="I201" s="15">
        <f t="shared" si="9"/>
        <v>0</v>
      </c>
      <c r="J201" s="63"/>
      <c r="K201" s="15">
        <v>-1808.3500200000001</v>
      </c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>
        <v>2784.7139299999999</v>
      </c>
      <c r="AB201" s="15">
        <v>658.24562000000003</v>
      </c>
      <c r="AC201" s="15"/>
      <c r="AD201" s="15"/>
    </row>
    <row r="202" spans="2:30" ht="16" customHeight="1" x14ac:dyDescent="0.35">
      <c r="B202" s="14" t="s">
        <v>722</v>
      </c>
      <c r="C202" s="14" t="s">
        <v>723</v>
      </c>
      <c r="D202" s="61"/>
      <c r="E202" s="30">
        <v>-382.74698000000001</v>
      </c>
      <c r="F202" s="63"/>
      <c r="G202" s="15">
        <f t="shared" si="8"/>
        <v>-382.74697999999989</v>
      </c>
      <c r="H202" s="63"/>
      <c r="I202" s="15">
        <f t="shared" si="9"/>
        <v>0</v>
      </c>
      <c r="J202" s="63"/>
      <c r="K202" s="15">
        <v>517.34130000000005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>
        <v>-748.69178999999997</v>
      </c>
      <c r="AB202" s="15">
        <v>-151.39649</v>
      </c>
      <c r="AC202" s="15"/>
      <c r="AD202" s="15"/>
    </row>
    <row r="203" spans="2:30" ht="16" customHeight="1" x14ac:dyDescent="0.35">
      <c r="B203" s="14" t="s">
        <v>724</v>
      </c>
      <c r="C203" s="14" t="s">
        <v>1446</v>
      </c>
      <c r="D203" s="61"/>
      <c r="E203" s="30">
        <v>33053.66461</v>
      </c>
      <c r="F203" s="63"/>
      <c r="G203" s="15">
        <f t="shared" si="8"/>
        <v>33053.66461</v>
      </c>
      <c r="H203" s="63"/>
      <c r="I203" s="15">
        <f t="shared" si="9"/>
        <v>0</v>
      </c>
      <c r="J203" s="63"/>
      <c r="K203" s="15">
        <v>34071.999609999999</v>
      </c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>
        <v>-1018.335</v>
      </c>
      <c r="AC203" s="15"/>
      <c r="AD203" s="15"/>
    </row>
    <row r="204" spans="2:30" ht="16" customHeight="1" x14ac:dyDescent="0.35">
      <c r="B204" s="14" t="s">
        <v>726</v>
      </c>
      <c r="C204" s="14" t="s">
        <v>727</v>
      </c>
      <c r="D204" s="61"/>
      <c r="E204" s="30">
        <v>6.165</v>
      </c>
      <c r="F204" s="63"/>
      <c r="G204" s="15">
        <f t="shared" si="8"/>
        <v>6.165</v>
      </c>
      <c r="H204" s="63"/>
      <c r="I204" s="15">
        <f t="shared" si="9"/>
        <v>0</v>
      </c>
      <c r="J204" s="63"/>
      <c r="K204" s="15">
        <v>7</v>
      </c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>
        <v>-0.83499999999999996</v>
      </c>
      <c r="AC204" s="15"/>
      <c r="AD204" s="15"/>
    </row>
    <row r="205" spans="2:30" ht="16" customHeight="1" x14ac:dyDescent="0.35">
      <c r="B205" s="14" t="s">
        <v>728</v>
      </c>
      <c r="C205" s="14" t="s">
        <v>1447</v>
      </c>
      <c r="D205" s="61"/>
      <c r="E205" s="30"/>
      <c r="F205" s="63"/>
      <c r="G205" s="15">
        <f t="shared" si="8"/>
        <v>0</v>
      </c>
      <c r="H205" s="63"/>
      <c r="I205" s="15">
        <f t="shared" si="9"/>
        <v>0</v>
      </c>
      <c r="J205" s="63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2:30" ht="16" customHeight="1" x14ac:dyDescent="0.35">
      <c r="B206" s="14" t="s">
        <v>730</v>
      </c>
      <c r="C206" s="14" t="s">
        <v>1448</v>
      </c>
      <c r="D206" s="61"/>
      <c r="E206" s="30">
        <v>-8841.5616200000004</v>
      </c>
      <c r="F206" s="63"/>
      <c r="G206" s="15">
        <f t="shared" si="8"/>
        <v>-8841.5616200000004</v>
      </c>
      <c r="H206" s="63"/>
      <c r="I206" s="15">
        <f t="shared" si="9"/>
        <v>0</v>
      </c>
      <c r="J206" s="63"/>
      <c r="K206" s="15">
        <v>-8017.2876200000001</v>
      </c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>
        <v>-824.274</v>
      </c>
      <c r="AB206" s="15"/>
      <c r="AC206" s="15"/>
      <c r="AD206" s="15"/>
    </row>
    <row r="207" spans="2:30" ht="16" customHeight="1" x14ac:dyDescent="0.35">
      <c r="B207" s="14" t="s">
        <v>732</v>
      </c>
      <c r="C207" s="14" t="s">
        <v>1449</v>
      </c>
      <c r="D207" s="61"/>
      <c r="E207" s="30">
        <v>-243213.44787</v>
      </c>
      <c r="F207" s="63"/>
      <c r="G207" s="15">
        <f t="shared" si="8"/>
        <v>-243213.44787</v>
      </c>
      <c r="H207" s="63"/>
      <c r="I207" s="15">
        <f t="shared" si="9"/>
        <v>0</v>
      </c>
      <c r="J207" s="63"/>
      <c r="K207" s="15">
        <v>-243213.44787</v>
      </c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2:30" ht="16" customHeight="1" x14ac:dyDescent="0.35">
      <c r="B208" s="14" t="s">
        <v>734</v>
      </c>
      <c r="C208" s="14" t="s">
        <v>1450</v>
      </c>
      <c r="D208" s="61"/>
      <c r="E208" s="30"/>
      <c r="F208" s="63"/>
      <c r="G208" s="15">
        <f t="shared" si="8"/>
        <v>0</v>
      </c>
      <c r="H208" s="63"/>
      <c r="I208" s="15">
        <f t="shared" si="9"/>
        <v>0</v>
      </c>
      <c r="J208" s="63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2:30" ht="16" customHeight="1" x14ac:dyDescent="0.35">
      <c r="B209" s="14" t="s">
        <v>736</v>
      </c>
      <c r="C209" s="14" t="s">
        <v>1451</v>
      </c>
      <c r="D209" s="61"/>
      <c r="E209" s="30"/>
      <c r="F209" s="63"/>
      <c r="G209" s="15">
        <f t="shared" si="8"/>
        <v>0</v>
      </c>
      <c r="H209" s="63"/>
      <c r="I209" s="15">
        <f t="shared" si="9"/>
        <v>0</v>
      </c>
      <c r="J209" s="63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2:30" ht="16" customHeight="1" x14ac:dyDescent="0.35">
      <c r="B210" s="14" t="s">
        <v>1452</v>
      </c>
      <c r="C210" s="14" t="s">
        <v>1453</v>
      </c>
      <c r="D210" s="61"/>
      <c r="E210" s="30"/>
      <c r="F210" s="63"/>
      <c r="G210" s="15">
        <f t="shared" si="8"/>
        <v>0</v>
      </c>
      <c r="H210" s="63"/>
      <c r="I210" s="15">
        <f t="shared" si="9"/>
        <v>0</v>
      </c>
      <c r="J210" s="63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  <row r="211" spans="2:30" ht="16" customHeight="1" x14ac:dyDescent="0.35">
      <c r="B211" s="14" t="s">
        <v>1454</v>
      </c>
      <c r="C211" s="14" t="s">
        <v>1455</v>
      </c>
      <c r="D211" s="61"/>
      <c r="E211" s="30"/>
      <c r="F211" s="63"/>
      <c r="G211" s="15">
        <f t="shared" si="8"/>
        <v>0</v>
      </c>
      <c r="H211" s="63"/>
      <c r="I211" s="15">
        <f t="shared" si="9"/>
        <v>0</v>
      </c>
      <c r="J211" s="63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</row>
    <row r="212" spans="2:30" ht="16" customHeight="1" x14ac:dyDescent="0.35">
      <c r="B212" s="14" t="s">
        <v>1456</v>
      </c>
      <c r="C212" s="14" t="s">
        <v>1457</v>
      </c>
      <c r="D212" s="61"/>
      <c r="E212" s="30"/>
      <c r="F212" s="63"/>
      <c r="G212" s="15">
        <f t="shared" si="8"/>
        <v>0</v>
      </c>
      <c r="H212" s="63"/>
      <c r="I212" s="15">
        <f t="shared" si="9"/>
        <v>0</v>
      </c>
      <c r="J212" s="63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</row>
    <row r="213" spans="2:30" ht="16" customHeight="1" x14ac:dyDescent="0.35">
      <c r="B213" s="14" t="s">
        <v>1458</v>
      </c>
      <c r="C213" s="14" t="s">
        <v>1459</v>
      </c>
      <c r="D213" s="61"/>
      <c r="E213" s="30"/>
      <c r="F213" s="63"/>
      <c r="G213" s="15">
        <f t="shared" si="8"/>
        <v>0</v>
      </c>
      <c r="H213" s="63"/>
      <c r="I213" s="15">
        <f t="shared" si="9"/>
        <v>0</v>
      </c>
      <c r="J213" s="63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</row>
    <row r="214" spans="2:30" ht="16" customHeight="1" x14ac:dyDescent="0.35">
      <c r="B214" s="14" t="s">
        <v>1460</v>
      </c>
      <c r="C214" s="14" t="s">
        <v>1461</v>
      </c>
      <c r="D214" s="61"/>
      <c r="E214" s="30"/>
      <c r="F214" s="63"/>
      <c r="G214" s="15">
        <f t="shared" si="8"/>
        <v>0</v>
      </c>
      <c r="H214" s="63"/>
      <c r="I214" s="15">
        <f t="shared" si="9"/>
        <v>0</v>
      </c>
      <c r="J214" s="63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</row>
    <row r="215" spans="2:30" ht="16" customHeight="1" x14ac:dyDescent="0.35">
      <c r="B215" s="14" t="s">
        <v>1462</v>
      </c>
      <c r="C215" s="14" t="s">
        <v>1463</v>
      </c>
      <c r="D215" s="61"/>
      <c r="E215" s="30"/>
      <c r="F215" s="63"/>
      <c r="G215" s="15">
        <f t="shared" si="8"/>
        <v>0</v>
      </c>
      <c r="H215" s="63"/>
      <c r="I215" s="15">
        <f t="shared" si="9"/>
        <v>0</v>
      </c>
      <c r="J215" s="63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</row>
    <row r="216" spans="2:30" ht="16" customHeight="1" x14ac:dyDescent="0.35">
      <c r="B216" s="14" t="s">
        <v>1464</v>
      </c>
      <c r="C216" s="14" t="s">
        <v>1465</v>
      </c>
      <c r="D216" s="61"/>
      <c r="E216" s="30"/>
      <c r="F216" s="63"/>
      <c r="G216" s="15">
        <f t="shared" si="8"/>
        <v>0</v>
      </c>
      <c r="H216" s="63"/>
      <c r="I216" s="15">
        <f t="shared" si="9"/>
        <v>0</v>
      </c>
      <c r="J216" s="63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</row>
    <row r="217" spans="2:30" ht="16" customHeight="1" x14ac:dyDescent="0.35">
      <c r="B217" s="14" t="s">
        <v>1466</v>
      </c>
      <c r="C217" s="14" t="s">
        <v>1467</v>
      </c>
      <c r="D217" s="61"/>
      <c r="E217" s="30"/>
      <c r="F217" s="63"/>
      <c r="G217" s="15">
        <f t="shared" si="8"/>
        <v>0</v>
      </c>
      <c r="H217" s="63"/>
      <c r="I217" s="15">
        <f t="shared" si="9"/>
        <v>0</v>
      </c>
      <c r="J217" s="63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</row>
    <row r="218" spans="2:30" ht="16" customHeight="1" x14ac:dyDescent="0.35">
      <c r="B218" s="16" t="s">
        <v>1682</v>
      </c>
      <c r="C218" s="16"/>
      <c r="D218" s="64"/>
      <c r="E218" s="31">
        <f>SUBTOTAL(109, E123:E217)</f>
        <v>8880870.0977899991</v>
      </c>
      <c r="F218" s="65"/>
      <c r="G218" s="17">
        <f>SUBTOTAL(109, G123:G217)</f>
        <v>8880870.0977899991</v>
      </c>
      <c r="H218" s="65"/>
      <c r="I218" s="17">
        <f>SUBTOTAL(109, I123:I217)</f>
        <v>3.7674409598953407E-11</v>
      </c>
      <c r="J218" s="65"/>
      <c r="K218" s="17">
        <f t="shared" ref="K218:AD218" si="10">SUBTOTAL(109, K123:K217)</f>
        <v>8816740.9588099997</v>
      </c>
      <c r="L218" s="17">
        <f t="shared" si="10"/>
        <v>0</v>
      </c>
      <c r="M218" s="17">
        <f t="shared" si="10"/>
        <v>0</v>
      </c>
      <c r="N218" s="17">
        <f t="shared" si="10"/>
        <v>195961.07592</v>
      </c>
      <c r="O218" s="17">
        <f t="shared" si="10"/>
        <v>-125245.85071</v>
      </c>
      <c r="P218" s="17">
        <f t="shared" si="10"/>
        <v>79978.430899999992</v>
      </c>
      <c r="Q218" s="17">
        <f t="shared" si="10"/>
        <v>16007.167290000001</v>
      </c>
      <c r="R218" s="17">
        <f t="shared" si="10"/>
        <v>0</v>
      </c>
      <c r="S218" s="17">
        <f t="shared" si="10"/>
        <v>0</v>
      </c>
      <c r="T218" s="17">
        <f t="shared" si="10"/>
        <v>-4591.0315799999971</v>
      </c>
      <c r="U218" s="17">
        <f t="shared" si="10"/>
        <v>-28159.839830000001</v>
      </c>
      <c r="V218" s="17">
        <f t="shared" si="10"/>
        <v>-40183.852939999997</v>
      </c>
      <c r="W218" s="17">
        <f t="shared" si="10"/>
        <v>-25.530159999999796</v>
      </c>
      <c r="X218" s="17">
        <f t="shared" si="10"/>
        <v>0</v>
      </c>
      <c r="Y218" s="17">
        <f t="shared" si="10"/>
        <v>0</v>
      </c>
      <c r="Z218" s="17">
        <f t="shared" si="10"/>
        <v>-31903.236429999997</v>
      </c>
      <c r="AA218" s="17">
        <f t="shared" si="10"/>
        <v>1470.0979400000001</v>
      </c>
      <c r="AB218" s="17">
        <f t="shared" si="10"/>
        <v>-512.32087000000001</v>
      </c>
      <c r="AC218" s="17">
        <f t="shared" si="10"/>
        <v>1375.15941</v>
      </c>
      <c r="AD218" s="17">
        <f t="shared" si="10"/>
        <v>-41.129960000000004</v>
      </c>
    </row>
    <row r="219" spans="2:30" ht="16" customHeight="1" x14ac:dyDescent="0.35">
      <c r="B219" s="11"/>
      <c r="C219" s="11"/>
      <c r="D219" s="29"/>
      <c r="E219" s="29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 spans="2:30" ht="16" customHeight="1" x14ac:dyDescent="0.35">
      <c r="B220" s="99" t="s">
        <v>751</v>
      </c>
      <c r="C220" s="99"/>
      <c r="D220" s="100"/>
      <c r="E220" s="101">
        <f>E121-E218</f>
        <v>-2.4730000644922256E-2</v>
      </c>
      <c r="F220" s="102"/>
      <c r="G220" s="103">
        <f>G121-G218</f>
        <v>-2.2720001637935638E-2</v>
      </c>
      <c r="H220" s="102"/>
      <c r="I220" s="103">
        <f>I121-I218</f>
        <v>-2.0099998013519424E-3</v>
      </c>
      <c r="J220" s="102"/>
      <c r="K220" s="103">
        <f t="shared" ref="K220:AD220" si="11">K121-K218</f>
        <v>-2.1639999002218246E-2</v>
      </c>
      <c r="L220" s="103">
        <f t="shared" si="11"/>
        <v>0</v>
      </c>
      <c r="M220" s="103">
        <f t="shared" si="11"/>
        <v>0</v>
      </c>
      <c r="N220" s="103">
        <f t="shared" si="11"/>
        <v>-195961.07592</v>
      </c>
      <c r="O220" s="103">
        <f t="shared" si="11"/>
        <v>170215.78690999994</v>
      </c>
      <c r="P220" s="103">
        <f t="shared" si="11"/>
        <v>119370.86333000001</v>
      </c>
      <c r="Q220" s="103">
        <f t="shared" si="11"/>
        <v>0</v>
      </c>
      <c r="R220" s="103">
        <f t="shared" si="11"/>
        <v>0</v>
      </c>
      <c r="S220" s="103">
        <f t="shared" si="11"/>
        <v>0</v>
      </c>
      <c r="T220" s="103">
        <f t="shared" si="11"/>
        <v>-147242.19446999999</v>
      </c>
      <c r="U220" s="103">
        <f t="shared" si="11"/>
        <v>13563.103470000002</v>
      </c>
      <c r="V220" s="103">
        <f t="shared" si="11"/>
        <v>40183.852939999997</v>
      </c>
      <c r="W220" s="103">
        <f t="shared" si="11"/>
        <v>25.530159999999796</v>
      </c>
      <c r="X220" s="103">
        <f t="shared" si="11"/>
        <v>-208.55246</v>
      </c>
      <c r="Y220" s="103">
        <f t="shared" si="11"/>
        <v>0</v>
      </c>
      <c r="Z220" s="103">
        <f t="shared" si="11"/>
        <v>9.9999779195059091E-6</v>
      </c>
      <c r="AA220" s="103">
        <f t="shared" si="11"/>
        <v>-459.63693999999987</v>
      </c>
      <c r="AB220" s="103">
        <f t="shared" si="11"/>
        <v>512.32087000000001</v>
      </c>
      <c r="AC220" s="103">
        <f t="shared" si="11"/>
        <v>0</v>
      </c>
      <c r="AD220" s="103">
        <f t="shared" si="11"/>
        <v>1.0200000000111231E-3</v>
      </c>
    </row>
    <row r="221" spans="2:30" ht="16" customHeight="1" x14ac:dyDescent="0.45">
      <c r="B221" s="9"/>
      <c r="C221" s="9"/>
      <c r="D221" s="9"/>
      <c r="E221" s="9"/>
      <c r="F221" s="13"/>
      <c r="G221" s="13"/>
      <c r="H221" s="13"/>
      <c r="I221" s="13"/>
      <c r="J221" s="13"/>
      <c r="K221" s="13"/>
      <c r="L221" s="98"/>
      <c r="M221" s="98"/>
      <c r="N221" s="98"/>
      <c r="O221" s="98"/>
      <c r="P221" s="98"/>
      <c r="Q221" s="98"/>
      <c r="R221" s="98"/>
      <c r="S221" s="98"/>
    </row>
    <row r="222" spans="2:30" ht="16" customHeight="1" x14ac:dyDescent="0.3">
      <c r="B222" s="98"/>
      <c r="C222" s="97"/>
      <c r="D222" s="97"/>
      <c r="E222" s="97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</row>
    <row r="223" spans="2:30" ht="16" customHeight="1" x14ac:dyDescent="0.3">
      <c r="B223" s="98"/>
      <c r="C223" s="97"/>
      <c r="D223" s="97"/>
      <c r="E223" s="97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</row>
    <row r="224" spans="2:30" ht="16" customHeight="1" x14ac:dyDescent="0.3">
      <c r="B224" s="98"/>
      <c r="C224" s="97"/>
      <c r="D224" s="97"/>
      <c r="E224" s="97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</row>
    <row r="225" spans="2:19" ht="16" customHeight="1" x14ac:dyDescent="0.3">
      <c r="B225" s="98"/>
      <c r="C225" s="97"/>
      <c r="D225" s="97"/>
      <c r="E225" s="97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</row>
    <row r="226" spans="2:19" ht="16" customHeight="1" x14ac:dyDescent="0.3">
      <c r="B226" s="98"/>
      <c r="C226" s="97"/>
      <c r="D226" s="97"/>
      <c r="E226" s="97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</row>
    <row r="227" spans="2:19" ht="16" customHeight="1" x14ac:dyDescent="0.3">
      <c r="B227" s="98"/>
      <c r="C227" s="97"/>
      <c r="D227" s="97"/>
      <c r="E227" s="97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</row>
    <row r="228" spans="2:19" ht="16" customHeight="1" x14ac:dyDescent="0.3">
      <c r="B228" s="98"/>
      <c r="C228" s="97"/>
      <c r="D228" s="97"/>
      <c r="E228" s="97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</row>
    <row r="229" spans="2:19" ht="16" customHeight="1" x14ac:dyDescent="0.3">
      <c r="B229" s="98"/>
      <c r="C229" s="97"/>
      <c r="D229" s="97"/>
      <c r="E229" s="97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</row>
    <row r="230" spans="2:19" ht="16" customHeight="1" x14ac:dyDescent="0.3">
      <c r="B230" s="98"/>
      <c r="C230" s="97"/>
      <c r="D230" s="97"/>
      <c r="E230" s="97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</row>
    <row r="231" spans="2:19" ht="16" customHeight="1" x14ac:dyDescent="0.3">
      <c r="B231" s="98"/>
      <c r="C231" s="97"/>
      <c r="D231" s="97"/>
      <c r="E231" s="97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</row>
    <row r="232" spans="2:19" ht="16" customHeight="1" x14ac:dyDescent="0.3">
      <c r="B232" s="98"/>
      <c r="C232" s="97"/>
      <c r="D232" s="97"/>
      <c r="E232" s="97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</row>
    <row r="233" spans="2:19" ht="16" customHeight="1" x14ac:dyDescent="0.3">
      <c r="B233" s="98"/>
      <c r="C233" s="97"/>
      <c r="D233" s="97"/>
      <c r="E233" s="97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</row>
    <row r="234" spans="2:19" ht="16" customHeight="1" x14ac:dyDescent="0.3">
      <c r="B234" s="98"/>
      <c r="C234" s="97"/>
      <c r="D234" s="97"/>
      <c r="E234" s="97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</row>
    <row r="235" spans="2:19" ht="16" customHeight="1" x14ac:dyDescent="0.3">
      <c r="B235" s="98"/>
      <c r="C235" s="97"/>
      <c r="D235" s="97"/>
      <c r="E235" s="97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</row>
    <row r="236" spans="2:19" ht="16" customHeight="1" x14ac:dyDescent="0.3">
      <c r="B236" s="98"/>
      <c r="C236" s="97"/>
      <c r="D236" s="97"/>
      <c r="E236" s="97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</row>
    <row r="237" spans="2:19" ht="16" customHeight="1" x14ac:dyDescent="0.3">
      <c r="B237" s="98"/>
      <c r="C237" s="97"/>
      <c r="D237" s="97"/>
      <c r="E237" s="97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</row>
    <row r="238" spans="2:19" ht="16" customHeight="1" x14ac:dyDescent="0.3">
      <c r="B238" s="98"/>
      <c r="C238" s="97"/>
      <c r="D238" s="97"/>
      <c r="E238" s="97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</row>
    <row r="239" spans="2:19" ht="16" customHeight="1" x14ac:dyDescent="0.3">
      <c r="B239" s="98"/>
      <c r="C239" s="97"/>
      <c r="D239" s="97"/>
      <c r="E239" s="97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</row>
    <row r="240" spans="2:19" ht="16" customHeight="1" x14ac:dyDescent="0.3">
      <c r="B240" s="98"/>
      <c r="C240" s="97"/>
      <c r="D240" s="97"/>
      <c r="E240" s="97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</row>
    <row r="241" spans="2:19" ht="16" customHeight="1" x14ac:dyDescent="0.3">
      <c r="B241" s="98"/>
      <c r="C241" s="97"/>
      <c r="D241" s="97"/>
      <c r="E241" s="97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</row>
    <row r="242" spans="2:19" ht="16" customHeight="1" x14ac:dyDescent="0.3">
      <c r="B242" s="98"/>
      <c r="C242" s="97"/>
      <c r="D242" s="97"/>
      <c r="E242" s="97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</row>
    <row r="243" spans="2:19" ht="16" customHeight="1" x14ac:dyDescent="0.3">
      <c r="B243" s="98"/>
      <c r="C243" s="97"/>
      <c r="D243" s="97"/>
      <c r="E243" s="97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</row>
    <row r="244" spans="2:19" ht="16" customHeight="1" x14ac:dyDescent="0.3">
      <c r="B244" s="98"/>
      <c r="C244" s="97"/>
      <c r="D244" s="97"/>
      <c r="E244" s="97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</row>
    <row r="245" spans="2:19" ht="16" customHeight="1" x14ac:dyDescent="0.3">
      <c r="B245" s="98"/>
      <c r="C245" s="97"/>
      <c r="D245" s="97"/>
      <c r="E245" s="97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</row>
    <row r="246" spans="2:19" ht="16" customHeight="1" x14ac:dyDescent="0.3">
      <c r="B246" s="98"/>
      <c r="C246" s="97"/>
      <c r="D246" s="97"/>
      <c r="E246" s="97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</row>
    <row r="247" spans="2:19" ht="16" customHeight="1" x14ac:dyDescent="0.3">
      <c r="B247" s="98"/>
      <c r="C247" s="97"/>
      <c r="D247" s="97"/>
      <c r="E247" s="97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</row>
    <row r="248" spans="2:19" ht="16" customHeight="1" x14ac:dyDescent="0.3">
      <c r="B248" s="98"/>
      <c r="C248" s="97"/>
      <c r="D248" s="97"/>
      <c r="E248" s="97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</row>
    <row r="249" spans="2:19" ht="16" customHeight="1" x14ac:dyDescent="0.3">
      <c r="B249" s="98"/>
      <c r="C249" s="97"/>
      <c r="D249" s="97"/>
      <c r="E249" s="97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</row>
    <row r="250" spans="2:19" ht="16" customHeight="1" x14ac:dyDescent="0.3">
      <c r="B250" s="98"/>
      <c r="C250" s="97"/>
      <c r="D250" s="97"/>
      <c r="E250" s="97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</row>
    <row r="251" spans="2:19" ht="16" customHeight="1" x14ac:dyDescent="0.3">
      <c r="B251" s="98"/>
      <c r="C251" s="97"/>
      <c r="D251" s="97"/>
      <c r="E251" s="97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</row>
    <row r="252" spans="2:19" ht="16" customHeight="1" x14ac:dyDescent="0.3">
      <c r="B252" s="98"/>
      <c r="C252" s="97"/>
      <c r="D252" s="97"/>
      <c r="E252" s="97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</row>
    <row r="253" spans="2:19" ht="16" customHeight="1" x14ac:dyDescent="0.3">
      <c r="B253" s="98"/>
      <c r="C253" s="97"/>
      <c r="D253" s="97"/>
      <c r="E253" s="97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</row>
    <row r="254" spans="2:19" ht="16" customHeight="1" x14ac:dyDescent="0.3">
      <c r="B254" s="98"/>
      <c r="C254" s="97"/>
      <c r="D254" s="97"/>
      <c r="E254" s="97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</row>
    <row r="255" spans="2:19" ht="16" customHeight="1" x14ac:dyDescent="0.3">
      <c r="B255" s="98"/>
      <c r="C255" s="97"/>
      <c r="D255" s="97"/>
      <c r="E255" s="97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</row>
    <row r="256" spans="2:19" ht="16" customHeight="1" x14ac:dyDescent="0.3">
      <c r="B256" s="98"/>
      <c r="C256" s="97"/>
      <c r="D256" s="97"/>
      <c r="E256" s="97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</row>
    <row r="257" spans="2:19" ht="16" customHeight="1" x14ac:dyDescent="0.3">
      <c r="B257" s="98"/>
      <c r="C257" s="97"/>
      <c r="D257" s="97"/>
      <c r="E257" s="97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</row>
    <row r="258" spans="2:19" ht="16" customHeight="1" x14ac:dyDescent="0.3">
      <c r="B258" s="98"/>
      <c r="C258" s="97"/>
      <c r="D258" s="97"/>
      <c r="E258" s="97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</row>
    <row r="259" spans="2:19" ht="16" customHeight="1" x14ac:dyDescent="0.3">
      <c r="B259" s="98"/>
      <c r="C259" s="97"/>
      <c r="D259" s="97"/>
      <c r="E259" s="97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</row>
    <row r="260" spans="2:19" ht="16" customHeight="1" x14ac:dyDescent="0.3">
      <c r="B260" s="98"/>
      <c r="C260" s="97"/>
      <c r="D260" s="97"/>
      <c r="E260" s="97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</row>
    <row r="261" spans="2:19" ht="16" customHeight="1" x14ac:dyDescent="0.3">
      <c r="B261" s="98"/>
      <c r="C261" s="97"/>
      <c r="D261" s="97"/>
      <c r="E261" s="97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</row>
    <row r="262" spans="2:19" ht="16" customHeight="1" x14ac:dyDescent="0.3">
      <c r="B262" s="98"/>
      <c r="C262" s="97"/>
      <c r="D262" s="97"/>
      <c r="E262" s="97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</row>
    <row r="263" spans="2:19" ht="16" customHeight="1" x14ac:dyDescent="0.3">
      <c r="B263" s="98"/>
      <c r="C263" s="97"/>
      <c r="D263" s="97"/>
      <c r="E263" s="97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</row>
    <row r="264" spans="2:19" ht="16" customHeight="1" x14ac:dyDescent="0.3">
      <c r="B264" s="98"/>
      <c r="C264" s="97"/>
      <c r="D264" s="97"/>
      <c r="E264" s="97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</row>
    <row r="265" spans="2:19" ht="16" customHeight="1" x14ac:dyDescent="0.3">
      <c r="B265" s="98"/>
      <c r="C265" s="97"/>
      <c r="D265" s="97"/>
      <c r="E265" s="97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</row>
    <row r="266" spans="2:19" ht="16" customHeight="1" x14ac:dyDescent="0.3">
      <c r="B266" s="98"/>
      <c r="C266" s="97"/>
      <c r="D266" s="97"/>
      <c r="E266" s="97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</row>
    <row r="267" spans="2:19" ht="16" customHeight="1" x14ac:dyDescent="0.3">
      <c r="B267" s="98"/>
      <c r="C267" s="97"/>
      <c r="D267" s="97"/>
      <c r="E267" s="97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</row>
    <row r="268" spans="2:19" ht="16" customHeight="1" x14ac:dyDescent="0.3">
      <c r="B268" s="98"/>
      <c r="C268" s="97"/>
      <c r="D268" s="97"/>
      <c r="E268" s="97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</row>
    <row r="269" spans="2:19" ht="16" customHeight="1" x14ac:dyDescent="0.3">
      <c r="B269" s="98"/>
      <c r="C269" s="97"/>
      <c r="D269" s="97"/>
      <c r="E269" s="97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</row>
    <row r="270" spans="2:19" ht="16" customHeight="1" x14ac:dyDescent="0.3">
      <c r="B270" s="98"/>
      <c r="C270" s="97"/>
      <c r="D270" s="97"/>
      <c r="E270" s="97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</row>
    <row r="271" spans="2:19" ht="16" customHeight="1" x14ac:dyDescent="0.3">
      <c r="B271" s="98"/>
      <c r="C271" s="97"/>
      <c r="D271" s="97"/>
      <c r="E271" s="97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</row>
    <row r="272" spans="2:19" ht="16" customHeight="1" x14ac:dyDescent="0.3">
      <c r="B272" s="98"/>
      <c r="C272" s="97"/>
      <c r="D272" s="97"/>
      <c r="E272" s="97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</row>
    <row r="273" spans="2:19" ht="16" customHeight="1" x14ac:dyDescent="0.3">
      <c r="B273" s="98"/>
      <c r="C273" s="97"/>
      <c r="D273" s="97"/>
      <c r="E273" s="97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</row>
    <row r="274" spans="2:19" ht="16" customHeight="1" x14ac:dyDescent="0.3">
      <c r="B274" s="98"/>
      <c r="C274" s="97"/>
      <c r="D274" s="97"/>
      <c r="E274" s="97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</row>
    <row r="275" spans="2:19" ht="16" customHeight="1" x14ac:dyDescent="0.3">
      <c r="B275" s="98"/>
      <c r="C275" s="97"/>
      <c r="D275" s="97"/>
      <c r="E275" s="97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</row>
    <row r="276" spans="2:19" ht="16" customHeight="1" x14ac:dyDescent="0.3">
      <c r="B276" s="98"/>
      <c r="C276" s="97"/>
      <c r="D276" s="97"/>
      <c r="E276" s="97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</row>
    <row r="277" spans="2:19" ht="16" customHeight="1" x14ac:dyDescent="0.3">
      <c r="B277" s="98"/>
      <c r="C277" s="97"/>
      <c r="D277" s="97"/>
      <c r="E277" s="97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</row>
    <row r="278" spans="2:19" ht="16" customHeight="1" x14ac:dyDescent="0.3">
      <c r="B278" s="98"/>
      <c r="C278" s="97"/>
      <c r="D278" s="97"/>
      <c r="E278" s="97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</row>
    <row r="279" spans="2:19" ht="16" customHeight="1" x14ac:dyDescent="0.3">
      <c r="B279" s="98"/>
      <c r="C279" s="97"/>
      <c r="D279" s="97"/>
      <c r="E279" s="97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</row>
    <row r="280" spans="2:19" ht="16" customHeight="1" x14ac:dyDescent="0.3">
      <c r="B280" s="98"/>
      <c r="C280" s="97"/>
      <c r="D280" s="97"/>
      <c r="E280" s="97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</row>
    <row r="281" spans="2:19" ht="16" customHeight="1" x14ac:dyDescent="0.3">
      <c r="B281" s="98"/>
      <c r="C281" s="97"/>
      <c r="D281" s="97"/>
      <c r="E281" s="97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</row>
    <row r="282" spans="2:19" ht="16" customHeight="1" x14ac:dyDescent="0.3">
      <c r="B282" s="98"/>
      <c r="C282" s="97"/>
      <c r="D282" s="97"/>
      <c r="E282" s="97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</row>
    <row r="283" spans="2:19" ht="16" customHeight="1" x14ac:dyDescent="0.3">
      <c r="B283" s="98"/>
      <c r="C283" s="97"/>
      <c r="D283" s="97"/>
      <c r="E283" s="97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</row>
    <row r="284" spans="2:19" ht="16" customHeight="1" x14ac:dyDescent="0.3">
      <c r="B284" s="98"/>
      <c r="C284" s="97"/>
      <c r="D284" s="97"/>
      <c r="E284" s="97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</row>
    <row r="285" spans="2:19" ht="16" customHeight="1" x14ac:dyDescent="0.3">
      <c r="B285" s="98"/>
      <c r="C285" s="97"/>
      <c r="D285" s="97"/>
      <c r="E285" s="97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</row>
    <row r="286" spans="2:19" ht="16" customHeight="1" x14ac:dyDescent="0.3">
      <c r="B286" s="98"/>
      <c r="C286" s="97"/>
      <c r="D286" s="97"/>
      <c r="E286" s="97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</row>
    <row r="287" spans="2:19" ht="16" customHeight="1" x14ac:dyDescent="0.3">
      <c r="B287" s="98"/>
      <c r="C287" s="97"/>
      <c r="D287" s="97"/>
      <c r="E287" s="97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</row>
    <row r="288" spans="2:19" ht="16" customHeight="1" x14ac:dyDescent="0.3">
      <c r="B288" s="98"/>
      <c r="C288" s="97"/>
      <c r="D288" s="97"/>
      <c r="E288" s="97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</row>
    <row r="289" spans="2:19" ht="16" customHeight="1" x14ac:dyDescent="0.3">
      <c r="B289" s="98"/>
      <c r="C289" s="97"/>
      <c r="D289" s="97"/>
      <c r="E289" s="97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</row>
    <row r="290" spans="2:19" ht="16" customHeight="1" x14ac:dyDescent="0.3">
      <c r="B290" s="98"/>
      <c r="C290" s="97"/>
      <c r="D290" s="97"/>
      <c r="E290" s="97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</row>
    <row r="291" spans="2:19" ht="16" customHeight="1" x14ac:dyDescent="0.3">
      <c r="B291" s="98"/>
      <c r="C291" s="97"/>
      <c r="D291" s="97"/>
      <c r="E291" s="97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</row>
    <row r="292" spans="2:19" ht="16" customHeight="1" x14ac:dyDescent="0.3">
      <c r="B292" s="98"/>
      <c r="C292" s="97"/>
      <c r="D292" s="97"/>
      <c r="E292" s="97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</row>
    <row r="293" spans="2:19" ht="16" customHeight="1" x14ac:dyDescent="0.3">
      <c r="B293" s="98"/>
      <c r="C293" s="97"/>
      <c r="D293" s="97"/>
      <c r="E293" s="97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</row>
    <row r="294" spans="2:19" ht="16" customHeight="1" x14ac:dyDescent="0.3">
      <c r="B294" s="98"/>
      <c r="C294" s="97"/>
      <c r="D294" s="97"/>
      <c r="E294" s="97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</row>
    <row r="295" spans="2:19" ht="16" customHeight="1" x14ac:dyDescent="0.3">
      <c r="B295" s="98"/>
      <c r="C295" s="97"/>
      <c r="D295" s="97"/>
      <c r="E295" s="97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</row>
    <row r="296" spans="2:19" ht="16" customHeight="1" x14ac:dyDescent="0.3">
      <c r="B296" s="98"/>
      <c r="C296" s="97"/>
      <c r="D296" s="97"/>
      <c r="E296" s="97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</row>
    <row r="297" spans="2:19" ht="16" customHeight="1" x14ac:dyDescent="0.3">
      <c r="B297" s="98"/>
      <c r="C297" s="97"/>
      <c r="D297" s="97"/>
      <c r="E297" s="97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</row>
    <row r="298" spans="2:19" ht="16" customHeight="1" x14ac:dyDescent="0.3">
      <c r="B298" s="98"/>
      <c r="C298" s="97"/>
      <c r="D298" s="97"/>
      <c r="E298" s="97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</row>
    <row r="299" spans="2:19" ht="16" customHeight="1" x14ac:dyDescent="0.3">
      <c r="B299" s="98"/>
      <c r="C299" s="97"/>
      <c r="D299" s="97"/>
      <c r="E299" s="97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</row>
    <row r="300" spans="2:19" ht="16" customHeight="1" x14ac:dyDescent="0.3">
      <c r="B300" s="98"/>
      <c r="C300" s="97"/>
      <c r="D300" s="97"/>
      <c r="E300" s="97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</row>
    <row r="301" spans="2:19" ht="16" customHeight="1" x14ac:dyDescent="0.3">
      <c r="B301" s="98"/>
      <c r="C301" s="97"/>
      <c r="D301" s="97"/>
      <c r="E301" s="97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</row>
    <row r="302" spans="2:19" ht="16" customHeight="1" x14ac:dyDescent="0.3">
      <c r="B302" s="98"/>
      <c r="C302" s="97"/>
      <c r="D302" s="97"/>
      <c r="E302" s="97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</row>
    <row r="303" spans="2:19" ht="16" customHeight="1" x14ac:dyDescent="0.3">
      <c r="B303" s="98"/>
      <c r="C303" s="97"/>
      <c r="D303" s="97"/>
      <c r="E303" s="97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</row>
    <row r="304" spans="2:19" ht="16" customHeight="1" x14ac:dyDescent="0.3">
      <c r="B304" s="98"/>
      <c r="C304" s="97"/>
      <c r="D304" s="97"/>
      <c r="E304" s="97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</row>
    <row r="305" spans="2:19" ht="16" customHeight="1" x14ac:dyDescent="0.3">
      <c r="B305" s="98"/>
      <c r="C305" s="97"/>
      <c r="D305" s="97"/>
      <c r="E305" s="97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</row>
    <row r="306" spans="2:19" ht="16" customHeight="1" x14ac:dyDescent="0.3">
      <c r="B306" s="98"/>
      <c r="C306" s="97"/>
      <c r="D306" s="97"/>
      <c r="E306" s="97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</row>
    <row r="307" spans="2:19" ht="16" customHeight="1" x14ac:dyDescent="0.3">
      <c r="B307" s="98"/>
      <c r="C307" s="97"/>
      <c r="D307" s="97"/>
      <c r="E307" s="97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</row>
    <row r="308" spans="2:19" ht="16" customHeight="1" x14ac:dyDescent="0.3">
      <c r="B308" s="98"/>
      <c r="C308" s="97"/>
      <c r="D308" s="97"/>
      <c r="E308" s="97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</row>
    <row r="309" spans="2:19" ht="16" customHeight="1" x14ac:dyDescent="0.3">
      <c r="B309" s="98"/>
      <c r="C309" s="97"/>
      <c r="D309" s="97"/>
      <c r="E309" s="97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</row>
    <row r="310" spans="2:19" ht="16" customHeight="1" x14ac:dyDescent="0.3">
      <c r="B310" s="98"/>
      <c r="C310" s="97"/>
      <c r="D310" s="97"/>
      <c r="E310" s="97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</row>
    <row r="311" spans="2:19" ht="16" customHeight="1" x14ac:dyDescent="0.3">
      <c r="B311" s="98"/>
      <c r="C311" s="97"/>
      <c r="D311" s="97"/>
      <c r="E311" s="97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</row>
    <row r="312" spans="2:19" ht="16" customHeight="1" x14ac:dyDescent="0.3">
      <c r="B312" s="98"/>
      <c r="C312" s="97"/>
      <c r="D312" s="97"/>
      <c r="E312" s="97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</row>
    <row r="313" spans="2:19" ht="16" customHeight="1" x14ac:dyDescent="0.3">
      <c r="B313" s="98"/>
      <c r="C313" s="97"/>
      <c r="D313" s="97"/>
      <c r="E313" s="97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</row>
    <row r="314" spans="2:19" ht="16" customHeight="1" x14ac:dyDescent="0.3">
      <c r="B314" s="98"/>
      <c r="C314" s="97"/>
      <c r="D314" s="97"/>
      <c r="E314" s="97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</row>
    <row r="315" spans="2:19" ht="16" customHeight="1" x14ac:dyDescent="0.3">
      <c r="B315" s="98"/>
      <c r="C315" s="97"/>
      <c r="D315" s="97"/>
      <c r="E315" s="97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</row>
    <row r="316" spans="2:19" ht="16" customHeight="1" x14ac:dyDescent="0.3">
      <c r="B316" s="98"/>
      <c r="C316" s="97"/>
      <c r="D316" s="97"/>
      <c r="E316" s="97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</row>
    <row r="317" spans="2:19" ht="16" customHeight="1" x14ac:dyDescent="0.3">
      <c r="B317" s="98"/>
      <c r="C317" s="97"/>
      <c r="D317" s="97"/>
      <c r="E317" s="97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</row>
    <row r="318" spans="2:19" ht="16" customHeight="1" x14ac:dyDescent="0.3">
      <c r="B318" s="98"/>
      <c r="C318" s="97"/>
      <c r="D318" s="97"/>
      <c r="E318" s="97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</row>
    <row r="319" spans="2:19" ht="16" customHeight="1" x14ac:dyDescent="0.3">
      <c r="B319" s="98"/>
      <c r="C319" s="97"/>
      <c r="D319" s="97"/>
      <c r="E319" s="97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</row>
    <row r="320" spans="2:19" ht="16" customHeight="1" x14ac:dyDescent="0.3">
      <c r="B320" s="98"/>
      <c r="C320" s="97"/>
      <c r="D320" s="97"/>
      <c r="E320" s="97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</row>
    <row r="321" spans="2:19" ht="16" customHeight="1" x14ac:dyDescent="0.3">
      <c r="B321" s="98"/>
      <c r="C321" s="97"/>
      <c r="D321" s="97"/>
      <c r="E321" s="97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</row>
    <row r="322" spans="2:19" ht="16" customHeight="1" x14ac:dyDescent="0.3">
      <c r="B322" s="98"/>
      <c r="C322" s="97"/>
      <c r="D322" s="97"/>
      <c r="E322" s="97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</row>
    <row r="323" spans="2:19" ht="16" customHeight="1" x14ac:dyDescent="0.3">
      <c r="B323" s="98"/>
      <c r="C323" s="97"/>
      <c r="D323" s="97"/>
      <c r="E323" s="97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</row>
    <row r="324" spans="2:19" ht="16" customHeight="1" x14ac:dyDescent="0.3">
      <c r="B324" s="98"/>
      <c r="C324" s="97"/>
      <c r="D324" s="97"/>
      <c r="E324" s="97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</row>
    <row r="325" spans="2:19" ht="16" customHeight="1" x14ac:dyDescent="0.3">
      <c r="B325" s="98"/>
      <c r="C325" s="97"/>
      <c r="D325" s="97"/>
      <c r="E325" s="97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</row>
    <row r="326" spans="2:19" ht="16" customHeight="1" x14ac:dyDescent="0.3">
      <c r="B326" s="98"/>
      <c r="C326" s="97"/>
      <c r="D326" s="97"/>
      <c r="E326" s="97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</row>
    <row r="327" spans="2:19" ht="16" customHeight="1" x14ac:dyDescent="0.3">
      <c r="B327" s="98"/>
      <c r="C327" s="97"/>
      <c r="D327" s="97"/>
      <c r="E327" s="97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</row>
    <row r="328" spans="2:19" ht="16" customHeight="1" x14ac:dyDescent="0.3">
      <c r="B328" s="98"/>
      <c r="C328" s="97"/>
      <c r="D328" s="97"/>
      <c r="E328" s="97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</row>
    <row r="329" spans="2:19" ht="16" customHeight="1" x14ac:dyDescent="0.3">
      <c r="B329" s="98"/>
      <c r="C329" s="97"/>
      <c r="D329" s="97"/>
      <c r="E329" s="97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</row>
    <row r="330" spans="2:19" ht="16" customHeight="1" x14ac:dyDescent="0.3">
      <c r="B330" s="98"/>
      <c r="C330" s="97"/>
      <c r="D330" s="97"/>
      <c r="E330" s="97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</row>
    <row r="331" spans="2:19" ht="16" customHeight="1" x14ac:dyDescent="0.3">
      <c r="B331" s="98"/>
      <c r="C331" s="97"/>
      <c r="D331" s="97"/>
      <c r="E331" s="97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</row>
    <row r="332" spans="2:19" ht="16" customHeight="1" x14ac:dyDescent="0.3">
      <c r="B332" s="98"/>
      <c r="C332" s="97"/>
      <c r="D332" s="97"/>
      <c r="E332" s="97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</row>
    <row r="333" spans="2:19" ht="16" customHeight="1" x14ac:dyDescent="0.3">
      <c r="B333" s="98"/>
      <c r="C333" s="97"/>
      <c r="D333" s="97"/>
      <c r="E333" s="97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</row>
    <row r="334" spans="2:19" ht="16" customHeight="1" x14ac:dyDescent="0.3">
      <c r="B334" s="98"/>
      <c r="C334" s="97"/>
      <c r="D334" s="97"/>
      <c r="E334" s="97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</row>
    <row r="335" spans="2:19" ht="16" customHeight="1" x14ac:dyDescent="0.3">
      <c r="B335" s="98"/>
      <c r="C335" s="97"/>
      <c r="D335" s="97"/>
      <c r="E335" s="97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</row>
    <row r="336" spans="2:19" ht="16" customHeight="1" x14ac:dyDescent="0.3">
      <c r="B336" s="98"/>
      <c r="C336" s="97"/>
      <c r="D336" s="97"/>
      <c r="E336" s="97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</row>
    <row r="337" spans="2:19" ht="16" customHeight="1" x14ac:dyDescent="0.3">
      <c r="B337" s="98"/>
      <c r="C337" s="97"/>
      <c r="D337" s="97"/>
      <c r="E337" s="97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</row>
    <row r="338" spans="2:19" ht="16" customHeight="1" x14ac:dyDescent="0.3">
      <c r="B338" s="98"/>
      <c r="C338" s="97"/>
      <c r="D338" s="97"/>
      <c r="E338" s="97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</row>
    <row r="339" spans="2:19" ht="16" customHeight="1" x14ac:dyDescent="0.3">
      <c r="B339" s="98"/>
      <c r="C339" s="97"/>
      <c r="D339" s="97"/>
      <c r="E339" s="97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</row>
    <row r="340" spans="2:19" ht="16" customHeight="1" x14ac:dyDescent="0.3">
      <c r="B340" s="98"/>
      <c r="C340" s="97"/>
      <c r="D340" s="97"/>
      <c r="E340" s="97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</row>
    <row r="341" spans="2:19" ht="16" customHeight="1" x14ac:dyDescent="0.3">
      <c r="B341" s="98"/>
      <c r="C341" s="97"/>
      <c r="D341" s="97"/>
      <c r="E341" s="97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</row>
    <row r="342" spans="2:19" ht="16" customHeight="1" x14ac:dyDescent="0.3">
      <c r="B342" s="98"/>
      <c r="C342" s="97"/>
      <c r="D342" s="97"/>
      <c r="E342" s="97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</row>
    <row r="343" spans="2:19" ht="16" customHeight="1" x14ac:dyDescent="0.3">
      <c r="B343" s="98"/>
      <c r="C343" s="97"/>
      <c r="D343" s="97"/>
      <c r="E343" s="97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</row>
    <row r="344" spans="2:19" ht="16" customHeight="1" x14ac:dyDescent="0.3">
      <c r="B344" s="98"/>
      <c r="C344" s="97"/>
      <c r="D344" s="97"/>
      <c r="E344" s="97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</row>
    <row r="345" spans="2:19" ht="16" customHeight="1" x14ac:dyDescent="0.3">
      <c r="B345" s="98"/>
      <c r="C345" s="97"/>
      <c r="D345" s="97"/>
      <c r="E345" s="97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</row>
    <row r="346" spans="2:19" ht="16" customHeight="1" x14ac:dyDescent="0.3">
      <c r="B346" s="98"/>
      <c r="C346" s="97"/>
      <c r="D346" s="97"/>
      <c r="E346" s="97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</row>
    <row r="347" spans="2:19" ht="16" customHeight="1" x14ac:dyDescent="0.3">
      <c r="B347" s="98"/>
      <c r="C347" s="97"/>
      <c r="D347" s="97"/>
      <c r="E347" s="97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</row>
    <row r="348" spans="2:19" ht="16" customHeight="1" x14ac:dyDescent="0.3">
      <c r="B348" s="98"/>
      <c r="C348" s="97"/>
      <c r="D348" s="97"/>
      <c r="E348" s="97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</row>
    <row r="349" spans="2:19" ht="16" customHeight="1" x14ac:dyDescent="0.3">
      <c r="B349" s="98"/>
      <c r="C349" s="97"/>
      <c r="D349" s="97"/>
      <c r="E349" s="97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</row>
    <row r="350" spans="2:19" ht="16" customHeight="1" x14ac:dyDescent="0.3">
      <c r="B350" s="98"/>
      <c r="C350" s="97"/>
      <c r="D350" s="97"/>
      <c r="E350" s="97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</row>
    <row r="351" spans="2:19" ht="16" customHeight="1" x14ac:dyDescent="0.3">
      <c r="B351" s="98"/>
      <c r="C351" s="97"/>
      <c r="D351" s="97"/>
      <c r="E351" s="97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</row>
  </sheetData>
  <mergeCells count="1">
    <mergeCell ref="B8:C8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4D1F8-067F-46FA-BEE1-DB7A1EDBDB45}">
  <dimension ref="A3:BG351"/>
  <sheetViews>
    <sheetView showGridLines="0" zoomScale="90" zoomScaleNormal="90" workbookViewId="0">
      <pane xSplit="10" ySplit="10" topLeftCell="K11" activePane="bottomRight" state="frozen"/>
      <selection pane="topRight" activeCell="K1" sqref="K1"/>
      <selection pane="bottomLeft" activeCell="A9" sqref="A9"/>
      <selection pane="bottomRight" activeCell="P12" sqref="P12"/>
    </sheetView>
  </sheetViews>
  <sheetFormatPr defaultColWidth="9.1796875" defaultRowHeight="16" customHeight="1" outlineLevelCol="1" x14ac:dyDescent="0.35"/>
  <cols>
    <col min="1" max="1" width="1.7265625" style="1" customWidth="1"/>
    <col min="2" max="2" width="10.7265625" style="1" customWidth="1"/>
    <col min="3" max="3" width="60.7265625" style="1" customWidth="1"/>
    <col min="4" max="4" width="1.54296875" style="1" customWidth="1"/>
    <col min="5" max="5" width="14.7265625" style="1" customWidth="1"/>
    <col min="6" max="6" width="1.54296875" style="1" hidden="1" customWidth="1" outlineLevel="1"/>
    <col min="7" max="7" width="14.7265625" style="1" hidden="1" customWidth="1" outlineLevel="1"/>
    <col min="8" max="8" width="1.54296875" style="1" hidden="1" customWidth="1" outlineLevel="1"/>
    <col min="9" max="9" width="14.7265625" style="1" hidden="1" customWidth="1" outlineLevel="1"/>
    <col min="10" max="10" width="2.7265625" style="1" customWidth="1" collapsed="1"/>
    <col min="11" max="79" width="14.7265625" style="1" customWidth="1"/>
    <col min="80" max="16384" width="9.1796875" style="1"/>
  </cols>
  <sheetData>
    <row r="3" spans="1:59" ht="16" customHeight="1" x14ac:dyDescent="0.35">
      <c r="B3" s="2" t="s">
        <v>1614</v>
      </c>
    </row>
    <row r="4" spans="1:59" ht="16" customHeight="1" x14ac:dyDescent="0.35">
      <c r="B4" s="4" t="s">
        <v>270</v>
      </c>
    </row>
    <row r="5" spans="1:59" ht="16" customHeight="1" x14ac:dyDescent="0.35">
      <c r="B5" s="4" t="s">
        <v>1016</v>
      </c>
    </row>
    <row r="6" spans="1:59" ht="16" customHeight="1" x14ac:dyDescent="0.35">
      <c r="A6" s="5"/>
      <c r="B6" s="4" t="s">
        <v>1615</v>
      </c>
    </row>
    <row r="7" spans="1:59" ht="16" customHeight="1" x14ac:dyDescent="0.35">
      <c r="A7" s="5"/>
      <c r="B7" s="4"/>
    </row>
    <row r="8" spans="1:59" ht="16" customHeight="1" x14ac:dyDescent="0.35">
      <c r="A8" s="5"/>
      <c r="B8" s="56">
        <v>46189.342436585648</v>
      </c>
      <c r="C8" s="56"/>
    </row>
    <row r="9" spans="1:59" ht="91.5" thickBot="1" x14ac:dyDescent="0.5">
      <c r="B9" s="7"/>
      <c r="C9" s="28"/>
      <c r="D9" s="59"/>
      <c r="E9" s="8" t="s">
        <v>1616</v>
      </c>
      <c r="F9" s="59"/>
      <c r="G9" s="8" t="s">
        <v>1617</v>
      </c>
      <c r="H9" s="59"/>
      <c r="I9" s="8" t="s">
        <v>751</v>
      </c>
      <c r="J9" s="59"/>
      <c r="K9" s="8" t="s">
        <v>1618</v>
      </c>
      <c r="L9" s="8" t="s">
        <v>1619</v>
      </c>
      <c r="M9" s="8" t="s">
        <v>1620</v>
      </c>
      <c r="N9" s="8" t="s">
        <v>1621</v>
      </c>
      <c r="O9" s="8" t="s">
        <v>1622</v>
      </c>
      <c r="P9" s="8" t="s">
        <v>1623</v>
      </c>
      <c r="Q9" s="8" t="s">
        <v>1624</v>
      </c>
      <c r="R9" s="8" t="s">
        <v>1625</v>
      </c>
      <c r="S9" s="8" t="s">
        <v>1626</v>
      </c>
      <c r="T9" s="8" t="s">
        <v>1627</v>
      </c>
      <c r="U9" s="8" t="s">
        <v>1628</v>
      </c>
      <c r="V9" s="8" t="s">
        <v>1629</v>
      </c>
      <c r="W9" s="8" t="s">
        <v>1630</v>
      </c>
      <c r="X9" s="8" t="s">
        <v>1631</v>
      </c>
      <c r="Y9" s="8" t="s">
        <v>1632</v>
      </c>
      <c r="Z9" s="8" t="s">
        <v>1633</v>
      </c>
      <c r="AA9" s="8" t="s">
        <v>1634</v>
      </c>
      <c r="AB9" s="8" t="s">
        <v>1635</v>
      </c>
      <c r="AC9" s="8" t="s">
        <v>1636</v>
      </c>
      <c r="AD9" s="8" t="s">
        <v>1637</v>
      </c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97"/>
    </row>
    <row r="10" spans="1:59" ht="26.5" thickBot="1" x14ac:dyDescent="0.5">
      <c r="B10" s="28"/>
      <c r="C10" s="28"/>
      <c r="D10" s="59"/>
      <c r="E10" s="8" t="s">
        <v>1638</v>
      </c>
      <c r="F10" s="59"/>
      <c r="G10" s="8"/>
      <c r="H10" s="59"/>
      <c r="I10" s="8"/>
      <c r="J10" s="59"/>
      <c r="K10" s="8" t="s">
        <v>1639</v>
      </c>
      <c r="L10" s="8" t="s">
        <v>1640</v>
      </c>
      <c r="M10" s="8" t="s">
        <v>1641</v>
      </c>
      <c r="N10" s="8" t="s">
        <v>1642</v>
      </c>
      <c r="O10" s="8" t="s">
        <v>1643</v>
      </c>
      <c r="P10" s="8" t="s">
        <v>1644</v>
      </c>
      <c r="Q10" s="8" t="s">
        <v>1645</v>
      </c>
      <c r="R10" s="8" t="s">
        <v>1646</v>
      </c>
      <c r="S10" s="8" t="s">
        <v>1647</v>
      </c>
      <c r="T10" s="8" t="s">
        <v>1648</v>
      </c>
      <c r="U10" s="8" t="s">
        <v>1649</v>
      </c>
      <c r="V10" s="8" t="s">
        <v>1650</v>
      </c>
      <c r="W10" s="8" t="s">
        <v>1651</v>
      </c>
      <c r="X10" s="8" t="s">
        <v>1652</v>
      </c>
      <c r="Y10" s="8" t="s">
        <v>1653</v>
      </c>
      <c r="Z10" s="8" t="s">
        <v>1654</v>
      </c>
      <c r="AA10" s="8" t="s">
        <v>1655</v>
      </c>
      <c r="AB10" s="8" t="s">
        <v>1656</v>
      </c>
      <c r="AC10" s="8" t="s">
        <v>1657</v>
      </c>
      <c r="AD10" s="8" t="s">
        <v>1658</v>
      </c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97"/>
    </row>
    <row r="11" spans="1:59" ht="16" customHeight="1" x14ac:dyDescent="0.45">
      <c r="B11" s="11"/>
      <c r="C11" s="11"/>
      <c r="D11" s="29"/>
      <c r="E11" s="29"/>
      <c r="F11" s="12"/>
      <c r="G11" s="12"/>
      <c r="H11" s="12"/>
      <c r="I11" s="12"/>
      <c r="J11" s="12"/>
      <c r="K11" s="29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98"/>
      <c r="AX11" s="98"/>
      <c r="AY11" s="98"/>
      <c r="AZ11" s="98"/>
      <c r="BA11" s="98"/>
      <c r="BB11" s="98"/>
      <c r="BC11" s="98"/>
      <c r="BD11" s="98"/>
      <c r="BE11" s="98"/>
      <c r="BF11" s="98"/>
      <c r="BG11" s="98"/>
    </row>
    <row r="12" spans="1:59" ht="16" customHeight="1" x14ac:dyDescent="0.45">
      <c r="B12" s="14" t="s">
        <v>285</v>
      </c>
      <c r="C12" s="14" t="s">
        <v>286</v>
      </c>
      <c r="D12" s="61"/>
      <c r="E12" s="30">
        <v>2829.2055599999999</v>
      </c>
      <c r="F12" s="63"/>
      <c r="G12" s="15">
        <f t="shared" ref="G12:G43" si="0">SUM(K12:AD12)</f>
        <v>2829.2055599999999</v>
      </c>
      <c r="H12" s="63"/>
      <c r="I12" s="15">
        <f t="shared" ref="I12:I75" si="1">E12-G12</f>
        <v>0</v>
      </c>
      <c r="J12" s="63"/>
      <c r="K12" s="15">
        <v>0</v>
      </c>
      <c r="L12" s="15"/>
      <c r="M12" s="15"/>
      <c r="N12" s="15"/>
      <c r="O12" s="15">
        <v>2829.2055599999999</v>
      </c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98"/>
      <c r="AX12" s="98"/>
      <c r="AY12" s="98"/>
      <c r="AZ12" s="98"/>
      <c r="BA12" s="98"/>
      <c r="BB12" s="98"/>
      <c r="BC12" s="98"/>
      <c r="BD12" s="98"/>
      <c r="BE12" s="98"/>
      <c r="BF12" s="98"/>
      <c r="BG12" s="98"/>
    </row>
    <row r="13" spans="1:59" ht="16" customHeight="1" x14ac:dyDescent="0.45">
      <c r="B13" s="14" t="s">
        <v>287</v>
      </c>
      <c r="C13" s="14" t="s">
        <v>288</v>
      </c>
      <c r="D13" s="61"/>
      <c r="E13" s="30"/>
      <c r="F13" s="63"/>
      <c r="G13" s="15">
        <f t="shared" si="0"/>
        <v>0</v>
      </c>
      <c r="H13" s="63"/>
      <c r="I13" s="15">
        <f t="shared" si="1"/>
        <v>0</v>
      </c>
      <c r="J13" s="63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98"/>
      <c r="AX13" s="98"/>
      <c r="AY13" s="98"/>
      <c r="AZ13" s="98"/>
      <c r="BA13" s="98"/>
      <c r="BB13" s="98"/>
      <c r="BC13" s="98"/>
      <c r="BD13" s="98"/>
      <c r="BE13" s="98"/>
      <c r="BF13" s="98"/>
      <c r="BG13" s="98"/>
    </row>
    <row r="14" spans="1:59" ht="16" customHeight="1" x14ac:dyDescent="0.45">
      <c r="B14" s="14" t="s">
        <v>291</v>
      </c>
      <c r="C14" s="14" t="s">
        <v>292</v>
      </c>
      <c r="D14" s="61"/>
      <c r="E14" s="30"/>
      <c r="F14" s="63"/>
      <c r="G14" s="15">
        <f t="shared" si="0"/>
        <v>0</v>
      </c>
      <c r="H14" s="63"/>
      <c r="I14" s="15">
        <f t="shared" si="1"/>
        <v>0</v>
      </c>
      <c r="J14" s="63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98"/>
      <c r="AX14" s="98"/>
      <c r="AY14" s="98"/>
      <c r="AZ14" s="98"/>
      <c r="BA14" s="98"/>
      <c r="BB14" s="98"/>
      <c r="BC14" s="98"/>
      <c r="BD14" s="98"/>
      <c r="BE14" s="98"/>
      <c r="BF14" s="98"/>
      <c r="BG14" s="98"/>
    </row>
    <row r="15" spans="1:59" ht="16" customHeight="1" x14ac:dyDescent="0.45">
      <c r="B15" s="14" t="s">
        <v>1248</v>
      </c>
      <c r="C15" s="14" t="s">
        <v>1249</v>
      </c>
      <c r="D15" s="61"/>
      <c r="E15" s="30"/>
      <c r="F15" s="63"/>
      <c r="G15" s="15">
        <f t="shared" si="0"/>
        <v>0</v>
      </c>
      <c r="H15" s="63"/>
      <c r="I15" s="15">
        <f t="shared" si="1"/>
        <v>0</v>
      </c>
      <c r="J15" s="63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98"/>
      <c r="AX15" s="98"/>
      <c r="AY15" s="98"/>
      <c r="AZ15" s="98"/>
      <c r="BA15" s="98"/>
      <c r="BB15" s="98"/>
      <c r="BC15" s="98"/>
      <c r="BD15" s="98"/>
      <c r="BE15" s="98"/>
      <c r="BF15" s="98"/>
      <c r="BG15" s="98"/>
    </row>
    <row r="16" spans="1:59" ht="16" customHeight="1" x14ac:dyDescent="0.45">
      <c r="B16" s="14" t="s">
        <v>1250</v>
      </c>
      <c r="C16" s="14" t="s">
        <v>1251</v>
      </c>
      <c r="D16" s="61"/>
      <c r="E16" s="30"/>
      <c r="F16" s="63"/>
      <c r="G16" s="15">
        <f t="shared" si="0"/>
        <v>0</v>
      </c>
      <c r="H16" s="63"/>
      <c r="I16" s="15">
        <f t="shared" si="1"/>
        <v>0</v>
      </c>
      <c r="J16" s="63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</row>
    <row r="17" spans="2:48" ht="16" customHeight="1" x14ac:dyDescent="0.45">
      <c r="B17" s="14" t="s">
        <v>298</v>
      </c>
      <c r="C17" s="14" t="s">
        <v>299</v>
      </c>
      <c r="D17" s="61"/>
      <c r="E17" s="30">
        <v>1826177.92937</v>
      </c>
      <c r="F17" s="63"/>
      <c r="G17" s="15">
        <f t="shared" si="0"/>
        <v>1826177.92937</v>
      </c>
      <c r="H17" s="63"/>
      <c r="I17" s="15">
        <f t="shared" si="1"/>
        <v>0</v>
      </c>
      <c r="J17" s="63"/>
      <c r="K17" s="15">
        <v>1757477.92937</v>
      </c>
      <c r="L17" s="15"/>
      <c r="M17" s="15"/>
      <c r="N17" s="15"/>
      <c r="O17" s="15">
        <v>68700</v>
      </c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</row>
    <row r="18" spans="2:48" ht="16" customHeight="1" x14ac:dyDescent="0.45">
      <c r="B18" s="14" t="s">
        <v>1252</v>
      </c>
      <c r="C18" s="14" t="s">
        <v>1659</v>
      </c>
      <c r="D18" s="61"/>
      <c r="E18" s="30"/>
      <c r="F18" s="63"/>
      <c r="G18" s="15">
        <f t="shared" si="0"/>
        <v>0</v>
      </c>
      <c r="H18" s="63"/>
      <c r="I18" s="15">
        <f t="shared" si="1"/>
        <v>0</v>
      </c>
      <c r="J18" s="63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</row>
    <row r="19" spans="2:48" ht="16" customHeight="1" x14ac:dyDescent="0.45">
      <c r="B19" s="14" t="s">
        <v>1254</v>
      </c>
      <c r="C19" s="14" t="s">
        <v>1660</v>
      </c>
      <c r="D19" s="61"/>
      <c r="E19" s="30"/>
      <c r="F19" s="63"/>
      <c r="G19" s="15">
        <f t="shared" si="0"/>
        <v>0</v>
      </c>
      <c r="H19" s="63"/>
      <c r="I19" s="15">
        <f t="shared" si="1"/>
        <v>0</v>
      </c>
      <c r="J19" s="63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</row>
    <row r="20" spans="2:48" ht="16" customHeight="1" x14ac:dyDescent="0.35">
      <c r="B20" s="14" t="s">
        <v>1256</v>
      </c>
      <c r="C20" s="14" t="s">
        <v>1661</v>
      </c>
      <c r="D20" s="61"/>
      <c r="E20" s="30"/>
      <c r="F20" s="63"/>
      <c r="G20" s="15">
        <f t="shared" si="0"/>
        <v>0</v>
      </c>
      <c r="H20" s="63"/>
      <c r="I20" s="15">
        <f t="shared" si="1"/>
        <v>0</v>
      </c>
      <c r="J20" s="63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</row>
    <row r="21" spans="2:48" ht="16" customHeight="1" x14ac:dyDescent="0.35">
      <c r="B21" s="14" t="s">
        <v>1258</v>
      </c>
      <c r="C21" s="14" t="s">
        <v>1662</v>
      </c>
      <c r="D21" s="61"/>
      <c r="E21" s="30"/>
      <c r="F21" s="63"/>
      <c r="G21" s="15">
        <f t="shared" si="0"/>
        <v>0</v>
      </c>
      <c r="H21" s="63"/>
      <c r="I21" s="15">
        <f t="shared" si="1"/>
        <v>0</v>
      </c>
      <c r="J21" s="63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</row>
    <row r="22" spans="2:48" ht="16" customHeight="1" x14ac:dyDescent="0.35">
      <c r="B22" s="14" t="s">
        <v>311</v>
      </c>
      <c r="C22" s="14" t="s">
        <v>312</v>
      </c>
      <c r="D22" s="61"/>
      <c r="E22" s="30">
        <v>2951.72606</v>
      </c>
      <c r="F22" s="63"/>
      <c r="G22" s="15">
        <f t="shared" si="0"/>
        <v>2951.72606</v>
      </c>
      <c r="H22" s="63"/>
      <c r="I22" s="15">
        <f t="shared" si="1"/>
        <v>0</v>
      </c>
      <c r="J22" s="63"/>
      <c r="K22" s="15">
        <v>2951.72606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>
        <v>0</v>
      </c>
      <c r="AB22" s="15"/>
      <c r="AC22" s="15"/>
      <c r="AD22" s="15"/>
    </row>
    <row r="23" spans="2:48" ht="16" customHeight="1" x14ac:dyDescent="0.35">
      <c r="B23" s="14" t="s">
        <v>304</v>
      </c>
      <c r="C23" s="14" t="s">
        <v>1260</v>
      </c>
      <c r="D23" s="61"/>
      <c r="E23" s="30"/>
      <c r="F23" s="63"/>
      <c r="G23" s="15">
        <f t="shared" si="0"/>
        <v>0</v>
      </c>
      <c r="H23" s="63"/>
      <c r="I23" s="15">
        <f t="shared" si="1"/>
        <v>0</v>
      </c>
      <c r="J23" s="63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</row>
    <row r="24" spans="2:48" ht="16" customHeight="1" x14ac:dyDescent="0.35">
      <c r="B24" s="14" t="s">
        <v>306</v>
      </c>
      <c r="C24" s="14" t="s">
        <v>1261</v>
      </c>
      <c r="D24" s="61"/>
      <c r="E24" s="30"/>
      <c r="F24" s="63"/>
      <c r="G24" s="15">
        <f t="shared" si="0"/>
        <v>0</v>
      </c>
      <c r="H24" s="63"/>
      <c r="I24" s="15">
        <f t="shared" si="1"/>
        <v>0</v>
      </c>
      <c r="J24" s="63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</row>
    <row r="25" spans="2:48" ht="16" customHeight="1" x14ac:dyDescent="0.35">
      <c r="B25" s="14" t="s">
        <v>314</v>
      </c>
      <c r="C25" s="14" t="s">
        <v>1262</v>
      </c>
      <c r="D25" s="61"/>
      <c r="E25" s="30">
        <v>28358.191350000001</v>
      </c>
      <c r="F25" s="63"/>
      <c r="G25" s="15">
        <f t="shared" si="0"/>
        <v>28358.191350000001</v>
      </c>
      <c r="H25" s="63"/>
      <c r="I25" s="15">
        <f t="shared" si="1"/>
        <v>0</v>
      </c>
      <c r="J25" s="63"/>
      <c r="K25" s="15">
        <v>27601.32934</v>
      </c>
      <c r="L25" s="15"/>
      <c r="M25" s="15"/>
      <c r="N25" s="15"/>
      <c r="O25" s="15">
        <v>756.86201000000005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>
        <v>0</v>
      </c>
      <c r="AA25" s="15">
        <v>0</v>
      </c>
      <c r="AB25" s="15"/>
      <c r="AC25" s="15"/>
      <c r="AD25" s="15"/>
    </row>
    <row r="26" spans="2:48" ht="16" customHeight="1" x14ac:dyDescent="0.35">
      <c r="B26" s="14" t="s">
        <v>343</v>
      </c>
      <c r="C26" s="14" t="s">
        <v>1267</v>
      </c>
      <c r="D26" s="61"/>
      <c r="E26" s="30">
        <v>74889.687460000001</v>
      </c>
      <c r="F26" s="63"/>
      <c r="G26" s="15">
        <f t="shared" si="0"/>
        <v>74889.685469999997</v>
      </c>
      <c r="H26" s="63"/>
      <c r="I26" s="15">
        <f t="shared" si="1"/>
        <v>1.9900000042980537E-3</v>
      </c>
      <c r="J26" s="63"/>
      <c r="K26" s="15">
        <v>73355.844519999999</v>
      </c>
      <c r="L26" s="15"/>
      <c r="M26" s="15"/>
      <c r="N26" s="15"/>
      <c r="O26" s="15">
        <v>1533.94406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>
        <v>-0.10127</v>
      </c>
      <c r="AB26" s="15"/>
      <c r="AC26" s="15"/>
      <c r="AD26" s="15">
        <v>-1.8400000000000001E-3</v>
      </c>
    </row>
    <row r="27" spans="2:48" ht="16" customHeight="1" x14ac:dyDescent="0.35">
      <c r="B27" s="14" t="s">
        <v>316</v>
      </c>
      <c r="C27" s="14" t="s">
        <v>1263</v>
      </c>
      <c r="D27" s="61"/>
      <c r="E27" s="30"/>
      <c r="F27" s="63"/>
      <c r="G27" s="15">
        <f t="shared" si="0"/>
        <v>0</v>
      </c>
      <c r="H27" s="63"/>
      <c r="I27" s="15">
        <f t="shared" si="1"/>
        <v>0</v>
      </c>
      <c r="J27" s="63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</row>
    <row r="28" spans="2:48" ht="16" customHeight="1" x14ac:dyDescent="0.35">
      <c r="B28" s="14" t="s">
        <v>320</v>
      </c>
      <c r="C28" s="14" t="s">
        <v>1264</v>
      </c>
      <c r="D28" s="61"/>
      <c r="E28" s="30"/>
      <c r="F28" s="63"/>
      <c r="G28" s="15">
        <f t="shared" si="0"/>
        <v>0</v>
      </c>
      <c r="H28" s="63"/>
      <c r="I28" s="15">
        <f t="shared" si="1"/>
        <v>0</v>
      </c>
      <c r="J28" s="63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</row>
    <row r="29" spans="2:48" ht="16" customHeight="1" x14ac:dyDescent="0.35">
      <c r="B29" s="14" t="s">
        <v>322</v>
      </c>
      <c r="C29" s="14" t="s">
        <v>1265</v>
      </c>
      <c r="D29" s="61"/>
      <c r="E29" s="30">
        <v>-5328.4569000000001</v>
      </c>
      <c r="F29" s="63"/>
      <c r="G29" s="15">
        <f t="shared" si="0"/>
        <v>-5328.4569000000001</v>
      </c>
      <c r="H29" s="63"/>
      <c r="I29" s="15">
        <f t="shared" si="1"/>
        <v>0</v>
      </c>
      <c r="J29" s="63"/>
      <c r="K29" s="15">
        <v>-5301.47721</v>
      </c>
      <c r="L29" s="15"/>
      <c r="M29" s="15"/>
      <c r="N29" s="15"/>
      <c r="O29" s="15"/>
      <c r="P29" s="15"/>
      <c r="Q29" s="15"/>
      <c r="R29" s="15"/>
      <c r="S29" s="15"/>
      <c r="T29" s="15">
        <v>-28.119230000000002</v>
      </c>
      <c r="U29" s="15"/>
      <c r="V29" s="15"/>
      <c r="W29" s="15"/>
      <c r="X29" s="15"/>
      <c r="Y29" s="15"/>
      <c r="Z29" s="15"/>
      <c r="AA29" s="15">
        <v>0</v>
      </c>
      <c r="AB29" s="15"/>
      <c r="AC29" s="15"/>
      <c r="AD29" s="15">
        <v>1.13954</v>
      </c>
    </row>
    <row r="30" spans="2:48" ht="16" customHeight="1" x14ac:dyDescent="0.35">
      <c r="B30" s="14" t="s">
        <v>345</v>
      </c>
      <c r="C30" s="14" t="s">
        <v>1268</v>
      </c>
      <c r="D30" s="61"/>
      <c r="E30" s="30"/>
      <c r="F30" s="63"/>
      <c r="G30" s="15">
        <f t="shared" si="0"/>
        <v>0</v>
      </c>
      <c r="H30" s="63"/>
      <c r="I30" s="15">
        <f t="shared" si="1"/>
        <v>0</v>
      </c>
      <c r="J30" s="63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</row>
    <row r="31" spans="2:48" ht="16" customHeight="1" x14ac:dyDescent="0.35">
      <c r="B31" s="14" t="s">
        <v>347</v>
      </c>
      <c r="C31" s="14" t="s">
        <v>1269</v>
      </c>
      <c r="D31" s="61"/>
      <c r="E31" s="30">
        <v>14026.896290000001</v>
      </c>
      <c r="F31" s="63"/>
      <c r="G31" s="15">
        <f t="shared" si="0"/>
        <v>14026.896290000001</v>
      </c>
      <c r="H31" s="63"/>
      <c r="I31" s="15">
        <f t="shared" si="1"/>
        <v>0</v>
      </c>
      <c r="J31" s="63"/>
      <c r="K31" s="15">
        <v>10841.301020000001</v>
      </c>
      <c r="L31" s="15"/>
      <c r="M31" s="15"/>
      <c r="N31" s="15"/>
      <c r="O31" s="15">
        <v>3185.6074800000001</v>
      </c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>
        <v>-1.221E-2</v>
      </c>
    </row>
    <row r="32" spans="2:48" ht="16" customHeight="1" x14ac:dyDescent="0.35">
      <c r="B32" s="14" t="s">
        <v>349</v>
      </c>
      <c r="C32" s="14" t="s">
        <v>1270</v>
      </c>
      <c r="D32" s="61"/>
      <c r="E32" s="30"/>
      <c r="F32" s="63"/>
      <c r="G32" s="15">
        <f t="shared" si="0"/>
        <v>0</v>
      </c>
      <c r="H32" s="63"/>
      <c r="I32" s="15">
        <f t="shared" si="1"/>
        <v>0</v>
      </c>
      <c r="J32" s="63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</row>
    <row r="33" spans="2:30" ht="16" customHeight="1" x14ac:dyDescent="0.35">
      <c r="B33" s="14" t="s">
        <v>351</v>
      </c>
      <c r="C33" s="14" t="s">
        <v>1271</v>
      </c>
      <c r="D33" s="61"/>
      <c r="E33" s="30"/>
      <c r="F33" s="63"/>
      <c r="G33" s="15">
        <f t="shared" si="0"/>
        <v>0</v>
      </c>
      <c r="H33" s="63"/>
      <c r="I33" s="15">
        <f t="shared" si="1"/>
        <v>0</v>
      </c>
      <c r="J33" s="63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</row>
    <row r="34" spans="2:30" ht="16" customHeight="1" x14ac:dyDescent="0.35">
      <c r="B34" s="14" t="s">
        <v>318</v>
      </c>
      <c r="C34" s="14" t="s">
        <v>1266</v>
      </c>
      <c r="D34" s="61"/>
      <c r="E34" s="30">
        <v>433358.47532999999</v>
      </c>
      <c r="F34" s="63"/>
      <c r="G34" s="15">
        <f t="shared" si="0"/>
        <v>433358.47531999997</v>
      </c>
      <c r="H34" s="63"/>
      <c r="I34" s="15">
        <f t="shared" si="1"/>
        <v>1.0000017937272787E-5</v>
      </c>
      <c r="J34" s="63"/>
      <c r="K34" s="15">
        <v>427871.95568999997</v>
      </c>
      <c r="L34" s="15"/>
      <c r="M34" s="15"/>
      <c r="N34" s="15"/>
      <c r="O34" s="15">
        <v>5506.5211799999997</v>
      </c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>
        <v>3.5291800000000002</v>
      </c>
      <c r="AB34" s="15"/>
      <c r="AC34" s="15"/>
      <c r="AD34" s="15">
        <v>-23.530729999999998</v>
      </c>
    </row>
    <row r="35" spans="2:30" ht="16" customHeight="1" x14ac:dyDescent="0.35">
      <c r="B35" s="14" t="s">
        <v>324</v>
      </c>
      <c r="C35" s="14" t="s">
        <v>325</v>
      </c>
      <c r="D35" s="61"/>
      <c r="E35" s="30">
        <v>555.31349999999998</v>
      </c>
      <c r="F35" s="63"/>
      <c r="G35" s="15">
        <f t="shared" si="0"/>
        <v>555.31349999999998</v>
      </c>
      <c r="H35" s="63"/>
      <c r="I35" s="15">
        <f t="shared" si="1"/>
        <v>0</v>
      </c>
      <c r="J35" s="63"/>
      <c r="K35" s="15">
        <v>0</v>
      </c>
      <c r="L35" s="15"/>
      <c r="M35" s="15"/>
      <c r="N35" s="15"/>
      <c r="O35" s="15">
        <v>555.31349999999998</v>
      </c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</row>
    <row r="36" spans="2:30" ht="16" customHeight="1" x14ac:dyDescent="0.35">
      <c r="B36" s="14" t="s">
        <v>329</v>
      </c>
      <c r="C36" s="14" t="s">
        <v>330</v>
      </c>
      <c r="D36" s="61"/>
      <c r="E36" s="30">
        <v>71864.971239999999</v>
      </c>
      <c r="F36" s="63"/>
      <c r="G36" s="15">
        <f t="shared" si="0"/>
        <v>71864.971239999999</v>
      </c>
      <c r="H36" s="63"/>
      <c r="I36" s="15">
        <f t="shared" si="1"/>
        <v>0</v>
      </c>
      <c r="J36" s="63"/>
      <c r="K36" s="15">
        <v>75212.609370000006</v>
      </c>
      <c r="L36" s="15"/>
      <c r="M36" s="15"/>
      <c r="N36" s="15"/>
      <c r="O36" s="15">
        <v>-3340.2377200000001</v>
      </c>
      <c r="P36" s="15"/>
      <c r="Q36" s="15"/>
      <c r="R36" s="15"/>
      <c r="S36" s="15"/>
      <c r="T36" s="15"/>
      <c r="U36" s="15"/>
      <c r="V36" s="15"/>
      <c r="W36" s="15"/>
      <c r="X36" s="15">
        <v>-7.4004099999999999</v>
      </c>
      <c r="Y36" s="15"/>
      <c r="Z36" s="15"/>
      <c r="AA36" s="15"/>
      <c r="AB36" s="15"/>
      <c r="AC36" s="15"/>
      <c r="AD36" s="15"/>
    </row>
    <row r="37" spans="2:30" ht="16" customHeight="1" x14ac:dyDescent="0.35">
      <c r="B37" s="14" t="s">
        <v>333</v>
      </c>
      <c r="C37" s="14" t="s">
        <v>1663</v>
      </c>
      <c r="D37" s="61"/>
      <c r="E37" s="30">
        <v>269889.33257999999</v>
      </c>
      <c r="F37" s="63"/>
      <c r="G37" s="15">
        <f t="shared" si="0"/>
        <v>269889.33257999999</v>
      </c>
      <c r="H37" s="63"/>
      <c r="I37" s="15">
        <f t="shared" si="1"/>
        <v>0</v>
      </c>
      <c r="J37" s="63"/>
      <c r="K37" s="15">
        <v>257439.18703999999</v>
      </c>
      <c r="L37" s="15"/>
      <c r="M37" s="15"/>
      <c r="N37" s="15"/>
      <c r="O37" s="15">
        <v>11854.937180000001</v>
      </c>
      <c r="P37" s="15"/>
      <c r="Q37" s="15"/>
      <c r="R37" s="15"/>
      <c r="S37" s="15"/>
      <c r="T37" s="15"/>
      <c r="U37" s="15"/>
      <c r="V37" s="15"/>
      <c r="W37" s="15"/>
      <c r="X37" s="15">
        <v>-26.396709999999999</v>
      </c>
      <c r="Y37" s="15"/>
      <c r="Z37" s="15"/>
      <c r="AA37" s="15">
        <v>621.60506999999996</v>
      </c>
      <c r="AB37" s="15"/>
      <c r="AC37" s="15"/>
      <c r="AD37" s="15"/>
    </row>
    <row r="38" spans="2:30" ht="16" customHeight="1" x14ac:dyDescent="0.35">
      <c r="B38" s="14" t="s">
        <v>331</v>
      </c>
      <c r="C38" s="14" t="s">
        <v>332</v>
      </c>
      <c r="D38" s="61"/>
      <c r="E38" s="30"/>
      <c r="F38" s="63"/>
      <c r="G38" s="15">
        <f t="shared" si="0"/>
        <v>0</v>
      </c>
      <c r="H38" s="63"/>
      <c r="I38" s="15">
        <f t="shared" si="1"/>
        <v>0</v>
      </c>
      <c r="J38" s="63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</row>
    <row r="39" spans="2:30" ht="16" customHeight="1" x14ac:dyDescent="0.35">
      <c r="B39" s="14" t="s">
        <v>335</v>
      </c>
      <c r="C39" s="14" t="s">
        <v>336</v>
      </c>
      <c r="D39" s="61"/>
      <c r="E39" s="30">
        <v>22271.24958</v>
      </c>
      <c r="F39" s="63"/>
      <c r="G39" s="15">
        <f t="shared" si="0"/>
        <v>22271.24958</v>
      </c>
      <c r="H39" s="63"/>
      <c r="I39" s="15">
        <f t="shared" si="1"/>
        <v>0</v>
      </c>
      <c r="J39" s="63"/>
      <c r="K39" s="15">
        <v>20196.444579999999</v>
      </c>
      <c r="L39" s="15"/>
      <c r="M39" s="15"/>
      <c r="N39" s="15"/>
      <c r="O39" s="15">
        <v>2074.8049999999998</v>
      </c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</row>
    <row r="40" spans="2:30" ht="16" customHeight="1" x14ac:dyDescent="0.35">
      <c r="B40" s="14" t="s">
        <v>337</v>
      </c>
      <c r="C40" s="14" t="s">
        <v>338</v>
      </c>
      <c r="D40" s="61"/>
      <c r="E40" s="30">
        <v>153565.52843999999</v>
      </c>
      <c r="F40" s="63"/>
      <c r="G40" s="15">
        <f t="shared" si="0"/>
        <v>153565.52843999999</v>
      </c>
      <c r="H40" s="63"/>
      <c r="I40" s="15">
        <f t="shared" si="1"/>
        <v>0</v>
      </c>
      <c r="J40" s="63"/>
      <c r="K40" s="15">
        <v>154141.03374000001</v>
      </c>
      <c r="L40" s="15"/>
      <c r="M40" s="15"/>
      <c r="N40" s="15"/>
      <c r="O40" s="15">
        <v>652.83774000000005</v>
      </c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>
        <v>-1228.34304</v>
      </c>
      <c r="AB40" s="15"/>
      <c r="AC40" s="15"/>
      <c r="AD40" s="15"/>
    </row>
    <row r="41" spans="2:30" ht="16" customHeight="1" x14ac:dyDescent="0.35">
      <c r="B41" s="14" t="s">
        <v>339</v>
      </c>
      <c r="C41" s="14" t="s">
        <v>340</v>
      </c>
      <c r="D41" s="61"/>
      <c r="E41" s="30"/>
      <c r="F41" s="63"/>
      <c r="G41" s="15">
        <f t="shared" si="0"/>
        <v>0</v>
      </c>
      <c r="H41" s="63"/>
      <c r="I41" s="15">
        <f t="shared" si="1"/>
        <v>0</v>
      </c>
      <c r="J41" s="63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</row>
    <row r="42" spans="2:30" ht="16" customHeight="1" x14ac:dyDescent="0.35">
      <c r="B42" s="14" t="s">
        <v>1272</v>
      </c>
      <c r="C42" s="14" t="s">
        <v>1273</v>
      </c>
      <c r="D42" s="61"/>
      <c r="E42" s="30"/>
      <c r="F42" s="63"/>
      <c r="G42" s="15">
        <f t="shared" si="0"/>
        <v>0</v>
      </c>
      <c r="H42" s="63"/>
      <c r="I42" s="15">
        <f t="shared" si="1"/>
        <v>0</v>
      </c>
      <c r="J42" s="63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</row>
    <row r="43" spans="2:30" ht="16" customHeight="1" x14ac:dyDescent="0.35">
      <c r="B43" s="14" t="s">
        <v>1274</v>
      </c>
      <c r="C43" s="14" t="s">
        <v>1275</v>
      </c>
      <c r="D43" s="61"/>
      <c r="E43" s="30"/>
      <c r="F43" s="63"/>
      <c r="G43" s="15">
        <f t="shared" si="0"/>
        <v>0</v>
      </c>
      <c r="H43" s="63"/>
      <c r="I43" s="15">
        <f t="shared" si="1"/>
        <v>0</v>
      </c>
      <c r="J43" s="63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</row>
    <row r="44" spans="2:30" ht="16" customHeight="1" x14ac:dyDescent="0.35">
      <c r="B44" s="14" t="s">
        <v>1276</v>
      </c>
      <c r="C44" s="14" t="s">
        <v>1277</v>
      </c>
      <c r="D44" s="61"/>
      <c r="E44" s="30"/>
      <c r="F44" s="63"/>
      <c r="G44" s="15">
        <f t="shared" ref="G44:G107" si="2">SUM(K44:AD44)</f>
        <v>0</v>
      </c>
      <c r="H44" s="63"/>
      <c r="I44" s="15">
        <f t="shared" si="1"/>
        <v>0</v>
      </c>
      <c r="J44" s="63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</row>
    <row r="45" spans="2:30" ht="16" customHeight="1" x14ac:dyDescent="0.35">
      <c r="B45" s="14" t="s">
        <v>1278</v>
      </c>
      <c r="C45" s="14" t="s">
        <v>1279</v>
      </c>
      <c r="D45" s="61"/>
      <c r="E45" s="30"/>
      <c r="F45" s="63"/>
      <c r="G45" s="15">
        <f t="shared" si="2"/>
        <v>0</v>
      </c>
      <c r="H45" s="63"/>
      <c r="I45" s="15">
        <f t="shared" si="1"/>
        <v>0</v>
      </c>
      <c r="J45" s="63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</row>
    <row r="46" spans="2:30" ht="16" customHeight="1" x14ac:dyDescent="0.35">
      <c r="B46" s="14" t="s">
        <v>1280</v>
      </c>
      <c r="C46" s="14" t="s">
        <v>1281</v>
      </c>
      <c r="D46" s="61"/>
      <c r="E46" s="30"/>
      <c r="F46" s="63"/>
      <c r="G46" s="15">
        <f t="shared" si="2"/>
        <v>0</v>
      </c>
      <c r="H46" s="63"/>
      <c r="I46" s="15">
        <f t="shared" si="1"/>
        <v>0</v>
      </c>
      <c r="J46" s="63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</row>
    <row r="47" spans="2:30" ht="16" customHeight="1" x14ac:dyDescent="0.35">
      <c r="B47" s="14" t="s">
        <v>1282</v>
      </c>
      <c r="C47" s="14" t="s">
        <v>1283</v>
      </c>
      <c r="D47" s="61"/>
      <c r="E47" s="30"/>
      <c r="F47" s="63"/>
      <c r="G47" s="15">
        <f t="shared" si="2"/>
        <v>0</v>
      </c>
      <c r="H47" s="63"/>
      <c r="I47" s="15">
        <f t="shared" si="1"/>
        <v>0</v>
      </c>
      <c r="J47" s="63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</row>
    <row r="48" spans="2:30" ht="16" customHeight="1" x14ac:dyDescent="0.35">
      <c r="B48" s="14" t="s">
        <v>359</v>
      </c>
      <c r="C48" s="14" t="s">
        <v>1664</v>
      </c>
      <c r="D48" s="61"/>
      <c r="E48" s="30">
        <v>39556.490230000003</v>
      </c>
      <c r="F48" s="63"/>
      <c r="G48" s="15">
        <f t="shared" si="2"/>
        <v>39556.490230000003</v>
      </c>
      <c r="H48" s="63"/>
      <c r="I48" s="15">
        <f t="shared" si="1"/>
        <v>0</v>
      </c>
      <c r="J48" s="63"/>
      <c r="K48" s="15">
        <v>48409.434150000001</v>
      </c>
      <c r="L48" s="15"/>
      <c r="M48" s="15"/>
      <c r="N48" s="15"/>
      <c r="O48" s="15">
        <v>-8852.9439199999997</v>
      </c>
      <c r="P48" s="15"/>
      <c r="Q48" s="15"/>
      <c r="R48" s="15"/>
      <c r="S48" s="15"/>
      <c r="T48" s="15"/>
      <c r="U48" s="15"/>
      <c r="V48" s="15"/>
      <c r="W48" s="15"/>
      <c r="X48" s="15"/>
      <c r="Y48" s="15">
        <v>0</v>
      </c>
      <c r="Z48" s="15">
        <v>0</v>
      </c>
      <c r="AA48" s="15"/>
      <c r="AB48" s="15"/>
      <c r="AC48" s="15"/>
      <c r="AD48" s="15"/>
    </row>
    <row r="49" spans="2:30" ht="16" customHeight="1" x14ac:dyDescent="0.35">
      <c r="B49" s="14" t="s">
        <v>1284</v>
      </c>
      <c r="C49" s="14" t="s">
        <v>1285</v>
      </c>
      <c r="D49" s="61"/>
      <c r="E49" s="30"/>
      <c r="F49" s="63"/>
      <c r="G49" s="15">
        <f t="shared" si="2"/>
        <v>0</v>
      </c>
      <c r="H49" s="63"/>
      <c r="I49" s="15">
        <f t="shared" si="1"/>
        <v>0</v>
      </c>
      <c r="J49" s="63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</row>
    <row r="50" spans="2:30" ht="16" customHeight="1" x14ac:dyDescent="0.35">
      <c r="B50" s="14" t="s">
        <v>1286</v>
      </c>
      <c r="C50" s="14" t="s">
        <v>1287</v>
      </c>
      <c r="D50" s="61"/>
      <c r="E50" s="30"/>
      <c r="F50" s="63"/>
      <c r="G50" s="15">
        <f t="shared" si="2"/>
        <v>0</v>
      </c>
      <c r="H50" s="63"/>
      <c r="I50" s="15">
        <f t="shared" si="1"/>
        <v>0</v>
      </c>
      <c r="J50" s="63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</row>
    <row r="51" spans="2:30" ht="16" customHeight="1" x14ac:dyDescent="0.35">
      <c r="B51" s="14" t="s">
        <v>1288</v>
      </c>
      <c r="C51" s="14" t="s">
        <v>1289</v>
      </c>
      <c r="D51" s="61"/>
      <c r="E51" s="30"/>
      <c r="F51" s="63"/>
      <c r="G51" s="15">
        <f t="shared" si="2"/>
        <v>0</v>
      </c>
      <c r="H51" s="63"/>
      <c r="I51" s="15">
        <f t="shared" si="1"/>
        <v>0</v>
      </c>
      <c r="J51" s="63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</row>
    <row r="52" spans="2:30" ht="16" customHeight="1" x14ac:dyDescent="0.35">
      <c r="B52" s="14" t="s">
        <v>1290</v>
      </c>
      <c r="C52" s="14" t="s">
        <v>1291</v>
      </c>
      <c r="D52" s="61"/>
      <c r="E52" s="30"/>
      <c r="F52" s="63"/>
      <c r="G52" s="15">
        <f t="shared" si="2"/>
        <v>0</v>
      </c>
      <c r="H52" s="63"/>
      <c r="I52" s="15">
        <f t="shared" si="1"/>
        <v>0</v>
      </c>
      <c r="J52" s="63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</row>
    <row r="53" spans="2:30" ht="16" customHeight="1" x14ac:dyDescent="0.35">
      <c r="B53" s="14" t="s">
        <v>1292</v>
      </c>
      <c r="C53" s="14" t="s">
        <v>1293</v>
      </c>
      <c r="D53" s="61"/>
      <c r="E53" s="30"/>
      <c r="F53" s="63"/>
      <c r="G53" s="15">
        <f t="shared" si="2"/>
        <v>0</v>
      </c>
      <c r="H53" s="63"/>
      <c r="I53" s="15">
        <f t="shared" si="1"/>
        <v>0</v>
      </c>
      <c r="J53" s="63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</row>
    <row r="54" spans="2:30" ht="16" customHeight="1" x14ac:dyDescent="0.35">
      <c r="B54" s="14" t="s">
        <v>1294</v>
      </c>
      <c r="C54" s="14" t="s">
        <v>1295</v>
      </c>
      <c r="D54" s="61"/>
      <c r="E54" s="30"/>
      <c r="F54" s="63"/>
      <c r="G54" s="15">
        <f t="shared" si="2"/>
        <v>0</v>
      </c>
      <c r="H54" s="63"/>
      <c r="I54" s="15">
        <f t="shared" si="1"/>
        <v>0</v>
      </c>
      <c r="J54" s="63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</row>
    <row r="55" spans="2:30" ht="16" customHeight="1" x14ac:dyDescent="0.35">
      <c r="B55" s="14" t="s">
        <v>1296</v>
      </c>
      <c r="C55" s="14" t="s">
        <v>1297</v>
      </c>
      <c r="D55" s="61"/>
      <c r="E55" s="30"/>
      <c r="F55" s="63"/>
      <c r="G55" s="15">
        <f t="shared" si="2"/>
        <v>0</v>
      </c>
      <c r="H55" s="63"/>
      <c r="I55" s="15">
        <f t="shared" si="1"/>
        <v>0</v>
      </c>
      <c r="J55" s="63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</row>
    <row r="56" spans="2:30" ht="16" customHeight="1" x14ac:dyDescent="0.35">
      <c r="B56" s="14" t="s">
        <v>361</v>
      </c>
      <c r="C56" s="14" t="s">
        <v>1298</v>
      </c>
      <c r="D56" s="61"/>
      <c r="E56" s="30">
        <v>102881.78434</v>
      </c>
      <c r="F56" s="63"/>
      <c r="G56" s="15">
        <f t="shared" si="2"/>
        <v>102881.78434</v>
      </c>
      <c r="H56" s="63"/>
      <c r="I56" s="15">
        <f t="shared" si="1"/>
        <v>0</v>
      </c>
      <c r="J56" s="63"/>
      <c r="K56" s="15">
        <v>100666.12602</v>
      </c>
      <c r="L56" s="15"/>
      <c r="M56" s="15"/>
      <c r="N56" s="15"/>
      <c r="O56" s="15">
        <v>2215.65832</v>
      </c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</row>
    <row r="57" spans="2:30" ht="16" customHeight="1" x14ac:dyDescent="0.35">
      <c r="B57" s="14" t="s">
        <v>368</v>
      </c>
      <c r="C57" s="14" t="s">
        <v>1665</v>
      </c>
      <c r="D57" s="61"/>
      <c r="E57" s="30"/>
      <c r="F57" s="63"/>
      <c r="G57" s="15">
        <f t="shared" si="2"/>
        <v>0</v>
      </c>
      <c r="H57" s="63"/>
      <c r="I57" s="15">
        <f t="shared" si="1"/>
        <v>0</v>
      </c>
      <c r="J57" s="63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</row>
    <row r="58" spans="2:30" ht="16" customHeight="1" x14ac:dyDescent="0.35">
      <c r="B58" s="14" t="s">
        <v>363</v>
      </c>
      <c r="C58" s="14" t="s">
        <v>364</v>
      </c>
      <c r="D58" s="61"/>
      <c r="E58" s="30">
        <v>1.3999999999999999E-4</v>
      </c>
      <c r="F58" s="63"/>
      <c r="G58" s="15">
        <f t="shared" si="2"/>
        <v>1.3999999999999999E-4</v>
      </c>
      <c r="H58" s="63"/>
      <c r="I58" s="15">
        <f t="shared" si="1"/>
        <v>0</v>
      </c>
      <c r="J58" s="63"/>
      <c r="K58" s="15">
        <v>1.3999999999999999E-4</v>
      </c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</row>
    <row r="59" spans="2:30" ht="16" customHeight="1" x14ac:dyDescent="0.35">
      <c r="B59" s="14" t="s">
        <v>1300</v>
      </c>
      <c r="C59" s="14" t="s">
        <v>375</v>
      </c>
      <c r="D59" s="61"/>
      <c r="E59" s="30">
        <v>-5.7099999999999998E-3</v>
      </c>
      <c r="F59" s="63"/>
      <c r="G59" s="15">
        <f t="shared" si="2"/>
        <v>-5.7099999999999998E-3</v>
      </c>
      <c r="H59" s="63"/>
      <c r="I59" s="15">
        <f t="shared" si="1"/>
        <v>0</v>
      </c>
      <c r="J59" s="63"/>
      <c r="K59" s="15">
        <v>-5.7099999999999998E-3</v>
      </c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</row>
    <row r="60" spans="2:30" ht="16" customHeight="1" x14ac:dyDescent="0.35">
      <c r="B60" s="14" t="s">
        <v>1301</v>
      </c>
      <c r="C60" s="14" t="s">
        <v>1302</v>
      </c>
      <c r="D60" s="61"/>
      <c r="E60" s="30"/>
      <c r="F60" s="63"/>
      <c r="G60" s="15">
        <f t="shared" si="2"/>
        <v>0</v>
      </c>
      <c r="H60" s="63"/>
      <c r="I60" s="15">
        <f t="shared" si="1"/>
        <v>0</v>
      </c>
      <c r="J60" s="63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</row>
    <row r="61" spans="2:30" ht="16" customHeight="1" x14ac:dyDescent="0.35">
      <c r="B61" s="14" t="s">
        <v>1303</v>
      </c>
      <c r="C61" s="14" t="s">
        <v>1304</v>
      </c>
      <c r="D61" s="61"/>
      <c r="E61" s="30">
        <v>-1186975.8529999999</v>
      </c>
      <c r="F61" s="63"/>
      <c r="G61" s="15">
        <f t="shared" si="2"/>
        <v>-1186975.8529999999</v>
      </c>
      <c r="H61" s="63"/>
      <c r="I61" s="15">
        <f t="shared" si="1"/>
        <v>0</v>
      </c>
      <c r="J61" s="63"/>
      <c r="K61" s="15">
        <v>-1186975.8529999999</v>
      </c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</row>
    <row r="62" spans="2:30" ht="16" customHeight="1" x14ac:dyDescent="0.35">
      <c r="B62" s="14" t="s">
        <v>1305</v>
      </c>
      <c r="C62" s="14" t="s">
        <v>1306</v>
      </c>
      <c r="D62" s="61"/>
      <c r="E62" s="30">
        <v>1186975.8529999999</v>
      </c>
      <c r="F62" s="63"/>
      <c r="G62" s="15">
        <f t="shared" si="2"/>
        <v>1186975.8529999999</v>
      </c>
      <c r="H62" s="63"/>
      <c r="I62" s="15">
        <f t="shared" si="1"/>
        <v>0</v>
      </c>
      <c r="J62" s="63"/>
      <c r="K62" s="15">
        <v>1186975.8529999999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</row>
    <row r="63" spans="2:30" ht="16" customHeight="1" x14ac:dyDescent="0.35">
      <c r="B63" s="14" t="s">
        <v>391</v>
      </c>
      <c r="C63" s="14" t="s">
        <v>392</v>
      </c>
      <c r="D63" s="61"/>
      <c r="E63" s="30"/>
      <c r="F63" s="63"/>
      <c r="G63" s="15">
        <f t="shared" si="2"/>
        <v>0</v>
      </c>
      <c r="H63" s="63"/>
      <c r="I63" s="15">
        <f t="shared" si="1"/>
        <v>0</v>
      </c>
      <c r="J63" s="63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</row>
    <row r="64" spans="2:30" ht="16" customHeight="1" x14ac:dyDescent="0.35">
      <c r="B64" s="14" t="s">
        <v>393</v>
      </c>
      <c r="C64" s="14" t="s">
        <v>394</v>
      </c>
      <c r="D64" s="61"/>
      <c r="E64" s="30"/>
      <c r="F64" s="63"/>
      <c r="G64" s="15">
        <f t="shared" si="2"/>
        <v>0</v>
      </c>
      <c r="H64" s="63"/>
      <c r="I64" s="15">
        <f t="shared" si="1"/>
        <v>0</v>
      </c>
      <c r="J64" s="63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</row>
    <row r="65" spans="2:30" ht="16" customHeight="1" x14ac:dyDescent="0.35">
      <c r="B65" s="14" t="s">
        <v>1307</v>
      </c>
      <c r="C65" s="14" t="s">
        <v>1666</v>
      </c>
      <c r="D65" s="61"/>
      <c r="E65" s="30"/>
      <c r="F65" s="63"/>
      <c r="G65" s="15">
        <f t="shared" si="2"/>
        <v>0</v>
      </c>
      <c r="H65" s="63"/>
      <c r="I65" s="15">
        <f t="shared" si="1"/>
        <v>0</v>
      </c>
      <c r="J65" s="63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</row>
    <row r="66" spans="2:30" ht="16" customHeight="1" x14ac:dyDescent="0.35">
      <c r="B66" s="14" t="s">
        <v>1309</v>
      </c>
      <c r="C66" s="14" t="s">
        <v>1667</v>
      </c>
      <c r="D66" s="61"/>
      <c r="E66" s="30"/>
      <c r="F66" s="63"/>
      <c r="G66" s="15">
        <f t="shared" si="2"/>
        <v>0</v>
      </c>
      <c r="H66" s="63"/>
      <c r="I66" s="15">
        <f t="shared" si="1"/>
        <v>0</v>
      </c>
      <c r="J66" s="63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</row>
    <row r="67" spans="2:30" ht="16" customHeight="1" x14ac:dyDescent="0.35">
      <c r="B67" s="14" t="s">
        <v>378</v>
      </c>
      <c r="C67" s="14" t="s">
        <v>379</v>
      </c>
      <c r="D67" s="61"/>
      <c r="E67" s="30">
        <v>1097931.3343</v>
      </c>
      <c r="F67" s="63"/>
      <c r="G67" s="15">
        <f t="shared" si="2"/>
        <v>1097931.3352999999</v>
      </c>
      <c r="H67" s="63"/>
      <c r="I67" s="15">
        <f t="shared" si="1"/>
        <v>-9.9999993108212948E-4</v>
      </c>
      <c r="J67" s="63"/>
      <c r="K67" s="15">
        <v>1082221.3095199999</v>
      </c>
      <c r="L67" s="15"/>
      <c r="M67" s="15"/>
      <c r="N67" s="15"/>
      <c r="O67" s="15">
        <v>15789.914580000001</v>
      </c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>
        <v>1.8297000000000001</v>
      </c>
      <c r="AA67" s="15"/>
      <c r="AB67" s="15"/>
      <c r="AC67" s="15">
        <v>6.0109999999999997E-2</v>
      </c>
      <c r="AD67" s="15">
        <v>-81.77861</v>
      </c>
    </row>
    <row r="68" spans="2:30" ht="16" customHeight="1" x14ac:dyDescent="0.35">
      <c r="B68" s="14" t="s">
        <v>1311</v>
      </c>
      <c r="C68" s="14" t="s">
        <v>1668</v>
      </c>
      <c r="D68" s="61"/>
      <c r="E68" s="30"/>
      <c r="F68" s="63"/>
      <c r="G68" s="15">
        <f t="shared" si="2"/>
        <v>0</v>
      </c>
      <c r="H68" s="63"/>
      <c r="I68" s="15">
        <f t="shared" si="1"/>
        <v>0</v>
      </c>
      <c r="J68" s="63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</row>
    <row r="69" spans="2:30" ht="16" customHeight="1" x14ac:dyDescent="0.35">
      <c r="B69" s="14" t="s">
        <v>1313</v>
      </c>
      <c r="C69" s="14" t="s">
        <v>1669</v>
      </c>
      <c r="D69" s="61"/>
      <c r="E69" s="30"/>
      <c r="F69" s="63"/>
      <c r="G69" s="15">
        <f t="shared" si="2"/>
        <v>0</v>
      </c>
      <c r="H69" s="63"/>
      <c r="I69" s="15">
        <f t="shared" si="1"/>
        <v>0</v>
      </c>
      <c r="J69" s="63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</row>
    <row r="70" spans="2:30" ht="16" customHeight="1" x14ac:dyDescent="0.35">
      <c r="B70" s="14" t="s">
        <v>1315</v>
      </c>
      <c r="C70" s="14" t="s">
        <v>1316</v>
      </c>
      <c r="D70" s="61"/>
      <c r="E70" s="30"/>
      <c r="F70" s="63"/>
      <c r="G70" s="15">
        <f t="shared" si="2"/>
        <v>0</v>
      </c>
      <c r="H70" s="63"/>
      <c r="I70" s="15">
        <f t="shared" si="1"/>
        <v>0</v>
      </c>
      <c r="J70" s="63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</row>
    <row r="71" spans="2:30" ht="16" customHeight="1" x14ac:dyDescent="0.35">
      <c r="B71" s="14" t="s">
        <v>1317</v>
      </c>
      <c r="C71" s="14" t="s">
        <v>1670</v>
      </c>
      <c r="D71" s="61"/>
      <c r="E71" s="30">
        <v>123.71153</v>
      </c>
      <c r="F71" s="63"/>
      <c r="G71" s="15">
        <f t="shared" si="2"/>
        <v>123.71153</v>
      </c>
      <c r="H71" s="63"/>
      <c r="I71" s="15">
        <f t="shared" si="1"/>
        <v>0</v>
      </c>
      <c r="J71" s="63"/>
      <c r="K71" s="15">
        <v>133.33416</v>
      </c>
      <c r="L71" s="15"/>
      <c r="M71" s="15"/>
      <c r="N71" s="15"/>
      <c r="O71" s="15"/>
      <c r="P71" s="15">
        <v>-9.6226299999999991</v>
      </c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</row>
    <row r="72" spans="2:30" ht="16" customHeight="1" x14ac:dyDescent="0.35">
      <c r="B72" s="14" t="s">
        <v>1319</v>
      </c>
      <c r="C72" s="14" t="s">
        <v>1671</v>
      </c>
      <c r="D72" s="61"/>
      <c r="E72" s="30"/>
      <c r="F72" s="63"/>
      <c r="G72" s="15">
        <f t="shared" si="2"/>
        <v>0</v>
      </c>
      <c r="H72" s="63"/>
      <c r="I72" s="15">
        <f t="shared" si="1"/>
        <v>0</v>
      </c>
      <c r="J72" s="63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</row>
    <row r="73" spans="2:30" ht="16" customHeight="1" x14ac:dyDescent="0.35">
      <c r="B73" s="14" t="s">
        <v>1321</v>
      </c>
      <c r="C73" s="14" t="s">
        <v>1672</v>
      </c>
      <c r="D73" s="61"/>
      <c r="E73" s="30"/>
      <c r="F73" s="63"/>
      <c r="G73" s="15">
        <f t="shared" si="2"/>
        <v>0</v>
      </c>
      <c r="H73" s="63"/>
      <c r="I73" s="15">
        <f t="shared" si="1"/>
        <v>0</v>
      </c>
      <c r="J73" s="63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</row>
    <row r="74" spans="2:30" ht="16" customHeight="1" x14ac:dyDescent="0.35">
      <c r="B74" s="14" t="s">
        <v>397</v>
      </c>
      <c r="C74" s="14" t="s">
        <v>1673</v>
      </c>
      <c r="D74" s="61"/>
      <c r="E74" s="30">
        <v>749.22055999999998</v>
      </c>
      <c r="F74" s="63"/>
      <c r="G74" s="15">
        <f t="shared" si="2"/>
        <v>749.22055999999998</v>
      </c>
      <c r="H74" s="63"/>
      <c r="I74" s="15">
        <f t="shared" si="1"/>
        <v>0</v>
      </c>
      <c r="J74" s="63"/>
      <c r="K74" s="15">
        <v>749.22055999999998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>
        <v>0</v>
      </c>
      <c r="AB74" s="15"/>
      <c r="AC74" s="15"/>
      <c r="AD74" s="15"/>
    </row>
    <row r="75" spans="2:30" ht="16" customHeight="1" x14ac:dyDescent="0.35">
      <c r="B75" s="14" t="s">
        <v>400</v>
      </c>
      <c r="C75" s="14" t="s">
        <v>401</v>
      </c>
      <c r="D75" s="61"/>
      <c r="E75" s="30">
        <v>316453.20688999997</v>
      </c>
      <c r="F75" s="63"/>
      <c r="G75" s="15">
        <f t="shared" si="2"/>
        <v>316453.20689000003</v>
      </c>
      <c r="H75" s="63"/>
      <c r="I75" s="15">
        <f t="shared" si="1"/>
        <v>0</v>
      </c>
      <c r="J75" s="63"/>
      <c r="K75" s="15">
        <v>312958.87446000002</v>
      </c>
      <c r="L75" s="15"/>
      <c r="M75" s="15"/>
      <c r="N75" s="15"/>
      <c r="O75" s="15"/>
      <c r="P75" s="15"/>
      <c r="Q75" s="15"/>
      <c r="R75" s="15"/>
      <c r="S75" s="15"/>
      <c r="T75" s="15"/>
      <c r="U75" s="15">
        <v>0</v>
      </c>
      <c r="V75" s="15"/>
      <c r="W75" s="15"/>
      <c r="X75" s="15"/>
      <c r="Y75" s="15"/>
      <c r="Z75" s="15">
        <v>3494.3324299999999</v>
      </c>
      <c r="AA75" s="15"/>
      <c r="AB75" s="15"/>
      <c r="AC75" s="15"/>
      <c r="AD75" s="15"/>
    </row>
    <row r="76" spans="2:30" ht="16" customHeight="1" x14ac:dyDescent="0.35">
      <c r="B76" s="14" t="s">
        <v>402</v>
      </c>
      <c r="C76" s="14" t="s">
        <v>1323</v>
      </c>
      <c r="D76" s="61"/>
      <c r="E76" s="30">
        <v>-126044.46915</v>
      </c>
      <c r="F76" s="63"/>
      <c r="G76" s="15">
        <f t="shared" si="2"/>
        <v>-126044.46915</v>
      </c>
      <c r="H76" s="63"/>
      <c r="I76" s="15">
        <f t="shared" ref="I76:I120" si="3">E76-G76</f>
        <v>0</v>
      </c>
      <c r="J76" s="63"/>
      <c r="K76" s="15">
        <v>-125346.04249000001</v>
      </c>
      <c r="L76" s="15"/>
      <c r="M76" s="15"/>
      <c r="N76" s="15"/>
      <c r="O76" s="15"/>
      <c r="P76" s="15"/>
      <c r="Q76" s="15"/>
      <c r="R76" s="15"/>
      <c r="S76" s="15"/>
      <c r="T76" s="15">
        <v>-698.42665999999997</v>
      </c>
      <c r="U76" s="15">
        <v>0</v>
      </c>
      <c r="V76" s="15"/>
      <c r="W76" s="15"/>
      <c r="X76" s="15"/>
      <c r="Y76" s="15"/>
      <c r="Z76" s="15"/>
      <c r="AA76" s="15">
        <v>0</v>
      </c>
      <c r="AB76" s="15"/>
      <c r="AC76" s="15"/>
      <c r="AD76" s="15"/>
    </row>
    <row r="77" spans="2:30" ht="16" customHeight="1" x14ac:dyDescent="0.35">
      <c r="B77" s="14" t="s">
        <v>438</v>
      </c>
      <c r="C77" s="14" t="s">
        <v>1324</v>
      </c>
      <c r="D77" s="61"/>
      <c r="E77" s="30">
        <v>27708.20062</v>
      </c>
      <c r="F77" s="63"/>
      <c r="G77" s="15">
        <f t="shared" si="2"/>
        <v>27708.20062</v>
      </c>
      <c r="H77" s="63"/>
      <c r="I77" s="15">
        <f t="shared" si="3"/>
        <v>0</v>
      </c>
      <c r="J77" s="63"/>
      <c r="K77" s="15">
        <v>27708.20062</v>
      </c>
      <c r="L77" s="15"/>
      <c r="M77" s="15"/>
      <c r="N77" s="15"/>
      <c r="O77" s="15"/>
      <c r="P77" s="15"/>
      <c r="Q77" s="15">
        <v>0</v>
      </c>
      <c r="R77" s="15"/>
      <c r="S77" s="15"/>
      <c r="T77" s="15"/>
      <c r="U77" s="15"/>
      <c r="V77" s="15"/>
      <c r="W77" s="15"/>
      <c r="X77" s="15"/>
      <c r="Y77" s="15"/>
      <c r="Z77" s="15"/>
      <c r="AA77" s="15">
        <v>0</v>
      </c>
      <c r="AB77" s="15"/>
      <c r="AC77" s="15"/>
      <c r="AD77" s="15"/>
    </row>
    <row r="78" spans="2:30" ht="16" customHeight="1" x14ac:dyDescent="0.35">
      <c r="B78" s="14" t="s">
        <v>544</v>
      </c>
      <c r="C78" s="14" t="s">
        <v>1325</v>
      </c>
      <c r="D78" s="61"/>
      <c r="E78" s="30">
        <v>37957.170510000004</v>
      </c>
      <c r="F78" s="63"/>
      <c r="G78" s="15">
        <f t="shared" si="2"/>
        <v>37957.170510000004</v>
      </c>
      <c r="H78" s="63"/>
      <c r="I78" s="15">
        <f t="shared" si="3"/>
        <v>0</v>
      </c>
      <c r="J78" s="63"/>
      <c r="K78" s="15">
        <v>38821.31349</v>
      </c>
      <c r="L78" s="15"/>
      <c r="M78" s="15"/>
      <c r="N78" s="15"/>
      <c r="O78" s="15"/>
      <c r="P78" s="15"/>
      <c r="Q78" s="15">
        <v>0</v>
      </c>
      <c r="R78" s="15"/>
      <c r="S78" s="15"/>
      <c r="T78" s="15"/>
      <c r="U78" s="15">
        <v>-864.14297999999997</v>
      </c>
      <c r="V78" s="15"/>
      <c r="W78" s="15"/>
      <c r="X78" s="15"/>
      <c r="Y78" s="15"/>
      <c r="Z78" s="15"/>
      <c r="AA78" s="15">
        <v>0</v>
      </c>
      <c r="AB78" s="15"/>
      <c r="AC78" s="15"/>
      <c r="AD78" s="15"/>
    </row>
    <row r="79" spans="2:30" ht="16" customHeight="1" x14ac:dyDescent="0.35">
      <c r="B79" s="14" t="s">
        <v>440</v>
      </c>
      <c r="C79" s="14" t="s">
        <v>1326</v>
      </c>
      <c r="D79" s="61"/>
      <c r="E79" s="30">
        <v>-3291.2001399999999</v>
      </c>
      <c r="F79" s="63"/>
      <c r="G79" s="15">
        <f t="shared" si="2"/>
        <v>-3291.2001399999999</v>
      </c>
      <c r="H79" s="63"/>
      <c r="I79" s="15">
        <f t="shared" si="3"/>
        <v>0</v>
      </c>
      <c r="J79" s="63"/>
      <c r="K79" s="15">
        <v>-3176.15922</v>
      </c>
      <c r="L79" s="15"/>
      <c r="M79" s="15"/>
      <c r="N79" s="15"/>
      <c r="O79" s="15"/>
      <c r="P79" s="15"/>
      <c r="Q79" s="15"/>
      <c r="R79" s="15"/>
      <c r="S79" s="15"/>
      <c r="T79" s="15">
        <v>-115.04092</v>
      </c>
      <c r="U79" s="15"/>
      <c r="V79" s="15"/>
      <c r="W79" s="15"/>
      <c r="X79" s="15"/>
      <c r="Y79" s="15"/>
      <c r="Z79" s="15"/>
      <c r="AA79" s="15">
        <v>0</v>
      </c>
      <c r="AB79" s="15"/>
      <c r="AC79" s="15"/>
      <c r="AD79" s="15"/>
    </row>
    <row r="80" spans="2:30" ht="16" customHeight="1" x14ac:dyDescent="0.35">
      <c r="B80" s="14" t="s">
        <v>406</v>
      </c>
      <c r="C80" s="14" t="s">
        <v>407</v>
      </c>
      <c r="D80" s="61"/>
      <c r="E80" s="30">
        <v>2212550.1204599999</v>
      </c>
      <c r="F80" s="63"/>
      <c r="G80" s="15">
        <f t="shared" si="2"/>
        <v>2212550.1204599999</v>
      </c>
      <c r="H80" s="63"/>
      <c r="I80" s="15">
        <f t="shared" si="3"/>
        <v>0</v>
      </c>
      <c r="J80" s="63"/>
      <c r="K80" s="15">
        <v>2211335.4444499998</v>
      </c>
      <c r="L80" s="15"/>
      <c r="M80" s="15"/>
      <c r="N80" s="15"/>
      <c r="O80" s="15"/>
      <c r="P80" s="15"/>
      <c r="Q80" s="15"/>
      <c r="R80" s="15"/>
      <c r="S80" s="15"/>
      <c r="T80" s="15"/>
      <c r="U80" s="15">
        <v>0</v>
      </c>
      <c r="V80" s="15"/>
      <c r="W80" s="15"/>
      <c r="X80" s="15"/>
      <c r="Y80" s="15"/>
      <c r="Z80" s="15">
        <v>1214.6760099999999</v>
      </c>
      <c r="AA80" s="15"/>
      <c r="AB80" s="15"/>
      <c r="AC80" s="15"/>
      <c r="AD80" s="15"/>
    </row>
    <row r="81" spans="2:30" ht="16" customHeight="1" x14ac:dyDescent="0.35">
      <c r="B81" s="14" t="s">
        <v>408</v>
      </c>
      <c r="C81" s="14" t="s">
        <v>409</v>
      </c>
      <c r="D81" s="61"/>
      <c r="E81" s="30">
        <v>-1252353.9518599999</v>
      </c>
      <c r="F81" s="63"/>
      <c r="G81" s="15">
        <f t="shared" si="2"/>
        <v>-1252353.9518599999</v>
      </c>
      <c r="H81" s="63"/>
      <c r="I81" s="15">
        <f t="shared" si="3"/>
        <v>0</v>
      </c>
      <c r="J81" s="63"/>
      <c r="K81" s="15">
        <v>-1246267.8698499999</v>
      </c>
      <c r="L81" s="15"/>
      <c r="M81" s="15"/>
      <c r="N81" s="15"/>
      <c r="O81" s="15"/>
      <c r="P81" s="15"/>
      <c r="Q81" s="15"/>
      <c r="R81" s="15"/>
      <c r="S81" s="15"/>
      <c r="T81" s="15">
        <v>-6086.0820100000001</v>
      </c>
      <c r="U81" s="15">
        <v>0</v>
      </c>
      <c r="V81" s="15"/>
      <c r="W81" s="15"/>
      <c r="X81" s="15"/>
      <c r="Y81" s="15"/>
      <c r="Z81" s="15">
        <v>0</v>
      </c>
      <c r="AA81" s="15"/>
      <c r="AB81" s="15"/>
      <c r="AC81" s="15"/>
      <c r="AD81" s="15"/>
    </row>
    <row r="82" spans="2:30" ht="16" customHeight="1" x14ac:dyDescent="0.35">
      <c r="B82" s="14" t="s">
        <v>444</v>
      </c>
      <c r="C82" s="14" t="s">
        <v>1327</v>
      </c>
      <c r="D82" s="61"/>
      <c r="E82" s="30">
        <v>25069.32372</v>
      </c>
      <c r="F82" s="63"/>
      <c r="G82" s="15">
        <f t="shared" si="2"/>
        <v>25069.32372</v>
      </c>
      <c r="H82" s="63"/>
      <c r="I82" s="15">
        <f t="shared" si="3"/>
        <v>0</v>
      </c>
      <c r="J82" s="63"/>
      <c r="K82" s="15">
        <v>25069.32372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</row>
    <row r="83" spans="2:30" ht="16" customHeight="1" x14ac:dyDescent="0.35">
      <c r="B83" s="14" t="s">
        <v>546</v>
      </c>
      <c r="C83" s="14" t="s">
        <v>1328</v>
      </c>
      <c r="D83" s="61"/>
      <c r="E83" s="30">
        <v>10459.43957</v>
      </c>
      <c r="F83" s="63"/>
      <c r="G83" s="15">
        <f t="shared" si="2"/>
        <v>10459.43957</v>
      </c>
      <c r="H83" s="63"/>
      <c r="I83" s="15">
        <f t="shared" si="3"/>
        <v>0</v>
      </c>
      <c r="J83" s="63"/>
      <c r="K83" s="15">
        <v>10606.94968</v>
      </c>
      <c r="L83" s="15"/>
      <c r="M83" s="15"/>
      <c r="N83" s="15"/>
      <c r="O83" s="15"/>
      <c r="P83" s="15"/>
      <c r="Q83" s="15"/>
      <c r="R83" s="15"/>
      <c r="S83" s="15"/>
      <c r="T83" s="15"/>
      <c r="U83" s="15">
        <v>-147.51011</v>
      </c>
      <c r="V83" s="15"/>
      <c r="W83" s="15"/>
      <c r="X83" s="15"/>
      <c r="Y83" s="15"/>
      <c r="Z83" s="15"/>
      <c r="AA83" s="15"/>
      <c r="AB83" s="15"/>
      <c r="AC83" s="15"/>
      <c r="AD83" s="15"/>
    </row>
    <row r="84" spans="2:30" ht="16" customHeight="1" x14ac:dyDescent="0.35">
      <c r="B84" s="14" t="s">
        <v>446</v>
      </c>
      <c r="C84" s="14" t="s">
        <v>1329</v>
      </c>
      <c r="D84" s="61"/>
      <c r="E84" s="30">
        <v>-16467.272990000001</v>
      </c>
      <c r="F84" s="63"/>
      <c r="G84" s="15">
        <f t="shared" si="2"/>
        <v>-16467.272990000001</v>
      </c>
      <c r="H84" s="63"/>
      <c r="I84" s="15">
        <f t="shared" si="3"/>
        <v>0</v>
      </c>
      <c r="J84" s="63"/>
      <c r="K84" s="15">
        <v>-16383.91857</v>
      </c>
      <c r="L84" s="15"/>
      <c r="M84" s="15"/>
      <c r="N84" s="15"/>
      <c r="O84" s="15"/>
      <c r="P84" s="15"/>
      <c r="Q84" s="15"/>
      <c r="R84" s="15"/>
      <c r="S84" s="15"/>
      <c r="T84" s="15">
        <v>-83.354420000000005</v>
      </c>
      <c r="U84" s="15"/>
      <c r="V84" s="15"/>
      <c r="W84" s="15"/>
      <c r="X84" s="15"/>
      <c r="Y84" s="15"/>
      <c r="Z84" s="15"/>
      <c r="AA84" s="15"/>
      <c r="AB84" s="15"/>
      <c r="AC84" s="15"/>
      <c r="AD84" s="15"/>
    </row>
    <row r="85" spans="2:30" ht="16" customHeight="1" x14ac:dyDescent="0.35">
      <c r="B85" s="14" t="s">
        <v>412</v>
      </c>
      <c r="C85" s="14" t="s">
        <v>413</v>
      </c>
      <c r="D85" s="61"/>
      <c r="E85" s="30">
        <v>5379937.7546800002</v>
      </c>
      <c r="F85" s="63"/>
      <c r="G85" s="15">
        <f t="shared" si="2"/>
        <v>5379937.7546800002</v>
      </c>
      <c r="H85" s="63"/>
      <c r="I85" s="15">
        <f t="shared" si="3"/>
        <v>0</v>
      </c>
      <c r="J85" s="63"/>
      <c r="K85" s="15">
        <v>5356901.5519399997</v>
      </c>
      <c r="L85" s="15"/>
      <c r="M85" s="15"/>
      <c r="N85" s="15"/>
      <c r="O85" s="15"/>
      <c r="P85" s="15"/>
      <c r="Q85" s="15"/>
      <c r="R85" s="15"/>
      <c r="S85" s="15"/>
      <c r="T85" s="15"/>
      <c r="U85" s="15">
        <v>-1378.1391799999999</v>
      </c>
      <c r="V85" s="15"/>
      <c r="W85" s="15"/>
      <c r="X85" s="15"/>
      <c r="Y85" s="15"/>
      <c r="Z85" s="15">
        <v>24418.35986</v>
      </c>
      <c r="AA85" s="15"/>
      <c r="AB85" s="15"/>
      <c r="AC85" s="15"/>
      <c r="AD85" s="15">
        <v>-4.0179400000000003</v>
      </c>
    </row>
    <row r="86" spans="2:30" ht="16" customHeight="1" x14ac:dyDescent="0.35">
      <c r="B86" s="14" t="s">
        <v>414</v>
      </c>
      <c r="C86" s="14" t="s">
        <v>415</v>
      </c>
      <c r="D86" s="61"/>
      <c r="E86" s="30">
        <v>-3615209.9793699998</v>
      </c>
      <c r="F86" s="63"/>
      <c r="G86" s="15">
        <f t="shared" si="2"/>
        <v>-3615209.9793700003</v>
      </c>
      <c r="H86" s="63"/>
      <c r="I86" s="15">
        <f t="shared" si="3"/>
        <v>0</v>
      </c>
      <c r="J86" s="63"/>
      <c r="K86" s="15">
        <v>-3594856.8767599999</v>
      </c>
      <c r="L86" s="15"/>
      <c r="M86" s="15"/>
      <c r="N86" s="15"/>
      <c r="O86" s="15"/>
      <c r="P86" s="15"/>
      <c r="Q86" s="15"/>
      <c r="R86" s="15"/>
      <c r="S86" s="15"/>
      <c r="T86" s="15">
        <v>-21734.983700000001</v>
      </c>
      <c r="U86" s="15">
        <v>1378.1391799999999</v>
      </c>
      <c r="V86" s="15"/>
      <c r="W86" s="15"/>
      <c r="X86" s="15"/>
      <c r="Y86" s="15"/>
      <c r="Z86" s="15">
        <v>0</v>
      </c>
      <c r="AA86" s="15"/>
      <c r="AB86" s="15"/>
      <c r="AC86" s="15"/>
      <c r="AD86" s="15">
        <v>3.7419099999999998</v>
      </c>
    </row>
    <row r="87" spans="2:30" ht="16" customHeight="1" x14ac:dyDescent="0.35">
      <c r="B87" s="14" t="s">
        <v>450</v>
      </c>
      <c r="C87" s="14" t="s">
        <v>1330</v>
      </c>
      <c r="D87" s="61"/>
      <c r="E87" s="30">
        <v>34567.395909999999</v>
      </c>
      <c r="F87" s="63"/>
      <c r="G87" s="15">
        <f t="shared" si="2"/>
        <v>34567.395909999999</v>
      </c>
      <c r="H87" s="63"/>
      <c r="I87" s="15">
        <f t="shared" si="3"/>
        <v>0</v>
      </c>
      <c r="J87" s="63"/>
      <c r="K87" s="15">
        <v>34567.395909999999</v>
      </c>
      <c r="L87" s="15"/>
      <c r="M87" s="15"/>
      <c r="N87" s="15"/>
      <c r="O87" s="15"/>
      <c r="P87" s="15"/>
      <c r="Q87" s="15">
        <v>0</v>
      </c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</row>
    <row r="88" spans="2:30" ht="16" customHeight="1" x14ac:dyDescent="0.35">
      <c r="B88" s="14" t="s">
        <v>548</v>
      </c>
      <c r="C88" s="14" t="s">
        <v>1331</v>
      </c>
      <c r="D88" s="61"/>
      <c r="E88" s="30">
        <v>3850.5225999999998</v>
      </c>
      <c r="F88" s="63"/>
      <c r="G88" s="15">
        <f t="shared" si="2"/>
        <v>3850.5226000000002</v>
      </c>
      <c r="H88" s="63"/>
      <c r="I88" s="15">
        <f t="shared" si="3"/>
        <v>0</v>
      </c>
      <c r="J88" s="63"/>
      <c r="K88" s="15">
        <v>3956.7423100000001</v>
      </c>
      <c r="L88" s="15"/>
      <c r="M88" s="15"/>
      <c r="N88" s="15"/>
      <c r="O88" s="15"/>
      <c r="P88" s="15"/>
      <c r="Q88" s="15">
        <v>0</v>
      </c>
      <c r="R88" s="15"/>
      <c r="S88" s="15"/>
      <c r="T88" s="15"/>
      <c r="U88" s="15">
        <v>-106.21971000000001</v>
      </c>
      <c r="V88" s="15"/>
      <c r="W88" s="15"/>
      <c r="X88" s="15"/>
      <c r="Y88" s="15"/>
      <c r="Z88" s="15"/>
      <c r="AA88" s="15"/>
      <c r="AB88" s="15"/>
      <c r="AC88" s="15"/>
      <c r="AD88" s="15"/>
    </row>
    <row r="89" spans="2:30" ht="16" customHeight="1" x14ac:dyDescent="0.35">
      <c r="B89" s="14" t="s">
        <v>452</v>
      </c>
      <c r="C89" s="14" t="s">
        <v>1332</v>
      </c>
      <c r="D89" s="61"/>
      <c r="E89" s="30">
        <v>-24536.28702</v>
      </c>
      <c r="F89" s="63"/>
      <c r="G89" s="15">
        <f t="shared" si="2"/>
        <v>-24536.287020000003</v>
      </c>
      <c r="H89" s="63"/>
      <c r="I89" s="15">
        <f t="shared" si="3"/>
        <v>0</v>
      </c>
      <c r="J89" s="63"/>
      <c r="K89" s="15">
        <v>-24283.584900000002</v>
      </c>
      <c r="L89" s="15"/>
      <c r="M89" s="15"/>
      <c r="N89" s="15"/>
      <c r="O89" s="15"/>
      <c r="P89" s="15"/>
      <c r="Q89" s="15"/>
      <c r="R89" s="15"/>
      <c r="S89" s="15"/>
      <c r="T89" s="15">
        <v>-252.70212000000001</v>
      </c>
      <c r="U89" s="15"/>
      <c r="V89" s="15"/>
      <c r="W89" s="15"/>
      <c r="X89" s="15"/>
      <c r="Y89" s="15"/>
      <c r="Z89" s="15"/>
      <c r="AA89" s="15"/>
      <c r="AB89" s="15"/>
      <c r="AC89" s="15"/>
      <c r="AD89" s="15"/>
    </row>
    <row r="90" spans="2:30" ht="16" customHeight="1" x14ac:dyDescent="0.35">
      <c r="B90" s="14" t="s">
        <v>418</v>
      </c>
      <c r="C90" s="14" t="s">
        <v>419</v>
      </c>
      <c r="D90" s="61"/>
      <c r="E90" s="30">
        <v>455392.18517999997</v>
      </c>
      <c r="F90" s="63"/>
      <c r="G90" s="15">
        <f t="shared" si="2"/>
        <v>455392.18518000003</v>
      </c>
      <c r="H90" s="63"/>
      <c r="I90" s="15">
        <f t="shared" si="3"/>
        <v>0</v>
      </c>
      <c r="J90" s="63"/>
      <c r="K90" s="15">
        <v>456025.80732999998</v>
      </c>
      <c r="L90" s="15"/>
      <c r="M90" s="15"/>
      <c r="N90" s="15"/>
      <c r="O90" s="15"/>
      <c r="P90" s="15"/>
      <c r="Q90" s="15"/>
      <c r="R90" s="15"/>
      <c r="S90" s="15"/>
      <c r="T90" s="15"/>
      <c r="U90" s="15">
        <v>-740.32353000000001</v>
      </c>
      <c r="V90" s="15"/>
      <c r="W90" s="15"/>
      <c r="X90" s="15"/>
      <c r="Y90" s="15"/>
      <c r="Z90" s="15">
        <v>115.65558</v>
      </c>
      <c r="AA90" s="15"/>
      <c r="AB90" s="15"/>
      <c r="AC90" s="15"/>
      <c r="AD90" s="15">
        <v>-8.9542000000000002</v>
      </c>
    </row>
    <row r="91" spans="2:30" ht="16" customHeight="1" x14ac:dyDescent="0.35">
      <c r="B91" s="14" t="s">
        <v>420</v>
      </c>
      <c r="C91" s="14" t="s">
        <v>421</v>
      </c>
      <c r="D91" s="61"/>
      <c r="E91" s="30">
        <v>-340337.68946999998</v>
      </c>
      <c r="F91" s="63"/>
      <c r="G91" s="15">
        <f t="shared" si="2"/>
        <v>-340337.68946999998</v>
      </c>
      <c r="H91" s="63"/>
      <c r="I91" s="15">
        <f t="shared" si="3"/>
        <v>0</v>
      </c>
      <c r="J91" s="63"/>
      <c r="K91" s="15">
        <v>-339627.80647000001</v>
      </c>
      <c r="L91" s="15"/>
      <c r="M91" s="15"/>
      <c r="N91" s="15"/>
      <c r="O91" s="15"/>
      <c r="P91" s="15"/>
      <c r="Q91" s="15"/>
      <c r="R91" s="15"/>
      <c r="S91" s="15"/>
      <c r="T91" s="15">
        <v>-1451.0851700000001</v>
      </c>
      <c r="U91" s="15">
        <v>740.32353000000001</v>
      </c>
      <c r="V91" s="15"/>
      <c r="W91" s="15"/>
      <c r="X91" s="15"/>
      <c r="Y91" s="15"/>
      <c r="Z91" s="15">
        <v>0</v>
      </c>
      <c r="AA91" s="15">
        <v>0</v>
      </c>
      <c r="AB91" s="15"/>
      <c r="AC91" s="15"/>
      <c r="AD91" s="15">
        <v>0.87863999999999998</v>
      </c>
    </row>
    <row r="92" spans="2:30" ht="16" customHeight="1" x14ac:dyDescent="0.35">
      <c r="B92" s="14" t="s">
        <v>456</v>
      </c>
      <c r="C92" s="14" t="s">
        <v>1333</v>
      </c>
      <c r="D92" s="61"/>
      <c r="E92" s="30">
        <v>65404.1535</v>
      </c>
      <c r="F92" s="63"/>
      <c r="G92" s="15">
        <f t="shared" si="2"/>
        <v>65404.1535</v>
      </c>
      <c r="H92" s="63"/>
      <c r="I92" s="15">
        <f t="shared" si="3"/>
        <v>0</v>
      </c>
      <c r="J92" s="63"/>
      <c r="K92" s="15">
        <v>64745.805189999999</v>
      </c>
      <c r="L92" s="15"/>
      <c r="M92" s="15"/>
      <c r="N92" s="15"/>
      <c r="O92" s="15"/>
      <c r="P92" s="15"/>
      <c r="Q92" s="15">
        <v>658.31849999999997</v>
      </c>
      <c r="R92" s="15"/>
      <c r="S92" s="15"/>
      <c r="T92" s="15"/>
      <c r="U92" s="15"/>
      <c r="V92" s="15"/>
      <c r="W92" s="15"/>
      <c r="X92" s="15"/>
      <c r="Y92" s="15"/>
      <c r="Z92" s="15">
        <v>0</v>
      </c>
      <c r="AA92" s="15">
        <v>2.981E-2</v>
      </c>
      <c r="AB92" s="15"/>
      <c r="AC92" s="15"/>
      <c r="AD92" s="15"/>
    </row>
    <row r="93" spans="2:30" ht="16" customHeight="1" x14ac:dyDescent="0.35">
      <c r="B93" s="14" t="s">
        <v>550</v>
      </c>
      <c r="C93" s="14" t="s">
        <v>1334</v>
      </c>
      <c r="D93" s="61"/>
      <c r="E93" s="30">
        <v>115507.72745000001</v>
      </c>
      <c r="F93" s="63"/>
      <c r="G93" s="15">
        <f t="shared" si="2"/>
        <v>115507.72744999999</v>
      </c>
      <c r="H93" s="63"/>
      <c r="I93" s="15">
        <f t="shared" si="3"/>
        <v>0</v>
      </c>
      <c r="J93" s="63"/>
      <c r="K93" s="15">
        <v>106807.62882</v>
      </c>
      <c r="L93" s="15"/>
      <c r="M93" s="15"/>
      <c r="N93" s="15"/>
      <c r="O93" s="15"/>
      <c r="P93" s="15"/>
      <c r="Q93" s="15">
        <v>10717.684450000001</v>
      </c>
      <c r="R93" s="15"/>
      <c r="S93" s="15"/>
      <c r="T93" s="15"/>
      <c r="U93" s="15">
        <v>-703.20523000000003</v>
      </c>
      <c r="V93" s="15"/>
      <c r="W93" s="15"/>
      <c r="X93" s="15"/>
      <c r="Y93" s="15"/>
      <c r="Z93" s="15">
        <v>-1307.2231300000001</v>
      </c>
      <c r="AA93" s="15">
        <v>-7.1574600000000004</v>
      </c>
      <c r="AB93" s="15"/>
      <c r="AC93" s="15"/>
      <c r="AD93" s="15"/>
    </row>
    <row r="94" spans="2:30" ht="16" customHeight="1" x14ac:dyDescent="0.35">
      <c r="B94" s="14" t="s">
        <v>458</v>
      </c>
      <c r="C94" s="14" t="s">
        <v>1335</v>
      </c>
      <c r="D94" s="61"/>
      <c r="E94" s="30">
        <v>-33630.94829</v>
      </c>
      <c r="F94" s="63"/>
      <c r="G94" s="15">
        <f t="shared" si="2"/>
        <v>-33630.94829</v>
      </c>
      <c r="H94" s="63"/>
      <c r="I94" s="15">
        <f t="shared" si="3"/>
        <v>0</v>
      </c>
      <c r="J94" s="63"/>
      <c r="K94" s="15">
        <v>-32582.8626</v>
      </c>
      <c r="L94" s="15"/>
      <c r="M94" s="15"/>
      <c r="N94" s="15"/>
      <c r="O94" s="15"/>
      <c r="P94" s="15"/>
      <c r="Q94" s="15"/>
      <c r="R94" s="15"/>
      <c r="S94" s="15"/>
      <c r="T94" s="15">
        <v>-1048.78288</v>
      </c>
      <c r="U94" s="15"/>
      <c r="V94" s="15"/>
      <c r="W94" s="15"/>
      <c r="X94" s="15"/>
      <c r="Y94" s="15"/>
      <c r="Z94" s="15">
        <v>-10.636369999999999</v>
      </c>
      <c r="AA94" s="15">
        <v>11.4472</v>
      </c>
      <c r="AB94" s="15"/>
      <c r="AC94" s="15"/>
      <c r="AD94" s="15">
        <v>-0.11364</v>
      </c>
    </row>
    <row r="95" spans="2:30" ht="16" customHeight="1" x14ac:dyDescent="0.35">
      <c r="B95" s="14" t="s">
        <v>424</v>
      </c>
      <c r="C95" s="14" t="s">
        <v>1336</v>
      </c>
      <c r="D95" s="61"/>
      <c r="E95" s="30">
        <v>263357.25829999999</v>
      </c>
      <c r="F95" s="63"/>
      <c r="G95" s="15">
        <f t="shared" si="2"/>
        <v>263357.25830000004</v>
      </c>
      <c r="H95" s="63"/>
      <c r="I95" s="15">
        <f t="shared" si="3"/>
        <v>0</v>
      </c>
      <c r="J95" s="63"/>
      <c r="K95" s="15">
        <v>250089.40900000001</v>
      </c>
      <c r="L95" s="15"/>
      <c r="M95" s="15"/>
      <c r="N95" s="15"/>
      <c r="O95" s="15"/>
      <c r="P95" s="15">
        <v>42514.04277</v>
      </c>
      <c r="Q95" s="15"/>
      <c r="R95" s="15"/>
      <c r="S95" s="15"/>
      <c r="T95" s="15"/>
      <c r="U95" s="15"/>
      <c r="V95" s="15"/>
      <c r="W95" s="15"/>
      <c r="X95" s="15"/>
      <c r="Y95" s="15"/>
      <c r="Z95" s="15">
        <v>-29246.193469999998</v>
      </c>
      <c r="AA95" s="15"/>
      <c r="AB95" s="15"/>
      <c r="AC95" s="15"/>
      <c r="AD95" s="15"/>
    </row>
    <row r="96" spans="2:30" ht="16" customHeight="1" x14ac:dyDescent="0.35">
      <c r="B96" s="14" t="s">
        <v>426</v>
      </c>
      <c r="C96" s="14" t="s">
        <v>1337</v>
      </c>
      <c r="D96" s="61"/>
      <c r="E96" s="30"/>
      <c r="F96" s="63"/>
      <c r="G96" s="15">
        <f t="shared" si="2"/>
        <v>0</v>
      </c>
      <c r="H96" s="63"/>
      <c r="I96" s="15">
        <f t="shared" si="3"/>
        <v>0</v>
      </c>
      <c r="J96" s="63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</row>
    <row r="97" spans="2:30" ht="16" customHeight="1" x14ac:dyDescent="0.35">
      <c r="B97" s="14" t="s">
        <v>462</v>
      </c>
      <c r="C97" s="14" t="s">
        <v>1338</v>
      </c>
      <c r="D97" s="61"/>
      <c r="E97" s="30"/>
      <c r="F97" s="63"/>
      <c r="G97" s="15">
        <f t="shared" si="2"/>
        <v>0</v>
      </c>
      <c r="H97" s="63"/>
      <c r="I97" s="15">
        <f t="shared" si="3"/>
        <v>0</v>
      </c>
      <c r="J97" s="63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</row>
    <row r="98" spans="2:30" ht="16" customHeight="1" x14ac:dyDescent="0.35">
      <c r="B98" s="14" t="s">
        <v>464</v>
      </c>
      <c r="C98" s="14" t="s">
        <v>1339</v>
      </c>
      <c r="D98" s="61"/>
      <c r="E98" s="30"/>
      <c r="F98" s="63"/>
      <c r="G98" s="15">
        <f t="shared" si="2"/>
        <v>0</v>
      </c>
      <c r="H98" s="63"/>
      <c r="I98" s="15">
        <f t="shared" si="3"/>
        <v>0</v>
      </c>
      <c r="J98" s="63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</row>
    <row r="99" spans="2:30" ht="16" customHeight="1" x14ac:dyDescent="0.35">
      <c r="B99" s="14" t="s">
        <v>533</v>
      </c>
      <c r="C99" s="14" t="s">
        <v>1340</v>
      </c>
      <c r="D99" s="61"/>
      <c r="E99" s="30">
        <v>82815.630990000005</v>
      </c>
      <c r="F99" s="63"/>
      <c r="G99" s="15">
        <f t="shared" si="2"/>
        <v>82815.630990000005</v>
      </c>
      <c r="H99" s="63"/>
      <c r="I99" s="15">
        <f t="shared" si="3"/>
        <v>0</v>
      </c>
      <c r="J99" s="63"/>
      <c r="K99" s="15">
        <v>82815.630990000005</v>
      </c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</row>
    <row r="100" spans="2:30" ht="16" customHeight="1" x14ac:dyDescent="0.35">
      <c r="B100" s="14" t="s">
        <v>537</v>
      </c>
      <c r="C100" s="14" t="s">
        <v>1341</v>
      </c>
      <c r="D100" s="61"/>
      <c r="E100" s="30">
        <v>1052539.90766</v>
      </c>
      <c r="F100" s="63"/>
      <c r="G100" s="15">
        <f t="shared" si="2"/>
        <v>1052539.90766</v>
      </c>
      <c r="H100" s="63"/>
      <c r="I100" s="15">
        <f t="shared" si="3"/>
        <v>0</v>
      </c>
      <c r="J100" s="63"/>
      <c r="K100" s="15">
        <v>1052539.90766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</row>
    <row r="101" spans="2:30" ht="16" customHeight="1" x14ac:dyDescent="0.35">
      <c r="B101" s="14" t="s">
        <v>535</v>
      </c>
      <c r="C101" s="14" t="s">
        <v>1342</v>
      </c>
      <c r="D101" s="61"/>
      <c r="E101" s="30">
        <v>-2.0000000000000002E-5</v>
      </c>
      <c r="F101" s="63"/>
      <c r="G101" s="15">
        <f t="shared" si="2"/>
        <v>-2.0000000000000002E-5</v>
      </c>
      <c r="H101" s="63"/>
      <c r="I101" s="15">
        <f t="shared" si="3"/>
        <v>0</v>
      </c>
      <c r="J101" s="63"/>
      <c r="K101" s="15">
        <v>-2.0000000000000002E-5</v>
      </c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</row>
    <row r="102" spans="2:30" ht="16" customHeight="1" x14ac:dyDescent="0.35">
      <c r="B102" s="14" t="s">
        <v>539</v>
      </c>
      <c r="C102" s="14" t="s">
        <v>1343</v>
      </c>
      <c r="D102" s="61"/>
      <c r="E102" s="30"/>
      <c r="F102" s="63"/>
      <c r="G102" s="15">
        <f t="shared" si="2"/>
        <v>0</v>
      </c>
      <c r="H102" s="63"/>
      <c r="I102" s="15">
        <f t="shared" si="3"/>
        <v>0</v>
      </c>
      <c r="J102" s="63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</row>
    <row r="103" spans="2:30" ht="16" customHeight="1" x14ac:dyDescent="0.35">
      <c r="B103" s="14" t="s">
        <v>519</v>
      </c>
      <c r="C103" s="14" t="s">
        <v>1344</v>
      </c>
      <c r="D103" s="61"/>
      <c r="E103" s="30"/>
      <c r="F103" s="63"/>
      <c r="G103" s="15">
        <f t="shared" si="2"/>
        <v>0</v>
      </c>
      <c r="H103" s="63"/>
      <c r="I103" s="15">
        <f t="shared" si="3"/>
        <v>0</v>
      </c>
      <c r="J103" s="63"/>
      <c r="K103" s="15"/>
      <c r="L103" s="15">
        <v>0</v>
      </c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</row>
    <row r="104" spans="2:30" ht="16" customHeight="1" x14ac:dyDescent="0.35">
      <c r="B104" s="14" t="s">
        <v>521</v>
      </c>
      <c r="C104" s="14" t="s">
        <v>1345</v>
      </c>
      <c r="D104" s="61"/>
      <c r="E104" s="30"/>
      <c r="F104" s="63"/>
      <c r="G104" s="15">
        <f t="shared" si="2"/>
        <v>0</v>
      </c>
      <c r="H104" s="63"/>
      <c r="I104" s="15">
        <f t="shared" si="3"/>
        <v>0</v>
      </c>
      <c r="J104" s="63"/>
      <c r="K104" s="15"/>
      <c r="L104" s="15">
        <v>0</v>
      </c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</row>
    <row r="105" spans="2:30" ht="16" customHeight="1" x14ac:dyDescent="0.35">
      <c r="B105" s="14" t="s">
        <v>483</v>
      </c>
      <c r="C105" s="14" t="s">
        <v>1346</v>
      </c>
      <c r="D105" s="61"/>
      <c r="E105" s="30"/>
      <c r="F105" s="63"/>
      <c r="G105" s="15">
        <f t="shared" si="2"/>
        <v>0</v>
      </c>
      <c r="H105" s="63"/>
      <c r="I105" s="15">
        <f t="shared" si="3"/>
        <v>0</v>
      </c>
      <c r="J105" s="63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</row>
    <row r="106" spans="2:30" ht="16" customHeight="1" x14ac:dyDescent="0.35">
      <c r="B106" s="14" t="s">
        <v>485</v>
      </c>
      <c r="C106" s="14" t="s">
        <v>1347</v>
      </c>
      <c r="D106" s="61"/>
      <c r="E106" s="30"/>
      <c r="F106" s="63"/>
      <c r="G106" s="15">
        <f t="shared" si="2"/>
        <v>0</v>
      </c>
      <c r="H106" s="63"/>
      <c r="I106" s="15">
        <f t="shared" si="3"/>
        <v>0</v>
      </c>
      <c r="J106" s="63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</row>
    <row r="107" spans="2:30" ht="16" customHeight="1" x14ac:dyDescent="0.35">
      <c r="B107" s="14" t="s">
        <v>489</v>
      </c>
      <c r="C107" s="14" t="s">
        <v>1348</v>
      </c>
      <c r="D107" s="61"/>
      <c r="E107" s="30">
        <v>2836.7139200000001</v>
      </c>
      <c r="F107" s="63"/>
      <c r="G107" s="15">
        <f t="shared" si="2"/>
        <v>2836.7139200000001</v>
      </c>
      <c r="H107" s="63"/>
      <c r="I107" s="15">
        <f t="shared" si="3"/>
        <v>0</v>
      </c>
      <c r="J107" s="63"/>
      <c r="K107" s="15">
        <v>2836.7139200000001</v>
      </c>
      <c r="L107" s="15">
        <v>0</v>
      </c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</row>
    <row r="108" spans="2:30" ht="16" customHeight="1" x14ac:dyDescent="0.35">
      <c r="B108" s="14" t="s">
        <v>491</v>
      </c>
      <c r="C108" s="14" t="s">
        <v>1349</v>
      </c>
      <c r="D108" s="61"/>
      <c r="E108" s="30">
        <v>-2836.7139200000001</v>
      </c>
      <c r="F108" s="63"/>
      <c r="G108" s="15">
        <f t="shared" ref="G108:G120" si="4">SUM(K108:AD108)</f>
        <v>-2836.7139200000001</v>
      </c>
      <c r="H108" s="63"/>
      <c r="I108" s="15">
        <f t="shared" si="3"/>
        <v>0</v>
      </c>
      <c r="J108" s="63"/>
      <c r="K108" s="15">
        <v>-2836.7139200000001</v>
      </c>
      <c r="L108" s="15">
        <v>0</v>
      </c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</row>
    <row r="109" spans="2:30" ht="16" customHeight="1" x14ac:dyDescent="0.35">
      <c r="B109" s="14" t="s">
        <v>495</v>
      </c>
      <c r="C109" s="14" t="s">
        <v>1350</v>
      </c>
      <c r="D109" s="61"/>
      <c r="E109" s="30">
        <v>60067.568070000001</v>
      </c>
      <c r="F109" s="63"/>
      <c r="G109" s="15">
        <f t="shared" si="4"/>
        <v>60067.568070000001</v>
      </c>
      <c r="H109" s="63"/>
      <c r="I109" s="15">
        <f t="shared" si="3"/>
        <v>0</v>
      </c>
      <c r="J109" s="63"/>
      <c r="K109" s="15">
        <v>60067.568070000001</v>
      </c>
      <c r="L109" s="15">
        <v>0</v>
      </c>
      <c r="M109" s="15"/>
      <c r="N109" s="15"/>
      <c r="O109" s="15">
        <v>0</v>
      </c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>
        <v>0</v>
      </c>
      <c r="AA109" s="15"/>
      <c r="AB109" s="15"/>
      <c r="AC109" s="15"/>
      <c r="AD109" s="15"/>
    </row>
    <row r="110" spans="2:30" ht="16" customHeight="1" x14ac:dyDescent="0.35">
      <c r="B110" s="14" t="s">
        <v>497</v>
      </c>
      <c r="C110" s="14" t="s">
        <v>1351</v>
      </c>
      <c r="D110" s="61"/>
      <c r="E110" s="30">
        <v>-58791.737739999997</v>
      </c>
      <c r="F110" s="63"/>
      <c r="G110" s="15">
        <f t="shared" si="4"/>
        <v>-58791.737740000004</v>
      </c>
      <c r="H110" s="63"/>
      <c r="I110" s="15">
        <f t="shared" si="3"/>
        <v>0</v>
      </c>
      <c r="J110" s="63"/>
      <c r="K110" s="15">
        <v>-58739.839740000003</v>
      </c>
      <c r="L110" s="15">
        <v>0</v>
      </c>
      <c r="M110" s="15"/>
      <c r="N110" s="15"/>
      <c r="O110" s="15"/>
      <c r="P110" s="15"/>
      <c r="Q110" s="15"/>
      <c r="R110" s="15"/>
      <c r="S110" s="15"/>
      <c r="T110" s="15">
        <v>-51.898000000000003</v>
      </c>
      <c r="U110" s="15"/>
      <c r="V110" s="15"/>
      <c r="W110" s="15"/>
      <c r="X110" s="15"/>
      <c r="Y110" s="15"/>
      <c r="Z110" s="15">
        <v>0</v>
      </c>
      <c r="AA110" s="15"/>
      <c r="AB110" s="15"/>
      <c r="AC110" s="15"/>
      <c r="AD110" s="15"/>
    </row>
    <row r="111" spans="2:30" ht="16" customHeight="1" x14ac:dyDescent="0.35">
      <c r="B111" s="14" t="s">
        <v>501</v>
      </c>
      <c r="C111" s="14" t="s">
        <v>1352</v>
      </c>
      <c r="D111" s="61"/>
      <c r="E111" s="30"/>
      <c r="F111" s="63"/>
      <c r="G111" s="15">
        <f t="shared" si="4"/>
        <v>0</v>
      </c>
      <c r="H111" s="63"/>
      <c r="I111" s="15">
        <f t="shared" si="3"/>
        <v>0</v>
      </c>
      <c r="J111" s="63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</row>
    <row r="112" spans="2:30" ht="16" customHeight="1" x14ac:dyDescent="0.35">
      <c r="B112" s="14" t="s">
        <v>503</v>
      </c>
      <c r="C112" s="14" t="s">
        <v>1353</v>
      </c>
      <c r="D112" s="61"/>
      <c r="E112" s="30"/>
      <c r="F112" s="63"/>
      <c r="G112" s="15">
        <f t="shared" si="4"/>
        <v>0</v>
      </c>
      <c r="H112" s="63"/>
      <c r="I112" s="15">
        <f t="shared" si="3"/>
        <v>0</v>
      </c>
      <c r="J112" s="63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</row>
    <row r="113" spans="2:30" ht="16" customHeight="1" x14ac:dyDescent="0.35">
      <c r="B113" s="14" t="s">
        <v>507</v>
      </c>
      <c r="C113" s="14" t="s">
        <v>1354</v>
      </c>
      <c r="D113" s="61"/>
      <c r="E113" s="30">
        <v>4264.5429999999997</v>
      </c>
      <c r="F113" s="63"/>
      <c r="G113" s="15">
        <f t="shared" si="4"/>
        <v>4264.5429999999997</v>
      </c>
      <c r="H113" s="63"/>
      <c r="I113" s="15">
        <f t="shared" si="3"/>
        <v>0</v>
      </c>
      <c r="J113" s="63"/>
      <c r="K113" s="15">
        <v>4264.5429999999997</v>
      </c>
      <c r="L113" s="15"/>
      <c r="M113" s="15"/>
      <c r="N113" s="15"/>
      <c r="O113" s="15">
        <v>0</v>
      </c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>
        <v>0</v>
      </c>
      <c r="AA113" s="15"/>
      <c r="AB113" s="15"/>
      <c r="AC113" s="15"/>
      <c r="AD113" s="15"/>
    </row>
    <row r="114" spans="2:30" ht="16" customHeight="1" x14ac:dyDescent="0.35">
      <c r="B114" s="14" t="s">
        <v>509</v>
      </c>
      <c r="C114" s="14" t="s">
        <v>1355</v>
      </c>
      <c r="D114" s="61"/>
      <c r="E114" s="30">
        <v>-4264.5429999999997</v>
      </c>
      <c r="F114" s="63"/>
      <c r="G114" s="15">
        <f t="shared" si="4"/>
        <v>-4264.5429999999997</v>
      </c>
      <c r="H114" s="63"/>
      <c r="I114" s="15">
        <f t="shared" si="3"/>
        <v>0</v>
      </c>
      <c r="J114" s="63"/>
      <c r="K114" s="15">
        <v>-4264.5429999999997</v>
      </c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>
        <v>0</v>
      </c>
      <c r="AA114" s="15"/>
      <c r="AB114" s="15"/>
      <c r="AC114" s="15"/>
      <c r="AD114" s="15"/>
    </row>
    <row r="115" spans="2:30" ht="16" customHeight="1" x14ac:dyDescent="0.35">
      <c r="B115" s="14" t="s">
        <v>513</v>
      </c>
      <c r="C115" s="14" t="s">
        <v>1356</v>
      </c>
      <c r="D115" s="61"/>
      <c r="E115" s="30">
        <v>5422.7634099999996</v>
      </c>
      <c r="F115" s="63"/>
      <c r="G115" s="15">
        <f t="shared" si="4"/>
        <v>5422.7634099999996</v>
      </c>
      <c r="H115" s="63"/>
      <c r="I115" s="15">
        <f t="shared" si="3"/>
        <v>0</v>
      </c>
      <c r="J115" s="63"/>
      <c r="K115" s="15">
        <v>5422.7634099999996</v>
      </c>
      <c r="L115" s="15">
        <v>0</v>
      </c>
      <c r="M115" s="15"/>
      <c r="N115" s="15"/>
      <c r="O115" s="15">
        <v>0</v>
      </c>
      <c r="P115" s="15">
        <v>0</v>
      </c>
      <c r="Q115" s="15"/>
      <c r="R115" s="15"/>
      <c r="S115" s="15"/>
      <c r="T115" s="15"/>
      <c r="U115" s="15"/>
      <c r="V115" s="15"/>
      <c r="W115" s="15"/>
      <c r="X115" s="15"/>
      <c r="Y115" s="15"/>
      <c r="Z115" s="15">
        <v>0</v>
      </c>
      <c r="AA115" s="15"/>
      <c r="AB115" s="15"/>
      <c r="AC115" s="15"/>
      <c r="AD115" s="15"/>
    </row>
    <row r="116" spans="2:30" ht="16" customHeight="1" x14ac:dyDescent="0.35">
      <c r="B116" s="14" t="s">
        <v>515</v>
      </c>
      <c r="C116" s="14" t="s">
        <v>1357</v>
      </c>
      <c r="D116" s="61"/>
      <c r="E116" s="30">
        <v>-5417.7277700000004</v>
      </c>
      <c r="F116" s="63"/>
      <c r="G116" s="15">
        <f t="shared" si="4"/>
        <v>-5417.7277700000004</v>
      </c>
      <c r="H116" s="63"/>
      <c r="I116" s="15">
        <f t="shared" si="3"/>
        <v>0</v>
      </c>
      <c r="J116" s="63"/>
      <c r="K116" s="15">
        <v>-5417.7277700000004</v>
      </c>
      <c r="L116" s="15">
        <v>0</v>
      </c>
      <c r="M116" s="15"/>
      <c r="N116" s="15"/>
      <c r="O116" s="15"/>
      <c r="P116" s="15"/>
      <c r="Q116" s="15"/>
      <c r="R116" s="15"/>
      <c r="S116" s="15"/>
      <c r="T116" s="15">
        <v>0</v>
      </c>
      <c r="U116" s="15"/>
      <c r="V116" s="15"/>
      <c r="W116" s="15"/>
      <c r="X116" s="15"/>
      <c r="Y116" s="15"/>
      <c r="Z116" s="15">
        <v>0</v>
      </c>
      <c r="AA116" s="15"/>
      <c r="AB116" s="15"/>
      <c r="AC116" s="15"/>
      <c r="AD116" s="15"/>
    </row>
    <row r="117" spans="2:30" ht="16" customHeight="1" x14ac:dyDescent="0.35">
      <c r="B117" s="14" t="s">
        <v>554</v>
      </c>
      <c r="C117" s="14" t="s">
        <v>555</v>
      </c>
      <c r="D117" s="61"/>
      <c r="E117" s="30">
        <v>0</v>
      </c>
      <c r="F117" s="63"/>
      <c r="G117" s="15">
        <f t="shared" si="4"/>
        <v>0</v>
      </c>
      <c r="H117" s="63"/>
      <c r="I117" s="15">
        <f t="shared" si="3"/>
        <v>0</v>
      </c>
      <c r="J117" s="63"/>
      <c r="K117" s="15">
        <v>0</v>
      </c>
      <c r="L117" s="15"/>
      <c r="M117" s="15"/>
      <c r="N117" s="15"/>
      <c r="O117" s="15">
        <v>0</v>
      </c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>
        <v>-1.155E-2</v>
      </c>
      <c r="AA117" s="15"/>
      <c r="AB117" s="15"/>
      <c r="AC117" s="15"/>
      <c r="AD117" s="15">
        <v>1.155E-2</v>
      </c>
    </row>
    <row r="118" spans="2:30" ht="16" customHeight="1" x14ac:dyDescent="0.35">
      <c r="B118" s="14" t="s">
        <v>384</v>
      </c>
      <c r="C118" s="14" t="s">
        <v>385</v>
      </c>
      <c r="D118" s="61"/>
      <c r="E118" s="30">
        <v>182.98912000000001</v>
      </c>
      <c r="F118" s="63"/>
      <c r="G118" s="15">
        <f t="shared" si="4"/>
        <v>182.98912000000001</v>
      </c>
      <c r="H118" s="63"/>
      <c r="I118" s="15">
        <f t="shared" si="3"/>
        <v>0</v>
      </c>
      <c r="J118" s="63"/>
      <c r="K118" s="15">
        <v>186.23612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>
        <v>-3.2469999999999999</v>
      </c>
      <c r="AB118" s="15"/>
      <c r="AC118" s="15"/>
      <c r="AD118" s="15"/>
    </row>
    <row r="119" spans="2:30" ht="16" customHeight="1" x14ac:dyDescent="0.35">
      <c r="B119" s="14" t="s">
        <v>386</v>
      </c>
      <c r="C119" s="14" t="s">
        <v>387</v>
      </c>
      <c r="D119" s="61"/>
      <c r="E119" s="30">
        <v>71055.432990000001</v>
      </c>
      <c r="F119" s="63"/>
      <c r="G119" s="15">
        <f t="shared" si="4"/>
        <v>71055.432990000001</v>
      </c>
      <c r="H119" s="63"/>
      <c r="I119" s="15">
        <f t="shared" si="3"/>
        <v>0</v>
      </c>
      <c r="J119" s="63"/>
      <c r="K119" s="15">
        <v>71043.77665</v>
      </c>
      <c r="L119" s="15"/>
      <c r="M119" s="15"/>
      <c r="N119" s="15"/>
      <c r="O119" s="15">
        <v>11.65634</v>
      </c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>
        <v>0</v>
      </c>
      <c r="AB119" s="15"/>
      <c r="AC119" s="15"/>
      <c r="AD119" s="15"/>
    </row>
    <row r="120" spans="2:30" ht="16" customHeight="1" x14ac:dyDescent="0.35">
      <c r="B120" s="14" t="s">
        <v>557</v>
      </c>
      <c r="C120" s="14" t="s">
        <v>558</v>
      </c>
      <c r="D120" s="61"/>
      <c r="E120" s="30"/>
      <c r="F120" s="63"/>
      <c r="G120" s="15">
        <f t="shared" si="4"/>
        <v>0</v>
      </c>
      <c r="H120" s="63"/>
      <c r="I120" s="15">
        <f t="shared" si="3"/>
        <v>0</v>
      </c>
      <c r="J120" s="63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</row>
    <row r="121" spans="2:30" ht="16" customHeight="1" x14ac:dyDescent="0.35">
      <c r="B121" s="16" t="s">
        <v>1358</v>
      </c>
      <c r="C121" s="16"/>
      <c r="D121" s="64"/>
      <c r="E121" s="31">
        <f>SUBTOTAL(109, E12:E120)</f>
        <v>8880870.0730599985</v>
      </c>
      <c r="F121" s="65"/>
      <c r="G121" s="17">
        <f>SUBTOTAL(109, G12:G120)</f>
        <v>8880870.0720599983</v>
      </c>
      <c r="H121" s="65"/>
      <c r="I121" s="17">
        <f>SUBTOTAL(109, I12:I120)</f>
        <v>1.000000091153197E-3</v>
      </c>
      <c r="J121" s="65"/>
      <c r="K121" s="17">
        <f t="shared" ref="K121:AD121" si="5">SUBTOTAL(109, K12:K120)</f>
        <v>8758954.9437899999</v>
      </c>
      <c r="L121" s="17">
        <f t="shared" si="5"/>
        <v>0</v>
      </c>
      <c r="M121" s="17">
        <f t="shared" si="5"/>
        <v>0</v>
      </c>
      <c r="N121" s="17">
        <f t="shared" si="5"/>
        <v>0</v>
      </c>
      <c r="O121" s="17">
        <f t="shared" si="5"/>
        <v>103474.08130999999</v>
      </c>
      <c r="P121" s="17">
        <f t="shared" si="5"/>
        <v>42504.420140000002</v>
      </c>
      <c r="Q121" s="17">
        <f t="shared" si="5"/>
        <v>11376.00295</v>
      </c>
      <c r="R121" s="17">
        <f t="shared" si="5"/>
        <v>0</v>
      </c>
      <c r="S121" s="17">
        <f t="shared" si="5"/>
        <v>0</v>
      </c>
      <c r="T121" s="17">
        <f t="shared" si="5"/>
        <v>-31550.475109999999</v>
      </c>
      <c r="U121" s="17">
        <f t="shared" si="5"/>
        <v>-1821.0780300000001</v>
      </c>
      <c r="V121" s="17">
        <f t="shared" si="5"/>
        <v>0</v>
      </c>
      <c r="W121" s="17">
        <f t="shared" si="5"/>
        <v>0</v>
      </c>
      <c r="X121" s="17">
        <f t="shared" si="5"/>
        <v>-33.79712</v>
      </c>
      <c r="Y121" s="17">
        <f t="shared" si="5"/>
        <v>0</v>
      </c>
      <c r="Z121" s="17">
        <f t="shared" si="5"/>
        <v>-1319.2109399999979</v>
      </c>
      <c r="AA121" s="17">
        <f t="shared" si="5"/>
        <v>-602.23751000000004</v>
      </c>
      <c r="AB121" s="17">
        <f t="shared" si="5"/>
        <v>0</v>
      </c>
      <c r="AC121" s="17">
        <f t="shared" si="5"/>
        <v>6.0109999999999997E-2</v>
      </c>
      <c r="AD121" s="17">
        <f t="shared" si="5"/>
        <v>-112.63753</v>
      </c>
    </row>
    <row r="122" spans="2:30" ht="16" customHeight="1" x14ac:dyDescent="0.35">
      <c r="B122" s="11"/>
      <c r="C122" s="11"/>
      <c r="D122" s="29"/>
      <c r="E122" s="29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spans="2:30" ht="16" customHeight="1" x14ac:dyDescent="0.35">
      <c r="B123" s="14" t="s">
        <v>577</v>
      </c>
      <c r="C123" s="14" t="s">
        <v>1365</v>
      </c>
      <c r="D123" s="61"/>
      <c r="E123" s="30">
        <v>-3.0000000000000001E-3</v>
      </c>
      <c r="F123" s="63"/>
      <c r="G123" s="15">
        <f t="shared" ref="G123:G154" si="6">SUM(K123:AD123)</f>
        <v>-2.9999999999999996E-3</v>
      </c>
      <c r="H123" s="63"/>
      <c r="I123" s="15">
        <f t="shared" ref="I123:I186" si="7">E123-G123</f>
        <v>0</v>
      </c>
      <c r="J123" s="63"/>
      <c r="K123" s="15">
        <v>-2E-3</v>
      </c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>
        <v>-5.5999999999999995E-4</v>
      </c>
      <c r="AB123" s="15"/>
      <c r="AC123" s="15"/>
      <c r="AD123" s="15">
        <v>-4.4000000000000002E-4</v>
      </c>
    </row>
    <row r="124" spans="2:30" ht="16" customHeight="1" x14ac:dyDescent="0.35">
      <c r="B124" s="14" t="s">
        <v>579</v>
      </c>
      <c r="C124" s="14" t="s">
        <v>1359</v>
      </c>
      <c r="D124" s="61"/>
      <c r="E124" s="30"/>
      <c r="F124" s="63"/>
      <c r="G124" s="15">
        <f t="shared" si="6"/>
        <v>0</v>
      </c>
      <c r="H124" s="63"/>
      <c r="I124" s="15">
        <f t="shared" si="7"/>
        <v>0</v>
      </c>
      <c r="J124" s="63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</row>
    <row r="125" spans="2:30" ht="16" customHeight="1" x14ac:dyDescent="0.35">
      <c r="B125" s="14" t="s">
        <v>581</v>
      </c>
      <c r="C125" s="14" t="s">
        <v>1360</v>
      </c>
      <c r="D125" s="61"/>
      <c r="E125" s="30"/>
      <c r="F125" s="63"/>
      <c r="G125" s="15">
        <f t="shared" si="6"/>
        <v>0</v>
      </c>
      <c r="H125" s="63"/>
      <c r="I125" s="15">
        <f t="shared" si="7"/>
        <v>0</v>
      </c>
      <c r="J125" s="63"/>
      <c r="K125" s="15"/>
      <c r="L125" s="15"/>
      <c r="M125" s="15"/>
      <c r="N125" s="15"/>
      <c r="O125" s="15"/>
      <c r="P125" s="15">
        <v>0</v>
      </c>
      <c r="Q125" s="15"/>
      <c r="R125" s="15"/>
      <c r="S125" s="15"/>
      <c r="T125" s="15"/>
      <c r="U125" s="15">
        <v>0</v>
      </c>
      <c r="V125" s="15"/>
      <c r="W125" s="15"/>
      <c r="X125" s="15"/>
      <c r="Y125" s="15"/>
      <c r="Z125" s="15"/>
      <c r="AA125" s="15"/>
      <c r="AB125" s="15"/>
      <c r="AC125" s="15"/>
      <c r="AD125" s="15"/>
    </row>
    <row r="126" spans="2:30" ht="16" customHeight="1" x14ac:dyDescent="0.35">
      <c r="B126" s="14" t="s">
        <v>583</v>
      </c>
      <c r="C126" s="14" t="s">
        <v>584</v>
      </c>
      <c r="D126" s="61"/>
      <c r="E126" s="30"/>
      <c r="F126" s="63"/>
      <c r="G126" s="15">
        <f t="shared" si="6"/>
        <v>0</v>
      </c>
      <c r="H126" s="63"/>
      <c r="I126" s="15">
        <f t="shared" si="7"/>
        <v>0</v>
      </c>
      <c r="J126" s="63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</row>
    <row r="127" spans="2:30" ht="16" customHeight="1" x14ac:dyDescent="0.35">
      <c r="B127" s="14" t="s">
        <v>599</v>
      </c>
      <c r="C127" s="14" t="s">
        <v>1368</v>
      </c>
      <c r="D127" s="61"/>
      <c r="E127" s="30">
        <v>552.51444000000004</v>
      </c>
      <c r="F127" s="63"/>
      <c r="G127" s="15">
        <f t="shared" si="6"/>
        <v>552.51444000000004</v>
      </c>
      <c r="H127" s="63"/>
      <c r="I127" s="15">
        <f t="shared" si="7"/>
        <v>0</v>
      </c>
      <c r="J127" s="63"/>
      <c r="K127" s="15">
        <v>552.51444000000004</v>
      </c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>
        <v>0</v>
      </c>
      <c r="AB127" s="15"/>
      <c r="AC127" s="15"/>
      <c r="AD127" s="15"/>
    </row>
    <row r="128" spans="2:30" ht="16" customHeight="1" x14ac:dyDescent="0.35">
      <c r="B128" s="14" t="s">
        <v>585</v>
      </c>
      <c r="C128" s="14" t="s">
        <v>1366</v>
      </c>
      <c r="D128" s="61"/>
      <c r="E128" s="30"/>
      <c r="F128" s="63"/>
      <c r="G128" s="15">
        <f t="shared" si="6"/>
        <v>0</v>
      </c>
      <c r="H128" s="63"/>
      <c r="I128" s="15">
        <f t="shared" si="7"/>
        <v>0</v>
      </c>
      <c r="J128" s="63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</row>
    <row r="129" spans="2:30" ht="16" customHeight="1" x14ac:dyDescent="0.35">
      <c r="B129" s="14" t="s">
        <v>587</v>
      </c>
      <c r="C129" s="14" t="s">
        <v>1361</v>
      </c>
      <c r="D129" s="61"/>
      <c r="E129" s="30"/>
      <c r="F129" s="63"/>
      <c r="G129" s="15">
        <f t="shared" si="6"/>
        <v>0</v>
      </c>
      <c r="H129" s="63"/>
      <c r="I129" s="15">
        <f t="shared" si="7"/>
        <v>0</v>
      </c>
      <c r="J129" s="63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</row>
    <row r="130" spans="2:30" ht="16" customHeight="1" x14ac:dyDescent="0.35">
      <c r="B130" s="14" t="s">
        <v>589</v>
      </c>
      <c r="C130" s="14" t="s">
        <v>1362</v>
      </c>
      <c r="D130" s="61"/>
      <c r="E130" s="30"/>
      <c r="F130" s="63"/>
      <c r="G130" s="15">
        <f t="shared" si="6"/>
        <v>0</v>
      </c>
      <c r="H130" s="63"/>
      <c r="I130" s="15">
        <f t="shared" si="7"/>
        <v>0</v>
      </c>
      <c r="J130" s="63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</row>
    <row r="131" spans="2:30" ht="16" customHeight="1" x14ac:dyDescent="0.35">
      <c r="B131" s="14" t="s">
        <v>591</v>
      </c>
      <c r="C131" s="14" t="s">
        <v>1363</v>
      </c>
      <c r="D131" s="61"/>
      <c r="E131" s="30"/>
      <c r="F131" s="63"/>
      <c r="G131" s="15">
        <f t="shared" si="6"/>
        <v>0</v>
      </c>
      <c r="H131" s="63"/>
      <c r="I131" s="15">
        <f t="shared" si="7"/>
        <v>0</v>
      </c>
      <c r="J131" s="63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</row>
    <row r="132" spans="2:30" ht="16" customHeight="1" x14ac:dyDescent="0.35">
      <c r="B132" s="14" t="s">
        <v>593</v>
      </c>
      <c r="C132" s="14" t="s">
        <v>1364</v>
      </c>
      <c r="D132" s="61"/>
      <c r="E132" s="30">
        <v>16698.55186</v>
      </c>
      <c r="F132" s="63"/>
      <c r="G132" s="15">
        <f t="shared" si="6"/>
        <v>16698.551860000003</v>
      </c>
      <c r="H132" s="63"/>
      <c r="I132" s="15">
        <f t="shared" si="7"/>
        <v>0</v>
      </c>
      <c r="J132" s="63"/>
      <c r="K132" s="15">
        <v>16716.675620000002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>
        <v>-18.123760000000001</v>
      </c>
      <c r="AA132" s="15"/>
      <c r="AB132" s="15"/>
      <c r="AC132" s="15"/>
      <c r="AD132" s="15"/>
    </row>
    <row r="133" spans="2:30" ht="16" customHeight="1" x14ac:dyDescent="0.35">
      <c r="B133" s="14" t="s">
        <v>595</v>
      </c>
      <c r="C133" s="14" t="s">
        <v>596</v>
      </c>
      <c r="D133" s="61"/>
      <c r="E133" s="30">
        <v>3.0000000000000001E-3</v>
      </c>
      <c r="F133" s="63"/>
      <c r="G133" s="15">
        <f t="shared" si="6"/>
        <v>3.0000000000000001E-3</v>
      </c>
      <c r="H133" s="63"/>
      <c r="I133" s="15">
        <f t="shared" si="7"/>
        <v>0</v>
      </c>
      <c r="J133" s="63"/>
      <c r="K133" s="15">
        <v>2E-3</v>
      </c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>
        <v>-3.0000000000000001E-3</v>
      </c>
      <c r="AB133" s="15"/>
      <c r="AC133" s="15"/>
      <c r="AD133" s="15">
        <v>4.0000000000000001E-3</v>
      </c>
    </row>
    <row r="134" spans="2:30" ht="16" customHeight="1" x14ac:dyDescent="0.35">
      <c r="B134" s="14" t="s">
        <v>1373</v>
      </c>
      <c r="C134" s="14" t="s">
        <v>1374</v>
      </c>
      <c r="D134" s="61"/>
      <c r="E134" s="30"/>
      <c r="F134" s="63"/>
      <c r="G134" s="15">
        <f t="shared" si="6"/>
        <v>0</v>
      </c>
      <c r="H134" s="63"/>
      <c r="I134" s="15">
        <f t="shared" si="7"/>
        <v>0</v>
      </c>
      <c r="J134" s="63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</row>
    <row r="135" spans="2:30" ht="16" customHeight="1" x14ac:dyDescent="0.35">
      <c r="B135" s="14" t="s">
        <v>1375</v>
      </c>
      <c r="C135" s="14" t="s">
        <v>1376</v>
      </c>
      <c r="D135" s="61"/>
      <c r="E135" s="30"/>
      <c r="F135" s="63"/>
      <c r="G135" s="15">
        <f t="shared" si="6"/>
        <v>0</v>
      </c>
      <c r="H135" s="63"/>
      <c r="I135" s="15">
        <f t="shared" si="7"/>
        <v>0</v>
      </c>
      <c r="J135" s="63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</row>
    <row r="136" spans="2:30" ht="16" customHeight="1" x14ac:dyDescent="0.35">
      <c r="B136" s="14" t="s">
        <v>1377</v>
      </c>
      <c r="C136" s="14" t="s">
        <v>1378</v>
      </c>
      <c r="D136" s="61"/>
      <c r="E136" s="30"/>
      <c r="F136" s="63"/>
      <c r="G136" s="15">
        <f t="shared" si="6"/>
        <v>0</v>
      </c>
      <c r="H136" s="63"/>
      <c r="I136" s="15">
        <f t="shared" si="7"/>
        <v>0</v>
      </c>
      <c r="J136" s="63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</row>
    <row r="137" spans="2:30" ht="16" customHeight="1" x14ac:dyDescent="0.35">
      <c r="B137" s="14" t="s">
        <v>1379</v>
      </c>
      <c r="C137" s="14" t="s">
        <v>1380</v>
      </c>
      <c r="D137" s="61"/>
      <c r="E137" s="30"/>
      <c r="F137" s="63"/>
      <c r="G137" s="15">
        <f t="shared" si="6"/>
        <v>0</v>
      </c>
      <c r="H137" s="63"/>
      <c r="I137" s="15">
        <f t="shared" si="7"/>
        <v>0</v>
      </c>
      <c r="J137" s="63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</row>
    <row r="138" spans="2:30" ht="16" customHeight="1" x14ac:dyDescent="0.35">
      <c r="B138" s="14" t="s">
        <v>1381</v>
      </c>
      <c r="C138" s="14" t="s">
        <v>1382</v>
      </c>
      <c r="D138" s="61"/>
      <c r="E138" s="30"/>
      <c r="F138" s="63"/>
      <c r="G138" s="15">
        <f t="shared" si="6"/>
        <v>0</v>
      </c>
      <c r="H138" s="63"/>
      <c r="I138" s="15">
        <f t="shared" si="7"/>
        <v>0</v>
      </c>
      <c r="J138" s="63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</row>
    <row r="139" spans="2:30" ht="16" customHeight="1" x14ac:dyDescent="0.35">
      <c r="B139" s="14" t="s">
        <v>1383</v>
      </c>
      <c r="C139" s="14" t="s">
        <v>1384</v>
      </c>
      <c r="D139" s="61"/>
      <c r="E139" s="30">
        <v>61.400289999999998</v>
      </c>
      <c r="F139" s="63"/>
      <c r="G139" s="15">
        <f t="shared" si="6"/>
        <v>61.400289999999998</v>
      </c>
      <c r="H139" s="63"/>
      <c r="I139" s="15">
        <f t="shared" si="7"/>
        <v>0</v>
      </c>
      <c r="J139" s="63"/>
      <c r="K139" s="15">
        <v>35.265650000000001</v>
      </c>
      <c r="L139" s="15"/>
      <c r="M139" s="15"/>
      <c r="N139" s="15"/>
      <c r="O139" s="15">
        <v>26.134640000000001</v>
      </c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</row>
    <row r="140" spans="2:30" ht="16" customHeight="1" x14ac:dyDescent="0.35">
      <c r="B140" s="14" t="s">
        <v>566</v>
      </c>
      <c r="C140" s="14" t="s">
        <v>1369</v>
      </c>
      <c r="D140" s="61"/>
      <c r="E140" s="30">
        <v>15743.256020000001</v>
      </c>
      <c r="F140" s="63"/>
      <c r="G140" s="15">
        <f t="shared" si="6"/>
        <v>15743.256019999999</v>
      </c>
      <c r="H140" s="63"/>
      <c r="I140" s="15">
        <f t="shared" si="7"/>
        <v>0</v>
      </c>
      <c r="J140" s="63"/>
      <c r="K140" s="15">
        <v>8831.2709400000003</v>
      </c>
      <c r="L140" s="15"/>
      <c r="M140" s="15"/>
      <c r="N140" s="15"/>
      <c r="O140" s="15">
        <v>6919.4018900000001</v>
      </c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>
        <v>-7.4168099999999999</v>
      </c>
      <c r="AB140" s="15"/>
      <c r="AC140" s="15"/>
      <c r="AD140" s="15"/>
    </row>
    <row r="141" spans="2:30" ht="16" customHeight="1" x14ac:dyDescent="0.35">
      <c r="B141" s="14" t="s">
        <v>615</v>
      </c>
      <c r="C141" s="14" t="s">
        <v>1389</v>
      </c>
      <c r="D141" s="61"/>
      <c r="E141" s="30">
        <v>15191.34895</v>
      </c>
      <c r="F141" s="63"/>
      <c r="G141" s="15">
        <f t="shared" si="6"/>
        <v>15191.351960000002</v>
      </c>
      <c r="H141" s="63"/>
      <c r="I141" s="15">
        <f t="shared" si="7"/>
        <v>-3.0100000021775486E-3</v>
      </c>
      <c r="J141" s="63"/>
      <c r="K141" s="15">
        <v>16551.961910000002</v>
      </c>
      <c r="L141" s="15"/>
      <c r="M141" s="15"/>
      <c r="N141" s="15"/>
      <c r="O141" s="15">
        <v>-1360.6068700000001</v>
      </c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>
        <v>9.8859999999999992</v>
      </c>
      <c r="AB141" s="15"/>
      <c r="AC141" s="15"/>
      <c r="AD141" s="15">
        <v>-9.8890799999999999</v>
      </c>
    </row>
    <row r="142" spans="2:30" ht="16" customHeight="1" x14ac:dyDescent="0.35">
      <c r="B142" s="14" t="s">
        <v>568</v>
      </c>
      <c r="C142" s="14" t="s">
        <v>1370</v>
      </c>
      <c r="D142" s="61"/>
      <c r="E142" s="30"/>
      <c r="F142" s="63"/>
      <c r="G142" s="15">
        <f t="shared" si="6"/>
        <v>0</v>
      </c>
      <c r="H142" s="63"/>
      <c r="I142" s="15">
        <f t="shared" si="7"/>
        <v>0</v>
      </c>
      <c r="J142" s="63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</row>
    <row r="143" spans="2:30" ht="16" customHeight="1" x14ac:dyDescent="0.35">
      <c r="B143" s="14" t="s">
        <v>617</v>
      </c>
      <c r="C143" s="14" t="s">
        <v>1390</v>
      </c>
      <c r="D143" s="61"/>
      <c r="E143" s="30"/>
      <c r="F143" s="63"/>
      <c r="G143" s="15">
        <f t="shared" si="6"/>
        <v>0</v>
      </c>
      <c r="H143" s="63"/>
      <c r="I143" s="15">
        <f t="shared" si="7"/>
        <v>0</v>
      </c>
      <c r="J143" s="63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</row>
    <row r="144" spans="2:30" ht="16" customHeight="1" x14ac:dyDescent="0.35">
      <c r="B144" s="14" t="s">
        <v>627</v>
      </c>
      <c r="C144" s="14" t="s">
        <v>1391</v>
      </c>
      <c r="D144" s="61"/>
      <c r="E144" s="30">
        <v>34724.782500000001</v>
      </c>
      <c r="F144" s="63"/>
      <c r="G144" s="15">
        <f t="shared" si="6"/>
        <v>34724.782500000001</v>
      </c>
      <c r="H144" s="63"/>
      <c r="I144" s="15">
        <f t="shared" si="7"/>
        <v>0</v>
      </c>
      <c r="J144" s="63"/>
      <c r="K144" s="15">
        <v>34961.501210000002</v>
      </c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>
        <v>-236.71870999999999</v>
      </c>
      <c r="AA144" s="15"/>
      <c r="AB144" s="15"/>
      <c r="AC144" s="15"/>
      <c r="AD144" s="15"/>
    </row>
    <row r="145" spans="2:30" ht="16" customHeight="1" x14ac:dyDescent="0.35">
      <c r="B145" s="14" t="s">
        <v>572</v>
      </c>
      <c r="C145" s="14" t="s">
        <v>573</v>
      </c>
      <c r="D145" s="61"/>
      <c r="E145" s="30">
        <v>3157.8740899999998</v>
      </c>
      <c r="F145" s="63"/>
      <c r="G145" s="15">
        <f t="shared" si="6"/>
        <v>3157.8740899999998</v>
      </c>
      <c r="H145" s="63"/>
      <c r="I145" s="15">
        <f t="shared" si="7"/>
        <v>0</v>
      </c>
      <c r="J145" s="63"/>
      <c r="K145" s="15">
        <v>3836.2452199999998</v>
      </c>
      <c r="L145" s="15"/>
      <c r="M145" s="15"/>
      <c r="N145" s="15"/>
      <c r="O145" s="15">
        <v>-678.37112999999999</v>
      </c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>
        <v>0</v>
      </c>
    </row>
    <row r="146" spans="2:30" ht="16" customHeight="1" x14ac:dyDescent="0.35">
      <c r="B146" s="14" t="s">
        <v>629</v>
      </c>
      <c r="C146" s="14" t="s">
        <v>1674</v>
      </c>
      <c r="D146" s="61"/>
      <c r="E146" s="30"/>
      <c r="F146" s="63"/>
      <c r="G146" s="15">
        <f t="shared" si="6"/>
        <v>0</v>
      </c>
      <c r="H146" s="63"/>
      <c r="I146" s="15">
        <f t="shared" si="7"/>
        <v>0</v>
      </c>
      <c r="J146" s="63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</row>
    <row r="147" spans="2:30" ht="16" customHeight="1" x14ac:dyDescent="0.35">
      <c r="B147" s="14" t="s">
        <v>570</v>
      </c>
      <c r="C147" s="14" t="s">
        <v>1372</v>
      </c>
      <c r="D147" s="61"/>
      <c r="E147" s="30">
        <v>334182.90156999999</v>
      </c>
      <c r="F147" s="63"/>
      <c r="G147" s="15">
        <f t="shared" si="6"/>
        <v>334182.90156999999</v>
      </c>
      <c r="H147" s="63"/>
      <c r="I147" s="15">
        <f t="shared" si="7"/>
        <v>0</v>
      </c>
      <c r="J147" s="63"/>
      <c r="K147" s="15">
        <v>343124.18839999998</v>
      </c>
      <c r="L147" s="15"/>
      <c r="M147" s="15"/>
      <c r="N147" s="15"/>
      <c r="O147" s="15">
        <v>-8933.3630400000002</v>
      </c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>
        <v>0</v>
      </c>
      <c r="AB147" s="15"/>
      <c r="AC147" s="15"/>
      <c r="AD147" s="15">
        <v>-7.9237900000000003</v>
      </c>
    </row>
    <row r="148" spans="2:30" ht="16" customHeight="1" x14ac:dyDescent="0.35">
      <c r="B148" s="14" t="s">
        <v>643</v>
      </c>
      <c r="C148" s="14" t="s">
        <v>1675</v>
      </c>
      <c r="D148" s="61"/>
      <c r="E148" s="30"/>
      <c r="F148" s="63"/>
      <c r="G148" s="15">
        <f t="shared" si="6"/>
        <v>0</v>
      </c>
      <c r="H148" s="63"/>
      <c r="I148" s="15">
        <f t="shared" si="7"/>
        <v>0</v>
      </c>
      <c r="J148" s="63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</row>
    <row r="149" spans="2:30" ht="16" customHeight="1" x14ac:dyDescent="0.35">
      <c r="B149" s="14" t="s">
        <v>621</v>
      </c>
      <c r="C149" s="14" t="s">
        <v>1676</v>
      </c>
      <c r="D149" s="61"/>
      <c r="E149" s="30">
        <v>20295.965250000001</v>
      </c>
      <c r="F149" s="63"/>
      <c r="G149" s="15">
        <f t="shared" si="6"/>
        <v>20295.965250000001</v>
      </c>
      <c r="H149" s="63"/>
      <c r="I149" s="15">
        <f t="shared" si="7"/>
        <v>0</v>
      </c>
      <c r="J149" s="63"/>
      <c r="K149" s="15">
        <v>18180.061150000001</v>
      </c>
      <c r="L149" s="15"/>
      <c r="M149" s="15"/>
      <c r="N149" s="15"/>
      <c r="O149" s="15">
        <v>2115.9041000000002</v>
      </c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</row>
    <row r="150" spans="2:30" ht="16" customHeight="1" x14ac:dyDescent="0.35">
      <c r="B150" s="14" t="s">
        <v>623</v>
      </c>
      <c r="C150" s="14" t="s">
        <v>1386</v>
      </c>
      <c r="D150" s="61"/>
      <c r="E150" s="30"/>
      <c r="F150" s="63"/>
      <c r="G150" s="15">
        <f t="shared" si="6"/>
        <v>0</v>
      </c>
      <c r="H150" s="63"/>
      <c r="I150" s="15">
        <f t="shared" si="7"/>
        <v>0</v>
      </c>
      <c r="J150" s="63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</row>
    <row r="151" spans="2:30" ht="16" customHeight="1" x14ac:dyDescent="0.35">
      <c r="B151" s="14" t="s">
        <v>625</v>
      </c>
      <c r="C151" s="14" t="s">
        <v>1387</v>
      </c>
      <c r="D151" s="61"/>
      <c r="E151" s="30">
        <v>12871.554959999999</v>
      </c>
      <c r="F151" s="63"/>
      <c r="G151" s="15">
        <f t="shared" si="6"/>
        <v>12871.554950000002</v>
      </c>
      <c r="H151" s="63"/>
      <c r="I151" s="15">
        <f t="shared" si="7"/>
        <v>9.9999979283893481E-6</v>
      </c>
      <c r="J151" s="63"/>
      <c r="K151" s="15">
        <v>10513.541660000001</v>
      </c>
      <c r="L151" s="15"/>
      <c r="M151" s="15"/>
      <c r="N151" s="15"/>
      <c r="O151" s="15">
        <v>2407.1826900000001</v>
      </c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>
        <v>-47.84601</v>
      </c>
      <c r="AA151" s="15"/>
      <c r="AB151" s="15"/>
      <c r="AC151" s="15"/>
      <c r="AD151" s="15">
        <v>-1.3233900000000001</v>
      </c>
    </row>
    <row r="152" spans="2:30" ht="16" customHeight="1" x14ac:dyDescent="0.35">
      <c r="B152" s="14" t="s">
        <v>619</v>
      </c>
      <c r="C152" s="14" t="s">
        <v>1388</v>
      </c>
      <c r="D152" s="61"/>
      <c r="E152" s="30">
        <v>44020.872629999998</v>
      </c>
      <c r="F152" s="63"/>
      <c r="G152" s="15">
        <f t="shared" si="6"/>
        <v>44020.872629999998</v>
      </c>
      <c r="H152" s="63"/>
      <c r="I152" s="15">
        <f t="shared" si="7"/>
        <v>0</v>
      </c>
      <c r="J152" s="63"/>
      <c r="K152" s="15">
        <v>41882.64071</v>
      </c>
      <c r="L152" s="15"/>
      <c r="M152" s="15"/>
      <c r="N152" s="15"/>
      <c r="O152" s="15">
        <v>2143.23362</v>
      </c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>
        <v>-5.0016999999999996</v>
      </c>
    </row>
    <row r="153" spans="2:30" ht="16" customHeight="1" x14ac:dyDescent="0.35">
      <c r="B153" s="14" t="s">
        <v>1393</v>
      </c>
      <c r="C153" s="14" t="s">
        <v>1394</v>
      </c>
      <c r="D153" s="61"/>
      <c r="E153" s="30"/>
      <c r="F153" s="63"/>
      <c r="G153" s="15">
        <f t="shared" si="6"/>
        <v>0</v>
      </c>
      <c r="H153" s="63"/>
      <c r="I153" s="15">
        <f t="shared" si="7"/>
        <v>0</v>
      </c>
      <c r="J153" s="63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</row>
    <row r="154" spans="2:30" ht="16" customHeight="1" x14ac:dyDescent="0.35">
      <c r="B154" s="14" t="s">
        <v>1395</v>
      </c>
      <c r="C154" s="14" t="s">
        <v>1396</v>
      </c>
      <c r="D154" s="61"/>
      <c r="E154" s="30">
        <v>4980.0187999999998</v>
      </c>
      <c r="F154" s="63"/>
      <c r="G154" s="15">
        <f t="shared" si="6"/>
        <v>4980.0187999999998</v>
      </c>
      <c r="H154" s="63"/>
      <c r="I154" s="15">
        <f t="shared" si="7"/>
        <v>0</v>
      </c>
      <c r="J154" s="63"/>
      <c r="K154" s="15">
        <v>5773.6801699999996</v>
      </c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>
        <v>-793.66137000000003</v>
      </c>
      <c r="W154" s="15"/>
      <c r="X154" s="15"/>
      <c r="Y154" s="15"/>
      <c r="Z154" s="15"/>
      <c r="AA154" s="15"/>
      <c r="AB154" s="15"/>
      <c r="AC154" s="15"/>
      <c r="AD154" s="15"/>
    </row>
    <row r="155" spans="2:30" ht="16" customHeight="1" x14ac:dyDescent="0.35">
      <c r="B155" s="14" t="s">
        <v>1397</v>
      </c>
      <c r="C155" s="14" t="s">
        <v>1398</v>
      </c>
      <c r="D155" s="61"/>
      <c r="E155" s="30">
        <v>33653.46</v>
      </c>
      <c r="F155" s="63"/>
      <c r="G155" s="15">
        <f t="shared" ref="G155:G217" si="8">SUM(K155:AD155)</f>
        <v>33653.46</v>
      </c>
      <c r="H155" s="63"/>
      <c r="I155" s="15">
        <f t="shared" si="7"/>
        <v>0</v>
      </c>
      <c r="J155" s="63"/>
      <c r="K155" s="15">
        <v>33641.977720000003</v>
      </c>
      <c r="L155" s="15"/>
      <c r="M155" s="15"/>
      <c r="N155" s="15"/>
      <c r="O155" s="15"/>
      <c r="P155" s="15"/>
      <c r="Q155" s="15"/>
      <c r="R155" s="15"/>
      <c r="S155" s="15"/>
      <c r="T155" s="15">
        <v>11.482279999999999</v>
      </c>
      <c r="U155" s="15"/>
      <c r="V155" s="15">
        <v>0</v>
      </c>
      <c r="W155" s="15"/>
      <c r="X155" s="15"/>
      <c r="Y155" s="15"/>
      <c r="Z155" s="15">
        <v>0</v>
      </c>
      <c r="AA155" s="15"/>
      <c r="AB155" s="15"/>
      <c r="AC155" s="15"/>
      <c r="AD155" s="15"/>
    </row>
    <row r="156" spans="2:30" ht="16" customHeight="1" x14ac:dyDescent="0.35">
      <c r="B156" s="14" t="s">
        <v>1399</v>
      </c>
      <c r="C156" s="14" t="s">
        <v>1400</v>
      </c>
      <c r="D156" s="61"/>
      <c r="E156" s="30">
        <v>9777.5305200000003</v>
      </c>
      <c r="F156" s="63"/>
      <c r="G156" s="15">
        <f t="shared" si="8"/>
        <v>9777.5305200000003</v>
      </c>
      <c r="H156" s="63"/>
      <c r="I156" s="15">
        <f t="shared" si="7"/>
        <v>0</v>
      </c>
      <c r="J156" s="63"/>
      <c r="K156" s="15">
        <v>9777.5305200000003</v>
      </c>
      <c r="L156" s="15"/>
      <c r="M156" s="15"/>
      <c r="N156" s="15"/>
      <c r="O156" s="15"/>
      <c r="P156" s="15"/>
      <c r="Q156" s="15"/>
      <c r="R156" s="15"/>
      <c r="S156" s="15"/>
      <c r="T156" s="15">
        <v>0</v>
      </c>
      <c r="U156" s="15"/>
      <c r="V156" s="15">
        <v>0</v>
      </c>
      <c r="W156" s="15"/>
      <c r="X156" s="15"/>
      <c r="Y156" s="15"/>
      <c r="Z156" s="15"/>
      <c r="AA156" s="15"/>
      <c r="AB156" s="15"/>
      <c r="AC156" s="15"/>
      <c r="AD156" s="15"/>
    </row>
    <row r="157" spans="2:30" ht="16" customHeight="1" x14ac:dyDescent="0.35">
      <c r="B157" s="14" t="s">
        <v>1401</v>
      </c>
      <c r="C157" s="14" t="s">
        <v>1402</v>
      </c>
      <c r="D157" s="61"/>
      <c r="E157" s="30">
        <v>910.26625000000001</v>
      </c>
      <c r="F157" s="63"/>
      <c r="G157" s="15">
        <f t="shared" si="8"/>
        <v>910.26625000000001</v>
      </c>
      <c r="H157" s="63"/>
      <c r="I157" s="15">
        <f t="shared" si="7"/>
        <v>0</v>
      </c>
      <c r="J157" s="63"/>
      <c r="K157" s="15">
        <v>-337.99982</v>
      </c>
      <c r="L157" s="15"/>
      <c r="M157" s="15"/>
      <c r="N157" s="15"/>
      <c r="O157" s="15"/>
      <c r="P157" s="15"/>
      <c r="Q157" s="15"/>
      <c r="R157" s="15"/>
      <c r="S157" s="15"/>
      <c r="T157" s="15">
        <v>1188.5669</v>
      </c>
      <c r="U157" s="15"/>
      <c r="V157" s="15">
        <v>11.853160000000001</v>
      </c>
      <c r="W157" s="15"/>
      <c r="X157" s="15"/>
      <c r="Y157" s="15"/>
      <c r="Z157" s="15">
        <v>47.84601</v>
      </c>
      <c r="AA157" s="15"/>
      <c r="AB157" s="15"/>
      <c r="AC157" s="15"/>
      <c r="AD157" s="15"/>
    </row>
    <row r="158" spans="2:30" ht="16" customHeight="1" x14ac:dyDescent="0.35">
      <c r="B158" s="14" t="s">
        <v>1403</v>
      </c>
      <c r="C158" s="14" t="s">
        <v>1404</v>
      </c>
      <c r="D158" s="61"/>
      <c r="E158" s="30"/>
      <c r="F158" s="63"/>
      <c r="G158" s="15">
        <f t="shared" si="8"/>
        <v>0</v>
      </c>
      <c r="H158" s="63"/>
      <c r="I158" s="15">
        <f t="shared" si="7"/>
        <v>0</v>
      </c>
      <c r="J158" s="63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</row>
    <row r="159" spans="2:30" ht="16" customHeight="1" x14ac:dyDescent="0.35">
      <c r="B159" s="14" t="s">
        <v>602</v>
      </c>
      <c r="C159" s="14" t="s">
        <v>1407</v>
      </c>
      <c r="D159" s="61"/>
      <c r="E159" s="30">
        <v>13.629860000000001</v>
      </c>
      <c r="F159" s="63"/>
      <c r="G159" s="15">
        <f t="shared" si="8"/>
        <v>13.629859999999999</v>
      </c>
      <c r="H159" s="63"/>
      <c r="I159" s="15">
        <f t="shared" si="7"/>
        <v>0</v>
      </c>
      <c r="J159" s="63"/>
      <c r="K159" s="15">
        <v>13.842309999999999</v>
      </c>
      <c r="L159" s="15"/>
      <c r="M159" s="15"/>
      <c r="N159" s="15"/>
      <c r="O159" s="15">
        <v>5.9999999999999995E-4</v>
      </c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>
        <v>0</v>
      </c>
      <c r="AA159" s="15"/>
      <c r="AB159" s="15"/>
      <c r="AC159" s="15"/>
      <c r="AD159" s="15">
        <v>-0.21304999999999999</v>
      </c>
    </row>
    <row r="160" spans="2:30" ht="16" customHeight="1" x14ac:dyDescent="0.35">
      <c r="B160" s="14" t="s">
        <v>604</v>
      </c>
      <c r="C160" s="14" t="s">
        <v>1408</v>
      </c>
      <c r="D160" s="61"/>
      <c r="E160" s="30">
        <v>0</v>
      </c>
      <c r="F160" s="63"/>
      <c r="G160" s="15">
        <f t="shared" si="8"/>
        <v>0</v>
      </c>
      <c r="H160" s="63"/>
      <c r="I160" s="15">
        <f t="shared" si="7"/>
        <v>0</v>
      </c>
      <c r="J160" s="63"/>
      <c r="K160" s="15">
        <v>0</v>
      </c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</row>
    <row r="161" spans="2:30" ht="16" customHeight="1" x14ac:dyDescent="0.35">
      <c r="B161" s="14" t="s">
        <v>1405</v>
      </c>
      <c r="C161" s="14" t="s">
        <v>1406</v>
      </c>
      <c r="D161" s="61"/>
      <c r="E161" s="30"/>
      <c r="F161" s="63"/>
      <c r="G161" s="15">
        <f t="shared" si="8"/>
        <v>0</v>
      </c>
      <c r="H161" s="63"/>
      <c r="I161" s="15">
        <f t="shared" si="7"/>
        <v>0</v>
      </c>
      <c r="J161" s="63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</row>
    <row r="162" spans="2:30" ht="16" customHeight="1" x14ac:dyDescent="0.35">
      <c r="B162" s="14" t="s">
        <v>631</v>
      </c>
      <c r="C162" s="14" t="s">
        <v>632</v>
      </c>
      <c r="D162" s="61"/>
      <c r="E162" s="30"/>
      <c r="F162" s="63"/>
      <c r="G162" s="15">
        <f t="shared" si="8"/>
        <v>0</v>
      </c>
      <c r="H162" s="63"/>
      <c r="I162" s="15">
        <f t="shared" si="7"/>
        <v>0</v>
      </c>
      <c r="J162" s="63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</row>
    <row r="163" spans="2:30" ht="16" customHeight="1" x14ac:dyDescent="0.35">
      <c r="B163" s="14" t="s">
        <v>633</v>
      </c>
      <c r="C163" s="14" t="s">
        <v>634</v>
      </c>
      <c r="D163" s="61"/>
      <c r="E163" s="30"/>
      <c r="F163" s="63"/>
      <c r="G163" s="15">
        <f t="shared" si="8"/>
        <v>0</v>
      </c>
      <c r="H163" s="63"/>
      <c r="I163" s="15">
        <f t="shared" si="7"/>
        <v>0</v>
      </c>
      <c r="J163" s="63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</row>
    <row r="164" spans="2:30" ht="16" customHeight="1" x14ac:dyDescent="0.35">
      <c r="B164" s="14" t="s">
        <v>635</v>
      </c>
      <c r="C164" s="14" t="s">
        <v>636</v>
      </c>
      <c r="D164" s="61"/>
      <c r="E164" s="30">
        <v>5.31</v>
      </c>
      <c r="F164" s="63"/>
      <c r="G164" s="15">
        <f t="shared" si="8"/>
        <v>5.3050000000000006</v>
      </c>
      <c r="H164" s="63"/>
      <c r="I164" s="15">
        <f t="shared" si="7"/>
        <v>4.9999999999990052E-3</v>
      </c>
      <c r="J164" s="63"/>
      <c r="K164" s="15">
        <v>5.28</v>
      </c>
      <c r="L164" s="15"/>
      <c r="M164" s="15"/>
      <c r="N164" s="15"/>
      <c r="O164" s="15">
        <v>-0.106</v>
      </c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>
        <v>0</v>
      </c>
      <c r="AA164" s="15">
        <v>-0.75</v>
      </c>
      <c r="AB164" s="15"/>
      <c r="AC164" s="15"/>
      <c r="AD164" s="15">
        <v>0.88100000000000001</v>
      </c>
    </row>
    <row r="165" spans="2:30" ht="16" customHeight="1" x14ac:dyDescent="0.35">
      <c r="B165" s="14" t="s">
        <v>648</v>
      </c>
      <c r="C165" s="14" t="s">
        <v>1413</v>
      </c>
      <c r="D165" s="61"/>
      <c r="E165" s="30">
        <v>1046637.09841</v>
      </c>
      <c r="F165" s="63"/>
      <c r="G165" s="15">
        <f t="shared" si="8"/>
        <v>1046637.0984300001</v>
      </c>
      <c r="H165" s="63"/>
      <c r="I165" s="15">
        <f t="shared" si="7"/>
        <v>-2.0000152289867401E-5</v>
      </c>
      <c r="J165" s="63"/>
      <c r="K165" s="15">
        <v>1028831.1725400001</v>
      </c>
      <c r="L165" s="15"/>
      <c r="M165" s="15"/>
      <c r="N165" s="15"/>
      <c r="O165" s="15">
        <v>0</v>
      </c>
      <c r="P165" s="15">
        <v>17863.32706</v>
      </c>
      <c r="Q165" s="15"/>
      <c r="R165" s="15"/>
      <c r="S165" s="15"/>
      <c r="T165" s="15"/>
      <c r="U165" s="15"/>
      <c r="V165" s="15"/>
      <c r="W165" s="15"/>
      <c r="X165" s="15"/>
      <c r="Y165" s="15"/>
      <c r="Z165" s="15">
        <v>-1.4365000000000001</v>
      </c>
      <c r="AA165" s="15">
        <v>0</v>
      </c>
      <c r="AB165" s="15"/>
      <c r="AC165" s="15"/>
      <c r="AD165" s="15">
        <v>-55.964669999999998</v>
      </c>
    </row>
    <row r="166" spans="2:30" ht="16" customHeight="1" x14ac:dyDescent="0.35">
      <c r="B166" s="14" t="s">
        <v>650</v>
      </c>
      <c r="C166" s="14" t="s">
        <v>1677</v>
      </c>
      <c r="D166" s="61"/>
      <c r="E166" s="30"/>
      <c r="F166" s="63"/>
      <c r="G166" s="15">
        <f t="shared" si="8"/>
        <v>0</v>
      </c>
      <c r="H166" s="63"/>
      <c r="I166" s="15">
        <f t="shared" si="7"/>
        <v>0</v>
      </c>
      <c r="J166" s="63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</row>
    <row r="167" spans="2:30" ht="16" customHeight="1" x14ac:dyDescent="0.35">
      <c r="B167" s="14" t="s">
        <v>652</v>
      </c>
      <c r="C167" s="14" t="s">
        <v>1678</v>
      </c>
      <c r="D167" s="61"/>
      <c r="E167" s="30"/>
      <c r="F167" s="63"/>
      <c r="G167" s="15">
        <f t="shared" si="8"/>
        <v>0</v>
      </c>
      <c r="H167" s="63"/>
      <c r="I167" s="15">
        <f t="shared" si="7"/>
        <v>0</v>
      </c>
      <c r="J167" s="63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</row>
    <row r="168" spans="2:30" ht="16" customHeight="1" x14ac:dyDescent="0.35">
      <c r="B168" s="14" t="s">
        <v>654</v>
      </c>
      <c r="C168" s="14" t="s">
        <v>1411</v>
      </c>
      <c r="D168" s="61"/>
      <c r="E168" s="30">
        <v>0</v>
      </c>
      <c r="F168" s="63"/>
      <c r="G168" s="15">
        <f t="shared" si="8"/>
        <v>0</v>
      </c>
      <c r="H168" s="63"/>
      <c r="I168" s="15">
        <f t="shared" si="7"/>
        <v>0</v>
      </c>
      <c r="J168" s="63"/>
      <c r="K168" s="15">
        <v>0</v>
      </c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</row>
    <row r="169" spans="2:30" ht="16" customHeight="1" x14ac:dyDescent="0.35">
      <c r="B169" s="14" t="s">
        <v>656</v>
      </c>
      <c r="C169" s="14" t="s">
        <v>1412</v>
      </c>
      <c r="D169" s="61"/>
      <c r="E169" s="30">
        <v>71959.299050000001</v>
      </c>
      <c r="F169" s="63"/>
      <c r="G169" s="15">
        <f t="shared" si="8"/>
        <v>71959.299049999972</v>
      </c>
      <c r="H169" s="63"/>
      <c r="I169" s="15">
        <f t="shared" si="7"/>
        <v>0</v>
      </c>
      <c r="J169" s="63"/>
      <c r="K169" s="15">
        <v>73572.144939999998</v>
      </c>
      <c r="L169" s="15"/>
      <c r="M169" s="15"/>
      <c r="N169" s="15"/>
      <c r="O169" s="15"/>
      <c r="P169" s="15">
        <v>-112.96348</v>
      </c>
      <c r="Q169" s="15">
        <v>658.31849999999997</v>
      </c>
      <c r="R169" s="15"/>
      <c r="S169" s="15"/>
      <c r="T169" s="15"/>
      <c r="U169" s="15">
        <v>-1694.0779399999999</v>
      </c>
      <c r="V169" s="15"/>
      <c r="W169" s="15">
        <v>314.69195000000002</v>
      </c>
      <c r="X169" s="15"/>
      <c r="Y169" s="15"/>
      <c r="Z169" s="15">
        <v>-790.17971</v>
      </c>
      <c r="AA169" s="15">
        <v>11.356210000000001</v>
      </c>
      <c r="AB169" s="15"/>
      <c r="AC169" s="15"/>
      <c r="AD169" s="15">
        <v>8.5800000000000008E-3</v>
      </c>
    </row>
    <row r="170" spans="2:30" ht="16" customHeight="1" x14ac:dyDescent="0.35">
      <c r="B170" s="14" t="s">
        <v>663</v>
      </c>
      <c r="C170" s="14" t="s">
        <v>1679</v>
      </c>
      <c r="D170" s="61"/>
      <c r="E170" s="30">
        <v>8.7067599999999992</v>
      </c>
      <c r="F170" s="63"/>
      <c r="G170" s="15">
        <f t="shared" si="8"/>
        <v>8.7067599999999992</v>
      </c>
      <c r="H170" s="63"/>
      <c r="I170" s="15">
        <f t="shared" si="7"/>
        <v>0</v>
      </c>
      <c r="J170" s="63"/>
      <c r="K170" s="15">
        <v>8.7067599999999992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>
        <v>0</v>
      </c>
      <c r="AB170" s="15"/>
      <c r="AC170" s="15"/>
      <c r="AD170" s="15"/>
    </row>
    <row r="171" spans="2:30" ht="16" customHeight="1" x14ac:dyDescent="0.35">
      <c r="B171" s="14" t="s">
        <v>669</v>
      </c>
      <c r="C171" s="14" t="s">
        <v>670</v>
      </c>
      <c r="D171" s="61"/>
      <c r="E171" s="30">
        <v>431455.56251999998</v>
      </c>
      <c r="F171" s="63"/>
      <c r="G171" s="15">
        <f t="shared" si="8"/>
        <v>431455.56251999998</v>
      </c>
      <c r="H171" s="63"/>
      <c r="I171" s="15">
        <f t="shared" si="7"/>
        <v>0</v>
      </c>
      <c r="J171" s="63"/>
      <c r="K171" s="15">
        <v>431455.56251999998</v>
      </c>
      <c r="L171" s="15"/>
      <c r="M171" s="15"/>
      <c r="N171" s="15"/>
      <c r="O171" s="15"/>
      <c r="P171" s="15"/>
      <c r="Q171" s="15"/>
      <c r="R171" s="15"/>
      <c r="S171" s="15"/>
      <c r="T171" s="15">
        <v>0</v>
      </c>
      <c r="U171" s="15"/>
      <c r="V171" s="15"/>
      <c r="W171" s="15"/>
      <c r="X171" s="15"/>
      <c r="Y171" s="15"/>
      <c r="Z171" s="15"/>
      <c r="AA171" s="15">
        <v>0</v>
      </c>
      <c r="AB171" s="15"/>
      <c r="AC171" s="15"/>
      <c r="AD171" s="15"/>
    </row>
    <row r="172" spans="2:30" ht="16" customHeight="1" x14ac:dyDescent="0.35">
      <c r="B172" s="14" t="s">
        <v>1430</v>
      </c>
      <c r="C172" s="14" t="s">
        <v>1431</v>
      </c>
      <c r="D172" s="61"/>
      <c r="E172" s="30">
        <v>95764.741190000001</v>
      </c>
      <c r="F172" s="63"/>
      <c r="G172" s="15">
        <f t="shared" si="8"/>
        <v>95764.741190000015</v>
      </c>
      <c r="H172" s="63"/>
      <c r="I172" s="15">
        <f t="shared" si="7"/>
        <v>0</v>
      </c>
      <c r="J172" s="63"/>
      <c r="K172" s="15">
        <v>96162.451700000005</v>
      </c>
      <c r="L172" s="15"/>
      <c r="M172" s="15"/>
      <c r="N172" s="15"/>
      <c r="O172" s="15"/>
      <c r="P172" s="15"/>
      <c r="Q172" s="15"/>
      <c r="R172" s="15"/>
      <c r="S172" s="15"/>
      <c r="T172" s="15">
        <v>-20.866779999999999</v>
      </c>
      <c r="U172" s="15"/>
      <c r="V172" s="15">
        <v>-832.26072999999997</v>
      </c>
      <c r="W172" s="15">
        <v>455.41699999999997</v>
      </c>
      <c r="X172" s="15"/>
      <c r="Y172" s="15"/>
      <c r="Z172" s="15"/>
      <c r="AA172" s="15"/>
      <c r="AB172" s="15"/>
      <c r="AC172" s="15"/>
      <c r="AD172" s="15"/>
    </row>
    <row r="173" spans="2:30" ht="16" customHeight="1" x14ac:dyDescent="0.35">
      <c r="B173" s="14" t="s">
        <v>1414</v>
      </c>
      <c r="C173" s="14" t="s">
        <v>1415</v>
      </c>
      <c r="D173" s="61"/>
      <c r="E173" s="30">
        <v>75926.175919999994</v>
      </c>
      <c r="F173" s="63"/>
      <c r="G173" s="15">
        <f t="shared" si="8"/>
        <v>75926.175919999994</v>
      </c>
      <c r="H173" s="63"/>
      <c r="I173" s="15">
        <f t="shared" si="7"/>
        <v>0</v>
      </c>
      <c r="J173" s="63"/>
      <c r="K173" s="15">
        <v>75606.248869999996</v>
      </c>
      <c r="L173" s="15"/>
      <c r="M173" s="15"/>
      <c r="N173" s="15"/>
      <c r="O173" s="15"/>
      <c r="P173" s="15"/>
      <c r="Q173" s="15"/>
      <c r="R173" s="15"/>
      <c r="S173" s="15"/>
      <c r="T173" s="15">
        <v>158.11967000000001</v>
      </c>
      <c r="U173" s="15"/>
      <c r="V173" s="15">
        <v>56.291339999999998</v>
      </c>
      <c r="W173" s="15">
        <v>105.51604</v>
      </c>
      <c r="X173" s="15"/>
      <c r="Y173" s="15"/>
      <c r="Z173" s="15"/>
      <c r="AA173" s="15"/>
      <c r="AB173" s="15"/>
      <c r="AC173" s="15"/>
      <c r="AD173" s="15"/>
    </row>
    <row r="174" spans="2:30" ht="16" customHeight="1" x14ac:dyDescent="0.35">
      <c r="B174" s="14" t="s">
        <v>1416</v>
      </c>
      <c r="C174" s="14" t="s">
        <v>1417</v>
      </c>
      <c r="D174" s="61"/>
      <c r="E174" s="30">
        <v>820.81299999999999</v>
      </c>
      <c r="F174" s="63"/>
      <c r="G174" s="15">
        <f t="shared" si="8"/>
        <v>820.81299999999999</v>
      </c>
      <c r="H174" s="63"/>
      <c r="I174" s="15">
        <f t="shared" si="7"/>
        <v>0</v>
      </c>
      <c r="J174" s="63"/>
      <c r="K174" s="15">
        <v>820.81299999999999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>
        <v>0</v>
      </c>
      <c r="W174" s="15"/>
      <c r="X174" s="15"/>
      <c r="Y174" s="15"/>
      <c r="Z174" s="15"/>
      <c r="AA174" s="15"/>
      <c r="AB174" s="15"/>
      <c r="AC174" s="15"/>
      <c r="AD174" s="15"/>
    </row>
    <row r="175" spans="2:30" ht="16" customHeight="1" x14ac:dyDescent="0.35">
      <c r="B175" s="14" t="s">
        <v>1418</v>
      </c>
      <c r="C175" s="14" t="s">
        <v>1419</v>
      </c>
      <c r="D175" s="61"/>
      <c r="E175" s="30"/>
      <c r="F175" s="63"/>
      <c r="G175" s="15">
        <f t="shared" si="8"/>
        <v>0</v>
      </c>
      <c r="H175" s="63"/>
      <c r="I175" s="15">
        <f t="shared" si="7"/>
        <v>0</v>
      </c>
      <c r="J175" s="63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</row>
    <row r="176" spans="2:30" ht="16" customHeight="1" x14ac:dyDescent="0.35">
      <c r="B176" s="14" t="s">
        <v>1420</v>
      </c>
      <c r="C176" s="14" t="s">
        <v>1421</v>
      </c>
      <c r="D176" s="61"/>
      <c r="E176" s="30">
        <v>1667.65753</v>
      </c>
      <c r="F176" s="63"/>
      <c r="G176" s="15">
        <f t="shared" si="8"/>
        <v>1667.65753</v>
      </c>
      <c r="H176" s="63"/>
      <c r="I176" s="15">
        <f t="shared" si="7"/>
        <v>0</v>
      </c>
      <c r="J176" s="63"/>
      <c r="K176" s="15">
        <v>1284.8974900000001</v>
      </c>
      <c r="L176" s="15"/>
      <c r="M176" s="15"/>
      <c r="N176" s="15"/>
      <c r="O176" s="15"/>
      <c r="P176" s="15"/>
      <c r="Q176" s="15"/>
      <c r="R176" s="15"/>
      <c r="S176" s="15"/>
      <c r="T176" s="15">
        <v>20.49136</v>
      </c>
      <c r="U176" s="15"/>
      <c r="V176" s="15">
        <v>362.26868000000002</v>
      </c>
      <c r="W176" s="15"/>
      <c r="X176" s="15"/>
      <c r="Y176" s="15"/>
      <c r="Z176" s="15">
        <v>0</v>
      </c>
      <c r="AA176" s="15"/>
      <c r="AB176" s="15"/>
      <c r="AC176" s="15"/>
      <c r="AD176" s="15"/>
    </row>
    <row r="177" spans="2:30" ht="16" customHeight="1" x14ac:dyDescent="0.35">
      <c r="B177" s="14" t="s">
        <v>1422</v>
      </c>
      <c r="C177" s="14" t="s">
        <v>1423</v>
      </c>
      <c r="D177" s="61"/>
      <c r="E177" s="30">
        <v>70207.530710000006</v>
      </c>
      <c r="F177" s="63"/>
      <c r="G177" s="15">
        <f t="shared" si="8"/>
        <v>70207.530709999992</v>
      </c>
      <c r="H177" s="63"/>
      <c r="I177" s="15">
        <f t="shared" si="7"/>
        <v>0</v>
      </c>
      <c r="J177" s="63"/>
      <c r="K177" s="15">
        <v>71099.406189999994</v>
      </c>
      <c r="L177" s="15"/>
      <c r="M177" s="15"/>
      <c r="N177" s="15"/>
      <c r="O177" s="15"/>
      <c r="P177" s="15"/>
      <c r="Q177" s="15"/>
      <c r="R177" s="15"/>
      <c r="S177" s="15"/>
      <c r="T177" s="15">
        <v>6630.81</v>
      </c>
      <c r="U177" s="15"/>
      <c r="V177" s="15">
        <v>-7522.6854800000001</v>
      </c>
      <c r="W177" s="15">
        <v>0</v>
      </c>
      <c r="X177" s="15"/>
      <c r="Y177" s="15"/>
      <c r="Z177" s="15">
        <v>0</v>
      </c>
      <c r="AA177" s="15"/>
      <c r="AB177" s="15"/>
      <c r="AC177" s="15"/>
      <c r="AD177" s="15"/>
    </row>
    <row r="178" spans="2:30" ht="16" customHeight="1" x14ac:dyDescent="0.35">
      <c r="B178" s="14" t="s">
        <v>1424</v>
      </c>
      <c r="C178" s="14" t="s">
        <v>1425</v>
      </c>
      <c r="D178" s="61"/>
      <c r="E178" s="30"/>
      <c r="F178" s="63"/>
      <c r="G178" s="15">
        <f t="shared" si="8"/>
        <v>0</v>
      </c>
      <c r="H178" s="63"/>
      <c r="I178" s="15">
        <f t="shared" si="7"/>
        <v>0</v>
      </c>
      <c r="J178" s="63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</row>
    <row r="179" spans="2:30" ht="16" customHeight="1" x14ac:dyDescent="0.35">
      <c r="B179" s="14" t="s">
        <v>1426</v>
      </c>
      <c r="C179" s="14" t="s">
        <v>1427</v>
      </c>
      <c r="D179" s="61"/>
      <c r="E179" s="30">
        <v>2708.4449300000001</v>
      </c>
      <c r="F179" s="63"/>
      <c r="G179" s="15">
        <f t="shared" si="8"/>
        <v>2708.4449300000001</v>
      </c>
      <c r="H179" s="63"/>
      <c r="I179" s="15">
        <f t="shared" si="7"/>
        <v>0</v>
      </c>
      <c r="J179" s="63"/>
      <c r="K179" s="15">
        <v>2708.4449300000001</v>
      </c>
      <c r="L179" s="15"/>
      <c r="M179" s="15"/>
      <c r="N179" s="15"/>
      <c r="O179" s="15"/>
      <c r="P179" s="15"/>
      <c r="Q179" s="15"/>
      <c r="R179" s="15"/>
      <c r="S179" s="15"/>
      <c r="T179" s="15">
        <v>0</v>
      </c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</row>
    <row r="180" spans="2:30" ht="16" customHeight="1" x14ac:dyDescent="0.35">
      <c r="B180" s="14" t="s">
        <v>1428</v>
      </c>
      <c r="C180" s="14" t="s">
        <v>1429</v>
      </c>
      <c r="D180" s="61"/>
      <c r="E180" s="30"/>
      <c r="F180" s="63"/>
      <c r="G180" s="15">
        <f t="shared" si="8"/>
        <v>0</v>
      </c>
      <c r="H180" s="63"/>
      <c r="I180" s="15">
        <f t="shared" si="7"/>
        <v>0</v>
      </c>
      <c r="J180" s="63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</row>
    <row r="181" spans="2:30" ht="16" customHeight="1" x14ac:dyDescent="0.35">
      <c r="B181" s="14" t="s">
        <v>674</v>
      </c>
      <c r="C181" s="14" t="s">
        <v>1432</v>
      </c>
      <c r="D181" s="61"/>
      <c r="E181" s="30">
        <v>133131.45379</v>
      </c>
      <c r="F181" s="63"/>
      <c r="G181" s="15">
        <f t="shared" si="8"/>
        <v>133131.45379</v>
      </c>
      <c r="H181" s="63"/>
      <c r="I181" s="15">
        <f t="shared" si="7"/>
        <v>0</v>
      </c>
      <c r="J181" s="63"/>
      <c r="K181" s="15">
        <v>125981.90355</v>
      </c>
      <c r="L181" s="15"/>
      <c r="M181" s="15"/>
      <c r="N181" s="15"/>
      <c r="O181" s="15"/>
      <c r="P181" s="15"/>
      <c r="Q181" s="15">
        <v>10717.684450000001</v>
      </c>
      <c r="R181" s="15"/>
      <c r="S181" s="15"/>
      <c r="T181" s="15"/>
      <c r="U181" s="15">
        <v>-3956.4825999999998</v>
      </c>
      <c r="V181" s="15"/>
      <c r="W181" s="15">
        <v>668.34317999999996</v>
      </c>
      <c r="X181" s="15"/>
      <c r="Y181" s="15"/>
      <c r="Z181" s="15">
        <v>-272.83733000000001</v>
      </c>
      <c r="AA181" s="15">
        <v>-7.1574600000000004</v>
      </c>
      <c r="AB181" s="15"/>
      <c r="AC181" s="15"/>
      <c r="AD181" s="15"/>
    </row>
    <row r="182" spans="2:30" ht="16" customHeight="1" x14ac:dyDescent="0.35">
      <c r="B182" s="14" t="s">
        <v>677</v>
      </c>
      <c r="C182" s="14" t="s">
        <v>678</v>
      </c>
      <c r="D182" s="61"/>
      <c r="E182" s="30">
        <v>11291.107</v>
      </c>
      <c r="F182" s="63"/>
      <c r="G182" s="15">
        <f t="shared" si="8"/>
        <v>11291.107</v>
      </c>
      <c r="H182" s="63"/>
      <c r="I182" s="15">
        <f t="shared" si="7"/>
        <v>0</v>
      </c>
      <c r="J182" s="63"/>
      <c r="K182" s="15">
        <v>11291.107</v>
      </c>
      <c r="L182" s="15"/>
      <c r="M182" s="15"/>
      <c r="N182" s="15"/>
      <c r="O182" s="15">
        <v>0</v>
      </c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</row>
    <row r="183" spans="2:30" ht="16" customHeight="1" x14ac:dyDescent="0.35">
      <c r="B183" s="14" t="s">
        <v>658</v>
      </c>
      <c r="C183" s="14" t="s">
        <v>659</v>
      </c>
      <c r="D183" s="61"/>
      <c r="E183" s="30">
        <v>-78.828999999999994</v>
      </c>
      <c r="F183" s="63"/>
      <c r="G183" s="15">
        <f t="shared" si="8"/>
        <v>-78.828000000000017</v>
      </c>
      <c r="H183" s="63"/>
      <c r="I183" s="15">
        <f t="shared" si="7"/>
        <v>-9.9999999997635314E-4</v>
      </c>
      <c r="J183" s="63"/>
      <c r="K183" s="15">
        <v>-94.638999999999996</v>
      </c>
      <c r="L183" s="15"/>
      <c r="M183" s="15"/>
      <c r="N183" s="15"/>
      <c r="O183" s="15">
        <v>-3695.8159999999998</v>
      </c>
      <c r="P183" s="15">
        <v>3711.6289999999999</v>
      </c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>
        <v>-2E-3</v>
      </c>
    </row>
    <row r="184" spans="2:30" ht="16" customHeight="1" x14ac:dyDescent="0.35">
      <c r="B184" s="14" t="s">
        <v>1433</v>
      </c>
      <c r="C184" s="14" t="s">
        <v>1434</v>
      </c>
      <c r="D184" s="61"/>
      <c r="E184" s="30">
        <v>-5331.7996400000002</v>
      </c>
      <c r="F184" s="63"/>
      <c r="G184" s="15">
        <f t="shared" si="8"/>
        <v>-5331.7996400000002</v>
      </c>
      <c r="H184" s="63"/>
      <c r="I184" s="15">
        <f t="shared" si="7"/>
        <v>0</v>
      </c>
      <c r="J184" s="63"/>
      <c r="K184" s="15">
        <v>-5331.7996400000002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</row>
    <row r="185" spans="2:30" ht="16" customHeight="1" x14ac:dyDescent="0.35">
      <c r="B185" s="14" t="s">
        <v>1435</v>
      </c>
      <c r="C185" s="14" t="s">
        <v>1436</v>
      </c>
      <c r="D185" s="61"/>
      <c r="E185" s="30"/>
      <c r="F185" s="63"/>
      <c r="G185" s="15">
        <f t="shared" si="8"/>
        <v>0</v>
      </c>
      <c r="H185" s="63"/>
      <c r="I185" s="15">
        <f t="shared" si="7"/>
        <v>0</v>
      </c>
      <c r="J185" s="63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</row>
    <row r="186" spans="2:30" ht="16" customHeight="1" x14ac:dyDescent="0.35">
      <c r="B186" s="14" t="s">
        <v>688</v>
      </c>
      <c r="C186" s="14" t="s">
        <v>1437</v>
      </c>
      <c r="D186" s="61"/>
      <c r="E186" s="30">
        <v>10032657.489019999</v>
      </c>
      <c r="F186" s="63"/>
      <c r="G186" s="15">
        <f t="shared" si="8"/>
        <v>10032657.489019999</v>
      </c>
      <c r="H186" s="63"/>
      <c r="I186" s="15">
        <f t="shared" si="7"/>
        <v>0</v>
      </c>
      <c r="J186" s="63"/>
      <c r="K186" s="15">
        <v>10032657.489019999</v>
      </c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</row>
    <row r="187" spans="2:30" ht="16" customHeight="1" x14ac:dyDescent="0.35">
      <c r="B187" s="14" t="s">
        <v>691</v>
      </c>
      <c r="C187" s="14" t="s">
        <v>1680</v>
      </c>
      <c r="D187" s="61"/>
      <c r="E187" s="30"/>
      <c r="F187" s="63"/>
      <c r="G187" s="15">
        <f t="shared" si="8"/>
        <v>0</v>
      </c>
      <c r="H187" s="63"/>
      <c r="I187" s="15">
        <f t="shared" ref="I187:I217" si="9">E187-G187</f>
        <v>0</v>
      </c>
      <c r="J187" s="63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</row>
    <row r="188" spans="2:30" ht="16" customHeight="1" x14ac:dyDescent="0.35">
      <c r="B188" s="14" t="s">
        <v>694</v>
      </c>
      <c r="C188" s="14" t="s">
        <v>695</v>
      </c>
      <c r="D188" s="61"/>
      <c r="E188" s="30">
        <v>-0.30901000000000001</v>
      </c>
      <c r="F188" s="63"/>
      <c r="G188" s="15">
        <f t="shared" si="8"/>
        <v>-0.30901000000000001</v>
      </c>
      <c r="H188" s="63"/>
      <c r="I188" s="15">
        <f t="shared" si="9"/>
        <v>0</v>
      </c>
      <c r="J188" s="63"/>
      <c r="K188" s="15">
        <v>-0.30901000000000001</v>
      </c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>
        <v>0</v>
      </c>
      <c r="AA188" s="15"/>
      <c r="AB188" s="15"/>
      <c r="AC188" s="15"/>
      <c r="AD188" s="15"/>
    </row>
    <row r="189" spans="2:30" ht="16" customHeight="1" x14ac:dyDescent="0.35">
      <c r="B189" s="14" t="s">
        <v>696</v>
      </c>
      <c r="C189" s="14" t="s">
        <v>1438</v>
      </c>
      <c r="D189" s="61"/>
      <c r="E189" s="30">
        <v>-4701793.52575</v>
      </c>
      <c r="F189" s="63"/>
      <c r="G189" s="15">
        <f t="shared" si="8"/>
        <v>-4701793.52575</v>
      </c>
      <c r="H189" s="63"/>
      <c r="I189" s="15">
        <f t="shared" si="9"/>
        <v>0</v>
      </c>
      <c r="J189" s="63"/>
      <c r="K189" s="15">
        <v>-4701793.6709399996</v>
      </c>
      <c r="L189" s="15"/>
      <c r="M189" s="15">
        <v>0</v>
      </c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>
        <v>8.5080000000000003E-2</v>
      </c>
      <c r="AA189" s="15"/>
      <c r="AB189" s="15"/>
      <c r="AC189" s="15">
        <v>6.0109999999999997E-2</v>
      </c>
      <c r="AD189" s="15"/>
    </row>
    <row r="190" spans="2:30" ht="16" customHeight="1" x14ac:dyDescent="0.35">
      <c r="B190" s="14" t="s">
        <v>698</v>
      </c>
      <c r="C190" s="14" t="s">
        <v>699</v>
      </c>
      <c r="D190" s="61"/>
      <c r="E190" s="30">
        <v>195961.07592</v>
      </c>
      <c r="F190" s="63"/>
      <c r="G190" s="15">
        <f t="shared" si="8"/>
        <v>195961.07592</v>
      </c>
      <c r="H190" s="63"/>
      <c r="I190" s="15">
        <f t="shared" si="9"/>
        <v>0</v>
      </c>
      <c r="J190" s="63"/>
      <c r="K190" s="15">
        <v>99361.642999999996</v>
      </c>
      <c r="L190" s="15"/>
      <c r="M190" s="15">
        <v>0</v>
      </c>
      <c r="N190" s="15">
        <v>96599.432920000007</v>
      </c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</row>
    <row r="191" spans="2:30" ht="16" customHeight="1" x14ac:dyDescent="0.35">
      <c r="B191" s="14" t="s">
        <v>700</v>
      </c>
      <c r="C191" s="14" t="s">
        <v>1440</v>
      </c>
      <c r="D191" s="61"/>
      <c r="E191" s="30">
        <v>1052539.90766</v>
      </c>
      <c r="F191" s="63"/>
      <c r="G191" s="15">
        <f t="shared" si="8"/>
        <v>1052539.90766</v>
      </c>
      <c r="H191" s="63"/>
      <c r="I191" s="15">
        <f t="shared" si="9"/>
        <v>0</v>
      </c>
      <c r="J191" s="63"/>
      <c r="K191" s="15">
        <v>1052539.90766</v>
      </c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</row>
    <row r="192" spans="2:30" ht="16" customHeight="1" x14ac:dyDescent="0.35">
      <c r="B192" s="14" t="s">
        <v>702</v>
      </c>
      <c r="C192" s="14" t="s">
        <v>1441</v>
      </c>
      <c r="D192" s="61"/>
      <c r="E192" s="30">
        <v>36239.577120000002</v>
      </c>
      <c r="F192" s="63"/>
      <c r="G192" s="15">
        <f t="shared" si="8"/>
        <v>36239.577120000002</v>
      </c>
      <c r="H192" s="63"/>
      <c r="I192" s="15">
        <f t="shared" si="9"/>
        <v>0</v>
      </c>
      <c r="J192" s="63"/>
      <c r="K192" s="15">
        <v>36272.790110000002</v>
      </c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>
        <v>-33.212989999999998</v>
      </c>
    </row>
    <row r="193" spans="2:30" ht="16" customHeight="1" x14ac:dyDescent="0.35">
      <c r="B193" s="14" t="s">
        <v>704</v>
      </c>
      <c r="C193" s="14" t="s">
        <v>705</v>
      </c>
      <c r="D193" s="61"/>
      <c r="E193" s="30"/>
      <c r="F193" s="63"/>
      <c r="G193" s="15">
        <f t="shared" si="8"/>
        <v>0</v>
      </c>
      <c r="H193" s="63"/>
      <c r="I193" s="15">
        <f t="shared" si="9"/>
        <v>0</v>
      </c>
      <c r="J193" s="63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</row>
    <row r="194" spans="2:30" ht="16" customHeight="1" x14ac:dyDescent="0.35">
      <c r="B194" s="14" t="s">
        <v>706</v>
      </c>
      <c r="C194" s="14" t="s">
        <v>1442</v>
      </c>
      <c r="D194" s="61"/>
      <c r="E194" s="30"/>
      <c r="F194" s="63"/>
      <c r="G194" s="15">
        <f t="shared" si="8"/>
        <v>0</v>
      </c>
      <c r="H194" s="63"/>
      <c r="I194" s="15">
        <f t="shared" si="9"/>
        <v>0</v>
      </c>
      <c r="J194" s="63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</row>
    <row r="195" spans="2:30" ht="16" customHeight="1" x14ac:dyDescent="0.35">
      <c r="B195" s="14" t="s">
        <v>708</v>
      </c>
      <c r="C195" s="14" t="s">
        <v>709</v>
      </c>
      <c r="D195" s="61"/>
      <c r="E195" s="30"/>
      <c r="F195" s="63"/>
      <c r="G195" s="15">
        <f t="shared" si="8"/>
        <v>0</v>
      </c>
      <c r="H195" s="63"/>
      <c r="I195" s="15">
        <f t="shared" si="9"/>
        <v>0</v>
      </c>
      <c r="J195" s="63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</row>
    <row r="196" spans="2:30" ht="16" customHeight="1" x14ac:dyDescent="0.35">
      <c r="B196" s="14" t="s">
        <v>710</v>
      </c>
      <c r="C196" s="14" t="s">
        <v>711</v>
      </c>
      <c r="D196" s="61"/>
      <c r="E196" s="30"/>
      <c r="F196" s="63"/>
      <c r="G196" s="15">
        <f t="shared" si="8"/>
        <v>0</v>
      </c>
      <c r="H196" s="63"/>
      <c r="I196" s="15">
        <f t="shared" si="9"/>
        <v>0</v>
      </c>
      <c r="J196" s="63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</row>
    <row r="197" spans="2:30" ht="16" customHeight="1" x14ac:dyDescent="0.35">
      <c r="B197" s="14" t="s">
        <v>712</v>
      </c>
      <c r="C197" s="14" t="s">
        <v>713</v>
      </c>
      <c r="D197" s="61"/>
      <c r="E197" s="30"/>
      <c r="F197" s="63"/>
      <c r="G197" s="15">
        <f t="shared" si="8"/>
        <v>0</v>
      </c>
      <c r="H197" s="63"/>
      <c r="I197" s="15">
        <f t="shared" si="9"/>
        <v>0</v>
      </c>
      <c r="J197" s="63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</row>
    <row r="198" spans="2:30" ht="16" customHeight="1" x14ac:dyDescent="0.35">
      <c r="B198" s="14" t="s">
        <v>714</v>
      </c>
      <c r="C198" s="14" t="s">
        <v>1681</v>
      </c>
      <c r="D198" s="61"/>
      <c r="E198" s="30">
        <v>0</v>
      </c>
      <c r="F198" s="63"/>
      <c r="G198" s="15">
        <f t="shared" si="8"/>
        <v>0</v>
      </c>
      <c r="H198" s="63"/>
      <c r="I198" s="15">
        <f t="shared" si="9"/>
        <v>0</v>
      </c>
      <c r="J198" s="63"/>
      <c r="K198" s="15">
        <v>0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</row>
    <row r="199" spans="2:30" ht="16" customHeight="1" x14ac:dyDescent="0.35">
      <c r="B199" s="14" t="s">
        <v>716</v>
      </c>
      <c r="C199" s="14" t="s">
        <v>1444</v>
      </c>
      <c r="D199" s="61"/>
      <c r="E199" s="30"/>
      <c r="F199" s="63"/>
      <c r="G199" s="15">
        <f t="shared" si="8"/>
        <v>0</v>
      </c>
      <c r="H199" s="63"/>
      <c r="I199" s="15">
        <f t="shared" si="9"/>
        <v>0</v>
      </c>
      <c r="J199" s="63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</row>
    <row r="200" spans="2:30" ht="16" customHeight="1" x14ac:dyDescent="0.35">
      <c r="B200" s="14" t="s">
        <v>718</v>
      </c>
      <c r="C200" s="14" t="s">
        <v>1445</v>
      </c>
      <c r="D200" s="61"/>
      <c r="E200" s="30"/>
      <c r="F200" s="63"/>
      <c r="G200" s="15">
        <f t="shared" si="8"/>
        <v>0</v>
      </c>
      <c r="H200" s="63"/>
      <c r="I200" s="15">
        <f t="shared" si="9"/>
        <v>0</v>
      </c>
      <c r="J200" s="63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</row>
    <row r="201" spans="2:30" ht="16" customHeight="1" x14ac:dyDescent="0.35">
      <c r="B201" s="14" t="s">
        <v>720</v>
      </c>
      <c r="C201" s="14" t="s">
        <v>721</v>
      </c>
      <c r="D201" s="61"/>
      <c r="E201" s="30">
        <v>1634.6095299999999</v>
      </c>
      <c r="F201" s="63"/>
      <c r="G201" s="15">
        <f t="shared" si="8"/>
        <v>1634.6095299999999</v>
      </c>
      <c r="H201" s="63"/>
      <c r="I201" s="15">
        <f t="shared" si="9"/>
        <v>0</v>
      </c>
      <c r="J201" s="63"/>
      <c r="K201" s="15">
        <v>1634.6095299999999</v>
      </c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>
        <v>0</v>
      </c>
      <c r="AB201" s="15">
        <v>0</v>
      </c>
      <c r="AC201" s="15"/>
      <c r="AD201" s="15"/>
    </row>
    <row r="202" spans="2:30" ht="16" customHeight="1" x14ac:dyDescent="0.35">
      <c r="B202" s="14" t="s">
        <v>722</v>
      </c>
      <c r="C202" s="14" t="s">
        <v>723</v>
      </c>
      <c r="D202" s="61"/>
      <c r="E202" s="30">
        <v>-382.74698000000001</v>
      </c>
      <c r="F202" s="63"/>
      <c r="G202" s="15">
        <f t="shared" si="8"/>
        <v>-382.74698000000001</v>
      </c>
      <c r="H202" s="63"/>
      <c r="I202" s="15">
        <f t="shared" si="9"/>
        <v>0</v>
      </c>
      <c r="J202" s="63"/>
      <c r="K202" s="15">
        <v>-382.74698000000001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>
        <v>0</v>
      </c>
      <c r="AB202" s="15">
        <v>0</v>
      </c>
      <c r="AC202" s="15"/>
      <c r="AD202" s="15"/>
    </row>
    <row r="203" spans="2:30" ht="16" customHeight="1" x14ac:dyDescent="0.35">
      <c r="B203" s="14" t="s">
        <v>724</v>
      </c>
      <c r="C203" s="14" t="s">
        <v>1446</v>
      </c>
      <c r="D203" s="61"/>
      <c r="E203" s="30">
        <v>33053.66461</v>
      </c>
      <c r="F203" s="63"/>
      <c r="G203" s="15">
        <f t="shared" si="8"/>
        <v>33053.66461</v>
      </c>
      <c r="H203" s="63"/>
      <c r="I203" s="15">
        <f t="shared" si="9"/>
        <v>0</v>
      </c>
      <c r="J203" s="63"/>
      <c r="K203" s="15">
        <v>33257.331610000001</v>
      </c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>
        <v>-203.667</v>
      </c>
      <c r="AC203" s="15"/>
      <c r="AD203" s="15"/>
    </row>
    <row r="204" spans="2:30" ht="16" customHeight="1" x14ac:dyDescent="0.35">
      <c r="B204" s="14" t="s">
        <v>726</v>
      </c>
      <c r="C204" s="14" t="s">
        <v>727</v>
      </c>
      <c r="D204" s="61"/>
      <c r="E204" s="30">
        <v>6.165</v>
      </c>
      <c r="F204" s="63"/>
      <c r="G204" s="15">
        <f t="shared" si="8"/>
        <v>6.165</v>
      </c>
      <c r="H204" s="63"/>
      <c r="I204" s="15">
        <f t="shared" si="9"/>
        <v>0</v>
      </c>
      <c r="J204" s="63"/>
      <c r="K204" s="15">
        <v>6.3319999999999999</v>
      </c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>
        <v>-0.16700000000000001</v>
      </c>
      <c r="AC204" s="15"/>
      <c r="AD204" s="15"/>
    </row>
    <row r="205" spans="2:30" ht="16" customHeight="1" x14ac:dyDescent="0.35">
      <c r="B205" s="14" t="s">
        <v>728</v>
      </c>
      <c r="C205" s="14" t="s">
        <v>1447</v>
      </c>
      <c r="D205" s="61"/>
      <c r="E205" s="30"/>
      <c r="F205" s="63"/>
      <c r="G205" s="15">
        <f t="shared" si="8"/>
        <v>0</v>
      </c>
      <c r="H205" s="63"/>
      <c r="I205" s="15">
        <f t="shared" si="9"/>
        <v>0</v>
      </c>
      <c r="J205" s="63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2:30" ht="16" customHeight="1" x14ac:dyDescent="0.35">
      <c r="B206" s="14" t="s">
        <v>730</v>
      </c>
      <c r="C206" s="14" t="s">
        <v>1448</v>
      </c>
      <c r="D206" s="61"/>
      <c r="E206" s="30">
        <v>-8841.5616200000004</v>
      </c>
      <c r="F206" s="63"/>
      <c r="G206" s="15">
        <f t="shared" si="8"/>
        <v>-8841.5616200000004</v>
      </c>
      <c r="H206" s="63"/>
      <c r="I206" s="15">
        <f t="shared" si="9"/>
        <v>0</v>
      </c>
      <c r="J206" s="63"/>
      <c r="K206" s="15">
        <v>-8841.5616200000004</v>
      </c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>
        <v>0</v>
      </c>
      <c r="AB206" s="15"/>
      <c r="AC206" s="15"/>
      <c r="AD206" s="15"/>
    </row>
    <row r="207" spans="2:30" ht="16" customHeight="1" x14ac:dyDescent="0.35">
      <c r="B207" s="14" t="s">
        <v>732</v>
      </c>
      <c r="C207" s="14" t="s">
        <v>1449</v>
      </c>
      <c r="D207" s="61"/>
      <c r="E207" s="30">
        <v>-243213.44787</v>
      </c>
      <c r="F207" s="63"/>
      <c r="G207" s="15">
        <f t="shared" si="8"/>
        <v>-243213.44787</v>
      </c>
      <c r="H207" s="63"/>
      <c r="I207" s="15">
        <f t="shared" si="9"/>
        <v>0</v>
      </c>
      <c r="J207" s="63"/>
      <c r="K207" s="15">
        <v>-243213.44787</v>
      </c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2:30" ht="16" customHeight="1" x14ac:dyDescent="0.35">
      <c r="B208" s="14" t="s">
        <v>734</v>
      </c>
      <c r="C208" s="14" t="s">
        <v>1450</v>
      </c>
      <c r="D208" s="61"/>
      <c r="E208" s="30"/>
      <c r="F208" s="63"/>
      <c r="G208" s="15">
        <f t="shared" si="8"/>
        <v>0</v>
      </c>
      <c r="H208" s="63"/>
      <c r="I208" s="15">
        <f t="shared" si="9"/>
        <v>0</v>
      </c>
      <c r="J208" s="63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2:30" ht="16" customHeight="1" x14ac:dyDescent="0.35">
      <c r="B209" s="14" t="s">
        <v>736</v>
      </c>
      <c r="C209" s="14" t="s">
        <v>1451</v>
      </c>
      <c r="D209" s="61"/>
      <c r="E209" s="30"/>
      <c r="F209" s="63"/>
      <c r="G209" s="15">
        <f t="shared" si="8"/>
        <v>0</v>
      </c>
      <c r="H209" s="63"/>
      <c r="I209" s="15">
        <f t="shared" si="9"/>
        <v>0</v>
      </c>
      <c r="J209" s="63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2:30" ht="16" customHeight="1" x14ac:dyDescent="0.35">
      <c r="B210" s="14" t="s">
        <v>1452</v>
      </c>
      <c r="C210" s="14" t="s">
        <v>1453</v>
      </c>
      <c r="D210" s="61"/>
      <c r="E210" s="30"/>
      <c r="F210" s="63"/>
      <c r="G210" s="15">
        <f t="shared" si="8"/>
        <v>0</v>
      </c>
      <c r="H210" s="63"/>
      <c r="I210" s="15">
        <f t="shared" si="9"/>
        <v>0</v>
      </c>
      <c r="J210" s="63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  <row r="211" spans="2:30" ht="16" customHeight="1" x14ac:dyDescent="0.35">
      <c r="B211" s="14" t="s">
        <v>1454</v>
      </c>
      <c r="C211" s="14" t="s">
        <v>1455</v>
      </c>
      <c r="D211" s="61"/>
      <c r="E211" s="30"/>
      <c r="F211" s="63"/>
      <c r="G211" s="15">
        <f t="shared" si="8"/>
        <v>0</v>
      </c>
      <c r="H211" s="63"/>
      <c r="I211" s="15">
        <f t="shared" si="9"/>
        <v>0</v>
      </c>
      <c r="J211" s="63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</row>
    <row r="212" spans="2:30" ht="16" customHeight="1" x14ac:dyDescent="0.35">
      <c r="B212" s="14" t="s">
        <v>1456</v>
      </c>
      <c r="C212" s="14" t="s">
        <v>1457</v>
      </c>
      <c r="D212" s="61"/>
      <c r="E212" s="30"/>
      <c r="F212" s="63"/>
      <c r="G212" s="15">
        <f t="shared" si="8"/>
        <v>0</v>
      </c>
      <c r="H212" s="63"/>
      <c r="I212" s="15">
        <f t="shared" si="9"/>
        <v>0</v>
      </c>
      <c r="J212" s="63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</row>
    <row r="213" spans="2:30" ht="16" customHeight="1" x14ac:dyDescent="0.35">
      <c r="B213" s="14" t="s">
        <v>1458</v>
      </c>
      <c r="C213" s="14" t="s">
        <v>1459</v>
      </c>
      <c r="D213" s="61"/>
      <c r="E213" s="30"/>
      <c r="F213" s="63"/>
      <c r="G213" s="15">
        <f t="shared" si="8"/>
        <v>0</v>
      </c>
      <c r="H213" s="63"/>
      <c r="I213" s="15">
        <f t="shared" si="9"/>
        <v>0</v>
      </c>
      <c r="J213" s="63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</row>
    <row r="214" spans="2:30" ht="16" customHeight="1" x14ac:dyDescent="0.35">
      <c r="B214" s="14" t="s">
        <v>1460</v>
      </c>
      <c r="C214" s="14" t="s">
        <v>1461</v>
      </c>
      <c r="D214" s="61"/>
      <c r="E214" s="30"/>
      <c r="F214" s="63"/>
      <c r="G214" s="15">
        <f t="shared" si="8"/>
        <v>0</v>
      </c>
      <c r="H214" s="63"/>
      <c r="I214" s="15">
        <f t="shared" si="9"/>
        <v>0</v>
      </c>
      <c r="J214" s="63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</row>
    <row r="215" spans="2:30" ht="16" customHeight="1" x14ac:dyDescent="0.35">
      <c r="B215" s="14" t="s">
        <v>1462</v>
      </c>
      <c r="C215" s="14" t="s">
        <v>1463</v>
      </c>
      <c r="D215" s="61"/>
      <c r="E215" s="30"/>
      <c r="F215" s="63"/>
      <c r="G215" s="15">
        <f t="shared" si="8"/>
        <v>0</v>
      </c>
      <c r="H215" s="63"/>
      <c r="I215" s="15">
        <f t="shared" si="9"/>
        <v>0</v>
      </c>
      <c r="J215" s="63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</row>
    <row r="216" spans="2:30" ht="16" customHeight="1" x14ac:dyDescent="0.35">
      <c r="B216" s="14" t="s">
        <v>1464</v>
      </c>
      <c r="C216" s="14" t="s">
        <v>1465</v>
      </c>
      <c r="D216" s="61"/>
      <c r="E216" s="30"/>
      <c r="F216" s="63"/>
      <c r="G216" s="15">
        <f t="shared" si="8"/>
        <v>0</v>
      </c>
      <c r="H216" s="63"/>
      <c r="I216" s="15">
        <f t="shared" si="9"/>
        <v>0</v>
      </c>
      <c r="J216" s="63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</row>
    <row r="217" spans="2:30" ht="16" customHeight="1" x14ac:dyDescent="0.35">
      <c r="B217" s="14" t="s">
        <v>1466</v>
      </c>
      <c r="C217" s="14" t="s">
        <v>1467</v>
      </c>
      <c r="D217" s="61"/>
      <c r="E217" s="30"/>
      <c r="F217" s="63"/>
      <c r="G217" s="15">
        <f t="shared" si="8"/>
        <v>0</v>
      </c>
      <c r="H217" s="63"/>
      <c r="I217" s="15">
        <f t="shared" si="9"/>
        <v>0</v>
      </c>
      <c r="J217" s="63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</row>
    <row r="218" spans="2:30" ht="16" customHeight="1" x14ac:dyDescent="0.35">
      <c r="B218" s="16" t="s">
        <v>1682</v>
      </c>
      <c r="C218" s="16"/>
      <c r="D218" s="64"/>
      <c r="E218" s="31">
        <f>SUBTOTAL(109, E123:E217)</f>
        <v>8880870.0977899991</v>
      </c>
      <c r="F218" s="65"/>
      <c r="G218" s="17">
        <f>SUBTOTAL(109, G123:G217)</f>
        <v>8880870.0968099982</v>
      </c>
      <c r="H218" s="65"/>
      <c r="I218" s="17">
        <f>SUBTOTAL(109, I123:I217)</f>
        <v>9.7999984348362545E-4</v>
      </c>
      <c r="J218" s="65"/>
      <c r="K218" s="17">
        <f t="shared" ref="K218:AD218" si="10">SUBTOTAL(109, K123:K217)</f>
        <v>8758954.9651699979</v>
      </c>
      <c r="L218" s="17">
        <f t="shared" si="10"/>
        <v>0</v>
      </c>
      <c r="M218" s="17">
        <f t="shared" si="10"/>
        <v>0</v>
      </c>
      <c r="N218" s="17">
        <f t="shared" si="10"/>
        <v>96599.432920000007</v>
      </c>
      <c r="O218" s="17">
        <f t="shared" si="10"/>
        <v>-1056.4054999999998</v>
      </c>
      <c r="P218" s="17">
        <f t="shared" si="10"/>
        <v>21461.992580000002</v>
      </c>
      <c r="Q218" s="17">
        <f t="shared" si="10"/>
        <v>11376.00295</v>
      </c>
      <c r="R218" s="17">
        <f t="shared" si="10"/>
        <v>0</v>
      </c>
      <c r="S218" s="17">
        <f t="shared" si="10"/>
        <v>0</v>
      </c>
      <c r="T218" s="17">
        <f t="shared" si="10"/>
        <v>7988.6034300000001</v>
      </c>
      <c r="U218" s="17">
        <f t="shared" si="10"/>
        <v>-5650.5605399999995</v>
      </c>
      <c r="V218" s="17">
        <f t="shared" si="10"/>
        <v>-8718.1944000000003</v>
      </c>
      <c r="W218" s="17">
        <f t="shared" si="10"/>
        <v>1543.9681700000001</v>
      </c>
      <c r="X218" s="17">
        <f t="shared" si="10"/>
        <v>0</v>
      </c>
      <c r="Y218" s="17">
        <f t="shared" si="10"/>
        <v>0</v>
      </c>
      <c r="Z218" s="17">
        <f t="shared" si="10"/>
        <v>-1319.21093</v>
      </c>
      <c r="AA218" s="17">
        <f t="shared" si="10"/>
        <v>5.9143799999999995</v>
      </c>
      <c r="AB218" s="17">
        <f t="shared" si="10"/>
        <v>-203.834</v>
      </c>
      <c r="AC218" s="17">
        <f t="shared" si="10"/>
        <v>6.0109999999999997E-2</v>
      </c>
      <c r="AD218" s="17">
        <f t="shared" si="10"/>
        <v>-112.63753</v>
      </c>
    </row>
    <row r="219" spans="2:30" ht="16" customHeight="1" x14ac:dyDescent="0.35">
      <c r="B219" s="11"/>
      <c r="C219" s="11"/>
      <c r="D219" s="29"/>
      <c r="E219" s="29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 spans="2:30" ht="16" customHeight="1" x14ac:dyDescent="0.35">
      <c r="B220" s="99" t="s">
        <v>751</v>
      </c>
      <c r="C220" s="99"/>
      <c r="D220" s="100"/>
      <c r="E220" s="101">
        <f>E121-E218</f>
        <v>-2.4730000644922256E-2</v>
      </c>
      <c r="F220" s="102"/>
      <c r="G220" s="103">
        <f>G121-G218</f>
        <v>-2.4749999865889549E-2</v>
      </c>
      <c r="H220" s="102"/>
      <c r="I220" s="103">
        <f>I121-I218</f>
        <v>2.0000247669571536E-5</v>
      </c>
      <c r="J220" s="102"/>
      <c r="K220" s="103">
        <f t="shared" ref="K220:AD220" si="11">K121-K218</f>
        <v>-2.1379997953772545E-2</v>
      </c>
      <c r="L220" s="103">
        <f t="shared" si="11"/>
        <v>0</v>
      </c>
      <c r="M220" s="103">
        <f t="shared" si="11"/>
        <v>0</v>
      </c>
      <c r="N220" s="103">
        <f t="shared" si="11"/>
        <v>-96599.432920000007</v>
      </c>
      <c r="O220" s="103">
        <f t="shared" si="11"/>
        <v>104530.48680999999</v>
      </c>
      <c r="P220" s="103">
        <f t="shared" si="11"/>
        <v>21042.42756</v>
      </c>
      <c r="Q220" s="103">
        <f t="shared" si="11"/>
        <v>0</v>
      </c>
      <c r="R220" s="103">
        <f t="shared" si="11"/>
        <v>0</v>
      </c>
      <c r="S220" s="103">
        <f t="shared" si="11"/>
        <v>0</v>
      </c>
      <c r="T220" s="103">
        <f t="shared" si="11"/>
        <v>-39539.078540000002</v>
      </c>
      <c r="U220" s="103">
        <f t="shared" si="11"/>
        <v>3829.4825099999994</v>
      </c>
      <c r="V220" s="103">
        <f t="shared" si="11"/>
        <v>8718.1944000000003</v>
      </c>
      <c r="W220" s="103">
        <f t="shared" si="11"/>
        <v>-1543.9681700000001</v>
      </c>
      <c r="X220" s="103">
        <f t="shared" si="11"/>
        <v>-33.79712</v>
      </c>
      <c r="Y220" s="103">
        <f t="shared" si="11"/>
        <v>0</v>
      </c>
      <c r="Z220" s="103">
        <f t="shared" si="11"/>
        <v>-9.9999979283893481E-6</v>
      </c>
      <c r="AA220" s="103">
        <f t="shared" si="11"/>
        <v>-608.15189000000009</v>
      </c>
      <c r="AB220" s="103">
        <f t="shared" si="11"/>
        <v>203.834</v>
      </c>
      <c r="AC220" s="103">
        <f t="shared" si="11"/>
        <v>0</v>
      </c>
      <c r="AD220" s="103">
        <f t="shared" si="11"/>
        <v>0</v>
      </c>
    </row>
    <row r="221" spans="2:30" ht="16" customHeight="1" x14ac:dyDescent="0.45">
      <c r="B221" s="9"/>
      <c r="C221" s="9"/>
      <c r="D221" s="9"/>
      <c r="E221" s="9"/>
      <c r="F221" s="13"/>
      <c r="G221" s="13"/>
      <c r="H221" s="13"/>
      <c r="I221" s="13"/>
      <c r="J221" s="13"/>
      <c r="K221" s="13"/>
      <c r="L221" s="98"/>
      <c r="M221" s="98"/>
      <c r="N221" s="98"/>
      <c r="O221" s="98"/>
      <c r="P221" s="98"/>
      <c r="Q221" s="98"/>
      <c r="R221" s="98"/>
      <c r="S221" s="98"/>
    </row>
    <row r="222" spans="2:30" ht="16" customHeight="1" x14ac:dyDescent="0.3">
      <c r="B222" s="98"/>
      <c r="C222" s="97"/>
      <c r="D222" s="97"/>
      <c r="E222" s="97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</row>
    <row r="223" spans="2:30" ht="16" customHeight="1" x14ac:dyDescent="0.3">
      <c r="B223" s="98"/>
      <c r="C223" s="97"/>
      <c r="D223" s="97"/>
      <c r="E223" s="97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</row>
    <row r="224" spans="2:30" ht="16" customHeight="1" x14ac:dyDescent="0.3">
      <c r="B224" s="98"/>
      <c r="C224" s="97"/>
      <c r="D224" s="97"/>
      <c r="E224" s="97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</row>
    <row r="225" spans="2:19" ht="16" customHeight="1" x14ac:dyDescent="0.3">
      <c r="B225" s="98"/>
      <c r="C225" s="97"/>
      <c r="D225" s="97"/>
      <c r="E225" s="97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</row>
    <row r="226" spans="2:19" ht="16" customHeight="1" x14ac:dyDescent="0.3">
      <c r="B226" s="98"/>
      <c r="C226" s="97"/>
      <c r="D226" s="97"/>
      <c r="E226" s="97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</row>
    <row r="227" spans="2:19" ht="16" customHeight="1" x14ac:dyDescent="0.3">
      <c r="B227" s="98"/>
      <c r="C227" s="97"/>
      <c r="D227" s="97"/>
      <c r="E227" s="97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</row>
    <row r="228" spans="2:19" ht="16" customHeight="1" x14ac:dyDescent="0.3">
      <c r="B228" s="98"/>
      <c r="C228" s="97"/>
      <c r="D228" s="97"/>
      <c r="E228" s="97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</row>
    <row r="229" spans="2:19" ht="16" customHeight="1" x14ac:dyDescent="0.3">
      <c r="B229" s="98"/>
      <c r="C229" s="97"/>
      <c r="D229" s="97"/>
      <c r="E229" s="97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</row>
    <row r="230" spans="2:19" ht="16" customHeight="1" x14ac:dyDescent="0.3">
      <c r="B230" s="98"/>
      <c r="C230" s="97"/>
      <c r="D230" s="97"/>
      <c r="E230" s="97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</row>
    <row r="231" spans="2:19" ht="16" customHeight="1" x14ac:dyDescent="0.3">
      <c r="B231" s="98"/>
      <c r="C231" s="97"/>
      <c r="D231" s="97"/>
      <c r="E231" s="97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</row>
    <row r="232" spans="2:19" ht="16" customHeight="1" x14ac:dyDescent="0.3">
      <c r="B232" s="98"/>
      <c r="C232" s="97"/>
      <c r="D232" s="97"/>
      <c r="E232" s="97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</row>
    <row r="233" spans="2:19" ht="16" customHeight="1" x14ac:dyDescent="0.3">
      <c r="B233" s="98"/>
      <c r="C233" s="97"/>
      <c r="D233" s="97"/>
      <c r="E233" s="97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</row>
    <row r="234" spans="2:19" ht="16" customHeight="1" x14ac:dyDescent="0.3">
      <c r="B234" s="98"/>
      <c r="C234" s="97"/>
      <c r="D234" s="97"/>
      <c r="E234" s="97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</row>
    <row r="235" spans="2:19" ht="16" customHeight="1" x14ac:dyDescent="0.3">
      <c r="B235" s="98"/>
      <c r="C235" s="97"/>
      <c r="D235" s="97"/>
      <c r="E235" s="97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</row>
    <row r="236" spans="2:19" ht="16" customHeight="1" x14ac:dyDescent="0.3">
      <c r="B236" s="98"/>
      <c r="C236" s="97"/>
      <c r="D236" s="97"/>
      <c r="E236" s="97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</row>
    <row r="237" spans="2:19" ht="16" customHeight="1" x14ac:dyDescent="0.3">
      <c r="B237" s="98"/>
      <c r="C237" s="97"/>
      <c r="D237" s="97"/>
      <c r="E237" s="97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</row>
    <row r="238" spans="2:19" ht="16" customHeight="1" x14ac:dyDescent="0.3">
      <c r="B238" s="98"/>
      <c r="C238" s="97"/>
      <c r="D238" s="97"/>
      <c r="E238" s="97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</row>
    <row r="239" spans="2:19" ht="16" customHeight="1" x14ac:dyDescent="0.3">
      <c r="B239" s="98"/>
      <c r="C239" s="97"/>
      <c r="D239" s="97"/>
      <c r="E239" s="97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</row>
    <row r="240" spans="2:19" ht="16" customHeight="1" x14ac:dyDescent="0.3">
      <c r="B240" s="98"/>
      <c r="C240" s="97"/>
      <c r="D240" s="97"/>
      <c r="E240" s="97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</row>
    <row r="241" spans="2:19" ht="16" customHeight="1" x14ac:dyDescent="0.3">
      <c r="B241" s="98"/>
      <c r="C241" s="97"/>
      <c r="D241" s="97"/>
      <c r="E241" s="97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</row>
    <row r="242" spans="2:19" ht="16" customHeight="1" x14ac:dyDescent="0.3">
      <c r="B242" s="98"/>
      <c r="C242" s="97"/>
      <c r="D242" s="97"/>
      <c r="E242" s="97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</row>
    <row r="243" spans="2:19" ht="16" customHeight="1" x14ac:dyDescent="0.3">
      <c r="B243" s="98"/>
      <c r="C243" s="97"/>
      <c r="D243" s="97"/>
      <c r="E243" s="97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</row>
    <row r="244" spans="2:19" ht="16" customHeight="1" x14ac:dyDescent="0.3">
      <c r="B244" s="98"/>
      <c r="C244" s="97"/>
      <c r="D244" s="97"/>
      <c r="E244" s="97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</row>
    <row r="245" spans="2:19" ht="16" customHeight="1" x14ac:dyDescent="0.3">
      <c r="B245" s="98"/>
      <c r="C245" s="97"/>
      <c r="D245" s="97"/>
      <c r="E245" s="97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</row>
    <row r="246" spans="2:19" ht="16" customHeight="1" x14ac:dyDescent="0.3">
      <c r="B246" s="98"/>
      <c r="C246" s="97"/>
      <c r="D246" s="97"/>
      <c r="E246" s="97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</row>
    <row r="247" spans="2:19" ht="16" customHeight="1" x14ac:dyDescent="0.3">
      <c r="B247" s="98"/>
      <c r="C247" s="97"/>
      <c r="D247" s="97"/>
      <c r="E247" s="97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</row>
    <row r="248" spans="2:19" ht="16" customHeight="1" x14ac:dyDescent="0.3">
      <c r="B248" s="98"/>
      <c r="C248" s="97"/>
      <c r="D248" s="97"/>
      <c r="E248" s="97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</row>
    <row r="249" spans="2:19" ht="16" customHeight="1" x14ac:dyDescent="0.3">
      <c r="B249" s="98"/>
      <c r="C249" s="97"/>
      <c r="D249" s="97"/>
      <c r="E249" s="97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</row>
    <row r="250" spans="2:19" ht="16" customHeight="1" x14ac:dyDescent="0.3">
      <c r="B250" s="98"/>
      <c r="C250" s="97"/>
      <c r="D250" s="97"/>
      <c r="E250" s="97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</row>
    <row r="251" spans="2:19" ht="16" customHeight="1" x14ac:dyDescent="0.3">
      <c r="B251" s="98"/>
      <c r="C251" s="97"/>
      <c r="D251" s="97"/>
      <c r="E251" s="97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</row>
    <row r="252" spans="2:19" ht="16" customHeight="1" x14ac:dyDescent="0.3">
      <c r="B252" s="98"/>
      <c r="C252" s="97"/>
      <c r="D252" s="97"/>
      <c r="E252" s="97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</row>
    <row r="253" spans="2:19" ht="16" customHeight="1" x14ac:dyDescent="0.3">
      <c r="B253" s="98"/>
      <c r="C253" s="97"/>
      <c r="D253" s="97"/>
      <c r="E253" s="97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</row>
    <row r="254" spans="2:19" ht="16" customHeight="1" x14ac:dyDescent="0.3">
      <c r="B254" s="98"/>
      <c r="C254" s="97"/>
      <c r="D254" s="97"/>
      <c r="E254" s="97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</row>
    <row r="255" spans="2:19" ht="16" customHeight="1" x14ac:dyDescent="0.3">
      <c r="B255" s="98"/>
      <c r="C255" s="97"/>
      <c r="D255" s="97"/>
      <c r="E255" s="97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</row>
    <row r="256" spans="2:19" ht="16" customHeight="1" x14ac:dyDescent="0.3">
      <c r="B256" s="98"/>
      <c r="C256" s="97"/>
      <c r="D256" s="97"/>
      <c r="E256" s="97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</row>
    <row r="257" spans="2:19" ht="16" customHeight="1" x14ac:dyDescent="0.3">
      <c r="B257" s="98"/>
      <c r="C257" s="97"/>
      <c r="D257" s="97"/>
      <c r="E257" s="97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</row>
    <row r="258" spans="2:19" ht="16" customHeight="1" x14ac:dyDescent="0.3">
      <c r="B258" s="98"/>
      <c r="C258" s="97"/>
      <c r="D258" s="97"/>
      <c r="E258" s="97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</row>
    <row r="259" spans="2:19" ht="16" customHeight="1" x14ac:dyDescent="0.3">
      <c r="B259" s="98"/>
      <c r="C259" s="97"/>
      <c r="D259" s="97"/>
      <c r="E259" s="97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</row>
    <row r="260" spans="2:19" ht="16" customHeight="1" x14ac:dyDescent="0.3">
      <c r="B260" s="98"/>
      <c r="C260" s="97"/>
      <c r="D260" s="97"/>
      <c r="E260" s="97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</row>
    <row r="261" spans="2:19" ht="16" customHeight="1" x14ac:dyDescent="0.3">
      <c r="B261" s="98"/>
      <c r="C261" s="97"/>
      <c r="D261" s="97"/>
      <c r="E261" s="97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</row>
    <row r="262" spans="2:19" ht="16" customHeight="1" x14ac:dyDescent="0.3">
      <c r="B262" s="98"/>
      <c r="C262" s="97"/>
      <c r="D262" s="97"/>
      <c r="E262" s="97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</row>
    <row r="263" spans="2:19" ht="16" customHeight="1" x14ac:dyDescent="0.3">
      <c r="B263" s="98"/>
      <c r="C263" s="97"/>
      <c r="D263" s="97"/>
      <c r="E263" s="97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</row>
    <row r="264" spans="2:19" ht="16" customHeight="1" x14ac:dyDescent="0.3">
      <c r="B264" s="98"/>
      <c r="C264" s="97"/>
      <c r="D264" s="97"/>
      <c r="E264" s="97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</row>
    <row r="265" spans="2:19" ht="16" customHeight="1" x14ac:dyDescent="0.3">
      <c r="B265" s="98"/>
      <c r="C265" s="97"/>
      <c r="D265" s="97"/>
      <c r="E265" s="97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</row>
    <row r="266" spans="2:19" ht="16" customHeight="1" x14ac:dyDescent="0.3">
      <c r="B266" s="98"/>
      <c r="C266" s="97"/>
      <c r="D266" s="97"/>
      <c r="E266" s="97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</row>
    <row r="267" spans="2:19" ht="16" customHeight="1" x14ac:dyDescent="0.3">
      <c r="B267" s="98"/>
      <c r="C267" s="97"/>
      <c r="D267" s="97"/>
      <c r="E267" s="97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</row>
    <row r="268" spans="2:19" ht="16" customHeight="1" x14ac:dyDescent="0.3">
      <c r="B268" s="98"/>
      <c r="C268" s="97"/>
      <c r="D268" s="97"/>
      <c r="E268" s="97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</row>
    <row r="269" spans="2:19" ht="16" customHeight="1" x14ac:dyDescent="0.3">
      <c r="B269" s="98"/>
      <c r="C269" s="97"/>
      <c r="D269" s="97"/>
      <c r="E269" s="97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</row>
    <row r="270" spans="2:19" ht="16" customHeight="1" x14ac:dyDescent="0.3">
      <c r="B270" s="98"/>
      <c r="C270" s="97"/>
      <c r="D270" s="97"/>
      <c r="E270" s="97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</row>
    <row r="271" spans="2:19" ht="16" customHeight="1" x14ac:dyDescent="0.3">
      <c r="B271" s="98"/>
      <c r="C271" s="97"/>
      <c r="D271" s="97"/>
      <c r="E271" s="97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</row>
    <row r="272" spans="2:19" ht="16" customHeight="1" x14ac:dyDescent="0.3">
      <c r="B272" s="98"/>
      <c r="C272" s="97"/>
      <c r="D272" s="97"/>
      <c r="E272" s="97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</row>
    <row r="273" spans="2:19" ht="16" customHeight="1" x14ac:dyDescent="0.3">
      <c r="B273" s="98"/>
      <c r="C273" s="97"/>
      <c r="D273" s="97"/>
      <c r="E273" s="97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</row>
    <row r="274" spans="2:19" ht="16" customHeight="1" x14ac:dyDescent="0.3">
      <c r="B274" s="98"/>
      <c r="C274" s="97"/>
      <c r="D274" s="97"/>
      <c r="E274" s="97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</row>
    <row r="275" spans="2:19" ht="16" customHeight="1" x14ac:dyDescent="0.3">
      <c r="B275" s="98"/>
      <c r="C275" s="97"/>
      <c r="D275" s="97"/>
      <c r="E275" s="97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</row>
    <row r="276" spans="2:19" ht="16" customHeight="1" x14ac:dyDescent="0.3">
      <c r="B276" s="98"/>
      <c r="C276" s="97"/>
      <c r="D276" s="97"/>
      <c r="E276" s="97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</row>
    <row r="277" spans="2:19" ht="16" customHeight="1" x14ac:dyDescent="0.3">
      <c r="B277" s="98"/>
      <c r="C277" s="97"/>
      <c r="D277" s="97"/>
      <c r="E277" s="97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</row>
    <row r="278" spans="2:19" ht="16" customHeight="1" x14ac:dyDescent="0.3">
      <c r="B278" s="98"/>
      <c r="C278" s="97"/>
      <c r="D278" s="97"/>
      <c r="E278" s="97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</row>
    <row r="279" spans="2:19" ht="16" customHeight="1" x14ac:dyDescent="0.3">
      <c r="B279" s="98"/>
      <c r="C279" s="97"/>
      <c r="D279" s="97"/>
      <c r="E279" s="97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</row>
    <row r="280" spans="2:19" ht="16" customHeight="1" x14ac:dyDescent="0.3">
      <c r="B280" s="98"/>
      <c r="C280" s="97"/>
      <c r="D280" s="97"/>
      <c r="E280" s="97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</row>
    <row r="281" spans="2:19" ht="16" customHeight="1" x14ac:dyDescent="0.3">
      <c r="B281" s="98"/>
      <c r="C281" s="97"/>
      <c r="D281" s="97"/>
      <c r="E281" s="97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</row>
    <row r="282" spans="2:19" ht="16" customHeight="1" x14ac:dyDescent="0.3">
      <c r="B282" s="98"/>
      <c r="C282" s="97"/>
      <c r="D282" s="97"/>
      <c r="E282" s="97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</row>
    <row r="283" spans="2:19" ht="16" customHeight="1" x14ac:dyDescent="0.3">
      <c r="B283" s="98"/>
      <c r="C283" s="97"/>
      <c r="D283" s="97"/>
      <c r="E283" s="97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</row>
    <row r="284" spans="2:19" ht="16" customHeight="1" x14ac:dyDescent="0.3">
      <c r="B284" s="98"/>
      <c r="C284" s="97"/>
      <c r="D284" s="97"/>
      <c r="E284" s="97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</row>
    <row r="285" spans="2:19" ht="16" customHeight="1" x14ac:dyDescent="0.3">
      <c r="B285" s="98"/>
      <c r="C285" s="97"/>
      <c r="D285" s="97"/>
      <c r="E285" s="97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</row>
    <row r="286" spans="2:19" ht="16" customHeight="1" x14ac:dyDescent="0.3">
      <c r="B286" s="98"/>
      <c r="C286" s="97"/>
      <c r="D286" s="97"/>
      <c r="E286" s="97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</row>
    <row r="287" spans="2:19" ht="16" customHeight="1" x14ac:dyDescent="0.3">
      <c r="B287" s="98"/>
      <c r="C287" s="97"/>
      <c r="D287" s="97"/>
      <c r="E287" s="97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</row>
    <row r="288" spans="2:19" ht="16" customHeight="1" x14ac:dyDescent="0.3">
      <c r="B288" s="98"/>
      <c r="C288" s="97"/>
      <c r="D288" s="97"/>
      <c r="E288" s="97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</row>
    <row r="289" spans="2:19" ht="16" customHeight="1" x14ac:dyDescent="0.3">
      <c r="B289" s="98"/>
      <c r="C289" s="97"/>
      <c r="D289" s="97"/>
      <c r="E289" s="97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</row>
    <row r="290" spans="2:19" ht="16" customHeight="1" x14ac:dyDescent="0.3">
      <c r="B290" s="98"/>
      <c r="C290" s="97"/>
      <c r="D290" s="97"/>
      <c r="E290" s="97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</row>
    <row r="291" spans="2:19" ht="16" customHeight="1" x14ac:dyDescent="0.3">
      <c r="B291" s="98"/>
      <c r="C291" s="97"/>
      <c r="D291" s="97"/>
      <c r="E291" s="97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</row>
    <row r="292" spans="2:19" ht="16" customHeight="1" x14ac:dyDescent="0.3">
      <c r="B292" s="98"/>
      <c r="C292" s="97"/>
      <c r="D292" s="97"/>
      <c r="E292" s="97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</row>
    <row r="293" spans="2:19" ht="16" customHeight="1" x14ac:dyDescent="0.3">
      <c r="B293" s="98"/>
      <c r="C293" s="97"/>
      <c r="D293" s="97"/>
      <c r="E293" s="97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</row>
    <row r="294" spans="2:19" ht="16" customHeight="1" x14ac:dyDescent="0.3">
      <c r="B294" s="98"/>
      <c r="C294" s="97"/>
      <c r="D294" s="97"/>
      <c r="E294" s="97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</row>
    <row r="295" spans="2:19" ht="16" customHeight="1" x14ac:dyDescent="0.3">
      <c r="B295" s="98"/>
      <c r="C295" s="97"/>
      <c r="D295" s="97"/>
      <c r="E295" s="97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</row>
    <row r="296" spans="2:19" ht="16" customHeight="1" x14ac:dyDescent="0.3">
      <c r="B296" s="98"/>
      <c r="C296" s="97"/>
      <c r="D296" s="97"/>
      <c r="E296" s="97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</row>
    <row r="297" spans="2:19" ht="16" customHeight="1" x14ac:dyDescent="0.3">
      <c r="B297" s="98"/>
      <c r="C297" s="97"/>
      <c r="D297" s="97"/>
      <c r="E297" s="97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</row>
    <row r="298" spans="2:19" ht="16" customHeight="1" x14ac:dyDescent="0.3">
      <c r="B298" s="98"/>
      <c r="C298" s="97"/>
      <c r="D298" s="97"/>
      <c r="E298" s="97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</row>
    <row r="299" spans="2:19" ht="16" customHeight="1" x14ac:dyDescent="0.3">
      <c r="B299" s="98"/>
      <c r="C299" s="97"/>
      <c r="D299" s="97"/>
      <c r="E299" s="97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</row>
    <row r="300" spans="2:19" ht="16" customHeight="1" x14ac:dyDescent="0.3">
      <c r="B300" s="98"/>
      <c r="C300" s="97"/>
      <c r="D300" s="97"/>
      <c r="E300" s="97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</row>
    <row r="301" spans="2:19" ht="16" customHeight="1" x14ac:dyDescent="0.3">
      <c r="B301" s="98"/>
      <c r="C301" s="97"/>
      <c r="D301" s="97"/>
      <c r="E301" s="97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</row>
    <row r="302" spans="2:19" ht="16" customHeight="1" x14ac:dyDescent="0.3">
      <c r="B302" s="98"/>
      <c r="C302" s="97"/>
      <c r="D302" s="97"/>
      <c r="E302" s="97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</row>
    <row r="303" spans="2:19" ht="16" customHeight="1" x14ac:dyDescent="0.3">
      <c r="B303" s="98"/>
      <c r="C303" s="97"/>
      <c r="D303" s="97"/>
      <c r="E303" s="97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</row>
    <row r="304" spans="2:19" ht="16" customHeight="1" x14ac:dyDescent="0.3">
      <c r="B304" s="98"/>
      <c r="C304" s="97"/>
      <c r="D304" s="97"/>
      <c r="E304" s="97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</row>
    <row r="305" spans="2:19" ht="16" customHeight="1" x14ac:dyDescent="0.3">
      <c r="B305" s="98"/>
      <c r="C305" s="97"/>
      <c r="D305" s="97"/>
      <c r="E305" s="97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</row>
    <row r="306" spans="2:19" ht="16" customHeight="1" x14ac:dyDescent="0.3">
      <c r="B306" s="98"/>
      <c r="C306" s="97"/>
      <c r="D306" s="97"/>
      <c r="E306" s="97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</row>
    <row r="307" spans="2:19" ht="16" customHeight="1" x14ac:dyDescent="0.3">
      <c r="B307" s="98"/>
      <c r="C307" s="97"/>
      <c r="D307" s="97"/>
      <c r="E307" s="97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</row>
    <row r="308" spans="2:19" ht="16" customHeight="1" x14ac:dyDescent="0.3">
      <c r="B308" s="98"/>
      <c r="C308" s="97"/>
      <c r="D308" s="97"/>
      <c r="E308" s="97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</row>
    <row r="309" spans="2:19" ht="16" customHeight="1" x14ac:dyDescent="0.3">
      <c r="B309" s="98"/>
      <c r="C309" s="97"/>
      <c r="D309" s="97"/>
      <c r="E309" s="97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</row>
    <row r="310" spans="2:19" ht="16" customHeight="1" x14ac:dyDescent="0.3">
      <c r="B310" s="98"/>
      <c r="C310" s="97"/>
      <c r="D310" s="97"/>
      <c r="E310" s="97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</row>
    <row r="311" spans="2:19" ht="16" customHeight="1" x14ac:dyDescent="0.3">
      <c r="B311" s="98"/>
      <c r="C311" s="97"/>
      <c r="D311" s="97"/>
      <c r="E311" s="97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</row>
    <row r="312" spans="2:19" ht="16" customHeight="1" x14ac:dyDescent="0.3">
      <c r="B312" s="98"/>
      <c r="C312" s="97"/>
      <c r="D312" s="97"/>
      <c r="E312" s="97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</row>
    <row r="313" spans="2:19" ht="16" customHeight="1" x14ac:dyDescent="0.3">
      <c r="B313" s="98"/>
      <c r="C313" s="97"/>
      <c r="D313" s="97"/>
      <c r="E313" s="97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</row>
    <row r="314" spans="2:19" ht="16" customHeight="1" x14ac:dyDescent="0.3">
      <c r="B314" s="98"/>
      <c r="C314" s="97"/>
      <c r="D314" s="97"/>
      <c r="E314" s="97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</row>
    <row r="315" spans="2:19" ht="16" customHeight="1" x14ac:dyDescent="0.3">
      <c r="B315" s="98"/>
      <c r="C315" s="97"/>
      <c r="D315" s="97"/>
      <c r="E315" s="97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</row>
    <row r="316" spans="2:19" ht="16" customHeight="1" x14ac:dyDescent="0.3">
      <c r="B316" s="98"/>
      <c r="C316" s="97"/>
      <c r="D316" s="97"/>
      <c r="E316" s="97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</row>
    <row r="317" spans="2:19" ht="16" customHeight="1" x14ac:dyDescent="0.3">
      <c r="B317" s="98"/>
      <c r="C317" s="97"/>
      <c r="D317" s="97"/>
      <c r="E317" s="97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</row>
    <row r="318" spans="2:19" ht="16" customHeight="1" x14ac:dyDescent="0.3">
      <c r="B318" s="98"/>
      <c r="C318" s="97"/>
      <c r="D318" s="97"/>
      <c r="E318" s="97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</row>
    <row r="319" spans="2:19" ht="16" customHeight="1" x14ac:dyDescent="0.3">
      <c r="B319" s="98"/>
      <c r="C319" s="97"/>
      <c r="D319" s="97"/>
      <c r="E319" s="97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</row>
    <row r="320" spans="2:19" ht="16" customHeight="1" x14ac:dyDescent="0.3">
      <c r="B320" s="98"/>
      <c r="C320" s="97"/>
      <c r="D320" s="97"/>
      <c r="E320" s="97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</row>
    <row r="321" spans="2:19" ht="16" customHeight="1" x14ac:dyDescent="0.3">
      <c r="B321" s="98"/>
      <c r="C321" s="97"/>
      <c r="D321" s="97"/>
      <c r="E321" s="97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</row>
    <row r="322" spans="2:19" ht="16" customHeight="1" x14ac:dyDescent="0.3">
      <c r="B322" s="98"/>
      <c r="C322" s="97"/>
      <c r="D322" s="97"/>
      <c r="E322" s="97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</row>
    <row r="323" spans="2:19" ht="16" customHeight="1" x14ac:dyDescent="0.3">
      <c r="B323" s="98"/>
      <c r="C323" s="97"/>
      <c r="D323" s="97"/>
      <c r="E323" s="97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</row>
    <row r="324" spans="2:19" ht="16" customHeight="1" x14ac:dyDescent="0.3">
      <c r="B324" s="98"/>
      <c r="C324" s="97"/>
      <c r="D324" s="97"/>
      <c r="E324" s="97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</row>
    <row r="325" spans="2:19" ht="16" customHeight="1" x14ac:dyDescent="0.3">
      <c r="B325" s="98"/>
      <c r="C325" s="97"/>
      <c r="D325" s="97"/>
      <c r="E325" s="97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</row>
    <row r="326" spans="2:19" ht="16" customHeight="1" x14ac:dyDescent="0.3">
      <c r="B326" s="98"/>
      <c r="C326" s="97"/>
      <c r="D326" s="97"/>
      <c r="E326" s="97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</row>
    <row r="327" spans="2:19" ht="16" customHeight="1" x14ac:dyDescent="0.3">
      <c r="B327" s="98"/>
      <c r="C327" s="97"/>
      <c r="D327" s="97"/>
      <c r="E327" s="97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</row>
    <row r="328" spans="2:19" ht="16" customHeight="1" x14ac:dyDescent="0.3">
      <c r="B328" s="98"/>
      <c r="C328" s="97"/>
      <c r="D328" s="97"/>
      <c r="E328" s="97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</row>
    <row r="329" spans="2:19" ht="16" customHeight="1" x14ac:dyDescent="0.3">
      <c r="B329" s="98"/>
      <c r="C329" s="97"/>
      <c r="D329" s="97"/>
      <c r="E329" s="97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</row>
    <row r="330" spans="2:19" ht="16" customHeight="1" x14ac:dyDescent="0.3">
      <c r="B330" s="98"/>
      <c r="C330" s="97"/>
      <c r="D330" s="97"/>
      <c r="E330" s="97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</row>
    <row r="331" spans="2:19" ht="16" customHeight="1" x14ac:dyDescent="0.3">
      <c r="B331" s="98"/>
      <c r="C331" s="97"/>
      <c r="D331" s="97"/>
      <c r="E331" s="97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</row>
    <row r="332" spans="2:19" ht="16" customHeight="1" x14ac:dyDescent="0.3">
      <c r="B332" s="98"/>
      <c r="C332" s="97"/>
      <c r="D332" s="97"/>
      <c r="E332" s="97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</row>
    <row r="333" spans="2:19" ht="16" customHeight="1" x14ac:dyDescent="0.3">
      <c r="B333" s="98"/>
      <c r="C333" s="97"/>
      <c r="D333" s="97"/>
      <c r="E333" s="97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</row>
    <row r="334" spans="2:19" ht="16" customHeight="1" x14ac:dyDescent="0.3">
      <c r="B334" s="98"/>
      <c r="C334" s="97"/>
      <c r="D334" s="97"/>
      <c r="E334" s="97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</row>
    <row r="335" spans="2:19" ht="16" customHeight="1" x14ac:dyDescent="0.3">
      <c r="B335" s="98"/>
      <c r="C335" s="97"/>
      <c r="D335" s="97"/>
      <c r="E335" s="97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</row>
    <row r="336" spans="2:19" ht="16" customHeight="1" x14ac:dyDescent="0.3">
      <c r="B336" s="98"/>
      <c r="C336" s="97"/>
      <c r="D336" s="97"/>
      <c r="E336" s="97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</row>
    <row r="337" spans="2:19" ht="16" customHeight="1" x14ac:dyDescent="0.3">
      <c r="B337" s="98"/>
      <c r="C337" s="97"/>
      <c r="D337" s="97"/>
      <c r="E337" s="97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</row>
    <row r="338" spans="2:19" ht="16" customHeight="1" x14ac:dyDescent="0.3">
      <c r="B338" s="98"/>
      <c r="C338" s="97"/>
      <c r="D338" s="97"/>
      <c r="E338" s="97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</row>
    <row r="339" spans="2:19" ht="16" customHeight="1" x14ac:dyDescent="0.3">
      <c r="B339" s="98"/>
      <c r="C339" s="97"/>
      <c r="D339" s="97"/>
      <c r="E339" s="97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</row>
    <row r="340" spans="2:19" ht="16" customHeight="1" x14ac:dyDescent="0.3">
      <c r="B340" s="98"/>
      <c r="C340" s="97"/>
      <c r="D340" s="97"/>
      <c r="E340" s="97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</row>
    <row r="341" spans="2:19" ht="16" customHeight="1" x14ac:dyDescent="0.3">
      <c r="B341" s="98"/>
      <c r="C341" s="97"/>
      <c r="D341" s="97"/>
      <c r="E341" s="97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</row>
    <row r="342" spans="2:19" ht="16" customHeight="1" x14ac:dyDescent="0.3">
      <c r="B342" s="98"/>
      <c r="C342" s="97"/>
      <c r="D342" s="97"/>
      <c r="E342" s="97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</row>
    <row r="343" spans="2:19" ht="16" customHeight="1" x14ac:dyDescent="0.3">
      <c r="B343" s="98"/>
      <c r="C343" s="97"/>
      <c r="D343" s="97"/>
      <c r="E343" s="97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</row>
    <row r="344" spans="2:19" ht="16" customHeight="1" x14ac:dyDescent="0.3">
      <c r="B344" s="98"/>
      <c r="C344" s="97"/>
      <c r="D344" s="97"/>
      <c r="E344" s="97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</row>
    <row r="345" spans="2:19" ht="16" customHeight="1" x14ac:dyDescent="0.3">
      <c r="B345" s="98"/>
      <c r="C345" s="97"/>
      <c r="D345" s="97"/>
      <c r="E345" s="97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</row>
    <row r="346" spans="2:19" ht="16" customHeight="1" x14ac:dyDescent="0.3">
      <c r="B346" s="98"/>
      <c r="C346" s="97"/>
      <c r="D346" s="97"/>
      <c r="E346" s="97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</row>
    <row r="347" spans="2:19" ht="16" customHeight="1" x14ac:dyDescent="0.3">
      <c r="B347" s="98"/>
      <c r="C347" s="97"/>
      <c r="D347" s="97"/>
      <c r="E347" s="97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</row>
    <row r="348" spans="2:19" ht="16" customHeight="1" x14ac:dyDescent="0.3">
      <c r="B348" s="98"/>
      <c r="C348" s="97"/>
      <c r="D348" s="97"/>
      <c r="E348" s="97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</row>
    <row r="349" spans="2:19" ht="16" customHeight="1" x14ac:dyDescent="0.3">
      <c r="B349" s="98"/>
      <c r="C349" s="97"/>
      <c r="D349" s="97"/>
      <c r="E349" s="97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</row>
    <row r="350" spans="2:19" ht="16" customHeight="1" x14ac:dyDescent="0.3">
      <c r="B350" s="98"/>
      <c r="C350" s="97"/>
      <c r="D350" s="97"/>
      <c r="E350" s="97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</row>
    <row r="351" spans="2:19" ht="16" customHeight="1" x14ac:dyDescent="0.3">
      <c r="B351" s="98"/>
      <c r="C351" s="97"/>
      <c r="D351" s="97"/>
      <c r="E351" s="97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</row>
  </sheetData>
  <mergeCells count="1">
    <mergeCell ref="B8:C8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730A1-1CEB-4606-A545-F99E289C2936}">
  <dimension ref="A3:BG351"/>
  <sheetViews>
    <sheetView showGridLines="0" zoomScale="90" zoomScaleNormal="90" workbookViewId="0">
      <pane xSplit="10" ySplit="10" topLeftCell="K11" activePane="bottomRight" state="frozen"/>
      <selection pane="topRight" activeCell="K1" sqref="K1"/>
      <selection pane="bottomLeft" activeCell="A9" sqref="A9"/>
      <selection pane="bottomRight" activeCell="P12" sqref="P12"/>
    </sheetView>
  </sheetViews>
  <sheetFormatPr defaultColWidth="9.1796875" defaultRowHeight="16" customHeight="1" outlineLevelCol="1" x14ac:dyDescent="0.35"/>
  <cols>
    <col min="1" max="1" width="1.7265625" style="1" customWidth="1"/>
    <col min="2" max="2" width="10.7265625" style="1" customWidth="1"/>
    <col min="3" max="3" width="60.7265625" style="1" customWidth="1"/>
    <col min="4" max="4" width="1.54296875" style="1" customWidth="1"/>
    <col min="5" max="5" width="14.7265625" style="1" customWidth="1"/>
    <col min="6" max="6" width="1.54296875" style="1" hidden="1" customWidth="1" outlineLevel="1"/>
    <col min="7" max="7" width="14.7265625" style="1" hidden="1" customWidth="1" outlineLevel="1"/>
    <col min="8" max="8" width="1.54296875" style="1" hidden="1" customWidth="1" outlineLevel="1"/>
    <col min="9" max="9" width="14.7265625" style="1" hidden="1" customWidth="1" outlineLevel="1"/>
    <col min="10" max="10" width="2.7265625" style="1" customWidth="1" collapsed="1"/>
    <col min="11" max="79" width="14.7265625" style="1" customWidth="1"/>
    <col min="80" max="16384" width="9.1796875" style="1"/>
  </cols>
  <sheetData>
    <row r="3" spans="1:59" ht="16" customHeight="1" x14ac:dyDescent="0.35">
      <c r="B3" s="2" t="s">
        <v>1614</v>
      </c>
    </row>
    <row r="4" spans="1:59" ht="16" customHeight="1" x14ac:dyDescent="0.35">
      <c r="B4" s="4" t="s">
        <v>270</v>
      </c>
    </row>
    <row r="5" spans="1:59" ht="16" customHeight="1" x14ac:dyDescent="0.35">
      <c r="B5" s="4" t="s">
        <v>1016</v>
      </c>
    </row>
    <row r="6" spans="1:59" ht="16" customHeight="1" x14ac:dyDescent="0.35">
      <c r="A6" s="5"/>
      <c r="B6" s="4" t="s">
        <v>1615</v>
      </c>
    </row>
    <row r="7" spans="1:59" ht="16" customHeight="1" x14ac:dyDescent="0.35">
      <c r="A7" s="5"/>
      <c r="B7" s="4"/>
    </row>
    <row r="8" spans="1:59" ht="16" customHeight="1" x14ac:dyDescent="0.35">
      <c r="A8" s="5"/>
      <c r="B8" s="56">
        <v>46189.342493645832</v>
      </c>
      <c r="C8" s="56"/>
    </row>
    <row r="9" spans="1:59" ht="91.5" thickBot="1" x14ac:dyDescent="0.5">
      <c r="B9" s="7"/>
      <c r="C9" s="28"/>
      <c r="D9" s="59"/>
      <c r="E9" s="8" t="s">
        <v>1616</v>
      </c>
      <c r="F9" s="59"/>
      <c r="G9" s="8" t="s">
        <v>1617</v>
      </c>
      <c r="H9" s="59"/>
      <c r="I9" s="8" t="s">
        <v>751</v>
      </c>
      <c r="J9" s="59"/>
      <c r="K9" s="8" t="s">
        <v>1618</v>
      </c>
      <c r="L9" s="8" t="s">
        <v>1619</v>
      </c>
      <c r="M9" s="8" t="s">
        <v>1683</v>
      </c>
      <c r="N9" s="8" t="s">
        <v>1620</v>
      </c>
      <c r="O9" s="8" t="s">
        <v>1621</v>
      </c>
      <c r="P9" s="8" t="s">
        <v>1622</v>
      </c>
      <c r="Q9" s="8" t="s">
        <v>1623</v>
      </c>
      <c r="R9" s="8" t="s">
        <v>1624</v>
      </c>
      <c r="S9" s="8" t="s">
        <v>1625</v>
      </c>
      <c r="T9" s="8" t="s">
        <v>1626</v>
      </c>
      <c r="U9" s="8" t="s">
        <v>1627</v>
      </c>
      <c r="V9" s="8" t="s">
        <v>1628</v>
      </c>
      <c r="W9" s="8" t="s">
        <v>1629</v>
      </c>
      <c r="X9" s="8" t="s">
        <v>1630</v>
      </c>
      <c r="Y9" s="8" t="s">
        <v>1631</v>
      </c>
      <c r="Z9" s="8" t="s">
        <v>1632</v>
      </c>
      <c r="AA9" s="8" t="s">
        <v>1633</v>
      </c>
      <c r="AB9" s="8" t="s">
        <v>1634</v>
      </c>
      <c r="AC9" s="8" t="s">
        <v>1635</v>
      </c>
      <c r="AD9" s="8" t="s">
        <v>1636</v>
      </c>
      <c r="AE9" s="8" t="s">
        <v>1637</v>
      </c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7"/>
      <c r="AX9" s="97"/>
      <c r="AY9" s="97"/>
      <c r="AZ9" s="97"/>
      <c r="BA9" s="97"/>
      <c r="BB9" s="97"/>
      <c r="BC9" s="97"/>
      <c r="BD9" s="97"/>
      <c r="BE9" s="97"/>
      <c r="BF9" s="97"/>
      <c r="BG9" s="97"/>
    </row>
    <row r="10" spans="1:59" ht="26.5" thickBot="1" x14ac:dyDescent="0.5">
      <c r="B10" s="28"/>
      <c r="C10" s="28"/>
      <c r="D10" s="59"/>
      <c r="E10" s="8" t="s">
        <v>1638</v>
      </c>
      <c r="F10" s="59"/>
      <c r="G10" s="8"/>
      <c r="H10" s="59"/>
      <c r="I10" s="8"/>
      <c r="J10" s="59"/>
      <c r="K10" s="8" t="s">
        <v>1639</v>
      </c>
      <c r="L10" s="8" t="s">
        <v>1640</v>
      </c>
      <c r="M10" s="8" t="s">
        <v>1684</v>
      </c>
      <c r="N10" s="8" t="s">
        <v>1641</v>
      </c>
      <c r="O10" s="8" t="s">
        <v>1642</v>
      </c>
      <c r="P10" s="8" t="s">
        <v>1643</v>
      </c>
      <c r="Q10" s="8" t="s">
        <v>1644</v>
      </c>
      <c r="R10" s="8" t="s">
        <v>1645</v>
      </c>
      <c r="S10" s="8" t="s">
        <v>1646</v>
      </c>
      <c r="T10" s="8" t="s">
        <v>1647</v>
      </c>
      <c r="U10" s="8" t="s">
        <v>1648</v>
      </c>
      <c r="V10" s="8" t="s">
        <v>1649</v>
      </c>
      <c r="W10" s="8" t="s">
        <v>1650</v>
      </c>
      <c r="X10" s="8" t="s">
        <v>1651</v>
      </c>
      <c r="Y10" s="8" t="s">
        <v>1652</v>
      </c>
      <c r="Z10" s="8" t="s">
        <v>1653</v>
      </c>
      <c r="AA10" s="8" t="s">
        <v>1654</v>
      </c>
      <c r="AB10" s="8" t="s">
        <v>1655</v>
      </c>
      <c r="AC10" s="8" t="s">
        <v>1656</v>
      </c>
      <c r="AD10" s="8" t="s">
        <v>1657</v>
      </c>
      <c r="AE10" s="8" t="s">
        <v>1658</v>
      </c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7"/>
      <c r="AX10" s="97"/>
      <c r="AY10" s="97"/>
      <c r="AZ10" s="97"/>
      <c r="BA10" s="97"/>
      <c r="BB10" s="97"/>
      <c r="BC10" s="97"/>
      <c r="BD10" s="97"/>
      <c r="BE10" s="97"/>
      <c r="BF10" s="97"/>
      <c r="BG10" s="97"/>
    </row>
    <row r="11" spans="1:59" ht="16" customHeight="1" x14ac:dyDescent="0.45">
      <c r="B11" s="11"/>
      <c r="C11" s="11"/>
      <c r="D11" s="29"/>
      <c r="E11" s="29"/>
      <c r="F11" s="12"/>
      <c r="G11" s="12"/>
      <c r="H11" s="12"/>
      <c r="I11" s="12"/>
      <c r="J11" s="12"/>
      <c r="K11" s="29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98"/>
      <c r="AX11" s="98"/>
      <c r="AY11" s="98"/>
      <c r="AZ11" s="98"/>
      <c r="BA11" s="98"/>
      <c r="BB11" s="98"/>
      <c r="BC11" s="98"/>
      <c r="BD11" s="98"/>
      <c r="BE11" s="98"/>
      <c r="BF11" s="98"/>
      <c r="BG11" s="98"/>
    </row>
    <row r="12" spans="1:59" ht="16" customHeight="1" x14ac:dyDescent="0.45">
      <c r="B12" s="14" t="s">
        <v>285</v>
      </c>
      <c r="C12" s="14" t="s">
        <v>286</v>
      </c>
      <c r="D12" s="61"/>
      <c r="E12" s="30">
        <v>2829.2055599999999</v>
      </c>
      <c r="F12" s="63"/>
      <c r="G12" s="15">
        <f t="shared" ref="G12:G43" si="0">SUM(K12:AE12)</f>
        <v>2829.2055599999999</v>
      </c>
      <c r="H12" s="63"/>
      <c r="I12" s="15">
        <f t="shared" ref="I12:I75" si="1">E12-G12</f>
        <v>0</v>
      </c>
      <c r="J12" s="63"/>
      <c r="K12" s="15">
        <v>9.5185200000000005</v>
      </c>
      <c r="L12" s="15"/>
      <c r="M12" s="15"/>
      <c r="N12" s="15"/>
      <c r="O12" s="15"/>
      <c r="P12" s="15">
        <v>2819.6870399999998</v>
      </c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98"/>
      <c r="AX12" s="98"/>
      <c r="AY12" s="98"/>
      <c r="AZ12" s="98"/>
      <c r="BA12" s="98"/>
      <c r="BB12" s="98"/>
      <c r="BC12" s="98"/>
      <c r="BD12" s="98"/>
      <c r="BE12" s="98"/>
      <c r="BF12" s="98"/>
      <c r="BG12" s="98"/>
    </row>
    <row r="13" spans="1:59" ht="16" customHeight="1" x14ac:dyDescent="0.45">
      <c r="B13" s="14" t="s">
        <v>287</v>
      </c>
      <c r="C13" s="14" t="s">
        <v>288</v>
      </c>
      <c r="D13" s="61"/>
      <c r="E13" s="30"/>
      <c r="F13" s="63"/>
      <c r="G13" s="15">
        <f t="shared" si="0"/>
        <v>0</v>
      </c>
      <c r="H13" s="63"/>
      <c r="I13" s="15">
        <f t="shared" si="1"/>
        <v>0</v>
      </c>
      <c r="J13" s="63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98"/>
      <c r="AX13" s="98"/>
      <c r="AY13" s="98"/>
      <c r="AZ13" s="98"/>
      <c r="BA13" s="98"/>
      <c r="BB13" s="98"/>
      <c r="BC13" s="98"/>
      <c r="BD13" s="98"/>
      <c r="BE13" s="98"/>
      <c r="BF13" s="98"/>
      <c r="BG13" s="98"/>
    </row>
    <row r="14" spans="1:59" ht="16" customHeight="1" x14ac:dyDescent="0.45">
      <c r="B14" s="14" t="s">
        <v>291</v>
      </c>
      <c r="C14" s="14" t="s">
        <v>292</v>
      </c>
      <c r="D14" s="61"/>
      <c r="E14" s="30"/>
      <c r="F14" s="63"/>
      <c r="G14" s="15">
        <f t="shared" si="0"/>
        <v>0</v>
      </c>
      <c r="H14" s="63"/>
      <c r="I14" s="15">
        <f t="shared" si="1"/>
        <v>0</v>
      </c>
      <c r="J14" s="63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98"/>
      <c r="AX14" s="98"/>
      <c r="AY14" s="98"/>
      <c r="AZ14" s="98"/>
      <c r="BA14" s="98"/>
      <c r="BB14" s="98"/>
      <c r="BC14" s="98"/>
      <c r="BD14" s="98"/>
      <c r="BE14" s="98"/>
      <c r="BF14" s="98"/>
      <c r="BG14" s="98"/>
    </row>
    <row r="15" spans="1:59" ht="16" customHeight="1" x14ac:dyDescent="0.45">
      <c r="B15" s="14" t="s">
        <v>1248</v>
      </c>
      <c r="C15" s="14" t="s">
        <v>1249</v>
      </c>
      <c r="D15" s="61"/>
      <c r="E15" s="30"/>
      <c r="F15" s="63"/>
      <c r="G15" s="15">
        <f t="shared" si="0"/>
        <v>0</v>
      </c>
      <c r="H15" s="63"/>
      <c r="I15" s="15">
        <f t="shared" si="1"/>
        <v>0</v>
      </c>
      <c r="J15" s="63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98"/>
      <c r="AX15" s="98"/>
      <c r="AY15" s="98"/>
      <c r="AZ15" s="98"/>
      <c r="BA15" s="98"/>
      <c r="BB15" s="98"/>
      <c r="BC15" s="98"/>
      <c r="BD15" s="98"/>
      <c r="BE15" s="98"/>
      <c r="BF15" s="98"/>
      <c r="BG15" s="98"/>
    </row>
    <row r="16" spans="1:59" ht="16" customHeight="1" x14ac:dyDescent="0.45">
      <c r="B16" s="14" t="s">
        <v>1250</v>
      </c>
      <c r="C16" s="14" t="s">
        <v>1251</v>
      </c>
      <c r="D16" s="61"/>
      <c r="E16" s="30"/>
      <c r="F16" s="63"/>
      <c r="G16" s="15">
        <f t="shared" si="0"/>
        <v>0</v>
      </c>
      <c r="H16" s="63"/>
      <c r="I16" s="15">
        <f t="shared" si="1"/>
        <v>0</v>
      </c>
      <c r="J16" s="63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</row>
    <row r="17" spans="2:48" ht="16" customHeight="1" x14ac:dyDescent="0.45">
      <c r="B17" s="14" t="s">
        <v>298</v>
      </c>
      <c r="C17" s="14" t="s">
        <v>299</v>
      </c>
      <c r="D17" s="61"/>
      <c r="E17" s="30">
        <v>1826177.92937</v>
      </c>
      <c r="F17" s="63"/>
      <c r="G17" s="15">
        <f t="shared" si="0"/>
        <v>1826177.92937</v>
      </c>
      <c r="H17" s="63"/>
      <c r="I17" s="15">
        <f t="shared" si="1"/>
        <v>0</v>
      </c>
      <c r="J17" s="63"/>
      <c r="K17" s="15">
        <v>1761577.92937</v>
      </c>
      <c r="L17" s="15"/>
      <c r="M17" s="15"/>
      <c r="N17" s="15"/>
      <c r="O17" s="15"/>
      <c r="P17" s="15">
        <v>64600</v>
      </c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</row>
    <row r="18" spans="2:48" ht="16" customHeight="1" x14ac:dyDescent="0.45">
      <c r="B18" s="14" t="s">
        <v>1252</v>
      </c>
      <c r="C18" s="14" t="s">
        <v>1659</v>
      </c>
      <c r="D18" s="61"/>
      <c r="E18" s="30"/>
      <c r="F18" s="63"/>
      <c r="G18" s="15">
        <f t="shared" si="0"/>
        <v>0</v>
      </c>
      <c r="H18" s="63"/>
      <c r="I18" s="15">
        <f t="shared" si="1"/>
        <v>0</v>
      </c>
      <c r="J18" s="63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</row>
    <row r="19" spans="2:48" ht="16" customHeight="1" x14ac:dyDescent="0.45">
      <c r="B19" s="14" t="s">
        <v>1254</v>
      </c>
      <c r="C19" s="14" t="s">
        <v>1660</v>
      </c>
      <c r="D19" s="61"/>
      <c r="E19" s="30"/>
      <c r="F19" s="63"/>
      <c r="G19" s="15">
        <f t="shared" si="0"/>
        <v>0</v>
      </c>
      <c r="H19" s="63"/>
      <c r="I19" s="15">
        <f t="shared" si="1"/>
        <v>0</v>
      </c>
      <c r="J19" s="63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</row>
    <row r="20" spans="2:48" ht="16" customHeight="1" x14ac:dyDescent="0.35">
      <c r="B20" s="14" t="s">
        <v>1256</v>
      </c>
      <c r="C20" s="14" t="s">
        <v>1661</v>
      </c>
      <c r="D20" s="61"/>
      <c r="E20" s="30"/>
      <c r="F20" s="63"/>
      <c r="G20" s="15">
        <f t="shared" si="0"/>
        <v>0</v>
      </c>
      <c r="H20" s="63"/>
      <c r="I20" s="15">
        <f t="shared" si="1"/>
        <v>0</v>
      </c>
      <c r="J20" s="63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</row>
    <row r="21" spans="2:48" ht="16" customHeight="1" x14ac:dyDescent="0.35">
      <c r="B21" s="14" t="s">
        <v>1258</v>
      </c>
      <c r="C21" s="14" t="s">
        <v>1662</v>
      </c>
      <c r="D21" s="61"/>
      <c r="E21" s="30"/>
      <c r="F21" s="63"/>
      <c r="G21" s="15">
        <f t="shared" si="0"/>
        <v>0</v>
      </c>
      <c r="H21" s="63"/>
      <c r="I21" s="15">
        <f t="shared" si="1"/>
        <v>0</v>
      </c>
      <c r="J21" s="63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</row>
    <row r="22" spans="2:48" ht="16" customHeight="1" x14ac:dyDescent="0.35">
      <c r="B22" s="14" t="s">
        <v>311</v>
      </c>
      <c r="C22" s="14" t="s">
        <v>312</v>
      </c>
      <c r="D22" s="61"/>
      <c r="E22" s="30">
        <v>2951.72606</v>
      </c>
      <c r="F22" s="63"/>
      <c r="G22" s="15">
        <f t="shared" si="0"/>
        <v>2951.72606</v>
      </c>
      <c r="H22" s="63"/>
      <c r="I22" s="15">
        <f t="shared" si="1"/>
        <v>0</v>
      </c>
      <c r="J22" s="63"/>
      <c r="K22" s="15">
        <v>2951.72606</v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>
        <v>0</v>
      </c>
      <c r="AC22" s="15"/>
      <c r="AD22" s="15"/>
      <c r="AE22" s="15"/>
    </row>
    <row r="23" spans="2:48" ht="16" customHeight="1" x14ac:dyDescent="0.35">
      <c r="B23" s="14" t="s">
        <v>304</v>
      </c>
      <c r="C23" s="14" t="s">
        <v>1260</v>
      </c>
      <c r="D23" s="61"/>
      <c r="E23" s="30"/>
      <c r="F23" s="63"/>
      <c r="G23" s="15">
        <f t="shared" si="0"/>
        <v>0</v>
      </c>
      <c r="H23" s="63"/>
      <c r="I23" s="15">
        <f t="shared" si="1"/>
        <v>0</v>
      </c>
      <c r="J23" s="63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</row>
    <row r="24" spans="2:48" ht="16" customHeight="1" x14ac:dyDescent="0.35">
      <c r="B24" s="14" t="s">
        <v>306</v>
      </c>
      <c r="C24" s="14" t="s">
        <v>1261</v>
      </c>
      <c r="D24" s="61"/>
      <c r="E24" s="30"/>
      <c r="F24" s="63"/>
      <c r="G24" s="15">
        <f t="shared" si="0"/>
        <v>0</v>
      </c>
      <c r="H24" s="63"/>
      <c r="I24" s="15">
        <f t="shared" si="1"/>
        <v>0</v>
      </c>
      <c r="J24" s="63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</row>
    <row r="25" spans="2:48" ht="16" customHeight="1" x14ac:dyDescent="0.35">
      <c r="B25" s="14" t="s">
        <v>314</v>
      </c>
      <c r="C25" s="14" t="s">
        <v>1262</v>
      </c>
      <c r="D25" s="61"/>
      <c r="E25" s="30">
        <v>28358.191350000001</v>
      </c>
      <c r="F25" s="63"/>
      <c r="G25" s="15">
        <f t="shared" si="0"/>
        <v>28358.191350000001</v>
      </c>
      <c r="H25" s="63"/>
      <c r="I25" s="15">
        <f t="shared" si="1"/>
        <v>0</v>
      </c>
      <c r="J25" s="63"/>
      <c r="K25" s="15">
        <v>25062.39805</v>
      </c>
      <c r="L25" s="15"/>
      <c r="M25" s="15"/>
      <c r="N25" s="15"/>
      <c r="O25" s="15"/>
      <c r="P25" s="15">
        <v>3295.7932999999998</v>
      </c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>
        <v>0</v>
      </c>
      <c r="AB25" s="15">
        <v>0</v>
      </c>
      <c r="AC25" s="15"/>
      <c r="AD25" s="15"/>
      <c r="AE25" s="15"/>
    </row>
    <row r="26" spans="2:48" ht="16" customHeight="1" x14ac:dyDescent="0.35">
      <c r="B26" s="14" t="s">
        <v>343</v>
      </c>
      <c r="C26" s="14" t="s">
        <v>1267</v>
      </c>
      <c r="D26" s="61"/>
      <c r="E26" s="30">
        <v>74889.687460000001</v>
      </c>
      <c r="F26" s="63"/>
      <c r="G26" s="15">
        <f t="shared" si="0"/>
        <v>74889.686459999997</v>
      </c>
      <c r="H26" s="63"/>
      <c r="I26" s="15">
        <f t="shared" si="1"/>
        <v>1.0000000038417056E-3</v>
      </c>
      <c r="J26" s="63"/>
      <c r="K26" s="15">
        <v>90172.001529999994</v>
      </c>
      <c r="L26" s="15"/>
      <c r="M26" s="15"/>
      <c r="N26" s="15"/>
      <c r="O26" s="15"/>
      <c r="P26" s="15">
        <v>-15282.373240000001</v>
      </c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>
        <v>5.7439999999999998E-2</v>
      </c>
      <c r="AC26" s="15"/>
      <c r="AD26" s="15"/>
      <c r="AE26" s="15">
        <v>7.2999999999999996E-4</v>
      </c>
    </row>
    <row r="27" spans="2:48" ht="16" customHeight="1" x14ac:dyDescent="0.35">
      <c r="B27" s="14" t="s">
        <v>316</v>
      </c>
      <c r="C27" s="14" t="s">
        <v>1263</v>
      </c>
      <c r="D27" s="61"/>
      <c r="E27" s="30"/>
      <c r="F27" s="63"/>
      <c r="G27" s="15">
        <f t="shared" si="0"/>
        <v>0</v>
      </c>
      <c r="H27" s="63"/>
      <c r="I27" s="15">
        <f t="shared" si="1"/>
        <v>0</v>
      </c>
      <c r="J27" s="63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</row>
    <row r="28" spans="2:48" ht="16" customHeight="1" x14ac:dyDescent="0.35">
      <c r="B28" s="14" t="s">
        <v>320</v>
      </c>
      <c r="C28" s="14" t="s">
        <v>1264</v>
      </c>
      <c r="D28" s="61"/>
      <c r="E28" s="30"/>
      <c r="F28" s="63"/>
      <c r="G28" s="15">
        <f t="shared" si="0"/>
        <v>0</v>
      </c>
      <c r="H28" s="63"/>
      <c r="I28" s="15">
        <f t="shared" si="1"/>
        <v>0</v>
      </c>
      <c r="J28" s="63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</row>
    <row r="29" spans="2:48" ht="16" customHeight="1" x14ac:dyDescent="0.35">
      <c r="B29" s="14" t="s">
        <v>322</v>
      </c>
      <c r="C29" s="14" t="s">
        <v>1265</v>
      </c>
      <c r="D29" s="61"/>
      <c r="E29" s="30">
        <v>-5328.4569000000001</v>
      </c>
      <c r="F29" s="63"/>
      <c r="G29" s="15">
        <f t="shared" si="0"/>
        <v>-5328.4569000000001</v>
      </c>
      <c r="H29" s="63"/>
      <c r="I29" s="15">
        <f t="shared" si="1"/>
        <v>0</v>
      </c>
      <c r="J29" s="63"/>
      <c r="K29" s="15">
        <v>-5276.4371600000004</v>
      </c>
      <c r="L29" s="15"/>
      <c r="M29" s="15"/>
      <c r="N29" s="15"/>
      <c r="O29" s="15"/>
      <c r="P29" s="15"/>
      <c r="Q29" s="15"/>
      <c r="R29" s="15"/>
      <c r="S29" s="15"/>
      <c r="T29" s="15"/>
      <c r="U29" s="15">
        <v>-52.02704</v>
      </c>
      <c r="V29" s="15"/>
      <c r="W29" s="15"/>
      <c r="X29" s="15"/>
      <c r="Y29" s="15"/>
      <c r="Z29" s="15"/>
      <c r="AA29" s="15"/>
      <c r="AB29" s="15">
        <v>0.16</v>
      </c>
      <c r="AC29" s="15"/>
      <c r="AD29" s="15"/>
      <c r="AE29" s="15">
        <v>-0.1527</v>
      </c>
    </row>
    <row r="30" spans="2:48" ht="16" customHeight="1" x14ac:dyDescent="0.35">
      <c r="B30" s="14" t="s">
        <v>345</v>
      </c>
      <c r="C30" s="14" t="s">
        <v>1268</v>
      </c>
      <c r="D30" s="61"/>
      <c r="E30" s="30"/>
      <c r="F30" s="63"/>
      <c r="G30" s="15">
        <f t="shared" si="0"/>
        <v>0</v>
      </c>
      <c r="H30" s="63"/>
      <c r="I30" s="15">
        <f t="shared" si="1"/>
        <v>0</v>
      </c>
      <c r="J30" s="63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</row>
    <row r="31" spans="2:48" ht="16" customHeight="1" x14ac:dyDescent="0.35">
      <c r="B31" s="14" t="s">
        <v>347</v>
      </c>
      <c r="C31" s="14" t="s">
        <v>1269</v>
      </c>
      <c r="D31" s="61"/>
      <c r="E31" s="30">
        <v>14026.896290000001</v>
      </c>
      <c r="F31" s="63"/>
      <c r="G31" s="15">
        <f t="shared" si="0"/>
        <v>14026.896289999999</v>
      </c>
      <c r="H31" s="63"/>
      <c r="I31" s="15">
        <f t="shared" si="1"/>
        <v>0</v>
      </c>
      <c r="J31" s="63"/>
      <c r="K31" s="15">
        <v>15845.497509999999</v>
      </c>
      <c r="L31" s="15"/>
      <c r="M31" s="15"/>
      <c r="N31" s="15"/>
      <c r="O31" s="15"/>
      <c r="P31" s="15">
        <v>-1818.6086700000001</v>
      </c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>
        <v>7.45E-3</v>
      </c>
    </row>
    <row r="32" spans="2:48" ht="16" customHeight="1" x14ac:dyDescent="0.35">
      <c r="B32" s="14" t="s">
        <v>349</v>
      </c>
      <c r="C32" s="14" t="s">
        <v>1270</v>
      </c>
      <c r="D32" s="61"/>
      <c r="E32" s="30"/>
      <c r="F32" s="63"/>
      <c r="G32" s="15">
        <f t="shared" si="0"/>
        <v>0</v>
      </c>
      <c r="H32" s="63"/>
      <c r="I32" s="15">
        <f t="shared" si="1"/>
        <v>0</v>
      </c>
      <c r="J32" s="63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</row>
    <row r="33" spans="2:31" ht="16" customHeight="1" x14ac:dyDescent="0.35">
      <c r="B33" s="14" t="s">
        <v>351</v>
      </c>
      <c r="C33" s="14" t="s">
        <v>1271</v>
      </c>
      <c r="D33" s="61"/>
      <c r="E33" s="30"/>
      <c r="F33" s="63"/>
      <c r="G33" s="15">
        <f t="shared" si="0"/>
        <v>0</v>
      </c>
      <c r="H33" s="63"/>
      <c r="I33" s="15">
        <f t="shared" si="1"/>
        <v>0</v>
      </c>
      <c r="J33" s="63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</row>
    <row r="34" spans="2:31" ht="16" customHeight="1" x14ac:dyDescent="0.35">
      <c r="B34" s="14" t="s">
        <v>318</v>
      </c>
      <c r="C34" s="14" t="s">
        <v>1266</v>
      </c>
      <c r="D34" s="61"/>
      <c r="E34" s="30">
        <v>433358.47532999999</v>
      </c>
      <c r="F34" s="63"/>
      <c r="G34" s="15">
        <f t="shared" si="0"/>
        <v>433358.47532000003</v>
      </c>
      <c r="H34" s="63"/>
      <c r="I34" s="15">
        <f t="shared" si="1"/>
        <v>9.9999597296118736E-6</v>
      </c>
      <c r="J34" s="63"/>
      <c r="K34" s="15">
        <v>315399.15490000002</v>
      </c>
      <c r="L34" s="15"/>
      <c r="M34" s="15"/>
      <c r="N34" s="15"/>
      <c r="O34" s="15"/>
      <c r="P34" s="15">
        <v>117951.88873000001</v>
      </c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>
        <v>-0.21071999999999999</v>
      </c>
      <c r="AC34" s="15"/>
      <c r="AD34" s="15"/>
      <c r="AE34" s="15">
        <v>7.6424099999999999</v>
      </c>
    </row>
    <row r="35" spans="2:31" ht="16" customHeight="1" x14ac:dyDescent="0.35">
      <c r="B35" s="14" t="s">
        <v>324</v>
      </c>
      <c r="C35" s="14" t="s">
        <v>325</v>
      </c>
      <c r="D35" s="61"/>
      <c r="E35" s="30">
        <v>555.31349999999998</v>
      </c>
      <c r="F35" s="63"/>
      <c r="G35" s="15">
        <f t="shared" si="0"/>
        <v>555.31349999999998</v>
      </c>
      <c r="H35" s="63"/>
      <c r="I35" s="15">
        <f t="shared" si="1"/>
        <v>0</v>
      </c>
      <c r="J35" s="63"/>
      <c r="K35" s="15">
        <v>512.77408000000003</v>
      </c>
      <c r="L35" s="15"/>
      <c r="M35" s="15"/>
      <c r="N35" s="15"/>
      <c r="O35" s="15"/>
      <c r="P35" s="15">
        <v>42.53942</v>
      </c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</row>
    <row r="36" spans="2:31" ht="16" customHeight="1" x14ac:dyDescent="0.35">
      <c r="B36" s="14" t="s">
        <v>329</v>
      </c>
      <c r="C36" s="14" t="s">
        <v>330</v>
      </c>
      <c r="D36" s="61"/>
      <c r="E36" s="30">
        <v>71864.971239999999</v>
      </c>
      <c r="F36" s="63"/>
      <c r="G36" s="15">
        <f t="shared" si="0"/>
        <v>71864.971239999999</v>
      </c>
      <c r="H36" s="63"/>
      <c r="I36" s="15">
        <f t="shared" si="1"/>
        <v>0</v>
      </c>
      <c r="J36" s="63"/>
      <c r="K36" s="15">
        <v>65682.392930000002</v>
      </c>
      <c r="L36" s="15"/>
      <c r="M36" s="15"/>
      <c r="N36" s="15"/>
      <c r="O36" s="15"/>
      <c r="P36" s="15">
        <v>6188.9099500000002</v>
      </c>
      <c r="Q36" s="15"/>
      <c r="R36" s="15"/>
      <c r="S36" s="15"/>
      <c r="T36" s="15"/>
      <c r="U36" s="15"/>
      <c r="V36" s="15"/>
      <c r="W36" s="15"/>
      <c r="X36" s="15"/>
      <c r="Y36" s="15">
        <v>-6.3316400000000002</v>
      </c>
      <c r="Z36" s="15"/>
      <c r="AA36" s="15"/>
      <c r="AB36" s="15"/>
      <c r="AC36" s="15"/>
      <c r="AD36" s="15"/>
      <c r="AE36" s="15"/>
    </row>
    <row r="37" spans="2:31" ht="16" customHeight="1" x14ac:dyDescent="0.35">
      <c r="B37" s="14" t="s">
        <v>333</v>
      </c>
      <c r="C37" s="14" t="s">
        <v>1663</v>
      </c>
      <c r="D37" s="61"/>
      <c r="E37" s="30">
        <v>269889.33257999999</v>
      </c>
      <c r="F37" s="63"/>
      <c r="G37" s="15">
        <f t="shared" si="0"/>
        <v>269889.33258000005</v>
      </c>
      <c r="H37" s="63"/>
      <c r="I37" s="15">
        <f t="shared" si="1"/>
        <v>0</v>
      </c>
      <c r="J37" s="63"/>
      <c r="K37" s="15">
        <v>250761.56416000001</v>
      </c>
      <c r="L37" s="15"/>
      <c r="M37" s="15"/>
      <c r="N37" s="15"/>
      <c r="O37" s="15"/>
      <c r="P37" s="15">
        <v>17969.697069999998</v>
      </c>
      <c r="Q37" s="15"/>
      <c r="R37" s="15"/>
      <c r="S37" s="15"/>
      <c r="T37" s="15"/>
      <c r="U37" s="15"/>
      <c r="V37" s="15"/>
      <c r="W37" s="15"/>
      <c r="X37" s="15"/>
      <c r="Y37" s="15">
        <v>147.57240999999999</v>
      </c>
      <c r="Z37" s="15"/>
      <c r="AA37" s="15"/>
      <c r="AB37" s="15">
        <v>1010.4989399999999</v>
      </c>
      <c r="AC37" s="15"/>
      <c r="AD37" s="15"/>
      <c r="AE37" s="15"/>
    </row>
    <row r="38" spans="2:31" ht="16" customHeight="1" x14ac:dyDescent="0.35">
      <c r="B38" s="14" t="s">
        <v>331</v>
      </c>
      <c r="C38" s="14" t="s">
        <v>332</v>
      </c>
      <c r="D38" s="61"/>
      <c r="E38" s="30"/>
      <c r="F38" s="63"/>
      <c r="G38" s="15">
        <f t="shared" si="0"/>
        <v>0</v>
      </c>
      <c r="H38" s="63"/>
      <c r="I38" s="15">
        <f t="shared" si="1"/>
        <v>0</v>
      </c>
      <c r="J38" s="63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</row>
    <row r="39" spans="2:31" ht="16" customHeight="1" x14ac:dyDescent="0.35">
      <c r="B39" s="14" t="s">
        <v>335</v>
      </c>
      <c r="C39" s="14" t="s">
        <v>336</v>
      </c>
      <c r="D39" s="61"/>
      <c r="E39" s="30">
        <v>22271.24958</v>
      </c>
      <c r="F39" s="63"/>
      <c r="G39" s="15">
        <f t="shared" si="0"/>
        <v>22271.24958</v>
      </c>
      <c r="H39" s="63"/>
      <c r="I39" s="15">
        <f t="shared" si="1"/>
        <v>0</v>
      </c>
      <c r="J39" s="63"/>
      <c r="K39" s="15">
        <v>20696.637589999998</v>
      </c>
      <c r="L39" s="15"/>
      <c r="M39" s="15"/>
      <c r="N39" s="15"/>
      <c r="O39" s="15"/>
      <c r="P39" s="15">
        <v>1574.6119900000001</v>
      </c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</row>
    <row r="40" spans="2:31" ht="16" customHeight="1" x14ac:dyDescent="0.35">
      <c r="B40" s="14" t="s">
        <v>337</v>
      </c>
      <c r="C40" s="14" t="s">
        <v>338</v>
      </c>
      <c r="D40" s="61"/>
      <c r="E40" s="30">
        <v>153565.52843999999</v>
      </c>
      <c r="F40" s="63"/>
      <c r="G40" s="15">
        <f t="shared" si="0"/>
        <v>153565.52843999999</v>
      </c>
      <c r="H40" s="63"/>
      <c r="I40" s="15">
        <f t="shared" si="1"/>
        <v>0</v>
      </c>
      <c r="J40" s="63"/>
      <c r="K40" s="15">
        <v>160348.98636000001</v>
      </c>
      <c r="L40" s="15"/>
      <c r="M40" s="15"/>
      <c r="N40" s="15"/>
      <c r="O40" s="15"/>
      <c r="P40" s="15">
        <v>-5688.6233199999997</v>
      </c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>
        <v>-1094.8345999999999</v>
      </c>
      <c r="AC40" s="15"/>
      <c r="AD40" s="15"/>
      <c r="AE40" s="15"/>
    </row>
    <row r="41" spans="2:31" ht="16" customHeight="1" x14ac:dyDescent="0.35">
      <c r="B41" s="14" t="s">
        <v>339</v>
      </c>
      <c r="C41" s="14" t="s">
        <v>340</v>
      </c>
      <c r="D41" s="61"/>
      <c r="E41" s="30"/>
      <c r="F41" s="63"/>
      <c r="G41" s="15">
        <f t="shared" si="0"/>
        <v>0</v>
      </c>
      <c r="H41" s="63"/>
      <c r="I41" s="15">
        <f t="shared" si="1"/>
        <v>0</v>
      </c>
      <c r="J41" s="63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</row>
    <row r="42" spans="2:31" ht="16" customHeight="1" x14ac:dyDescent="0.35">
      <c r="B42" s="14" t="s">
        <v>1272</v>
      </c>
      <c r="C42" s="14" t="s">
        <v>1273</v>
      </c>
      <c r="D42" s="61"/>
      <c r="E42" s="30"/>
      <c r="F42" s="63"/>
      <c r="G42" s="15">
        <f t="shared" si="0"/>
        <v>0</v>
      </c>
      <c r="H42" s="63"/>
      <c r="I42" s="15">
        <f t="shared" si="1"/>
        <v>0</v>
      </c>
      <c r="J42" s="63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</row>
    <row r="43" spans="2:31" ht="16" customHeight="1" x14ac:dyDescent="0.35">
      <c r="B43" s="14" t="s">
        <v>1274</v>
      </c>
      <c r="C43" s="14" t="s">
        <v>1275</v>
      </c>
      <c r="D43" s="61"/>
      <c r="E43" s="30"/>
      <c r="F43" s="63"/>
      <c r="G43" s="15">
        <f t="shared" si="0"/>
        <v>0</v>
      </c>
      <c r="H43" s="63"/>
      <c r="I43" s="15">
        <f t="shared" si="1"/>
        <v>0</v>
      </c>
      <c r="J43" s="63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</row>
    <row r="44" spans="2:31" ht="16" customHeight="1" x14ac:dyDescent="0.35">
      <c r="B44" s="14" t="s">
        <v>1276</v>
      </c>
      <c r="C44" s="14" t="s">
        <v>1277</v>
      </c>
      <c r="D44" s="61"/>
      <c r="E44" s="30"/>
      <c r="F44" s="63"/>
      <c r="G44" s="15">
        <f t="shared" ref="G44:G107" si="2">SUM(K44:AE44)</f>
        <v>0</v>
      </c>
      <c r="H44" s="63"/>
      <c r="I44" s="15">
        <f t="shared" si="1"/>
        <v>0</v>
      </c>
      <c r="J44" s="63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</row>
    <row r="45" spans="2:31" ht="16" customHeight="1" x14ac:dyDescent="0.35">
      <c r="B45" s="14" t="s">
        <v>1278</v>
      </c>
      <c r="C45" s="14" t="s">
        <v>1279</v>
      </c>
      <c r="D45" s="61"/>
      <c r="E45" s="30"/>
      <c r="F45" s="63"/>
      <c r="G45" s="15">
        <f t="shared" si="2"/>
        <v>0</v>
      </c>
      <c r="H45" s="63"/>
      <c r="I45" s="15">
        <f t="shared" si="1"/>
        <v>0</v>
      </c>
      <c r="J45" s="63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</row>
    <row r="46" spans="2:31" ht="16" customHeight="1" x14ac:dyDescent="0.35">
      <c r="B46" s="14" t="s">
        <v>1280</v>
      </c>
      <c r="C46" s="14" t="s">
        <v>1281</v>
      </c>
      <c r="D46" s="61"/>
      <c r="E46" s="30"/>
      <c r="F46" s="63"/>
      <c r="G46" s="15">
        <f t="shared" si="2"/>
        <v>0</v>
      </c>
      <c r="H46" s="63"/>
      <c r="I46" s="15">
        <f t="shared" si="1"/>
        <v>0</v>
      </c>
      <c r="J46" s="63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</row>
    <row r="47" spans="2:31" ht="16" customHeight="1" x14ac:dyDescent="0.35">
      <c r="B47" s="14" t="s">
        <v>1282</v>
      </c>
      <c r="C47" s="14" t="s">
        <v>1283</v>
      </c>
      <c r="D47" s="61"/>
      <c r="E47" s="30"/>
      <c r="F47" s="63"/>
      <c r="G47" s="15">
        <f t="shared" si="2"/>
        <v>0</v>
      </c>
      <c r="H47" s="63"/>
      <c r="I47" s="15">
        <f t="shared" si="1"/>
        <v>0</v>
      </c>
      <c r="J47" s="63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</row>
    <row r="48" spans="2:31" ht="16" customHeight="1" x14ac:dyDescent="0.35">
      <c r="B48" s="14" t="s">
        <v>359</v>
      </c>
      <c r="C48" s="14" t="s">
        <v>1664</v>
      </c>
      <c r="D48" s="61"/>
      <c r="E48" s="30">
        <v>39556.490230000003</v>
      </c>
      <c r="F48" s="63"/>
      <c r="G48" s="15">
        <f t="shared" si="2"/>
        <v>39556.490229999996</v>
      </c>
      <c r="H48" s="63"/>
      <c r="I48" s="15">
        <f t="shared" si="1"/>
        <v>0</v>
      </c>
      <c r="J48" s="63"/>
      <c r="K48" s="15">
        <v>57763.990149999998</v>
      </c>
      <c r="L48" s="15"/>
      <c r="M48" s="15"/>
      <c r="N48" s="15"/>
      <c r="O48" s="15"/>
      <c r="P48" s="15">
        <v>-18207.499919999998</v>
      </c>
      <c r="Q48" s="15"/>
      <c r="R48" s="15"/>
      <c r="S48" s="15"/>
      <c r="T48" s="15"/>
      <c r="U48" s="15"/>
      <c r="V48" s="15"/>
      <c r="W48" s="15"/>
      <c r="X48" s="15"/>
      <c r="Y48" s="15"/>
      <c r="Z48" s="15">
        <v>0</v>
      </c>
      <c r="AA48" s="15">
        <v>0</v>
      </c>
      <c r="AB48" s="15"/>
      <c r="AC48" s="15"/>
      <c r="AD48" s="15"/>
      <c r="AE48" s="15"/>
    </row>
    <row r="49" spans="2:31" ht="16" customHeight="1" x14ac:dyDescent="0.35">
      <c r="B49" s="14" t="s">
        <v>1284</v>
      </c>
      <c r="C49" s="14" t="s">
        <v>1285</v>
      </c>
      <c r="D49" s="61"/>
      <c r="E49" s="30"/>
      <c r="F49" s="63"/>
      <c r="G49" s="15">
        <f t="shared" si="2"/>
        <v>0</v>
      </c>
      <c r="H49" s="63"/>
      <c r="I49" s="15">
        <f t="shared" si="1"/>
        <v>0</v>
      </c>
      <c r="J49" s="63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</row>
    <row r="50" spans="2:31" ht="16" customHeight="1" x14ac:dyDescent="0.35">
      <c r="B50" s="14" t="s">
        <v>1286</v>
      </c>
      <c r="C50" s="14" t="s">
        <v>1287</v>
      </c>
      <c r="D50" s="61"/>
      <c r="E50" s="30"/>
      <c r="F50" s="63"/>
      <c r="G50" s="15">
        <f t="shared" si="2"/>
        <v>0</v>
      </c>
      <c r="H50" s="63"/>
      <c r="I50" s="15">
        <f t="shared" si="1"/>
        <v>0</v>
      </c>
      <c r="J50" s="63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</row>
    <row r="51" spans="2:31" ht="16" customHeight="1" x14ac:dyDescent="0.35">
      <c r="B51" s="14" t="s">
        <v>1288</v>
      </c>
      <c r="C51" s="14" t="s">
        <v>1289</v>
      </c>
      <c r="D51" s="61"/>
      <c r="E51" s="30"/>
      <c r="F51" s="63"/>
      <c r="G51" s="15">
        <f t="shared" si="2"/>
        <v>0</v>
      </c>
      <c r="H51" s="63"/>
      <c r="I51" s="15">
        <f t="shared" si="1"/>
        <v>0</v>
      </c>
      <c r="J51" s="63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</row>
    <row r="52" spans="2:31" ht="16" customHeight="1" x14ac:dyDescent="0.35">
      <c r="B52" s="14" t="s">
        <v>1290</v>
      </c>
      <c r="C52" s="14" t="s">
        <v>1291</v>
      </c>
      <c r="D52" s="61"/>
      <c r="E52" s="30"/>
      <c r="F52" s="63"/>
      <c r="G52" s="15">
        <f t="shared" si="2"/>
        <v>0</v>
      </c>
      <c r="H52" s="63"/>
      <c r="I52" s="15">
        <f t="shared" si="1"/>
        <v>0</v>
      </c>
      <c r="J52" s="63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</row>
    <row r="53" spans="2:31" ht="16" customHeight="1" x14ac:dyDescent="0.35">
      <c r="B53" s="14" t="s">
        <v>1292</v>
      </c>
      <c r="C53" s="14" t="s">
        <v>1293</v>
      </c>
      <c r="D53" s="61"/>
      <c r="E53" s="30"/>
      <c r="F53" s="63"/>
      <c r="G53" s="15">
        <f t="shared" si="2"/>
        <v>0</v>
      </c>
      <c r="H53" s="63"/>
      <c r="I53" s="15">
        <f t="shared" si="1"/>
        <v>0</v>
      </c>
      <c r="J53" s="63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</row>
    <row r="54" spans="2:31" ht="16" customHeight="1" x14ac:dyDescent="0.35">
      <c r="B54" s="14" t="s">
        <v>1294</v>
      </c>
      <c r="C54" s="14" t="s">
        <v>1295</v>
      </c>
      <c r="D54" s="61"/>
      <c r="E54" s="30"/>
      <c r="F54" s="63"/>
      <c r="G54" s="15">
        <f t="shared" si="2"/>
        <v>0</v>
      </c>
      <c r="H54" s="63"/>
      <c r="I54" s="15">
        <f t="shared" si="1"/>
        <v>0</v>
      </c>
      <c r="J54" s="63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</row>
    <row r="55" spans="2:31" ht="16" customHeight="1" x14ac:dyDescent="0.35">
      <c r="B55" s="14" t="s">
        <v>1296</v>
      </c>
      <c r="C55" s="14" t="s">
        <v>1297</v>
      </c>
      <c r="D55" s="61"/>
      <c r="E55" s="30"/>
      <c r="F55" s="63"/>
      <c r="G55" s="15">
        <f t="shared" si="2"/>
        <v>0</v>
      </c>
      <c r="H55" s="63"/>
      <c r="I55" s="15">
        <f t="shared" si="1"/>
        <v>0</v>
      </c>
      <c r="J55" s="63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</row>
    <row r="56" spans="2:31" ht="16" customHeight="1" x14ac:dyDescent="0.35">
      <c r="B56" s="14" t="s">
        <v>361</v>
      </c>
      <c r="C56" s="14" t="s">
        <v>1298</v>
      </c>
      <c r="D56" s="61"/>
      <c r="E56" s="30">
        <v>102881.78434</v>
      </c>
      <c r="F56" s="63"/>
      <c r="G56" s="15">
        <f t="shared" si="2"/>
        <v>102881.78434</v>
      </c>
      <c r="H56" s="63"/>
      <c r="I56" s="15">
        <f t="shared" si="1"/>
        <v>0</v>
      </c>
      <c r="J56" s="63"/>
      <c r="K56" s="15">
        <v>0</v>
      </c>
      <c r="L56" s="15"/>
      <c r="M56" s="15"/>
      <c r="N56" s="15"/>
      <c r="O56" s="15"/>
      <c r="P56" s="15">
        <v>102881.78434</v>
      </c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</row>
    <row r="57" spans="2:31" ht="16" customHeight="1" x14ac:dyDescent="0.35">
      <c r="B57" s="14" t="s">
        <v>368</v>
      </c>
      <c r="C57" s="14" t="s">
        <v>1665</v>
      </c>
      <c r="D57" s="61"/>
      <c r="E57" s="30"/>
      <c r="F57" s="63"/>
      <c r="G57" s="15">
        <f t="shared" si="2"/>
        <v>0</v>
      </c>
      <c r="H57" s="63"/>
      <c r="I57" s="15">
        <f t="shared" si="1"/>
        <v>0</v>
      </c>
      <c r="J57" s="63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</row>
    <row r="58" spans="2:31" ht="16" customHeight="1" x14ac:dyDescent="0.35">
      <c r="B58" s="14" t="s">
        <v>363</v>
      </c>
      <c r="C58" s="14" t="s">
        <v>364</v>
      </c>
      <c r="D58" s="61"/>
      <c r="E58" s="30">
        <v>1.3999999999999999E-4</v>
      </c>
      <c r="F58" s="63"/>
      <c r="G58" s="15">
        <f t="shared" si="2"/>
        <v>1.3999999999999999E-4</v>
      </c>
      <c r="H58" s="63"/>
      <c r="I58" s="15">
        <f t="shared" si="1"/>
        <v>0</v>
      </c>
      <c r="J58" s="63"/>
      <c r="K58" s="15">
        <v>1.3999999999999999E-4</v>
      </c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</row>
    <row r="59" spans="2:31" ht="16" customHeight="1" x14ac:dyDescent="0.35">
      <c r="B59" s="14" t="s">
        <v>1300</v>
      </c>
      <c r="C59" s="14" t="s">
        <v>375</v>
      </c>
      <c r="D59" s="61"/>
      <c r="E59" s="30">
        <v>-5.7099999999999998E-3</v>
      </c>
      <c r="F59" s="63"/>
      <c r="G59" s="15">
        <f t="shared" si="2"/>
        <v>-5.7099999999999998E-3</v>
      </c>
      <c r="H59" s="63"/>
      <c r="I59" s="15">
        <f t="shared" si="1"/>
        <v>0</v>
      </c>
      <c r="J59" s="63"/>
      <c r="K59" s="15">
        <v>-5.7099999999999998E-3</v>
      </c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</row>
    <row r="60" spans="2:31" ht="16" customHeight="1" x14ac:dyDescent="0.35">
      <c r="B60" s="14" t="s">
        <v>1301</v>
      </c>
      <c r="C60" s="14" t="s">
        <v>1302</v>
      </c>
      <c r="D60" s="61"/>
      <c r="E60" s="30"/>
      <c r="F60" s="63"/>
      <c r="G60" s="15">
        <f t="shared" si="2"/>
        <v>0</v>
      </c>
      <c r="H60" s="63"/>
      <c r="I60" s="15">
        <f t="shared" si="1"/>
        <v>0</v>
      </c>
      <c r="J60" s="63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</row>
    <row r="61" spans="2:31" ht="16" customHeight="1" x14ac:dyDescent="0.35">
      <c r="B61" s="14" t="s">
        <v>1303</v>
      </c>
      <c r="C61" s="14" t="s">
        <v>1304</v>
      </c>
      <c r="D61" s="61"/>
      <c r="E61" s="30">
        <v>-1186975.8529999999</v>
      </c>
      <c r="F61" s="63"/>
      <c r="G61" s="15">
        <f t="shared" si="2"/>
        <v>-1186975.8529999999</v>
      </c>
      <c r="H61" s="63"/>
      <c r="I61" s="15">
        <f t="shared" si="1"/>
        <v>0</v>
      </c>
      <c r="J61" s="63"/>
      <c r="K61" s="15">
        <v>-1186975.8529999999</v>
      </c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</row>
    <row r="62" spans="2:31" ht="16" customHeight="1" x14ac:dyDescent="0.35">
      <c r="B62" s="14" t="s">
        <v>1305</v>
      </c>
      <c r="C62" s="14" t="s">
        <v>1306</v>
      </c>
      <c r="D62" s="61"/>
      <c r="E62" s="30">
        <v>1186975.8529999999</v>
      </c>
      <c r="F62" s="63"/>
      <c r="G62" s="15">
        <f t="shared" si="2"/>
        <v>1186975.8529999999</v>
      </c>
      <c r="H62" s="63"/>
      <c r="I62" s="15">
        <f t="shared" si="1"/>
        <v>0</v>
      </c>
      <c r="J62" s="63"/>
      <c r="K62" s="15">
        <v>1186975.8529999999</v>
      </c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</row>
    <row r="63" spans="2:31" ht="16" customHeight="1" x14ac:dyDescent="0.35">
      <c r="B63" s="14" t="s">
        <v>391</v>
      </c>
      <c r="C63" s="14" t="s">
        <v>392</v>
      </c>
      <c r="D63" s="61"/>
      <c r="E63" s="30"/>
      <c r="F63" s="63"/>
      <c r="G63" s="15">
        <f t="shared" si="2"/>
        <v>0</v>
      </c>
      <c r="H63" s="63"/>
      <c r="I63" s="15">
        <f t="shared" si="1"/>
        <v>0</v>
      </c>
      <c r="J63" s="63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</row>
    <row r="64" spans="2:31" ht="16" customHeight="1" x14ac:dyDescent="0.35">
      <c r="B64" s="14" t="s">
        <v>393</v>
      </c>
      <c r="C64" s="14" t="s">
        <v>394</v>
      </c>
      <c r="D64" s="61"/>
      <c r="E64" s="30"/>
      <c r="F64" s="63"/>
      <c r="G64" s="15">
        <f t="shared" si="2"/>
        <v>0</v>
      </c>
      <c r="H64" s="63"/>
      <c r="I64" s="15">
        <f t="shared" si="1"/>
        <v>0</v>
      </c>
      <c r="J64" s="63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</row>
    <row r="65" spans="2:31" ht="16" customHeight="1" x14ac:dyDescent="0.35">
      <c r="B65" s="14" t="s">
        <v>1307</v>
      </c>
      <c r="C65" s="14" t="s">
        <v>1666</v>
      </c>
      <c r="D65" s="61"/>
      <c r="E65" s="30"/>
      <c r="F65" s="63"/>
      <c r="G65" s="15">
        <f t="shared" si="2"/>
        <v>0</v>
      </c>
      <c r="H65" s="63"/>
      <c r="I65" s="15">
        <f t="shared" si="1"/>
        <v>0</v>
      </c>
      <c r="J65" s="63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</row>
    <row r="66" spans="2:31" ht="16" customHeight="1" x14ac:dyDescent="0.35">
      <c r="B66" s="14" t="s">
        <v>1309</v>
      </c>
      <c r="C66" s="14" t="s">
        <v>1667</v>
      </c>
      <c r="D66" s="61"/>
      <c r="E66" s="30"/>
      <c r="F66" s="63"/>
      <c r="G66" s="15">
        <f t="shared" si="2"/>
        <v>0</v>
      </c>
      <c r="H66" s="63"/>
      <c r="I66" s="15">
        <f t="shared" si="1"/>
        <v>0</v>
      </c>
      <c r="J66" s="63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</row>
    <row r="67" spans="2:31" ht="16" customHeight="1" x14ac:dyDescent="0.35">
      <c r="B67" s="14" t="s">
        <v>378</v>
      </c>
      <c r="C67" s="14" t="s">
        <v>379</v>
      </c>
      <c r="D67" s="61"/>
      <c r="E67" s="30">
        <v>1097931.3343</v>
      </c>
      <c r="F67" s="63"/>
      <c r="G67" s="15">
        <f t="shared" si="2"/>
        <v>1097931.3352999999</v>
      </c>
      <c r="H67" s="63"/>
      <c r="I67" s="15">
        <f t="shared" si="1"/>
        <v>-9.9999993108212948E-4</v>
      </c>
      <c r="J67" s="63"/>
      <c r="K67" s="15">
        <v>1061533.2769500001</v>
      </c>
      <c r="L67" s="15"/>
      <c r="M67" s="15"/>
      <c r="N67" s="15"/>
      <c r="O67" s="15"/>
      <c r="P67" s="15">
        <v>36355.276689999999</v>
      </c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>
        <v>27.684380000000001</v>
      </c>
      <c r="AB67" s="15"/>
      <c r="AC67" s="15"/>
      <c r="AD67" s="15">
        <v>-0.96243000000000001</v>
      </c>
      <c r="AE67" s="15">
        <v>16.059709999999999</v>
      </c>
    </row>
    <row r="68" spans="2:31" ht="16" customHeight="1" x14ac:dyDescent="0.35">
      <c r="B68" s="14" t="s">
        <v>1311</v>
      </c>
      <c r="C68" s="14" t="s">
        <v>1668</v>
      </c>
      <c r="D68" s="61"/>
      <c r="E68" s="30"/>
      <c r="F68" s="63"/>
      <c r="G68" s="15">
        <f t="shared" si="2"/>
        <v>0</v>
      </c>
      <c r="H68" s="63"/>
      <c r="I68" s="15">
        <f t="shared" si="1"/>
        <v>0</v>
      </c>
      <c r="J68" s="63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</row>
    <row r="69" spans="2:31" ht="16" customHeight="1" x14ac:dyDescent="0.35">
      <c r="B69" s="14" t="s">
        <v>1313</v>
      </c>
      <c r="C69" s="14" t="s">
        <v>1669</v>
      </c>
      <c r="D69" s="61"/>
      <c r="E69" s="30"/>
      <c r="F69" s="63"/>
      <c r="G69" s="15">
        <f t="shared" si="2"/>
        <v>0</v>
      </c>
      <c r="H69" s="63"/>
      <c r="I69" s="15">
        <f t="shared" si="1"/>
        <v>0</v>
      </c>
      <c r="J69" s="63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</row>
    <row r="70" spans="2:31" ht="16" customHeight="1" x14ac:dyDescent="0.35">
      <c r="B70" s="14" t="s">
        <v>1315</v>
      </c>
      <c r="C70" s="14" t="s">
        <v>1316</v>
      </c>
      <c r="D70" s="61"/>
      <c r="E70" s="30"/>
      <c r="F70" s="63"/>
      <c r="G70" s="15">
        <f t="shared" si="2"/>
        <v>0</v>
      </c>
      <c r="H70" s="63"/>
      <c r="I70" s="15">
        <f t="shared" si="1"/>
        <v>0</v>
      </c>
      <c r="J70" s="63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</row>
    <row r="71" spans="2:31" ht="16" customHeight="1" x14ac:dyDescent="0.35">
      <c r="B71" s="14" t="s">
        <v>1317</v>
      </c>
      <c r="C71" s="14" t="s">
        <v>1670</v>
      </c>
      <c r="D71" s="61"/>
      <c r="E71" s="30">
        <v>123.71153</v>
      </c>
      <c r="F71" s="63"/>
      <c r="G71" s="15">
        <f t="shared" si="2"/>
        <v>123.71153</v>
      </c>
      <c r="H71" s="63"/>
      <c r="I71" s="15">
        <f t="shared" si="1"/>
        <v>0</v>
      </c>
      <c r="J71" s="63"/>
      <c r="K71" s="15">
        <v>132.41830999999999</v>
      </c>
      <c r="L71" s="15"/>
      <c r="M71" s="15"/>
      <c r="N71" s="15"/>
      <c r="O71" s="15"/>
      <c r="P71" s="15"/>
      <c r="Q71" s="15">
        <v>-8.7067800000000002</v>
      </c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</row>
    <row r="72" spans="2:31" ht="16" customHeight="1" x14ac:dyDescent="0.35">
      <c r="B72" s="14" t="s">
        <v>1319</v>
      </c>
      <c r="C72" s="14" t="s">
        <v>1671</v>
      </c>
      <c r="D72" s="61"/>
      <c r="E72" s="30"/>
      <c r="F72" s="63"/>
      <c r="G72" s="15">
        <f t="shared" si="2"/>
        <v>0</v>
      </c>
      <c r="H72" s="63"/>
      <c r="I72" s="15">
        <f t="shared" si="1"/>
        <v>0</v>
      </c>
      <c r="J72" s="63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</row>
    <row r="73" spans="2:31" ht="16" customHeight="1" x14ac:dyDescent="0.35">
      <c r="B73" s="14" t="s">
        <v>1321</v>
      </c>
      <c r="C73" s="14" t="s">
        <v>1672</v>
      </c>
      <c r="D73" s="61"/>
      <c r="E73" s="30"/>
      <c r="F73" s="63"/>
      <c r="G73" s="15">
        <f t="shared" si="2"/>
        <v>0</v>
      </c>
      <c r="H73" s="63"/>
      <c r="I73" s="15">
        <f t="shared" si="1"/>
        <v>0</v>
      </c>
      <c r="J73" s="63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</row>
    <row r="74" spans="2:31" ht="16" customHeight="1" x14ac:dyDescent="0.35">
      <c r="B74" s="14" t="s">
        <v>397</v>
      </c>
      <c r="C74" s="14" t="s">
        <v>1673</v>
      </c>
      <c r="D74" s="61"/>
      <c r="E74" s="30">
        <v>749.22055999999998</v>
      </c>
      <c r="F74" s="63"/>
      <c r="G74" s="15">
        <f t="shared" si="2"/>
        <v>749.22055999999998</v>
      </c>
      <c r="H74" s="63"/>
      <c r="I74" s="15">
        <f t="shared" si="1"/>
        <v>0</v>
      </c>
      <c r="J74" s="63"/>
      <c r="K74" s="15">
        <v>749.22055999999998</v>
      </c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>
        <v>0</v>
      </c>
      <c r="AC74" s="15"/>
      <c r="AD74" s="15"/>
      <c r="AE74" s="15"/>
    </row>
    <row r="75" spans="2:31" ht="16" customHeight="1" x14ac:dyDescent="0.35">
      <c r="B75" s="14" t="s">
        <v>400</v>
      </c>
      <c r="C75" s="14" t="s">
        <v>401</v>
      </c>
      <c r="D75" s="61"/>
      <c r="E75" s="30">
        <v>316453.20688999997</v>
      </c>
      <c r="F75" s="63"/>
      <c r="G75" s="15">
        <f t="shared" si="2"/>
        <v>316453.20688999997</v>
      </c>
      <c r="H75" s="63"/>
      <c r="I75" s="15">
        <f t="shared" si="1"/>
        <v>0</v>
      </c>
      <c r="J75" s="63"/>
      <c r="K75" s="15">
        <v>314784.52026999998</v>
      </c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>
        <v>-2221.8220700000002</v>
      </c>
      <c r="W75" s="15"/>
      <c r="X75" s="15"/>
      <c r="Y75" s="15"/>
      <c r="Z75" s="15"/>
      <c r="AA75" s="15">
        <v>3890.5086900000001</v>
      </c>
      <c r="AB75" s="15"/>
      <c r="AC75" s="15"/>
      <c r="AD75" s="15"/>
      <c r="AE75" s="15"/>
    </row>
    <row r="76" spans="2:31" ht="16" customHeight="1" x14ac:dyDescent="0.35">
      <c r="B76" s="14" t="s">
        <v>402</v>
      </c>
      <c r="C76" s="14" t="s">
        <v>1323</v>
      </c>
      <c r="D76" s="61"/>
      <c r="E76" s="30">
        <v>-126044.46915</v>
      </c>
      <c r="F76" s="63"/>
      <c r="G76" s="15">
        <f t="shared" si="2"/>
        <v>-126044.46915</v>
      </c>
      <c r="H76" s="63"/>
      <c r="I76" s="15">
        <f t="shared" ref="I76:I120" si="3">E76-G76</f>
        <v>0</v>
      </c>
      <c r="J76" s="63"/>
      <c r="K76" s="15">
        <v>-126947.2984</v>
      </c>
      <c r="L76" s="15"/>
      <c r="M76" s="15"/>
      <c r="N76" s="15"/>
      <c r="O76" s="15"/>
      <c r="P76" s="15"/>
      <c r="Q76" s="15"/>
      <c r="R76" s="15"/>
      <c r="S76" s="15"/>
      <c r="T76" s="15"/>
      <c r="U76" s="15">
        <v>-1318.9928199999999</v>
      </c>
      <c r="V76" s="15">
        <v>2221.8220700000002</v>
      </c>
      <c r="W76" s="15"/>
      <c r="X76" s="15"/>
      <c r="Y76" s="15"/>
      <c r="Z76" s="15"/>
      <c r="AA76" s="15"/>
      <c r="AB76" s="15">
        <v>0</v>
      </c>
      <c r="AC76" s="15"/>
      <c r="AD76" s="15"/>
      <c r="AE76" s="15"/>
    </row>
    <row r="77" spans="2:31" ht="16" customHeight="1" x14ac:dyDescent="0.35">
      <c r="B77" s="14" t="s">
        <v>438</v>
      </c>
      <c r="C77" s="14" t="s">
        <v>1324</v>
      </c>
      <c r="D77" s="61"/>
      <c r="E77" s="30">
        <v>27708.20062</v>
      </c>
      <c r="F77" s="63"/>
      <c r="G77" s="15">
        <f t="shared" si="2"/>
        <v>27708.20062</v>
      </c>
      <c r="H77" s="63"/>
      <c r="I77" s="15">
        <f t="shared" si="3"/>
        <v>0</v>
      </c>
      <c r="J77" s="63"/>
      <c r="K77" s="15">
        <v>27708.20062</v>
      </c>
      <c r="L77" s="15"/>
      <c r="M77" s="15"/>
      <c r="N77" s="15"/>
      <c r="O77" s="15"/>
      <c r="P77" s="15"/>
      <c r="Q77" s="15"/>
      <c r="R77" s="15">
        <v>0</v>
      </c>
      <c r="S77" s="15"/>
      <c r="T77" s="15"/>
      <c r="U77" s="15"/>
      <c r="V77" s="15"/>
      <c r="W77" s="15"/>
      <c r="X77" s="15"/>
      <c r="Y77" s="15"/>
      <c r="Z77" s="15"/>
      <c r="AA77" s="15"/>
      <c r="AB77" s="15">
        <v>0</v>
      </c>
      <c r="AC77" s="15"/>
      <c r="AD77" s="15"/>
      <c r="AE77" s="15"/>
    </row>
    <row r="78" spans="2:31" ht="16" customHeight="1" x14ac:dyDescent="0.35">
      <c r="B78" s="14" t="s">
        <v>544</v>
      </c>
      <c r="C78" s="14" t="s">
        <v>1325</v>
      </c>
      <c r="D78" s="61"/>
      <c r="E78" s="30">
        <v>37957.170510000004</v>
      </c>
      <c r="F78" s="63"/>
      <c r="G78" s="15">
        <f t="shared" si="2"/>
        <v>37957.170509999996</v>
      </c>
      <c r="H78" s="63"/>
      <c r="I78" s="15">
        <f t="shared" si="3"/>
        <v>0</v>
      </c>
      <c r="J78" s="63"/>
      <c r="K78" s="15">
        <v>39618.857709999997</v>
      </c>
      <c r="L78" s="15"/>
      <c r="M78" s="15"/>
      <c r="N78" s="15"/>
      <c r="O78" s="15"/>
      <c r="P78" s="15"/>
      <c r="Q78" s="15"/>
      <c r="R78" s="15">
        <v>63.930190000000003</v>
      </c>
      <c r="S78" s="15"/>
      <c r="T78" s="15"/>
      <c r="U78" s="15"/>
      <c r="V78" s="15">
        <v>-1725.6173899999999</v>
      </c>
      <c r="W78" s="15"/>
      <c r="X78" s="15"/>
      <c r="Y78" s="15"/>
      <c r="Z78" s="15"/>
      <c r="AA78" s="15"/>
      <c r="AB78" s="15">
        <v>0</v>
      </c>
      <c r="AC78" s="15"/>
      <c r="AD78" s="15"/>
      <c r="AE78" s="15"/>
    </row>
    <row r="79" spans="2:31" ht="16" customHeight="1" x14ac:dyDescent="0.35">
      <c r="B79" s="14" t="s">
        <v>440</v>
      </c>
      <c r="C79" s="14" t="s">
        <v>1326</v>
      </c>
      <c r="D79" s="61"/>
      <c r="E79" s="30">
        <v>-3291.2001399999999</v>
      </c>
      <c r="F79" s="63"/>
      <c r="G79" s="15">
        <f t="shared" si="2"/>
        <v>-3291.2001400000004</v>
      </c>
      <c r="H79" s="63"/>
      <c r="I79" s="15">
        <f t="shared" si="3"/>
        <v>0</v>
      </c>
      <c r="J79" s="63"/>
      <c r="K79" s="15">
        <v>-3061.3733000000002</v>
      </c>
      <c r="L79" s="15"/>
      <c r="M79" s="15"/>
      <c r="N79" s="15"/>
      <c r="O79" s="15"/>
      <c r="P79" s="15"/>
      <c r="Q79" s="15"/>
      <c r="R79" s="15"/>
      <c r="S79" s="15"/>
      <c r="T79" s="15"/>
      <c r="U79" s="15">
        <v>-229.82684</v>
      </c>
      <c r="V79" s="15"/>
      <c r="W79" s="15"/>
      <c r="X79" s="15"/>
      <c r="Y79" s="15"/>
      <c r="Z79" s="15"/>
      <c r="AA79" s="15"/>
      <c r="AB79" s="15">
        <v>0</v>
      </c>
      <c r="AC79" s="15"/>
      <c r="AD79" s="15"/>
      <c r="AE79" s="15"/>
    </row>
    <row r="80" spans="2:31" ht="16" customHeight="1" x14ac:dyDescent="0.35">
      <c r="B80" s="14" t="s">
        <v>406</v>
      </c>
      <c r="C80" s="14" t="s">
        <v>407</v>
      </c>
      <c r="D80" s="61"/>
      <c r="E80" s="30">
        <v>2212550.1204599999</v>
      </c>
      <c r="F80" s="63"/>
      <c r="G80" s="15">
        <f t="shared" si="2"/>
        <v>2212550.1204599999</v>
      </c>
      <c r="H80" s="63"/>
      <c r="I80" s="15">
        <f t="shared" si="3"/>
        <v>0</v>
      </c>
      <c r="J80" s="63"/>
      <c r="K80" s="15">
        <v>2207384.8747999999</v>
      </c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>
        <v>-222.37900999999999</v>
      </c>
      <c r="W80" s="15"/>
      <c r="X80" s="15"/>
      <c r="Y80" s="15"/>
      <c r="Z80" s="15"/>
      <c r="AA80" s="15">
        <v>5387.6246700000002</v>
      </c>
      <c r="AB80" s="15"/>
      <c r="AC80" s="15"/>
      <c r="AD80" s="15"/>
      <c r="AE80" s="15"/>
    </row>
    <row r="81" spans="2:31" ht="16" customHeight="1" x14ac:dyDescent="0.35">
      <c r="B81" s="14" t="s">
        <v>408</v>
      </c>
      <c r="C81" s="14" t="s">
        <v>409</v>
      </c>
      <c r="D81" s="61"/>
      <c r="E81" s="30">
        <v>-1252353.9518599999</v>
      </c>
      <c r="F81" s="63"/>
      <c r="G81" s="15">
        <f t="shared" si="2"/>
        <v>-1252353.9518600001</v>
      </c>
      <c r="H81" s="63"/>
      <c r="I81" s="15">
        <f t="shared" si="3"/>
        <v>0</v>
      </c>
      <c r="J81" s="63"/>
      <c r="K81" s="15">
        <v>-1239207.2132000001</v>
      </c>
      <c r="L81" s="15"/>
      <c r="M81" s="15"/>
      <c r="N81" s="15"/>
      <c r="O81" s="15"/>
      <c r="P81" s="15"/>
      <c r="Q81" s="15"/>
      <c r="R81" s="15"/>
      <c r="S81" s="15"/>
      <c r="T81" s="15"/>
      <c r="U81" s="15">
        <v>-11979.673500000001</v>
      </c>
      <c r="V81" s="15">
        <v>222.37900999999999</v>
      </c>
      <c r="W81" s="15"/>
      <c r="X81" s="15"/>
      <c r="Y81" s="15"/>
      <c r="Z81" s="15"/>
      <c r="AA81" s="15">
        <v>-1389.44417</v>
      </c>
      <c r="AB81" s="15"/>
      <c r="AC81" s="15"/>
      <c r="AD81" s="15"/>
      <c r="AE81" s="15"/>
    </row>
    <row r="82" spans="2:31" ht="16" customHeight="1" x14ac:dyDescent="0.35">
      <c r="B82" s="14" t="s">
        <v>444</v>
      </c>
      <c r="C82" s="14" t="s">
        <v>1327</v>
      </c>
      <c r="D82" s="61"/>
      <c r="E82" s="30">
        <v>25069.32372</v>
      </c>
      <c r="F82" s="63"/>
      <c r="G82" s="15">
        <f t="shared" si="2"/>
        <v>25069.32372</v>
      </c>
      <c r="H82" s="63"/>
      <c r="I82" s="15">
        <f t="shared" si="3"/>
        <v>0</v>
      </c>
      <c r="J82" s="63"/>
      <c r="K82" s="15">
        <v>25069.32372</v>
      </c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</row>
    <row r="83" spans="2:31" ht="16" customHeight="1" x14ac:dyDescent="0.35">
      <c r="B83" s="14" t="s">
        <v>546</v>
      </c>
      <c r="C83" s="14" t="s">
        <v>1328</v>
      </c>
      <c r="D83" s="61"/>
      <c r="E83" s="30">
        <v>10459.43957</v>
      </c>
      <c r="F83" s="63"/>
      <c r="G83" s="15">
        <f t="shared" si="2"/>
        <v>10459.43957</v>
      </c>
      <c r="H83" s="63"/>
      <c r="I83" s="15">
        <f t="shared" si="3"/>
        <v>0</v>
      </c>
      <c r="J83" s="63"/>
      <c r="K83" s="15">
        <v>10753.78124</v>
      </c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>
        <v>-294.34167000000002</v>
      </c>
      <c r="W83" s="15"/>
      <c r="X83" s="15"/>
      <c r="Y83" s="15"/>
      <c r="Z83" s="15"/>
      <c r="AA83" s="15"/>
      <c r="AB83" s="15"/>
      <c r="AC83" s="15"/>
      <c r="AD83" s="15"/>
      <c r="AE83" s="15"/>
    </row>
    <row r="84" spans="2:31" ht="16" customHeight="1" x14ac:dyDescent="0.35">
      <c r="B84" s="14" t="s">
        <v>446</v>
      </c>
      <c r="C84" s="14" t="s">
        <v>1329</v>
      </c>
      <c r="D84" s="61"/>
      <c r="E84" s="30">
        <v>-16467.272990000001</v>
      </c>
      <c r="F84" s="63"/>
      <c r="G84" s="15">
        <f t="shared" si="2"/>
        <v>-16467.272990000001</v>
      </c>
      <c r="H84" s="63"/>
      <c r="I84" s="15">
        <f t="shared" si="3"/>
        <v>0</v>
      </c>
      <c r="J84" s="63"/>
      <c r="K84" s="15">
        <v>-16300.47457</v>
      </c>
      <c r="L84" s="15"/>
      <c r="M84" s="15"/>
      <c r="N84" s="15"/>
      <c r="O84" s="15"/>
      <c r="P84" s="15"/>
      <c r="Q84" s="15"/>
      <c r="R84" s="15"/>
      <c r="S84" s="15"/>
      <c r="T84" s="15"/>
      <c r="U84" s="15">
        <v>-166.79841999999999</v>
      </c>
      <c r="V84" s="15"/>
      <c r="W84" s="15"/>
      <c r="X84" s="15"/>
      <c r="Y84" s="15"/>
      <c r="Z84" s="15"/>
      <c r="AA84" s="15"/>
      <c r="AB84" s="15"/>
      <c r="AC84" s="15"/>
      <c r="AD84" s="15"/>
      <c r="AE84" s="15"/>
    </row>
    <row r="85" spans="2:31" ht="16" customHeight="1" x14ac:dyDescent="0.35">
      <c r="B85" s="14" t="s">
        <v>412</v>
      </c>
      <c r="C85" s="14" t="s">
        <v>413</v>
      </c>
      <c r="D85" s="61"/>
      <c r="E85" s="30">
        <v>5379937.7546800002</v>
      </c>
      <c r="F85" s="63"/>
      <c r="G85" s="15">
        <f t="shared" si="2"/>
        <v>5379937.7546800002</v>
      </c>
      <c r="H85" s="63"/>
      <c r="I85" s="15">
        <f t="shared" si="3"/>
        <v>0</v>
      </c>
      <c r="J85" s="63"/>
      <c r="K85" s="15">
        <v>5332247.9583000001</v>
      </c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>
        <v>-3628.6370900000002</v>
      </c>
      <c r="W85" s="15"/>
      <c r="X85" s="15"/>
      <c r="Y85" s="15"/>
      <c r="Z85" s="15"/>
      <c r="AA85" s="15">
        <v>51316.15883</v>
      </c>
      <c r="AB85" s="15"/>
      <c r="AC85" s="15"/>
      <c r="AD85" s="15"/>
      <c r="AE85" s="15">
        <v>2.2746400000000002</v>
      </c>
    </row>
    <row r="86" spans="2:31" ht="16" customHeight="1" x14ac:dyDescent="0.35">
      <c r="B86" s="14" t="s">
        <v>414</v>
      </c>
      <c r="C86" s="14" t="s">
        <v>415</v>
      </c>
      <c r="D86" s="61"/>
      <c r="E86" s="30">
        <v>-3615209.9793699998</v>
      </c>
      <c r="F86" s="63"/>
      <c r="G86" s="15">
        <f t="shared" si="2"/>
        <v>-3615209.9793699998</v>
      </c>
      <c r="H86" s="63"/>
      <c r="I86" s="15">
        <f t="shared" si="3"/>
        <v>0</v>
      </c>
      <c r="J86" s="63"/>
      <c r="K86" s="15">
        <v>-3577320.1561099999</v>
      </c>
      <c r="L86" s="15"/>
      <c r="M86" s="15"/>
      <c r="N86" s="15"/>
      <c r="O86" s="15"/>
      <c r="P86" s="15"/>
      <c r="Q86" s="15"/>
      <c r="R86" s="15"/>
      <c r="S86" s="15"/>
      <c r="T86" s="15"/>
      <c r="U86" s="15">
        <v>-42905.786139999997</v>
      </c>
      <c r="V86" s="15">
        <v>3628.6370900000002</v>
      </c>
      <c r="W86" s="15"/>
      <c r="X86" s="15"/>
      <c r="Y86" s="15"/>
      <c r="Z86" s="15"/>
      <c r="AA86" s="15">
        <v>1389.44417</v>
      </c>
      <c r="AB86" s="15"/>
      <c r="AC86" s="15"/>
      <c r="AD86" s="15"/>
      <c r="AE86" s="15">
        <v>-2.1183800000000002</v>
      </c>
    </row>
    <row r="87" spans="2:31" ht="16" customHeight="1" x14ac:dyDescent="0.35">
      <c r="B87" s="14" t="s">
        <v>450</v>
      </c>
      <c r="C87" s="14" t="s">
        <v>1330</v>
      </c>
      <c r="D87" s="61"/>
      <c r="E87" s="30">
        <v>34567.395909999999</v>
      </c>
      <c r="F87" s="63"/>
      <c r="G87" s="15">
        <f t="shared" si="2"/>
        <v>34567.395909999999</v>
      </c>
      <c r="H87" s="63"/>
      <c r="I87" s="15">
        <f t="shared" si="3"/>
        <v>0</v>
      </c>
      <c r="J87" s="63"/>
      <c r="K87" s="15">
        <v>34567.395909999999</v>
      </c>
      <c r="L87" s="15"/>
      <c r="M87" s="15"/>
      <c r="N87" s="15"/>
      <c r="O87" s="15"/>
      <c r="P87" s="15"/>
      <c r="Q87" s="15"/>
      <c r="R87" s="15">
        <v>0</v>
      </c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</row>
    <row r="88" spans="2:31" ht="16" customHeight="1" x14ac:dyDescent="0.35">
      <c r="B88" s="14" t="s">
        <v>548</v>
      </c>
      <c r="C88" s="14" t="s">
        <v>1331</v>
      </c>
      <c r="D88" s="61"/>
      <c r="E88" s="30">
        <v>3850.5225999999998</v>
      </c>
      <c r="F88" s="63"/>
      <c r="G88" s="15">
        <f t="shared" si="2"/>
        <v>3850.5225999999998</v>
      </c>
      <c r="H88" s="63"/>
      <c r="I88" s="15">
        <f t="shared" si="3"/>
        <v>0</v>
      </c>
      <c r="J88" s="63"/>
      <c r="K88" s="15">
        <v>3740.2097399999998</v>
      </c>
      <c r="L88" s="15"/>
      <c r="M88" s="15"/>
      <c r="N88" s="15"/>
      <c r="O88" s="15"/>
      <c r="P88" s="15"/>
      <c r="Q88" s="15"/>
      <c r="R88" s="15">
        <v>344.19765999999998</v>
      </c>
      <c r="S88" s="15"/>
      <c r="T88" s="15"/>
      <c r="U88" s="15"/>
      <c r="V88" s="15">
        <v>-233.88480000000001</v>
      </c>
      <c r="W88" s="15"/>
      <c r="X88" s="15"/>
      <c r="Y88" s="15"/>
      <c r="Z88" s="15"/>
      <c r="AA88" s="15"/>
      <c r="AB88" s="15"/>
      <c r="AC88" s="15"/>
      <c r="AD88" s="15"/>
      <c r="AE88" s="15"/>
    </row>
    <row r="89" spans="2:31" ht="16" customHeight="1" x14ac:dyDescent="0.35">
      <c r="B89" s="14" t="s">
        <v>452</v>
      </c>
      <c r="C89" s="14" t="s">
        <v>1332</v>
      </c>
      <c r="D89" s="61"/>
      <c r="E89" s="30">
        <v>-24536.28702</v>
      </c>
      <c r="F89" s="63"/>
      <c r="G89" s="15">
        <f t="shared" si="2"/>
        <v>-24536.28702</v>
      </c>
      <c r="H89" s="63"/>
      <c r="I89" s="15">
        <f t="shared" si="3"/>
        <v>0</v>
      </c>
      <c r="J89" s="63"/>
      <c r="K89" s="15">
        <v>-24032.893810000001</v>
      </c>
      <c r="L89" s="15"/>
      <c r="M89" s="15"/>
      <c r="N89" s="15"/>
      <c r="O89" s="15"/>
      <c r="P89" s="15"/>
      <c r="Q89" s="15"/>
      <c r="R89" s="15"/>
      <c r="S89" s="15"/>
      <c r="T89" s="15"/>
      <c r="U89" s="15">
        <v>-503.39321000000001</v>
      </c>
      <c r="V89" s="15"/>
      <c r="W89" s="15"/>
      <c r="X89" s="15"/>
      <c r="Y89" s="15"/>
      <c r="Z89" s="15"/>
      <c r="AA89" s="15"/>
      <c r="AB89" s="15"/>
      <c r="AC89" s="15"/>
      <c r="AD89" s="15"/>
      <c r="AE89" s="15"/>
    </row>
    <row r="90" spans="2:31" ht="16" customHeight="1" x14ac:dyDescent="0.35">
      <c r="B90" s="14" t="s">
        <v>418</v>
      </c>
      <c r="C90" s="14" t="s">
        <v>419</v>
      </c>
      <c r="D90" s="61"/>
      <c r="E90" s="30">
        <v>455392.18517999997</v>
      </c>
      <c r="F90" s="63"/>
      <c r="G90" s="15">
        <f t="shared" si="2"/>
        <v>455392.18518000003</v>
      </c>
      <c r="H90" s="63"/>
      <c r="I90" s="15">
        <f t="shared" si="3"/>
        <v>0</v>
      </c>
      <c r="J90" s="63"/>
      <c r="K90" s="15">
        <v>454686.06628000003</v>
      </c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>
        <v>-958.89990999999998</v>
      </c>
      <c r="W90" s="15"/>
      <c r="X90" s="15"/>
      <c r="Y90" s="15"/>
      <c r="Z90" s="15"/>
      <c r="AA90" s="15">
        <v>1659.89005</v>
      </c>
      <c r="AB90" s="15"/>
      <c r="AC90" s="15"/>
      <c r="AD90" s="15"/>
      <c r="AE90" s="15">
        <v>5.1287599999999998</v>
      </c>
    </row>
    <row r="91" spans="2:31" ht="16" customHeight="1" x14ac:dyDescent="0.35">
      <c r="B91" s="14" t="s">
        <v>420</v>
      </c>
      <c r="C91" s="14" t="s">
        <v>421</v>
      </c>
      <c r="D91" s="61"/>
      <c r="E91" s="30">
        <v>-340337.68946999998</v>
      </c>
      <c r="F91" s="63"/>
      <c r="G91" s="15">
        <f t="shared" si="2"/>
        <v>-340337.6894700001</v>
      </c>
      <c r="H91" s="63"/>
      <c r="I91" s="15">
        <f t="shared" si="3"/>
        <v>0</v>
      </c>
      <c r="J91" s="63"/>
      <c r="K91" s="15">
        <v>-338430.75251000002</v>
      </c>
      <c r="L91" s="15"/>
      <c r="M91" s="15"/>
      <c r="N91" s="15"/>
      <c r="O91" s="15"/>
      <c r="P91" s="15"/>
      <c r="Q91" s="15"/>
      <c r="R91" s="15"/>
      <c r="S91" s="15"/>
      <c r="T91" s="15"/>
      <c r="U91" s="15">
        <v>-2865.3394499999999</v>
      </c>
      <c r="V91" s="15">
        <v>958.89990999999998</v>
      </c>
      <c r="W91" s="15"/>
      <c r="X91" s="15"/>
      <c r="Y91" s="15"/>
      <c r="Z91" s="15"/>
      <c r="AA91" s="15">
        <v>0</v>
      </c>
      <c r="AB91" s="15">
        <v>0</v>
      </c>
      <c r="AC91" s="15"/>
      <c r="AD91" s="15"/>
      <c r="AE91" s="15">
        <v>-0.49741999999999997</v>
      </c>
    </row>
    <row r="92" spans="2:31" ht="16" customHeight="1" x14ac:dyDescent="0.35">
      <c r="B92" s="14" t="s">
        <v>456</v>
      </c>
      <c r="C92" s="14" t="s">
        <v>1333</v>
      </c>
      <c r="D92" s="61"/>
      <c r="E92" s="30">
        <v>65404.1535</v>
      </c>
      <c r="F92" s="63"/>
      <c r="G92" s="15">
        <f t="shared" si="2"/>
        <v>65404.153499999993</v>
      </c>
      <c r="H92" s="63"/>
      <c r="I92" s="15">
        <f t="shared" si="3"/>
        <v>0</v>
      </c>
      <c r="J92" s="63"/>
      <c r="K92" s="15">
        <v>61988.903359999997</v>
      </c>
      <c r="L92" s="15"/>
      <c r="M92" s="15"/>
      <c r="N92" s="15"/>
      <c r="O92" s="15"/>
      <c r="P92" s="15"/>
      <c r="Q92" s="15"/>
      <c r="R92" s="15">
        <v>2430.2527</v>
      </c>
      <c r="S92" s="15"/>
      <c r="T92" s="15"/>
      <c r="U92" s="15"/>
      <c r="V92" s="15"/>
      <c r="W92" s="15"/>
      <c r="X92" s="15"/>
      <c r="Y92" s="15"/>
      <c r="Z92" s="15"/>
      <c r="AA92" s="15">
        <v>984.96762999999999</v>
      </c>
      <c r="AB92" s="15">
        <v>2.981E-2</v>
      </c>
      <c r="AC92" s="15"/>
      <c r="AD92" s="15"/>
      <c r="AE92" s="15"/>
    </row>
    <row r="93" spans="2:31" ht="16" customHeight="1" x14ac:dyDescent="0.35">
      <c r="B93" s="14" t="s">
        <v>550</v>
      </c>
      <c r="C93" s="14" t="s">
        <v>1334</v>
      </c>
      <c r="D93" s="61"/>
      <c r="E93" s="30">
        <v>115507.72745000001</v>
      </c>
      <c r="F93" s="63"/>
      <c r="G93" s="15">
        <f t="shared" si="2"/>
        <v>115507.72745000001</v>
      </c>
      <c r="H93" s="63"/>
      <c r="I93" s="15">
        <f t="shared" si="3"/>
        <v>0</v>
      </c>
      <c r="J93" s="63"/>
      <c r="K93" s="15">
        <v>110138.01474</v>
      </c>
      <c r="L93" s="15"/>
      <c r="M93" s="15"/>
      <c r="N93" s="15"/>
      <c r="O93" s="15"/>
      <c r="P93" s="15"/>
      <c r="Q93" s="15"/>
      <c r="R93" s="15">
        <v>10196.020570000001</v>
      </c>
      <c r="S93" s="15"/>
      <c r="T93" s="15"/>
      <c r="U93" s="15"/>
      <c r="V93" s="15">
        <v>-2714.2348299999999</v>
      </c>
      <c r="W93" s="15"/>
      <c r="X93" s="15"/>
      <c r="Y93" s="15"/>
      <c r="Z93" s="15"/>
      <c r="AA93" s="15">
        <v>-2147.2945300000001</v>
      </c>
      <c r="AB93" s="15">
        <v>35.221499999999999</v>
      </c>
      <c r="AC93" s="15"/>
      <c r="AD93" s="15"/>
      <c r="AE93" s="15"/>
    </row>
    <row r="94" spans="2:31" ht="16" customHeight="1" x14ac:dyDescent="0.35">
      <c r="B94" s="14" t="s">
        <v>458</v>
      </c>
      <c r="C94" s="14" t="s">
        <v>1335</v>
      </c>
      <c r="D94" s="61"/>
      <c r="E94" s="30">
        <v>-33630.94829</v>
      </c>
      <c r="F94" s="63"/>
      <c r="G94" s="15">
        <f t="shared" si="2"/>
        <v>-33630.948289999993</v>
      </c>
      <c r="H94" s="63"/>
      <c r="I94" s="15">
        <f t="shared" si="3"/>
        <v>0</v>
      </c>
      <c r="J94" s="63"/>
      <c r="K94" s="15">
        <v>-31461.999380000001</v>
      </c>
      <c r="L94" s="15"/>
      <c r="M94" s="15"/>
      <c r="N94" s="15"/>
      <c r="O94" s="15"/>
      <c r="P94" s="15"/>
      <c r="Q94" s="15"/>
      <c r="R94" s="15"/>
      <c r="S94" s="15"/>
      <c r="T94" s="15"/>
      <c r="U94" s="15">
        <v>-2169.9045000000001</v>
      </c>
      <c r="V94" s="15"/>
      <c r="W94" s="15"/>
      <c r="X94" s="15"/>
      <c r="Y94" s="15"/>
      <c r="Z94" s="15"/>
      <c r="AA94" s="15">
        <v>-10.636369999999999</v>
      </c>
      <c r="AB94" s="15">
        <v>11.4472</v>
      </c>
      <c r="AC94" s="15"/>
      <c r="AD94" s="15"/>
      <c r="AE94" s="15">
        <v>0.14476</v>
      </c>
    </row>
    <row r="95" spans="2:31" ht="16" customHeight="1" x14ac:dyDescent="0.35">
      <c r="B95" s="14" t="s">
        <v>424</v>
      </c>
      <c r="C95" s="14" t="s">
        <v>1336</v>
      </c>
      <c r="D95" s="61"/>
      <c r="E95" s="30">
        <v>263357.25829999999</v>
      </c>
      <c r="F95" s="63"/>
      <c r="G95" s="15">
        <f t="shared" si="2"/>
        <v>263357.25829999999</v>
      </c>
      <c r="H95" s="63"/>
      <c r="I95" s="15">
        <f t="shared" si="3"/>
        <v>0</v>
      </c>
      <c r="J95" s="63"/>
      <c r="K95" s="15">
        <v>242959.76079999999</v>
      </c>
      <c r="L95" s="15"/>
      <c r="M95" s="15"/>
      <c r="N95" s="15"/>
      <c r="O95" s="15"/>
      <c r="P95" s="15"/>
      <c r="Q95" s="15">
        <v>82657.910140000007</v>
      </c>
      <c r="R95" s="15"/>
      <c r="S95" s="15"/>
      <c r="T95" s="15"/>
      <c r="U95" s="15"/>
      <c r="V95" s="15"/>
      <c r="W95" s="15"/>
      <c r="X95" s="15"/>
      <c r="Y95" s="15"/>
      <c r="Z95" s="15"/>
      <c r="AA95" s="15">
        <v>-62260.412640000002</v>
      </c>
      <c r="AB95" s="15"/>
      <c r="AC95" s="15"/>
      <c r="AD95" s="15"/>
      <c r="AE95" s="15"/>
    </row>
    <row r="96" spans="2:31" ht="16" customHeight="1" x14ac:dyDescent="0.35">
      <c r="B96" s="14" t="s">
        <v>426</v>
      </c>
      <c r="C96" s="14" t="s">
        <v>1337</v>
      </c>
      <c r="D96" s="61"/>
      <c r="E96" s="30"/>
      <c r="F96" s="63"/>
      <c r="G96" s="15">
        <f t="shared" si="2"/>
        <v>0</v>
      </c>
      <c r="H96" s="63"/>
      <c r="I96" s="15">
        <f t="shared" si="3"/>
        <v>0</v>
      </c>
      <c r="J96" s="63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</row>
    <row r="97" spans="2:31" ht="16" customHeight="1" x14ac:dyDescent="0.35">
      <c r="B97" s="14" t="s">
        <v>462</v>
      </c>
      <c r="C97" s="14" t="s">
        <v>1338</v>
      </c>
      <c r="D97" s="61"/>
      <c r="E97" s="30"/>
      <c r="F97" s="63"/>
      <c r="G97" s="15">
        <f t="shared" si="2"/>
        <v>0</v>
      </c>
      <c r="H97" s="63"/>
      <c r="I97" s="15">
        <f t="shared" si="3"/>
        <v>0</v>
      </c>
      <c r="J97" s="63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</row>
    <row r="98" spans="2:31" ht="16" customHeight="1" x14ac:dyDescent="0.35">
      <c r="B98" s="14" t="s">
        <v>464</v>
      </c>
      <c r="C98" s="14" t="s">
        <v>1339</v>
      </c>
      <c r="D98" s="61"/>
      <c r="E98" s="30"/>
      <c r="F98" s="63"/>
      <c r="G98" s="15">
        <f t="shared" si="2"/>
        <v>0</v>
      </c>
      <c r="H98" s="63"/>
      <c r="I98" s="15">
        <f t="shared" si="3"/>
        <v>0</v>
      </c>
      <c r="J98" s="63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</row>
    <row r="99" spans="2:31" ht="16" customHeight="1" x14ac:dyDescent="0.35">
      <c r="B99" s="14" t="s">
        <v>533</v>
      </c>
      <c r="C99" s="14" t="s">
        <v>1340</v>
      </c>
      <c r="D99" s="61"/>
      <c r="E99" s="30">
        <v>82815.630990000005</v>
      </c>
      <c r="F99" s="63"/>
      <c r="G99" s="15">
        <f t="shared" si="2"/>
        <v>82815.630990000005</v>
      </c>
      <c r="H99" s="63"/>
      <c r="I99" s="15">
        <f t="shared" si="3"/>
        <v>0</v>
      </c>
      <c r="J99" s="63"/>
      <c r="K99" s="15">
        <v>82815.630990000005</v>
      </c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</row>
    <row r="100" spans="2:31" ht="16" customHeight="1" x14ac:dyDescent="0.35">
      <c r="B100" s="14" t="s">
        <v>537</v>
      </c>
      <c r="C100" s="14" t="s">
        <v>1341</v>
      </c>
      <c r="D100" s="61"/>
      <c r="E100" s="30">
        <v>1052539.90766</v>
      </c>
      <c r="F100" s="63"/>
      <c r="G100" s="15">
        <f t="shared" si="2"/>
        <v>1052539.90766</v>
      </c>
      <c r="H100" s="63"/>
      <c r="I100" s="15">
        <f t="shared" si="3"/>
        <v>0</v>
      </c>
      <c r="J100" s="63"/>
      <c r="K100" s="15">
        <v>1052539.90766</v>
      </c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</row>
    <row r="101" spans="2:31" ht="16" customHeight="1" x14ac:dyDescent="0.35">
      <c r="B101" s="14" t="s">
        <v>535</v>
      </c>
      <c r="C101" s="14" t="s">
        <v>1342</v>
      </c>
      <c r="D101" s="61"/>
      <c r="E101" s="30">
        <v>-2.0000000000000002E-5</v>
      </c>
      <c r="F101" s="63"/>
      <c r="G101" s="15">
        <f t="shared" si="2"/>
        <v>-2.0000000000000002E-5</v>
      </c>
      <c r="H101" s="63"/>
      <c r="I101" s="15">
        <f t="shared" si="3"/>
        <v>0</v>
      </c>
      <c r="J101" s="63"/>
      <c r="K101" s="15">
        <v>-2.0000000000000002E-5</v>
      </c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</row>
    <row r="102" spans="2:31" ht="16" customHeight="1" x14ac:dyDescent="0.35">
      <c r="B102" s="14" t="s">
        <v>539</v>
      </c>
      <c r="C102" s="14" t="s">
        <v>1343</v>
      </c>
      <c r="D102" s="61"/>
      <c r="E102" s="30"/>
      <c r="F102" s="63"/>
      <c r="G102" s="15">
        <f t="shared" si="2"/>
        <v>0</v>
      </c>
      <c r="H102" s="63"/>
      <c r="I102" s="15">
        <f t="shared" si="3"/>
        <v>0</v>
      </c>
      <c r="J102" s="63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</row>
    <row r="103" spans="2:31" ht="16" customHeight="1" x14ac:dyDescent="0.35">
      <c r="B103" s="14" t="s">
        <v>519</v>
      </c>
      <c r="C103" s="14" t="s">
        <v>1344</v>
      </c>
      <c r="D103" s="61"/>
      <c r="E103" s="30"/>
      <c r="F103" s="63"/>
      <c r="G103" s="15">
        <f t="shared" si="2"/>
        <v>0</v>
      </c>
      <c r="H103" s="63"/>
      <c r="I103" s="15">
        <f t="shared" si="3"/>
        <v>0</v>
      </c>
      <c r="J103" s="63"/>
      <c r="K103" s="15"/>
      <c r="L103" s="15">
        <v>0</v>
      </c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</row>
    <row r="104" spans="2:31" ht="16" customHeight="1" x14ac:dyDescent="0.35">
      <c r="B104" s="14" t="s">
        <v>521</v>
      </c>
      <c r="C104" s="14" t="s">
        <v>1345</v>
      </c>
      <c r="D104" s="61"/>
      <c r="E104" s="30"/>
      <c r="F104" s="63"/>
      <c r="G104" s="15">
        <f t="shared" si="2"/>
        <v>0</v>
      </c>
      <c r="H104" s="63"/>
      <c r="I104" s="15">
        <f t="shared" si="3"/>
        <v>0</v>
      </c>
      <c r="J104" s="63"/>
      <c r="K104" s="15"/>
      <c r="L104" s="15">
        <v>0</v>
      </c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</row>
    <row r="105" spans="2:31" ht="16" customHeight="1" x14ac:dyDescent="0.35">
      <c r="B105" s="14" t="s">
        <v>483</v>
      </c>
      <c r="C105" s="14" t="s">
        <v>1346</v>
      </c>
      <c r="D105" s="61"/>
      <c r="E105" s="30"/>
      <c r="F105" s="63"/>
      <c r="G105" s="15">
        <f t="shared" si="2"/>
        <v>0</v>
      </c>
      <c r="H105" s="63"/>
      <c r="I105" s="15">
        <f t="shared" si="3"/>
        <v>0</v>
      </c>
      <c r="J105" s="63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</row>
    <row r="106" spans="2:31" ht="16" customHeight="1" x14ac:dyDescent="0.35">
      <c r="B106" s="14" t="s">
        <v>485</v>
      </c>
      <c r="C106" s="14" t="s">
        <v>1347</v>
      </c>
      <c r="D106" s="61"/>
      <c r="E106" s="30"/>
      <c r="F106" s="63"/>
      <c r="G106" s="15">
        <f t="shared" si="2"/>
        <v>0</v>
      </c>
      <c r="H106" s="63"/>
      <c r="I106" s="15">
        <f t="shared" si="3"/>
        <v>0</v>
      </c>
      <c r="J106" s="63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</row>
    <row r="107" spans="2:31" ht="16" customHeight="1" x14ac:dyDescent="0.35">
      <c r="B107" s="14" t="s">
        <v>489</v>
      </c>
      <c r="C107" s="14" t="s">
        <v>1348</v>
      </c>
      <c r="D107" s="61"/>
      <c r="E107" s="30">
        <v>2836.7139200000001</v>
      </c>
      <c r="F107" s="63"/>
      <c r="G107" s="15">
        <f t="shared" si="2"/>
        <v>2836.7139200000001</v>
      </c>
      <c r="H107" s="63"/>
      <c r="I107" s="15">
        <f t="shared" si="3"/>
        <v>0</v>
      </c>
      <c r="J107" s="63"/>
      <c r="K107" s="15">
        <v>2836.7139200000001</v>
      </c>
      <c r="L107" s="15">
        <v>0</v>
      </c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</row>
    <row r="108" spans="2:31" ht="16" customHeight="1" x14ac:dyDescent="0.35">
      <c r="B108" s="14" t="s">
        <v>491</v>
      </c>
      <c r="C108" s="14" t="s">
        <v>1349</v>
      </c>
      <c r="D108" s="61"/>
      <c r="E108" s="30">
        <v>-2836.7139200000001</v>
      </c>
      <c r="F108" s="63"/>
      <c r="G108" s="15">
        <f t="shared" ref="G108:G120" si="4">SUM(K108:AE108)</f>
        <v>-2836.7139200000001</v>
      </c>
      <c r="H108" s="63"/>
      <c r="I108" s="15">
        <f t="shared" si="3"/>
        <v>0</v>
      </c>
      <c r="J108" s="63"/>
      <c r="K108" s="15">
        <v>-2836.7139200000001</v>
      </c>
      <c r="L108" s="15">
        <v>0</v>
      </c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</row>
    <row r="109" spans="2:31" ht="16" customHeight="1" x14ac:dyDescent="0.35">
      <c r="B109" s="14" t="s">
        <v>495</v>
      </c>
      <c r="C109" s="14" t="s">
        <v>1350</v>
      </c>
      <c r="D109" s="61"/>
      <c r="E109" s="30">
        <v>60067.568070000001</v>
      </c>
      <c r="F109" s="63"/>
      <c r="G109" s="15">
        <f t="shared" si="4"/>
        <v>60067.568070000001</v>
      </c>
      <c r="H109" s="63"/>
      <c r="I109" s="15">
        <f t="shared" si="3"/>
        <v>0</v>
      </c>
      <c r="J109" s="63"/>
      <c r="K109" s="15">
        <v>60067.568070000001</v>
      </c>
      <c r="L109" s="15">
        <v>0</v>
      </c>
      <c r="M109" s="15"/>
      <c r="N109" s="15"/>
      <c r="O109" s="15"/>
      <c r="P109" s="15">
        <v>0</v>
      </c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>
        <v>0</v>
      </c>
      <c r="AB109" s="15"/>
      <c r="AC109" s="15"/>
      <c r="AD109" s="15"/>
      <c r="AE109" s="15"/>
    </row>
    <row r="110" spans="2:31" ht="16" customHeight="1" x14ac:dyDescent="0.35">
      <c r="B110" s="14" t="s">
        <v>497</v>
      </c>
      <c r="C110" s="14" t="s">
        <v>1351</v>
      </c>
      <c r="D110" s="61"/>
      <c r="E110" s="30">
        <v>-58791.737739999997</v>
      </c>
      <c r="F110" s="63"/>
      <c r="G110" s="15">
        <f t="shared" si="4"/>
        <v>-58791.737739999997</v>
      </c>
      <c r="H110" s="63"/>
      <c r="I110" s="15">
        <f t="shared" si="3"/>
        <v>0</v>
      </c>
      <c r="J110" s="63"/>
      <c r="K110" s="15">
        <v>-58686.772559999998</v>
      </c>
      <c r="L110" s="15">
        <v>0</v>
      </c>
      <c r="M110" s="15"/>
      <c r="N110" s="15"/>
      <c r="O110" s="15"/>
      <c r="P110" s="15"/>
      <c r="Q110" s="15"/>
      <c r="R110" s="15"/>
      <c r="S110" s="15"/>
      <c r="T110" s="15"/>
      <c r="U110" s="15">
        <v>-104.96518</v>
      </c>
      <c r="V110" s="15"/>
      <c r="W110" s="15"/>
      <c r="X110" s="15"/>
      <c r="Y110" s="15"/>
      <c r="Z110" s="15"/>
      <c r="AA110" s="15">
        <v>0</v>
      </c>
      <c r="AB110" s="15"/>
      <c r="AC110" s="15"/>
      <c r="AD110" s="15"/>
      <c r="AE110" s="15"/>
    </row>
    <row r="111" spans="2:31" ht="16" customHeight="1" x14ac:dyDescent="0.35">
      <c r="B111" s="14" t="s">
        <v>501</v>
      </c>
      <c r="C111" s="14" t="s">
        <v>1352</v>
      </c>
      <c r="D111" s="61"/>
      <c r="E111" s="30"/>
      <c r="F111" s="63"/>
      <c r="G111" s="15">
        <f t="shared" si="4"/>
        <v>0</v>
      </c>
      <c r="H111" s="63"/>
      <c r="I111" s="15">
        <f t="shared" si="3"/>
        <v>0</v>
      </c>
      <c r="J111" s="63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</row>
    <row r="112" spans="2:31" ht="16" customHeight="1" x14ac:dyDescent="0.35">
      <c r="B112" s="14" t="s">
        <v>503</v>
      </c>
      <c r="C112" s="14" t="s">
        <v>1353</v>
      </c>
      <c r="D112" s="61"/>
      <c r="E112" s="30"/>
      <c r="F112" s="63"/>
      <c r="G112" s="15">
        <f t="shared" si="4"/>
        <v>0</v>
      </c>
      <c r="H112" s="63"/>
      <c r="I112" s="15">
        <f t="shared" si="3"/>
        <v>0</v>
      </c>
      <c r="J112" s="63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</row>
    <row r="113" spans="2:31" ht="16" customHeight="1" x14ac:dyDescent="0.35">
      <c r="B113" s="14" t="s">
        <v>507</v>
      </c>
      <c r="C113" s="14" t="s">
        <v>1354</v>
      </c>
      <c r="D113" s="61"/>
      <c r="E113" s="30">
        <v>4264.5429999999997</v>
      </c>
      <c r="F113" s="63"/>
      <c r="G113" s="15">
        <f t="shared" si="4"/>
        <v>4264.5429999999997</v>
      </c>
      <c r="H113" s="63"/>
      <c r="I113" s="15">
        <f t="shared" si="3"/>
        <v>0</v>
      </c>
      <c r="J113" s="63"/>
      <c r="K113" s="15">
        <v>4264.5429999999997</v>
      </c>
      <c r="L113" s="15"/>
      <c r="M113" s="15"/>
      <c r="N113" s="15"/>
      <c r="O113" s="15"/>
      <c r="P113" s="15">
        <v>0</v>
      </c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>
        <v>0</v>
      </c>
      <c r="AB113" s="15"/>
      <c r="AC113" s="15"/>
      <c r="AD113" s="15"/>
      <c r="AE113" s="15"/>
    </row>
    <row r="114" spans="2:31" ht="16" customHeight="1" x14ac:dyDescent="0.35">
      <c r="B114" s="14" t="s">
        <v>509</v>
      </c>
      <c r="C114" s="14" t="s">
        <v>1355</v>
      </c>
      <c r="D114" s="61"/>
      <c r="E114" s="30">
        <v>-4264.5429999999997</v>
      </c>
      <c r="F114" s="63"/>
      <c r="G114" s="15">
        <f t="shared" si="4"/>
        <v>-4264.5429999999997</v>
      </c>
      <c r="H114" s="63"/>
      <c r="I114" s="15">
        <f t="shared" si="3"/>
        <v>0</v>
      </c>
      <c r="J114" s="63"/>
      <c r="K114" s="15">
        <v>-4264.5429999999997</v>
      </c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>
        <v>0</v>
      </c>
      <c r="AB114" s="15"/>
      <c r="AC114" s="15"/>
      <c r="AD114" s="15"/>
      <c r="AE114" s="15"/>
    </row>
    <row r="115" spans="2:31" ht="16" customHeight="1" x14ac:dyDescent="0.35">
      <c r="B115" s="14" t="s">
        <v>513</v>
      </c>
      <c r="C115" s="14" t="s">
        <v>1356</v>
      </c>
      <c r="D115" s="61"/>
      <c r="E115" s="30">
        <v>5422.7634099999996</v>
      </c>
      <c r="F115" s="63"/>
      <c r="G115" s="15">
        <f t="shared" si="4"/>
        <v>5422.7634099999996</v>
      </c>
      <c r="H115" s="63"/>
      <c r="I115" s="15">
        <f t="shared" si="3"/>
        <v>0</v>
      </c>
      <c r="J115" s="63"/>
      <c r="K115" s="15">
        <v>5422.7634099999996</v>
      </c>
      <c r="L115" s="15">
        <v>0</v>
      </c>
      <c r="M115" s="15"/>
      <c r="N115" s="15"/>
      <c r="O115" s="15"/>
      <c r="P115" s="15">
        <v>0</v>
      </c>
      <c r="Q115" s="15">
        <v>0</v>
      </c>
      <c r="R115" s="15"/>
      <c r="S115" s="15"/>
      <c r="T115" s="15"/>
      <c r="U115" s="15"/>
      <c r="V115" s="15"/>
      <c r="W115" s="15"/>
      <c r="X115" s="15"/>
      <c r="Y115" s="15"/>
      <c r="Z115" s="15"/>
      <c r="AA115" s="15">
        <v>0</v>
      </c>
      <c r="AB115" s="15"/>
      <c r="AC115" s="15"/>
      <c r="AD115" s="15"/>
      <c r="AE115" s="15"/>
    </row>
    <row r="116" spans="2:31" ht="16" customHeight="1" x14ac:dyDescent="0.35">
      <c r="B116" s="14" t="s">
        <v>515</v>
      </c>
      <c r="C116" s="14" t="s">
        <v>1357</v>
      </c>
      <c r="D116" s="61"/>
      <c r="E116" s="30">
        <v>-5417.7277700000004</v>
      </c>
      <c r="F116" s="63"/>
      <c r="G116" s="15">
        <f t="shared" si="4"/>
        <v>-5417.7277700000004</v>
      </c>
      <c r="H116" s="63"/>
      <c r="I116" s="15">
        <f t="shared" si="3"/>
        <v>0</v>
      </c>
      <c r="J116" s="63"/>
      <c r="K116" s="15">
        <v>-5417.7277700000004</v>
      </c>
      <c r="L116" s="15">
        <v>0</v>
      </c>
      <c r="M116" s="15"/>
      <c r="N116" s="15"/>
      <c r="O116" s="15"/>
      <c r="P116" s="15"/>
      <c r="Q116" s="15"/>
      <c r="R116" s="15"/>
      <c r="S116" s="15"/>
      <c r="T116" s="15"/>
      <c r="U116" s="15">
        <v>0</v>
      </c>
      <c r="V116" s="15"/>
      <c r="W116" s="15"/>
      <c r="X116" s="15"/>
      <c r="Y116" s="15"/>
      <c r="Z116" s="15"/>
      <c r="AA116" s="15">
        <v>0</v>
      </c>
      <c r="AB116" s="15"/>
      <c r="AC116" s="15"/>
      <c r="AD116" s="15"/>
      <c r="AE116" s="15"/>
    </row>
    <row r="117" spans="2:31" ht="16" customHeight="1" x14ac:dyDescent="0.35">
      <c r="B117" s="14" t="s">
        <v>554</v>
      </c>
      <c r="C117" s="14" t="s">
        <v>555</v>
      </c>
      <c r="D117" s="61"/>
      <c r="E117" s="30">
        <v>0</v>
      </c>
      <c r="F117" s="63"/>
      <c r="G117" s="15">
        <f t="shared" si="4"/>
        <v>0</v>
      </c>
      <c r="H117" s="63"/>
      <c r="I117" s="15">
        <f t="shared" si="3"/>
        <v>0</v>
      </c>
      <c r="J117" s="63"/>
      <c r="K117" s="15">
        <v>2.5000000000000001E-4</v>
      </c>
      <c r="L117" s="15"/>
      <c r="M117" s="15"/>
      <c r="N117" s="15"/>
      <c r="O117" s="15"/>
      <c r="P117" s="15">
        <v>-2.5000000000000001E-4</v>
      </c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>
        <v>0.18487000000000001</v>
      </c>
      <c r="AB117" s="15"/>
      <c r="AC117" s="15"/>
      <c r="AD117" s="15"/>
      <c r="AE117" s="15">
        <v>-0.18487000000000001</v>
      </c>
    </row>
    <row r="118" spans="2:31" ht="16" customHeight="1" x14ac:dyDescent="0.35">
      <c r="B118" s="14" t="s">
        <v>384</v>
      </c>
      <c r="C118" s="14" t="s">
        <v>385</v>
      </c>
      <c r="D118" s="61"/>
      <c r="E118" s="30">
        <v>182.98912000000001</v>
      </c>
      <c r="F118" s="63"/>
      <c r="G118" s="15">
        <f t="shared" si="4"/>
        <v>182.98911999999999</v>
      </c>
      <c r="H118" s="63"/>
      <c r="I118" s="15">
        <f t="shared" si="3"/>
        <v>0</v>
      </c>
      <c r="J118" s="63"/>
      <c r="K118" s="15">
        <v>189.37812</v>
      </c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>
        <v>-6.3890000000000002</v>
      </c>
      <c r="AC118" s="15"/>
      <c r="AD118" s="15"/>
      <c r="AE118" s="15"/>
    </row>
    <row r="119" spans="2:31" ht="16" customHeight="1" x14ac:dyDescent="0.35">
      <c r="B119" s="14" t="s">
        <v>386</v>
      </c>
      <c r="C119" s="14" t="s">
        <v>387</v>
      </c>
      <c r="D119" s="61"/>
      <c r="E119" s="30">
        <v>71055.432990000001</v>
      </c>
      <c r="F119" s="63"/>
      <c r="G119" s="15">
        <f t="shared" si="4"/>
        <v>71055.432990000001</v>
      </c>
      <c r="H119" s="63"/>
      <c r="I119" s="15">
        <f t="shared" si="3"/>
        <v>0</v>
      </c>
      <c r="J119" s="63"/>
      <c r="K119" s="15">
        <v>71145.823080000002</v>
      </c>
      <c r="L119" s="15"/>
      <c r="M119" s="15"/>
      <c r="N119" s="15"/>
      <c r="O119" s="15"/>
      <c r="P119" s="15">
        <v>-90.390090000000001</v>
      </c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>
        <v>0</v>
      </c>
      <c r="AC119" s="15"/>
      <c r="AD119" s="15"/>
      <c r="AE119" s="15"/>
    </row>
    <row r="120" spans="2:31" ht="16" customHeight="1" x14ac:dyDescent="0.35">
      <c r="B120" s="14" t="s">
        <v>557</v>
      </c>
      <c r="C120" s="14" t="s">
        <v>558</v>
      </c>
      <c r="D120" s="61"/>
      <c r="E120" s="30"/>
      <c r="F120" s="63"/>
      <c r="G120" s="15">
        <f t="shared" si="4"/>
        <v>0</v>
      </c>
      <c r="H120" s="63"/>
      <c r="I120" s="15">
        <f t="shared" si="3"/>
        <v>0</v>
      </c>
      <c r="J120" s="63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</row>
    <row r="121" spans="2:31" ht="16" customHeight="1" x14ac:dyDescent="0.35">
      <c r="B121" s="16" t="s">
        <v>1358</v>
      </c>
      <c r="C121" s="16"/>
      <c r="D121" s="64"/>
      <c r="E121" s="31">
        <f>SUBTOTAL(109, E12:E120)</f>
        <v>8880870.0730599985</v>
      </c>
      <c r="F121" s="65"/>
      <c r="G121" s="17">
        <f>SUBTOTAL(109, G12:G120)</f>
        <v>8880870.0730499998</v>
      </c>
      <c r="H121" s="65"/>
      <c r="I121" s="17">
        <f>SUBTOTAL(109, I12:I120)</f>
        <v>1.0000032489188015E-5</v>
      </c>
      <c r="J121" s="65"/>
      <c r="K121" s="17">
        <f t="shared" ref="K121:AE121" si="5">SUBTOTAL(109, K12:K120)</f>
        <v>8540885.3217399996</v>
      </c>
      <c r="L121" s="17">
        <f t="shared" si="5"/>
        <v>0</v>
      </c>
      <c r="M121" s="17">
        <f t="shared" si="5"/>
        <v>0</v>
      </c>
      <c r="N121" s="17">
        <f t="shared" si="5"/>
        <v>0</v>
      </c>
      <c r="O121" s="17">
        <f t="shared" si="5"/>
        <v>0</v>
      </c>
      <c r="P121" s="17">
        <f t="shared" si="5"/>
        <v>312592.69303999998</v>
      </c>
      <c r="Q121" s="17">
        <f t="shared" si="5"/>
        <v>82649.203360000014</v>
      </c>
      <c r="R121" s="17">
        <f t="shared" si="5"/>
        <v>13034.40112</v>
      </c>
      <c r="S121" s="17">
        <f t="shared" si="5"/>
        <v>0</v>
      </c>
      <c r="T121" s="17">
        <f t="shared" si="5"/>
        <v>0</v>
      </c>
      <c r="U121" s="17">
        <f t="shared" si="5"/>
        <v>-62296.707099999992</v>
      </c>
      <c r="V121" s="17">
        <f t="shared" si="5"/>
        <v>-4968.0786900000003</v>
      </c>
      <c r="W121" s="17">
        <f t="shared" si="5"/>
        <v>0</v>
      </c>
      <c r="X121" s="17">
        <f t="shared" si="5"/>
        <v>0</v>
      </c>
      <c r="Y121" s="17">
        <f t="shared" si="5"/>
        <v>141.24077</v>
      </c>
      <c r="Z121" s="17">
        <f t="shared" si="5"/>
        <v>0</v>
      </c>
      <c r="AA121" s="17">
        <f t="shared" si="5"/>
        <v>-1151.3244199999945</v>
      </c>
      <c r="AB121" s="17">
        <f t="shared" si="5"/>
        <v>-44.019429999999993</v>
      </c>
      <c r="AC121" s="17">
        <f t="shared" si="5"/>
        <v>0</v>
      </c>
      <c r="AD121" s="17">
        <f t="shared" si="5"/>
        <v>-0.96243000000000001</v>
      </c>
      <c r="AE121" s="17">
        <f t="shared" si="5"/>
        <v>28.305090000000007</v>
      </c>
    </row>
    <row r="122" spans="2:31" ht="16" customHeight="1" x14ac:dyDescent="0.35">
      <c r="B122" s="11"/>
      <c r="C122" s="11"/>
      <c r="D122" s="29"/>
      <c r="E122" s="29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</row>
    <row r="123" spans="2:31" ht="16" customHeight="1" x14ac:dyDescent="0.35">
      <c r="B123" s="14" t="s">
        <v>577</v>
      </c>
      <c r="C123" s="14" t="s">
        <v>1365</v>
      </c>
      <c r="D123" s="61"/>
      <c r="E123" s="30">
        <v>-3.0000000000000001E-3</v>
      </c>
      <c r="F123" s="63"/>
      <c r="G123" s="15">
        <f t="shared" ref="G123:G154" si="6">SUM(K123:AE123)</f>
        <v>-3.0000000000000001E-3</v>
      </c>
      <c r="H123" s="63"/>
      <c r="I123" s="15">
        <f t="shared" ref="I123:I186" si="7">E123-G123</f>
        <v>0</v>
      </c>
      <c r="J123" s="63"/>
      <c r="K123" s="15">
        <v>-3.0000000000000001E-3</v>
      </c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>
        <v>-2.0000000000000002E-5</v>
      </c>
      <c r="AC123" s="15"/>
      <c r="AD123" s="15"/>
      <c r="AE123" s="15">
        <v>2.0000000000000002E-5</v>
      </c>
    </row>
    <row r="124" spans="2:31" ht="16" customHeight="1" x14ac:dyDescent="0.35">
      <c r="B124" s="14" t="s">
        <v>579</v>
      </c>
      <c r="C124" s="14" t="s">
        <v>1359</v>
      </c>
      <c r="D124" s="61"/>
      <c r="E124" s="30"/>
      <c r="F124" s="63"/>
      <c r="G124" s="15">
        <f t="shared" si="6"/>
        <v>0</v>
      </c>
      <c r="H124" s="63"/>
      <c r="I124" s="15">
        <f t="shared" si="7"/>
        <v>0</v>
      </c>
      <c r="J124" s="63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</row>
    <row r="125" spans="2:31" ht="16" customHeight="1" x14ac:dyDescent="0.35">
      <c r="B125" s="14" t="s">
        <v>581</v>
      </c>
      <c r="C125" s="14" t="s">
        <v>1360</v>
      </c>
      <c r="D125" s="61"/>
      <c r="E125" s="30"/>
      <c r="F125" s="63"/>
      <c r="G125" s="15">
        <f t="shared" si="6"/>
        <v>0</v>
      </c>
      <c r="H125" s="63"/>
      <c r="I125" s="15">
        <f t="shared" si="7"/>
        <v>0</v>
      </c>
      <c r="J125" s="63"/>
      <c r="K125" s="15"/>
      <c r="L125" s="15"/>
      <c r="M125" s="15"/>
      <c r="N125" s="15"/>
      <c r="O125" s="15"/>
      <c r="P125" s="15"/>
      <c r="Q125" s="15">
        <v>0</v>
      </c>
      <c r="R125" s="15"/>
      <c r="S125" s="15"/>
      <c r="T125" s="15"/>
      <c r="U125" s="15"/>
      <c r="V125" s="15">
        <v>0</v>
      </c>
      <c r="W125" s="15"/>
      <c r="X125" s="15"/>
      <c r="Y125" s="15"/>
      <c r="Z125" s="15"/>
      <c r="AA125" s="15"/>
      <c r="AB125" s="15"/>
      <c r="AC125" s="15"/>
      <c r="AD125" s="15"/>
      <c r="AE125" s="15"/>
    </row>
    <row r="126" spans="2:31" ht="16" customHeight="1" x14ac:dyDescent="0.35">
      <c r="B126" s="14" t="s">
        <v>583</v>
      </c>
      <c r="C126" s="14" t="s">
        <v>584</v>
      </c>
      <c r="D126" s="61"/>
      <c r="E126" s="30"/>
      <c r="F126" s="63"/>
      <c r="G126" s="15">
        <f t="shared" si="6"/>
        <v>0</v>
      </c>
      <c r="H126" s="63"/>
      <c r="I126" s="15">
        <f t="shared" si="7"/>
        <v>0</v>
      </c>
      <c r="J126" s="63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</row>
    <row r="127" spans="2:31" ht="16" customHeight="1" x14ac:dyDescent="0.35">
      <c r="B127" s="14" t="s">
        <v>599</v>
      </c>
      <c r="C127" s="14" t="s">
        <v>1368</v>
      </c>
      <c r="D127" s="61"/>
      <c r="E127" s="30">
        <v>552.51444000000004</v>
      </c>
      <c r="F127" s="63"/>
      <c r="G127" s="15">
        <f t="shared" si="6"/>
        <v>552.51444000000004</v>
      </c>
      <c r="H127" s="63"/>
      <c r="I127" s="15">
        <f t="shared" si="7"/>
        <v>0</v>
      </c>
      <c r="J127" s="63"/>
      <c r="K127" s="15">
        <v>552.51444000000004</v>
      </c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>
        <v>0</v>
      </c>
      <c r="AC127" s="15"/>
      <c r="AD127" s="15"/>
      <c r="AE127" s="15"/>
    </row>
    <row r="128" spans="2:31" ht="16" customHeight="1" x14ac:dyDescent="0.35">
      <c r="B128" s="14" t="s">
        <v>585</v>
      </c>
      <c r="C128" s="14" t="s">
        <v>1366</v>
      </c>
      <c r="D128" s="61"/>
      <c r="E128" s="30"/>
      <c r="F128" s="63"/>
      <c r="G128" s="15">
        <f t="shared" si="6"/>
        <v>0</v>
      </c>
      <c r="H128" s="63"/>
      <c r="I128" s="15">
        <f t="shared" si="7"/>
        <v>0</v>
      </c>
      <c r="J128" s="63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</row>
    <row r="129" spans="2:31" ht="16" customHeight="1" x14ac:dyDescent="0.35">
      <c r="B129" s="14" t="s">
        <v>587</v>
      </c>
      <c r="C129" s="14" t="s">
        <v>1361</v>
      </c>
      <c r="D129" s="61"/>
      <c r="E129" s="30"/>
      <c r="F129" s="63"/>
      <c r="G129" s="15">
        <f t="shared" si="6"/>
        <v>0</v>
      </c>
      <c r="H129" s="63"/>
      <c r="I129" s="15">
        <f t="shared" si="7"/>
        <v>0</v>
      </c>
      <c r="J129" s="63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</row>
    <row r="130" spans="2:31" ht="16" customHeight="1" x14ac:dyDescent="0.35">
      <c r="B130" s="14" t="s">
        <v>589</v>
      </c>
      <c r="C130" s="14" t="s">
        <v>1362</v>
      </c>
      <c r="D130" s="61"/>
      <c r="E130" s="30"/>
      <c r="F130" s="63"/>
      <c r="G130" s="15">
        <f t="shared" si="6"/>
        <v>0</v>
      </c>
      <c r="H130" s="63"/>
      <c r="I130" s="15">
        <f t="shared" si="7"/>
        <v>0</v>
      </c>
      <c r="J130" s="63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</row>
    <row r="131" spans="2:31" ht="16" customHeight="1" x14ac:dyDescent="0.35">
      <c r="B131" s="14" t="s">
        <v>591</v>
      </c>
      <c r="C131" s="14" t="s">
        <v>1363</v>
      </c>
      <c r="D131" s="61"/>
      <c r="E131" s="30"/>
      <c r="F131" s="63"/>
      <c r="G131" s="15">
        <f t="shared" si="6"/>
        <v>0</v>
      </c>
      <c r="H131" s="63"/>
      <c r="I131" s="15">
        <f t="shared" si="7"/>
        <v>0</v>
      </c>
      <c r="J131" s="63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</row>
    <row r="132" spans="2:31" ht="16" customHeight="1" x14ac:dyDescent="0.35">
      <c r="B132" s="14" t="s">
        <v>593</v>
      </c>
      <c r="C132" s="14" t="s">
        <v>1364</v>
      </c>
      <c r="D132" s="61"/>
      <c r="E132" s="30">
        <v>16698.55186</v>
      </c>
      <c r="F132" s="63"/>
      <c r="G132" s="15">
        <f t="shared" si="6"/>
        <v>16698.55186</v>
      </c>
      <c r="H132" s="63"/>
      <c r="I132" s="15">
        <f t="shared" si="7"/>
        <v>0</v>
      </c>
      <c r="J132" s="63"/>
      <c r="K132" s="15">
        <v>15824.99691</v>
      </c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>
        <v>873.55494999999996</v>
      </c>
      <c r="AB132" s="15"/>
      <c r="AC132" s="15"/>
      <c r="AD132" s="15"/>
      <c r="AE132" s="15"/>
    </row>
    <row r="133" spans="2:31" ht="16" customHeight="1" x14ac:dyDescent="0.35">
      <c r="B133" s="14" t="s">
        <v>595</v>
      </c>
      <c r="C133" s="14" t="s">
        <v>596</v>
      </c>
      <c r="D133" s="61"/>
      <c r="E133" s="30">
        <v>3.0000000000000001E-3</v>
      </c>
      <c r="F133" s="63"/>
      <c r="G133" s="15">
        <f t="shared" si="6"/>
        <v>3.0000000000000027E-3</v>
      </c>
      <c r="H133" s="63"/>
      <c r="I133" s="15">
        <f t="shared" si="7"/>
        <v>0</v>
      </c>
      <c r="J133" s="63"/>
      <c r="K133" s="15">
        <v>3.0000000000000001E-3</v>
      </c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>
        <v>5.7000000000000002E-2</v>
      </c>
      <c r="AC133" s="15"/>
      <c r="AD133" s="15"/>
      <c r="AE133" s="15">
        <v>-5.7000000000000002E-2</v>
      </c>
    </row>
    <row r="134" spans="2:31" ht="16" customHeight="1" x14ac:dyDescent="0.35">
      <c r="B134" s="14" t="s">
        <v>1373</v>
      </c>
      <c r="C134" s="14" t="s">
        <v>1374</v>
      </c>
      <c r="D134" s="61"/>
      <c r="E134" s="30"/>
      <c r="F134" s="63"/>
      <c r="G134" s="15">
        <f t="shared" si="6"/>
        <v>0</v>
      </c>
      <c r="H134" s="63"/>
      <c r="I134" s="15">
        <f t="shared" si="7"/>
        <v>0</v>
      </c>
      <c r="J134" s="63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</row>
    <row r="135" spans="2:31" ht="16" customHeight="1" x14ac:dyDescent="0.35">
      <c r="B135" s="14" t="s">
        <v>1375</v>
      </c>
      <c r="C135" s="14" t="s">
        <v>1376</v>
      </c>
      <c r="D135" s="61"/>
      <c r="E135" s="30"/>
      <c r="F135" s="63"/>
      <c r="G135" s="15">
        <f t="shared" si="6"/>
        <v>0</v>
      </c>
      <c r="H135" s="63"/>
      <c r="I135" s="15">
        <f t="shared" si="7"/>
        <v>0</v>
      </c>
      <c r="J135" s="63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</row>
    <row r="136" spans="2:31" ht="16" customHeight="1" x14ac:dyDescent="0.35">
      <c r="B136" s="14" t="s">
        <v>1377</v>
      </c>
      <c r="C136" s="14" t="s">
        <v>1378</v>
      </c>
      <c r="D136" s="61"/>
      <c r="E136" s="30"/>
      <c r="F136" s="63"/>
      <c r="G136" s="15">
        <f t="shared" si="6"/>
        <v>0</v>
      </c>
      <c r="H136" s="63"/>
      <c r="I136" s="15">
        <f t="shared" si="7"/>
        <v>0</v>
      </c>
      <c r="J136" s="63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</row>
    <row r="137" spans="2:31" ht="16" customHeight="1" x14ac:dyDescent="0.35">
      <c r="B137" s="14" t="s">
        <v>1379</v>
      </c>
      <c r="C137" s="14" t="s">
        <v>1380</v>
      </c>
      <c r="D137" s="61"/>
      <c r="E137" s="30"/>
      <c r="F137" s="63"/>
      <c r="G137" s="15">
        <f t="shared" si="6"/>
        <v>0</v>
      </c>
      <c r="H137" s="63"/>
      <c r="I137" s="15">
        <f t="shared" si="7"/>
        <v>0</v>
      </c>
      <c r="J137" s="63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</row>
    <row r="138" spans="2:31" ht="16" customHeight="1" x14ac:dyDescent="0.35">
      <c r="B138" s="14" t="s">
        <v>1381</v>
      </c>
      <c r="C138" s="14" t="s">
        <v>1382</v>
      </c>
      <c r="D138" s="61"/>
      <c r="E138" s="30"/>
      <c r="F138" s="63"/>
      <c r="G138" s="15">
        <f t="shared" si="6"/>
        <v>0</v>
      </c>
      <c r="H138" s="63"/>
      <c r="I138" s="15">
        <f t="shared" si="7"/>
        <v>0</v>
      </c>
      <c r="J138" s="63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</row>
    <row r="139" spans="2:31" ht="16" customHeight="1" x14ac:dyDescent="0.35">
      <c r="B139" s="14" t="s">
        <v>1383</v>
      </c>
      <c r="C139" s="14" t="s">
        <v>1384</v>
      </c>
      <c r="D139" s="61"/>
      <c r="E139" s="30">
        <v>61.400289999999998</v>
      </c>
      <c r="F139" s="63"/>
      <c r="G139" s="15">
        <f t="shared" si="6"/>
        <v>61.400289999999991</v>
      </c>
      <c r="H139" s="63"/>
      <c r="I139" s="15">
        <f t="shared" si="7"/>
        <v>0</v>
      </c>
      <c r="J139" s="63"/>
      <c r="K139" s="15">
        <v>65.538749999999993</v>
      </c>
      <c r="L139" s="15"/>
      <c r="M139" s="15"/>
      <c r="N139" s="15"/>
      <c r="O139" s="15"/>
      <c r="P139" s="15">
        <v>-4.1384600000000002</v>
      </c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</row>
    <row r="140" spans="2:31" ht="16" customHeight="1" x14ac:dyDescent="0.35">
      <c r="B140" s="14" t="s">
        <v>566</v>
      </c>
      <c r="C140" s="14" t="s">
        <v>1369</v>
      </c>
      <c r="D140" s="61"/>
      <c r="E140" s="30">
        <v>15743.256020000001</v>
      </c>
      <c r="F140" s="63"/>
      <c r="G140" s="15">
        <f t="shared" si="6"/>
        <v>15743.256020000001</v>
      </c>
      <c r="H140" s="63"/>
      <c r="I140" s="15">
        <f t="shared" si="7"/>
        <v>0</v>
      </c>
      <c r="J140" s="63"/>
      <c r="K140" s="15">
        <v>8602.9451200000003</v>
      </c>
      <c r="L140" s="15"/>
      <c r="M140" s="15"/>
      <c r="N140" s="15"/>
      <c r="O140" s="15"/>
      <c r="P140" s="15">
        <v>7138.4305899999999</v>
      </c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>
        <v>1.8803099999999999</v>
      </c>
      <c r="AC140" s="15"/>
      <c r="AD140" s="15"/>
      <c r="AE140" s="15"/>
    </row>
    <row r="141" spans="2:31" ht="16" customHeight="1" x14ac:dyDescent="0.35">
      <c r="B141" s="14" t="s">
        <v>615</v>
      </c>
      <c r="C141" s="14" t="s">
        <v>1389</v>
      </c>
      <c r="D141" s="61"/>
      <c r="E141" s="30">
        <v>15191.34895</v>
      </c>
      <c r="F141" s="63"/>
      <c r="G141" s="15">
        <f t="shared" si="6"/>
        <v>15191.344949999999</v>
      </c>
      <c r="H141" s="63"/>
      <c r="I141" s="15">
        <f t="shared" si="7"/>
        <v>4.0000000008149073E-3</v>
      </c>
      <c r="J141" s="63"/>
      <c r="K141" s="15">
        <v>16397.305639999999</v>
      </c>
      <c r="L141" s="15"/>
      <c r="M141" s="15"/>
      <c r="N141" s="15"/>
      <c r="O141" s="15"/>
      <c r="P141" s="15">
        <v>-1205.9575600000001</v>
      </c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>
        <v>-5.7449700000000004</v>
      </c>
      <c r="AC141" s="15"/>
      <c r="AD141" s="15"/>
      <c r="AE141" s="15">
        <v>5.7418399999999998</v>
      </c>
    </row>
    <row r="142" spans="2:31" ht="16" customHeight="1" x14ac:dyDescent="0.35">
      <c r="B142" s="14" t="s">
        <v>568</v>
      </c>
      <c r="C142" s="14" t="s">
        <v>1370</v>
      </c>
      <c r="D142" s="61"/>
      <c r="E142" s="30"/>
      <c r="F142" s="63"/>
      <c r="G142" s="15">
        <f t="shared" si="6"/>
        <v>0</v>
      </c>
      <c r="H142" s="63"/>
      <c r="I142" s="15">
        <f t="shared" si="7"/>
        <v>0</v>
      </c>
      <c r="J142" s="63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</row>
    <row r="143" spans="2:31" ht="16" customHeight="1" x14ac:dyDescent="0.35">
      <c r="B143" s="14" t="s">
        <v>617</v>
      </c>
      <c r="C143" s="14" t="s">
        <v>1390</v>
      </c>
      <c r="D143" s="61"/>
      <c r="E143" s="30"/>
      <c r="F143" s="63"/>
      <c r="G143" s="15">
        <f t="shared" si="6"/>
        <v>0</v>
      </c>
      <c r="H143" s="63"/>
      <c r="I143" s="15">
        <f t="shared" si="7"/>
        <v>0</v>
      </c>
      <c r="J143" s="63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</row>
    <row r="144" spans="2:31" ht="16" customHeight="1" x14ac:dyDescent="0.35">
      <c r="B144" s="14" t="s">
        <v>627</v>
      </c>
      <c r="C144" s="14" t="s">
        <v>1391</v>
      </c>
      <c r="D144" s="61"/>
      <c r="E144" s="30">
        <v>34724.782500000001</v>
      </c>
      <c r="F144" s="63"/>
      <c r="G144" s="15">
        <f t="shared" si="6"/>
        <v>34724.782500000001</v>
      </c>
      <c r="H144" s="63"/>
      <c r="I144" s="15">
        <f t="shared" si="7"/>
        <v>0</v>
      </c>
      <c r="J144" s="63"/>
      <c r="K144" s="15">
        <v>35580.185839999998</v>
      </c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>
        <v>-855.40333999999996</v>
      </c>
      <c r="AB144" s="15"/>
      <c r="AC144" s="15"/>
      <c r="AD144" s="15"/>
      <c r="AE144" s="15"/>
    </row>
    <row r="145" spans="2:31" ht="16" customHeight="1" x14ac:dyDescent="0.35">
      <c r="B145" s="14" t="s">
        <v>572</v>
      </c>
      <c r="C145" s="14" t="s">
        <v>573</v>
      </c>
      <c r="D145" s="61"/>
      <c r="E145" s="30">
        <v>3157.8740899999998</v>
      </c>
      <c r="F145" s="63"/>
      <c r="G145" s="15">
        <f t="shared" si="6"/>
        <v>3157.8740899999993</v>
      </c>
      <c r="H145" s="63"/>
      <c r="I145" s="15">
        <f t="shared" si="7"/>
        <v>0</v>
      </c>
      <c r="J145" s="63"/>
      <c r="K145" s="15">
        <v>5879.6198299999996</v>
      </c>
      <c r="L145" s="15"/>
      <c r="M145" s="15"/>
      <c r="N145" s="15"/>
      <c r="O145" s="15"/>
      <c r="P145" s="15">
        <v>-2721.7456900000002</v>
      </c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>
        <v>-5.0000000000000002E-5</v>
      </c>
    </row>
    <row r="146" spans="2:31" ht="16" customHeight="1" x14ac:dyDescent="0.35">
      <c r="B146" s="14" t="s">
        <v>629</v>
      </c>
      <c r="C146" s="14" t="s">
        <v>1674</v>
      </c>
      <c r="D146" s="61"/>
      <c r="E146" s="30"/>
      <c r="F146" s="63"/>
      <c r="G146" s="15">
        <f t="shared" si="6"/>
        <v>0</v>
      </c>
      <c r="H146" s="63"/>
      <c r="I146" s="15">
        <f t="shared" si="7"/>
        <v>0</v>
      </c>
      <c r="J146" s="63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</row>
    <row r="147" spans="2:31" ht="16" customHeight="1" x14ac:dyDescent="0.35">
      <c r="B147" s="14" t="s">
        <v>570</v>
      </c>
      <c r="C147" s="14" t="s">
        <v>1372</v>
      </c>
      <c r="D147" s="61"/>
      <c r="E147" s="30">
        <v>334182.90156999999</v>
      </c>
      <c r="F147" s="63"/>
      <c r="G147" s="15">
        <f t="shared" si="6"/>
        <v>334182.90157000005</v>
      </c>
      <c r="H147" s="63"/>
      <c r="I147" s="15">
        <f t="shared" si="7"/>
        <v>0</v>
      </c>
      <c r="J147" s="63"/>
      <c r="K147" s="15">
        <v>312842.84993000003</v>
      </c>
      <c r="L147" s="15"/>
      <c r="M147" s="15"/>
      <c r="N147" s="15"/>
      <c r="O147" s="15"/>
      <c r="P147" s="15">
        <v>21337.930700000001</v>
      </c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>
        <v>-2.0000000000000002E-5</v>
      </c>
      <c r="AC147" s="15"/>
      <c r="AD147" s="15"/>
      <c r="AE147" s="15">
        <v>2.1209600000000002</v>
      </c>
    </row>
    <row r="148" spans="2:31" ht="16" customHeight="1" x14ac:dyDescent="0.35">
      <c r="B148" s="14" t="s">
        <v>643</v>
      </c>
      <c r="C148" s="14" t="s">
        <v>1675</v>
      </c>
      <c r="D148" s="61"/>
      <c r="E148" s="30"/>
      <c r="F148" s="63"/>
      <c r="G148" s="15">
        <f t="shared" si="6"/>
        <v>0</v>
      </c>
      <c r="H148" s="63"/>
      <c r="I148" s="15">
        <f t="shared" si="7"/>
        <v>0</v>
      </c>
      <c r="J148" s="63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</row>
    <row r="149" spans="2:31" ht="16" customHeight="1" x14ac:dyDescent="0.35">
      <c r="B149" s="14" t="s">
        <v>621</v>
      </c>
      <c r="C149" s="14" t="s">
        <v>1676</v>
      </c>
      <c r="D149" s="61"/>
      <c r="E149" s="30">
        <v>20295.965250000001</v>
      </c>
      <c r="F149" s="63"/>
      <c r="G149" s="15">
        <f t="shared" si="6"/>
        <v>20295.965250000001</v>
      </c>
      <c r="H149" s="63"/>
      <c r="I149" s="15">
        <f t="shared" si="7"/>
        <v>0</v>
      </c>
      <c r="J149" s="63"/>
      <c r="K149" s="15">
        <v>17984.80457</v>
      </c>
      <c r="L149" s="15"/>
      <c r="M149" s="15"/>
      <c r="N149" s="15"/>
      <c r="O149" s="15"/>
      <c r="P149" s="15">
        <v>2311.16068</v>
      </c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</row>
    <row r="150" spans="2:31" ht="16" customHeight="1" x14ac:dyDescent="0.35">
      <c r="B150" s="14" t="s">
        <v>623</v>
      </c>
      <c r="C150" s="14" t="s">
        <v>1386</v>
      </c>
      <c r="D150" s="61"/>
      <c r="E150" s="30"/>
      <c r="F150" s="63"/>
      <c r="G150" s="15">
        <f t="shared" si="6"/>
        <v>0</v>
      </c>
      <c r="H150" s="63"/>
      <c r="I150" s="15">
        <f t="shared" si="7"/>
        <v>0</v>
      </c>
      <c r="J150" s="63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</row>
    <row r="151" spans="2:31" ht="16" customHeight="1" x14ac:dyDescent="0.35">
      <c r="B151" s="14" t="s">
        <v>625</v>
      </c>
      <c r="C151" s="14" t="s">
        <v>1387</v>
      </c>
      <c r="D151" s="61"/>
      <c r="E151" s="30">
        <v>12871.554959999999</v>
      </c>
      <c r="F151" s="63"/>
      <c r="G151" s="15">
        <f t="shared" si="6"/>
        <v>12871.55495</v>
      </c>
      <c r="H151" s="63"/>
      <c r="I151" s="15">
        <f t="shared" si="7"/>
        <v>9.9999997473787516E-6</v>
      </c>
      <c r="J151" s="63"/>
      <c r="K151" s="15">
        <v>7922.6010500000002</v>
      </c>
      <c r="L151" s="15"/>
      <c r="M151" s="15"/>
      <c r="N151" s="15"/>
      <c r="O151" s="15"/>
      <c r="P151" s="15">
        <v>4998.9413100000002</v>
      </c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>
        <v>-47.84601</v>
      </c>
      <c r="AB151" s="15"/>
      <c r="AC151" s="15"/>
      <c r="AD151" s="15"/>
      <c r="AE151" s="15">
        <v>-2.1414</v>
      </c>
    </row>
    <row r="152" spans="2:31" ht="16" customHeight="1" x14ac:dyDescent="0.35">
      <c r="B152" s="14" t="s">
        <v>619</v>
      </c>
      <c r="C152" s="14" t="s">
        <v>1388</v>
      </c>
      <c r="D152" s="61"/>
      <c r="E152" s="30">
        <v>44020.872629999998</v>
      </c>
      <c r="F152" s="63"/>
      <c r="G152" s="15">
        <f t="shared" si="6"/>
        <v>44020.872629999998</v>
      </c>
      <c r="H152" s="63"/>
      <c r="I152" s="15">
        <f t="shared" si="7"/>
        <v>0</v>
      </c>
      <c r="J152" s="63"/>
      <c r="K152" s="15">
        <v>37988.344689999998</v>
      </c>
      <c r="L152" s="15"/>
      <c r="M152" s="15"/>
      <c r="N152" s="15"/>
      <c r="O152" s="15"/>
      <c r="P152" s="15">
        <v>6030.03935</v>
      </c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>
        <v>2.4885899999999999</v>
      </c>
    </row>
    <row r="153" spans="2:31" ht="16" customHeight="1" x14ac:dyDescent="0.35">
      <c r="B153" s="14" t="s">
        <v>1393</v>
      </c>
      <c r="C153" s="14" t="s">
        <v>1394</v>
      </c>
      <c r="D153" s="61"/>
      <c r="E153" s="30"/>
      <c r="F153" s="63"/>
      <c r="G153" s="15">
        <f t="shared" si="6"/>
        <v>0</v>
      </c>
      <c r="H153" s="63"/>
      <c r="I153" s="15">
        <f t="shared" si="7"/>
        <v>0</v>
      </c>
      <c r="J153" s="63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</row>
    <row r="154" spans="2:31" ht="16" customHeight="1" x14ac:dyDescent="0.35">
      <c r="B154" s="14" t="s">
        <v>1395</v>
      </c>
      <c r="C154" s="14" t="s">
        <v>1396</v>
      </c>
      <c r="D154" s="61"/>
      <c r="E154" s="30">
        <v>4980.0187999999998</v>
      </c>
      <c r="F154" s="63"/>
      <c r="G154" s="15">
        <f t="shared" si="6"/>
        <v>4980.0187999999998</v>
      </c>
      <c r="H154" s="63"/>
      <c r="I154" s="15">
        <f t="shared" si="7"/>
        <v>0</v>
      </c>
      <c r="J154" s="63"/>
      <c r="K154" s="15">
        <v>6221.7707799999998</v>
      </c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>
        <v>-1241.75198</v>
      </c>
      <c r="X154" s="15"/>
      <c r="Y154" s="15"/>
      <c r="Z154" s="15"/>
      <c r="AA154" s="15"/>
      <c r="AB154" s="15"/>
      <c r="AC154" s="15"/>
      <c r="AD154" s="15"/>
      <c r="AE154" s="15"/>
    </row>
    <row r="155" spans="2:31" ht="16" customHeight="1" x14ac:dyDescent="0.35">
      <c r="B155" s="14" t="s">
        <v>1397</v>
      </c>
      <c r="C155" s="14" t="s">
        <v>1398</v>
      </c>
      <c r="D155" s="61"/>
      <c r="E155" s="30">
        <v>33653.46</v>
      </c>
      <c r="F155" s="63"/>
      <c r="G155" s="15">
        <f t="shared" ref="G155:G217" si="8">SUM(K155:AE155)</f>
        <v>33653.459999999992</v>
      </c>
      <c r="H155" s="63"/>
      <c r="I155" s="15">
        <f t="shared" si="7"/>
        <v>0</v>
      </c>
      <c r="J155" s="63"/>
      <c r="K155" s="15">
        <v>33650.928999999996</v>
      </c>
      <c r="L155" s="15"/>
      <c r="M155" s="15"/>
      <c r="N155" s="15"/>
      <c r="O155" s="15"/>
      <c r="P155" s="15"/>
      <c r="Q155" s="15"/>
      <c r="R155" s="15"/>
      <c r="S155" s="15"/>
      <c r="T155" s="15"/>
      <c r="U155" s="15">
        <v>11.482279999999999</v>
      </c>
      <c r="V155" s="15"/>
      <c r="W155" s="15">
        <v>-8.9512800000000006</v>
      </c>
      <c r="X155" s="15"/>
      <c r="Y155" s="15"/>
      <c r="Z155" s="15"/>
      <c r="AA155" s="15">
        <v>0</v>
      </c>
      <c r="AB155" s="15"/>
      <c r="AC155" s="15"/>
      <c r="AD155" s="15"/>
      <c r="AE155" s="15"/>
    </row>
    <row r="156" spans="2:31" ht="16" customHeight="1" x14ac:dyDescent="0.35">
      <c r="B156" s="14" t="s">
        <v>1399</v>
      </c>
      <c r="C156" s="14" t="s">
        <v>1400</v>
      </c>
      <c r="D156" s="61"/>
      <c r="E156" s="30">
        <v>9777.5305200000003</v>
      </c>
      <c r="F156" s="63"/>
      <c r="G156" s="15">
        <f t="shared" si="8"/>
        <v>9777.5305200000003</v>
      </c>
      <c r="H156" s="63"/>
      <c r="I156" s="15">
        <f t="shared" si="7"/>
        <v>0</v>
      </c>
      <c r="J156" s="63"/>
      <c r="K156" s="15">
        <v>9771.7055199999995</v>
      </c>
      <c r="L156" s="15"/>
      <c r="M156" s="15"/>
      <c r="N156" s="15"/>
      <c r="O156" s="15"/>
      <c r="P156" s="15"/>
      <c r="Q156" s="15"/>
      <c r="R156" s="15"/>
      <c r="S156" s="15"/>
      <c r="T156" s="15"/>
      <c r="U156" s="15">
        <v>5.8250000000000002</v>
      </c>
      <c r="V156" s="15"/>
      <c r="W156" s="15">
        <v>0</v>
      </c>
      <c r="X156" s="15"/>
      <c r="Y156" s="15"/>
      <c r="Z156" s="15"/>
      <c r="AA156" s="15"/>
      <c r="AB156" s="15"/>
      <c r="AC156" s="15"/>
      <c r="AD156" s="15"/>
      <c r="AE156" s="15"/>
    </row>
    <row r="157" spans="2:31" ht="16" customHeight="1" x14ac:dyDescent="0.35">
      <c r="B157" s="14" t="s">
        <v>1401</v>
      </c>
      <c r="C157" s="14" t="s">
        <v>1402</v>
      </c>
      <c r="D157" s="61"/>
      <c r="E157" s="30">
        <v>910.26625000000001</v>
      </c>
      <c r="F157" s="63"/>
      <c r="G157" s="15">
        <f t="shared" si="8"/>
        <v>910.26625000000001</v>
      </c>
      <c r="H157" s="63"/>
      <c r="I157" s="15">
        <f t="shared" si="7"/>
        <v>0</v>
      </c>
      <c r="J157" s="63"/>
      <c r="K157" s="15">
        <v>-279.06211999999999</v>
      </c>
      <c r="L157" s="15"/>
      <c r="M157" s="15"/>
      <c r="N157" s="15"/>
      <c r="O157" s="15"/>
      <c r="P157" s="15"/>
      <c r="Q157" s="15"/>
      <c r="R157" s="15"/>
      <c r="S157" s="15"/>
      <c r="T157" s="15"/>
      <c r="U157" s="15">
        <v>1316.3637900000001</v>
      </c>
      <c r="V157" s="15"/>
      <c r="W157" s="15">
        <v>-174.88142999999999</v>
      </c>
      <c r="X157" s="15"/>
      <c r="Y157" s="15"/>
      <c r="Z157" s="15"/>
      <c r="AA157" s="15">
        <v>47.84601</v>
      </c>
      <c r="AB157" s="15"/>
      <c r="AC157" s="15"/>
      <c r="AD157" s="15"/>
      <c r="AE157" s="15"/>
    </row>
    <row r="158" spans="2:31" ht="16" customHeight="1" x14ac:dyDescent="0.35">
      <c r="B158" s="14" t="s">
        <v>1403</v>
      </c>
      <c r="C158" s="14" t="s">
        <v>1404</v>
      </c>
      <c r="D158" s="61"/>
      <c r="E158" s="30"/>
      <c r="F158" s="63"/>
      <c r="G158" s="15">
        <f t="shared" si="8"/>
        <v>0</v>
      </c>
      <c r="H158" s="63"/>
      <c r="I158" s="15">
        <f t="shared" si="7"/>
        <v>0</v>
      </c>
      <c r="J158" s="63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</row>
    <row r="159" spans="2:31" ht="16" customHeight="1" x14ac:dyDescent="0.35">
      <c r="B159" s="14" t="s">
        <v>602</v>
      </c>
      <c r="C159" s="14" t="s">
        <v>1407</v>
      </c>
      <c r="D159" s="61"/>
      <c r="E159" s="30">
        <v>13.629860000000001</v>
      </c>
      <c r="F159" s="63"/>
      <c r="G159" s="15">
        <f t="shared" si="8"/>
        <v>13.629860000000001</v>
      </c>
      <c r="H159" s="63"/>
      <c r="I159" s="15">
        <f t="shared" si="7"/>
        <v>0</v>
      </c>
      <c r="J159" s="63"/>
      <c r="K159" s="15">
        <v>-108531.46711</v>
      </c>
      <c r="L159" s="15"/>
      <c r="M159" s="15"/>
      <c r="N159" s="15"/>
      <c r="O159" s="15"/>
      <c r="P159" s="15">
        <v>108544.96711</v>
      </c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>
        <v>0</v>
      </c>
      <c r="AB159" s="15"/>
      <c r="AC159" s="15"/>
      <c r="AD159" s="15"/>
      <c r="AE159" s="15">
        <v>0.12986</v>
      </c>
    </row>
    <row r="160" spans="2:31" ht="16" customHeight="1" x14ac:dyDescent="0.35">
      <c r="B160" s="14" t="s">
        <v>604</v>
      </c>
      <c r="C160" s="14" t="s">
        <v>1408</v>
      </c>
      <c r="D160" s="61"/>
      <c r="E160" s="30">
        <v>0</v>
      </c>
      <c r="F160" s="63"/>
      <c r="G160" s="15">
        <f t="shared" si="8"/>
        <v>0</v>
      </c>
      <c r="H160" s="63"/>
      <c r="I160" s="15">
        <f t="shared" si="7"/>
        <v>0</v>
      </c>
      <c r="J160" s="63"/>
      <c r="K160" s="15">
        <v>0</v>
      </c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</row>
    <row r="161" spans="2:31" ht="16" customHeight="1" x14ac:dyDescent="0.35">
      <c r="B161" s="14" t="s">
        <v>1405</v>
      </c>
      <c r="C161" s="14" t="s">
        <v>1406</v>
      </c>
      <c r="D161" s="61"/>
      <c r="E161" s="30"/>
      <c r="F161" s="63"/>
      <c r="G161" s="15">
        <f t="shared" si="8"/>
        <v>0</v>
      </c>
      <c r="H161" s="63"/>
      <c r="I161" s="15">
        <f t="shared" si="7"/>
        <v>0</v>
      </c>
      <c r="J161" s="63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</row>
    <row r="162" spans="2:31" ht="16" customHeight="1" x14ac:dyDescent="0.35">
      <c r="B162" s="14" t="s">
        <v>631</v>
      </c>
      <c r="C162" s="14" t="s">
        <v>632</v>
      </c>
      <c r="D162" s="61"/>
      <c r="E162" s="30"/>
      <c r="F162" s="63"/>
      <c r="G162" s="15">
        <f t="shared" si="8"/>
        <v>0</v>
      </c>
      <c r="H162" s="63"/>
      <c r="I162" s="15">
        <f t="shared" si="7"/>
        <v>0</v>
      </c>
      <c r="J162" s="63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</row>
    <row r="163" spans="2:31" ht="16" customHeight="1" x14ac:dyDescent="0.35">
      <c r="B163" s="14" t="s">
        <v>633</v>
      </c>
      <c r="C163" s="14" t="s">
        <v>634</v>
      </c>
      <c r="D163" s="61"/>
      <c r="E163" s="30"/>
      <c r="F163" s="63"/>
      <c r="G163" s="15">
        <f t="shared" si="8"/>
        <v>0</v>
      </c>
      <c r="H163" s="63"/>
      <c r="I163" s="15">
        <f t="shared" si="7"/>
        <v>0</v>
      </c>
      <c r="J163" s="63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</row>
    <row r="164" spans="2:31" ht="16" customHeight="1" x14ac:dyDescent="0.35">
      <c r="B164" s="14" t="s">
        <v>635</v>
      </c>
      <c r="C164" s="14" t="s">
        <v>636</v>
      </c>
      <c r="D164" s="61"/>
      <c r="E164" s="30">
        <v>5.31</v>
      </c>
      <c r="F164" s="63"/>
      <c r="G164" s="15">
        <f t="shared" si="8"/>
        <v>5.3120000000000003</v>
      </c>
      <c r="H164" s="63"/>
      <c r="I164" s="15">
        <f t="shared" si="7"/>
        <v>-2.0000000000006679E-3</v>
      </c>
      <c r="J164" s="63"/>
      <c r="K164" s="15">
        <v>4.9859999999999998</v>
      </c>
      <c r="L164" s="15"/>
      <c r="M164" s="15"/>
      <c r="N164" s="15"/>
      <c r="O164" s="15"/>
      <c r="P164" s="15">
        <v>-0.39800000000000002</v>
      </c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>
        <v>0</v>
      </c>
      <c r="AB164" s="15">
        <v>0.85899999999999999</v>
      </c>
      <c r="AC164" s="15"/>
      <c r="AD164" s="15"/>
      <c r="AE164" s="15">
        <v>-0.13500000000000001</v>
      </c>
    </row>
    <row r="165" spans="2:31" ht="16" customHeight="1" x14ac:dyDescent="0.35">
      <c r="B165" s="14" t="s">
        <v>648</v>
      </c>
      <c r="C165" s="14" t="s">
        <v>1413</v>
      </c>
      <c r="D165" s="61"/>
      <c r="E165" s="30">
        <v>1046637.09841</v>
      </c>
      <c r="F165" s="63"/>
      <c r="G165" s="15">
        <f t="shared" si="8"/>
        <v>1046637.0984199998</v>
      </c>
      <c r="H165" s="63"/>
      <c r="I165" s="15">
        <f t="shared" si="7"/>
        <v>-9.9998433142900467E-6</v>
      </c>
      <c r="J165" s="63"/>
      <c r="K165" s="15">
        <v>1016476.34292</v>
      </c>
      <c r="L165" s="15"/>
      <c r="M165" s="15"/>
      <c r="N165" s="15"/>
      <c r="O165" s="15"/>
      <c r="P165" s="15">
        <v>0</v>
      </c>
      <c r="Q165" s="15">
        <v>30688.40149</v>
      </c>
      <c r="R165" s="15"/>
      <c r="S165" s="15"/>
      <c r="T165" s="15"/>
      <c r="U165" s="15"/>
      <c r="V165" s="15"/>
      <c r="W165" s="15"/>
      <c r="X165" s="15"/>
      <c r="Y165" s="15"/>
      <c r="Z165" s="15"/>
      <c r="AA165" s="15">
        <v>23.00113</v>
      </c>
      <c r="AB165" s="15">
        <v>-549.45379000000003</v>
      </c>
      <c r="AC165" s="15"/>
      <c r="AD165" s="15"/>
      <c r="AE165" s="15">
        <v>-1.19333</v>
      </c>
    </row>
    <row r="166" spans="2:31" ht="16" customHeight="1" x14ac:dyDescent="0.35">
      <c r="B166" s="14" t="s">
        <v>650</v>
      </c>
      <c r="C166" s="14" t="s">
        <v>1677</v>
      </c>
      <c r="D166" s="61"/>
      <c r="E166" s="30"/>
      <c r="F166" s="63"/>
      <c r="G166" s="15">
        <f t="shared" si="8"/>
        <v>0</v>
      </c>
      <c r="H166" s="63"/>
      <c r="I166" s="15">
        <f t="shared" si="7"/>
        <v>0</v>
      </c>
      <c r="J166" s="63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</row>
    <row r="167" spans="2:31" ht="16" customHeight="1" x14ac:dyDescent="0.35">
      <c r="B167" s="14" t="s">
        <v>652</v>
      </c>
      <c r="C167" s="14" t="s">
        <v>1678</v>
      </c>
      <c r="D167" s="61"/>
      <c r="E167" s="30"/>
      <c r="F167" s="63"/>
      <c r="G167" s="15">
        <f t="shared" si="8"/>
        <v>0</v>
      </c>
      <c r="H167" s="63"/>
      <c r="I167" s="15">
        <f t="shared" si="7"/>
        <v>0</v>
      </c>
      <c r="J167" s="63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</row>
    <row r="168" spans="2:31" ht="16" customHeight="1" x14ac:dyDescent="0.35">
      <c r="B168" s="14" t="s">
        <v>654</v>
      </c>
      <c r="C168" s="14" t="s">
        <v>1411</v>
      </c>
      <c r="D168" s="61"/>
      <c r="E168" s="30">
        <v>0</v>
      </c>
      <c r="F168" s="63"/>
      <c r="G168" s="15">
        <f t="shared" si="8"/>
        <v>0</v>
      </c>
      <c r="H168" s="63"/>
      <c r="I168" s="15">
        <f t="shared" si="7"/>
        <v>0</v>
      </c>
      <c r="J168" s="63"/>
      <c r="K168" s="15">
        <v>0</v>
      </c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</row>
    <row r="169" spans="2:31" ht="16" customHeight="1" x14ac:dyDescent="0.35">
      <c r="B169" s="14" t="s">
        <v>656</v>
      </c>
      <c r="C169" s="14" t="s">
        <v>1412</v>
      </c>
      <c r="D169" s="61"/>
      <c r="E169" s="30">
        <v>71959.299050000001</v>
      </c>
      <c r="F169" s="63"/>
      <c r="G169" s="15">
        <f t="shared" si="8"/>
        <v>71959.299050000001</v>
      </c>
      <c r="H169" s="63"/>
      <c r="I169" s="15">
        <f t="shared" si="7"/>
        <v>0</v>
      </c>
      <c r="J169" s="63"/>
      <c r="K169" s="15">
        <v>73250.791150000005</v>
      </c>
      <c r="L169" s="15"/>
      <c r="M169" s="15"/>
      <c r="N169" s="15"/>
      <c r="O169" s="15"/>
      <c r="P169" s="15"/>
      <c r="Q169" s="15">
        <v>-203.32042000000001</v>
      </c>
      <c r="R169" s="15">
        <v>2430.2527</v>
      </c>
      <c r="S169" s="15"/>
      <c r="T169" s="15"/>
      <c r="U169" s="15"/>
      <c r="V169" s="15">
        <v>-3477.8373299999998</v>
      </c>
      <c r="W169" s="15"/>
      <c r="X169" s="15">
        <v>644.96274000000005</v>
      </c>
      <c r="Y169" s="15"/>
      <c r="Z169" s="15"/>
      <c r="AA169" s="15">
        <v>-696.89079000000004</v>
      </c>
      <c r="AB169" s="15">
        <v>11.356210000000001</v>
      </c>
      <c r="AC169" s="15"/>
      <c r="AD169" s="15"/>
      <c r="AE169" s="15">
        <v>-1.521E-2</v>
      </c>
    </row>
    <row r="170" spans="2:31" ht="16" customHeight="1" x14ac:dyDescent="0.35">
      <c r="B170" s="14" t="s">
        <v>663</v>
      </c>
      <c r="C170" s="14" t="s">
        <v>1679</v>
      </c>
      <c r="D170" s="61"/>
      <c r="E170" s="30">
        <v>8.7067599999999992</v>
      </c>
      <c r="F170" s="63"/>
      <c r="G170" s="15">
        <f t="shared" si="8"/>
        <v>8.7067599999999992</v>
      </c>
      <c r="H170" s="63"/>
      <c r="I170" s="15">
        <f t="shared" si="7"/>
        <v>0</v>
      </c>
      <c r="J170" s="63"/>
      <c r="K170" s="15">
        <v>8.7067599999999992</v>
      </c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>
        <v>0</v>
      </c>
      <c r="AC170" s="15"/>
      <c r="AD170" s="15"/>
      <c r="AE170" s="15"/>
    </row>
    <row r="171" spans="2:31" ht="16" customHeight="1" x14ac:dyDescent="0.35">
      <c r="B171" s="14" t="s">
        <v>669</v>
      </c>
      <c r="C171" s="14" t="s">
        <v>670</v>
      </c>
      <c r="D171" s="61"/>
      <c r="E171" s="30">
        <v>431455.56251999998</v>
      </c>
      <c r="F171" s="63"/>
      <c r="G171" s="15">
        <f t="shared" si="8"/>
        <v>431455.56252000004</v>
      </c>
      <c r="H171" s="63"/>
      <c r="I171" s="15">
        <f t="shared" si="7"/>
        <v>0</v>
      </c>
      <c r="J171" s="63"/>
      <c r="K171" s="15">
        <v>433664.16398000001</v>
      </c>
      <c r="L171" s="15"/>
      <c r="M171" s="15"/>
      <c r="N171" s="15"/>
      <c r="O171" s="15"/>
      <c r="P171" s="15"/>
      <c r="Q171" s="15"/>
      <c r="R171" s="15"/>
      <c r="S171" s="15"/>
      <c r="T171" s="15"/>
      <c r="U171" s="15">
        <v>-2208.6014599999999</v>
      </c>
      <c r="V171" s="15"/>
      <c r="W171" s="15"/>
      <c r="X171" s="15"/>
      <c r="Y171" s="15"/>
      <c r="Z171" s="15"/>
      <c r="AA171" s="15"/>
      <c r="AB171" s="15">
        <v>0</v>
      </c>
      <c r="AC171" s="15"/>
      <c r="AD171" s="15"/>
      <c r="AE171" s="15"/>
    </row>
    <row r="172" spans="2:31" ht="16" customHeight="1" x14ac:dyDescent="0.35">
      <c r="B172" s="14" t="s">
        <v>1430</v>
      </c>
      <c r="C172" s="14" t="s">
        <v>1431</v>
      </c>
      <c r="D172" s="61"/>
      <c r="E172" s="30">
        <v>95764.741190000001</v>
      </c>
      <c r="F172" s="63"/>
      <c r="G172" s="15">
        <f t="shared" si="8"/>
        <v>95764.741190000015</v>
      </c>
      <c r="H172" s="63"/>
      <c r="I172" s="15">
        <f t="shared" si="7"/>
        <v>0</v>
      </c>
      <c r="J172" s="63"/>
      <c r="K172" s="15">
        <v>96725.040070000003</v>
      </c>
      <c r="L172" s="15"/>
      <c r="M172" s="15"/>
      <c r="N172" s="15"/>
      <c r="O172" s="15"/>
      <c r="P172" s="15"/>
      <c r="Q172" s="15"/>
      <c r="R172" s="15"/>
      <c r="S172" s="15"/>
      <c r="T172" s="15"/>
      <c r="U172" s="15">
        <v>-47.128160000000001</v>
      </c>
      <c r="V172" s="15"/>
      <c r="W172" s="15">
        <v>-1824.0047199999999</v>
      </c>
      <c r="X172" s="15">
        <v>910.83399999999995</v>
      </c>
      <c r="Y172" s="15"/>
      <c r="Z172" s="15"/>
      <c r="AA172" s="15"/>
      <c r="AB172" s="15"/>
      <c r="AC172" s="15"/>
      <c r="AD172" s="15"/>
      <c r="AE172" s="15"/>
    </row>
    <row r="173" spans="2:31" ht="16" customHeight="1" x14ac:dyDescent="0.35">
      <c r="B173" s="14" t="s">
        <v>1414</v>
      </c>
      <c r="C173" s="14" t="s">
        <v>1415</v>
      </c>
      <c r="D173" s="61"/>
      <c r="E173" s="30">
        <v>75926.175919999994</v>
      </c>
      <c r="F173" s="63"/>
      <c r="G173" s="15">
        <f t="shared" si="8"/>
        <v>75926.175919999994</v>
      </c>
      <c r="H173" s="63"/>
      <c r="I173" s="15">
        <f t="shared" si="7"/>
        <v>0</v>
      </c>
      <c r="J173" s="63"/>
      <c r="K173" s="15">
        <v>75430.602039999998</v>
      </c>
      <c r="L173" s="15"/>
      <c r="M173" s="15"/>
      <c r="N173" s="15"/>
      <c r="O173" s="15"/>
      <c r="P173" s="15"/>
      <c r="Q173" s="15"/>
      <c r="R173" s="15"/>
      <c r="S173" s="15"/>
      <c r="T173" s="15"/>
      <c r="U173" s="15">
        <v>316.23934000000003</v>
      </c>
      <c r="V173" s="15"/>
      <c r="W173" s="15">
        <v>-42.133380000000002</v>
      </c>
      <c r="X173" s="15">
        <v>221.46791999999999</v>
      </c>
      <c r="Y173" s="15"/>
      <c r="Z173" s="15"/>
      <c r="AA173" s="15"/>
      <c r="AB173" s="15"/>
      <c r="AC173" s="15"/>
      <c r="AD173" s="15"/>
      <c r="AE173" s="15"/>
    </row>
    <row r="174" spans="2:31" ht="16" customHeight="1" x14ac:dyDescent="0.35">
      <c r="B174" s="14" t="s">
        <v>1416</v>
      </c>
      <c r="C174" s="14" t="s">
        <v>1417</v>
      </c>
      <c r="D174" s="61"/>
      <c r="E174" s="30">
        <v>820.81299999999999</v>
      </c>
      <c r="F174" s="63"/>
      <c r="G174" s="15">
        <f t="shared" si="8"/>
        <v>820.81299999999999</v>
      </c>
      <c r="H174" s="63"/>
      <c r="I174" s="15">
        <f t="shared" si="7"/>
        <v>0</v>
      </c>
      <c r="J174" s="63"/>
      <c r="K174" s="15">
        <v>820.81299999999999</v>
      </c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>
        <v>0</v>
      </c>
      <c r="X174" s="15"/>
      <c r="Y174" s="15"/>
      <c r="Z174" s="15"/>
      <c r="AA174" s="15"/>
      <c r="AB174" s="15"/>
      <c r="AC174" s="15"/>
      <c r="AD174" s="15"/>
      <c r="AE174" s="15"/>
    </row>
    <row r="175" spans="2:31" ht="16" customHeight="1" x14ac:dyDescent="0.35">
      <c r="B175" s="14" t="s">
        <v>1418</v>
      </c>
      <c r="C175" s="14" t="s">
        <v>1419</v>
      </c>
      <c r="D175" s="61"/>
      <c r="E175" s="30"/>
      <c r="F175" s="63"/>
      <c r="G175" s="15">
        <f t="shared" si="8"/>
        <v>0</v>
      </c>
      <c r="H175" s="63"/>
      <c r="I175" s="15">
        <f t="shared" si="7"/>
        <v>0</v>
      </c>
      <c r="J175" s="63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</row>
    <row r="176" spans="2:31" ht="16" customHeight="1" x14ac:dyDescent="0.35">
      <c r="B176" s="14" t="s">
        <v>1420</v>
      </c>
      <c r="C176" s="14" t="s">
        <v>1421</v>
      </c>
      <c r="D176" s="61"/>
      <c r="E176" s="30">
        <v>1667.65753</v>
      </c>
      <c r="F176" s="63"/>
      <c r="G176" s="15">
        <f t="shared" si="8"/>
        <v>1667.65753</v>
      </c>
      <c r="H176" s="63"/>
      <c r="I176" s="15">
        <f t="shared" si="7"/>
        <v>0</v>
      </c>
      <c r="J176" s="63"/>
      <c r="K176" s="15">
        <v>1061.5816500000001</v>
      </c>
      <c r="L176" s="15"/>
      <c r="M176" s="15"/>
      <c r="N176" s="15"/>
      <c r="O176" s="15"/>
      <c r="P176" s="15"/>
      <c r="Q176" s="15"/>
      <c r="R176" s="15"/>
      <c r="S176" s="15"/>
      <c r="T176" s="15"/>
      <c r="U176" s="15">
        <v>-110.55557</v>
      </c>
      <c r="V176" s="15"/>
      <c r="W176" s="15">
        <v>716.63144999999997</v>
      </c>
      <c r="X176" s="15"/>
      <c r="Y176" s="15"/>
      <c r="Z176" s="15"/>
      <c r="AA176" s="15">
        <v>0</v>
      </c>
      <c r="AB176" s="15"/>
      <c r="AC176" s="15"/>
      <c r="AD176" s="15"/>
      <c r="AE176" s="15"/>
    </row>
    <row r="177" spans="2:31" ht="16" customHeight="1" x14ac:dyDescent="0.35">
      <c r="B177" s="14" t="s">
        <v>1422</v>
      </c>
      <c r="C177" s="14" t="s">
        <v>1423</v>
      </c>
      <c r="D177" s="61"/>
      <c r="E177" s="30">
        <v>70207.530710000006</v>
      </c>
      <c r="F177" s="63"/>
      <c r="G177" s="15">
        <f t="shared" si="8"/>
        <v>70207.530710000006</v>
      </c>
      <c r="H177" s="63"/>
      <c r="I177" s="15">
        <f t="shared" si="7"/>
        <v>0</v>
      </c>
      <c r="J177" s="63"/>
      <c r="K177" s="15">
        <v>74359.225900000005</v>
      </c>
      <c r="L177" s="15"/>
      <c r="M177" s="15"/>
      <c r="N177" s="15"/>
      <c r="O177" s="15"/>
      <c r="P177" s="15"/>
      <c r="Q177" s="15"/>
      <c r="R177" s="15"/>
      <c r="S177" s="15"/>
      <c r="T177" s="15"/>
      <c r="U177" s="15">
        <v>6138.4170000000004</v>
      </c>
      <c r="V177" s="15"/>
      <c r="W177" s="15">
        <v>-10290.11219</v>
      </c>
      <c r="X177" s="15">
        <v>0</v>
      </c>
      <c r="Y177" s="15"/>
      <c r="Z177" s="15"/>
      <c r="AA177" s="15">
        <v>0</v>
      </c>
      <c r="AB177" s="15"/>
      <c r="AC177" s="15"/>
      <c r="AD177" s="15"/>
      <c r="AE177" s="15"/>
    </row>
    <row r="178" spans="2:31" ht="16" customHeight="1" x14ac:dyDescent="0.35">
      <c r="B178" s="14" t="s">
        <v>1424</v>
      </c>
      <c r="C178" s="14" t="s">
        <v>1425</v>
      </c>
      <c r="D178" s="61"/>
      <c r="E178" s="30"/>
      <c r="F178" s="63"/>
      <c r="G178" s="15">
        <f t="shared" si="8"/>
        <v>0</v>
      </c>
      <c r="H178" s="63"/>
      <c r="I178" s="15">
        <f t="shared" si="7"/>
        <v>0</v>
      </c>
      <c r="J178" s="63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</row>
    <row r="179" spans="2:31" ht="16" customHeight="1" x14ac:dyDescent="0.35">
      <c r="B179" s="14" t="s">
        <v>1426</v>
      </c>
      <c r="C179" s="14" t="s">
        <v>1427</v>
      </c>
      <c r="D179" s="61"/>
      <c r="E179" s="30">
        <v>2708.4449300000001</v>
      </c>
      <c r="F179" s="63"/>
      <c r="G179" s="15">
        <f t="shared" si="8"/>
        <v>2708.4449300000001</v>
      </c>
      <c r="H179" s="63"/>
      <c r="I179" s="15">
        <f t="shared" si="7"/>
        <v>0</v>
      </c>
      <c r="J179" s="63"/>
      <c r="K179" s="15">
        <v>2708.4449300000001</v>
      </c>
      <c r="L179" s="15"/>
      <c r="M179" s="15"/>
      <c r="N179" s="15"/>
      <c r="O179" s="15"/>
      <c r="P179" s="15"/>
      <c r="Q179" s="15"/>
      <c r="R179" s="15"/>
      <c r="S179" s="15"/>
      <c r="T179" s="15"/>
      <c r="U179" s="15">
        <v>0</v>
      </c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</row>
    <row r="180" spans="2:31" ht="16" customHeight="1" x14ac:dyDescent="0.35">
      <c r="B180" s="14" t="s">
        <v>1428</v>
      </c>
      <c r="C180" s="14" t="s">
        <v>1429</v>
      </c>
      <c r="D180" s="61"/>
      <c r="E180" s="30"/>
      <c r="F180" s="63"/>
      <c r="G180" s="15">
        <f t="shared" si="8"/>
        <v>0</v>
      </c>
      <c r="H180" s="63"/>
      <c r="I180" s="15">
        <f t="shared" si="7"/>
        <v>0</v>
      </c>
      <c r="J180" s="63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</row>
    <row r="181" spans="2:31" ht="16" customHeight="1" x14ac:dyDescent="0.35">
      <c r="B181" s="14" t="s">
        <v>674</v>
      </c>
      <c r="C181" s="14" t="s">
        <v>1432</v>
      </c>
      <c r="D181" s="61"/>
      <c r="E181" s="30">
        <v>133131.45379</v>
      </c>
      <c r="F181" s="63"/>
      <c r="G181" s="15">
        <f t="shared" si="8"/>
        <v>133131.45379000003</v>
      </c>
      <c r="H181" s="63"/>
      <c r="I181" s="15">
        <f t="shared" si="7"/>
        <v>0</v>
      </c>
      <c r="J181" s="63"/>
      <c r="K181" s="15">
        <v>129415.20535</v>
      </c>
      <c r="L181" s="15"/>
      <c r="M181" s="15"/>
      <c r="N181" s="15"/>
      <c r="O181" s="15"/>
      <c r="P181" s="15"/>
      <c r="Q181" s="15"/>
      <c r="R181" s="15">
        <v>10604.14842</v>
      </c>
      <c r="S181" s="15"/>
      <c r="T181" s="15"/>
      <c r="U181" s="15"/>
      <c r="V181" s="15">
        <v>-7734.5999099999999</v>
      </c>
      <c r="W181" s="15"/>
      <c r="X181" s="15">
        <v>1350.64906</v>
      </c>
      <c r="Y181" s="15"/>
      <c r="Z181" s="15"/>
      <c r="AA181" s="15">
        <v>-494.22410000000002</v>
      </c>
      <c r="AB181" s="15">
        <v>-9.7250300000000003</v>
      </c>
      <c r="AC181" s="15"/>
      <c r="AD181" s="15"/>
      <c r="AE181" s="15"/>
    </row>
    <row r="182" spans="2:31" ht="16" customHeight="1" x14ac:dyDescent="0.35">
      <c r="B182" s="14" t="s">
        <v>677</v>
      </c>
      <c r="C182" s="14" t="s">
        <v>678</v>
      </c>
      <c r="D182" s="61"/>
      <c r="E182" s="30">
        <v>11291.107</v>
      </c>
      <c r="F182" s="63"/>
      <c r="G182" s="15">
        <f t="shared" si="8"/>
        <v>11291.107</v>
      </c>
      <c r="H182" s="63"/>
      <c r="I182" s="15">
        <f t="shared" si="7"/>
        <v>0</v>
      </c>
      <c r="J182" s="63"/>
      <c r="K182" s="15">
        <v>11291.107</v>
      </c>
      <c r="L182" s="15"/>
      <c r="M182" s="15"/>
      <c r="N182" s="15"/>
      <c r="O182" s="15"/>
      <c r="P182" s="15">
        <v>0</v>
      </c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</row>
    <row r="183" spans="2:31" ht="16" customHeight="1" x14ac:dyDescent="0.35">
      <c r="B183" s="14" t="s">
        <v>658</v>
      </c>
      <c r="C183" s="14" t="s">
        <v>659</v>
      </c>
      <c r="D183" s="61"/>
      <c r="E183" s="30">
        <v>-78.828999999999994</v>
      </c>
      <c r="F183" s="63"/>
      <c r="G183" s="15">
        <f t="shared" si="8"/>
        <v>-78.827999999999918</v>
      </c>
      <c r="H183" s="63"/>
      <c r="I183" s="15">
        <f t="shared" si="7"/>
        <v>-1.0000000000758291E-3</v>
      </c>
      <c r="J183" s="63"/>
      <c r="K183" s="15">
        <v>-135.596</v>
      </c>
      <c r="L183" s="15"/>
      <c r="M183" s="15"/>
      <c r="N183" s="15"/>
      <c r="O183" s="15"/>
      <c r="P183" s="15">
        <v>-3695.848</v>
      </c>
      <c r="Q183" s="15">
        <v>3752.585</v>
      </c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>
        <v>3.1E-2</v>
      </c>
    </row>
    <row r="184" spans="2:31" ht="16" customHeight="1" x14ac:dyDescent="0.35">
      <c r="B184" s="14" t="s">
        <v>1433</v>
      </c>
      <c r="C184" s="14" t="s">
        <v>1434</v>
      </c>
      <c r="D184" s="61"/>
      <c r="E184" s="30">
        <v>-5331.7996400000002</v>
      </c>
      <c r="F184" s="63"/>
      <c r="G184" s="15">
        <f t="shared" si="8"/>
        <v>-5331.7996400000002</v>
      </c>
      <c r="H184" s="63"/>
      <c r="I184" s="15">
        <f t="shared" si="7"/>
        <v>0</v>
      </c>
      <c r="J184" s="63"/>
      <c r="K184" s="15">
        <v>-5331.7996400000002</v>
      </c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</row>
    <row r="185" spans="2:31" ht="16" customHeight="1" x14ac:dyDescent="0.35">
      <c r="B185" s="14" t="s">
        <v>1435</v>
      </c>
      <c r="C185" s="14" t="s">
        <v>1436</v>
      </c>
      <c r="D185" s="61"/>
      <c r="E185" s="30"/>
      <c r="F185" s="63"/>
      <c r="G185" s="15">
        <f t="shared" si="8"/>
        <v>0</v>
      </c>
      <c r="H185" s="63"/>
      <c r="I185" s="15">
        <f t="shared" si="7"/>
        <v>0</v>
      </c>
      <c r="J185" s="63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</row>
    <row r="186" spans="2:31" ht="16" customHeight="1" x14ac:dyDescent="0.35">
      <c r="B186" s="14" t="s">
        <v>688</v>
      </c>
      <c r="C186" s="14" t="s">
        <v>1437</v>
      </c>
      <c r="D186" s="61"/>
      <c r="E186" s="30">
        <v>10032657.489019999</v>
      </c>
      <c r="F186" s="63"/>
      <c r="G186" s="15">
        <f t="shared" si="8"/>
        <v>10032657.489019999</v>
      </c>
      <c r="H186" s="63"/>
      <c r="I186" s="15">
        <f t="shared" si="7"/>
        <v>0</v>
      </c>
      <c r="J186" s="63"/>
      <c r="K186" s="15">
        <v>10032657.489019999</v>
      </c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</row>
    <row r="187" spans="2:31" ht="16" customHeight="1" x14ac:dyDescent="0.35">
      <c r="B187" s="14" t="s">
        <v>691</v>
      </c>
      <c r="C187" s="14" t="s">
        <v>1680</v>
      </c>
      <c r="D187" s="61"/>
      <c r="E187" s="30"/>
      <c r="F187" s="63"/>
      <c r="G187" s="15">
        <f t="shared" si="8"/>
        <v>0</v>
      </c>
      <c r="H187" s="63"/>
      <c r="I187" s="15">
        <f t="shared" ref="I187:I217" si="9">E187-G187</f>
        <v>0</v>
      </c>
      <c r="J187" s="63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</row>
    <row r="188" spans="2:31" ht="16" customHeight="1" x14ac:dyDescent="0.35">
      <c r="B188" s="14" t="s">
        <v>694</v>
      </c>
      <c r="C188" s="14" t="s">
        <v>695</v>
      </c>
      <c r="D188" s="61"/>
      <c r="E188" s="30">
        <v>-0.30901000000000001</v>
      </c>
      <c r="F188" s="63"/>
      <c r="G188" s="15">
        <f t="shared" si="8"/>
        <v>-0.30901000000000001</v>
      </c>
      <c r="H188" s="63"/>
      <c r="I188" s="15">
        <f t="shared" si="9"/>
        <v>0</v>
      </c>
      <c r="J188" s="63"/>
      <c r="K188" s="15">
        <v>-0.30901000000000001</v>
      </c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>
        <v>0</v>
      </c>
      <c r="AB188" s="15"/>
      <c r="AC188" s="15"/>
      <c r="AD188" s="15"/>
      <c r="AE188" s="15"/>
    </row>
    <row r="189" spans="2:31" ht="16" customHeight="1" x14ac:dyDescent="0.35">
      <c r="B189" s="14" t="s">
        <v>696</v>
      </c>
      <c r="C189" s="14" t="s">
        <v>1438</v>
      </c>
      <c r="D189" s="61"/>
      <c r="E189" s="30">
        <v>-4701793.52575</v>
      </c>
      <c r="F189" s="63"/>
      <c r="G189" s="15">
        <f t="shared" si="8"/>
        <v>-4701793.52575</v>
      </c>
      <c r="H189" s="63"/>
      <c r="I189" s="15">
        <f t="shared" si="9"/>
        <v>0</v>
      </c>
      <c r="J189" s="63"/>
      <c r="K189" s="15">
        <v>-4701791.2010399997</v>
      </c>
      <c r="L189" s="15"/>
      <c r="M189" s="15"/>
      <c r="N189" s="15">
        <v>0</v>
      </c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>
        <v>-1.3622799999999999</v>
      </c>
      <c r="AB189" s="15"/>
      <c r="AC189" s="15"/>
      <c r="AD189" s="15">
        <v>-0.96243000000000001</v>
      </c>
      <c r="AE189" s="15"/>
    </row>
    <row r="190" spans="2:31" ht="16" customHeight="1" x14ac:dyDescent="0.35">
      <c r="B190" s="14" t="s">
        <v>698</v>
      </c>
      <c r="C190" s="14" t="s">
        <v>699</v>
      </c>
      <c r="D190" s="61"/>
      <c r="E190" s="30">
        <v>195961.07592</v>
      </c>
      <c r="F190" s="63"/>
      <c r="G190" s="15">
        <f t="shared" si="8"/>
        <v>195961.07592</v>
      </c>
      <c r="H190" s="63"/>
      <c r="I190" s="15">
        <f t="shared" si="9"/>
        <v>0</v>
      </c>
      <c r="J190" s="63"/>
      <c r="K190" s="15">
        <v>27599.32949</v>
      </c>
      <c r="L190" s="15"/>
      <c r="M190" s="15"/>
      <c r="N190" s="15">
        <v>0</v>
      </c>
      <c r="O190" s="15">
        <v>168361.74643</v>
      </c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</row>
    <row r="191" spans="2:31" ht="16" customHeight="1" x14ac:dyDescent="0.35">
      <c r="B191" s="14" t="s">
        <v>700</v>
      </c>
      <c r="C191" s="14" t="s">
        <v>1440</v>
      </c>
      <c r="D191" s="61"/>
      <c r="E191" s="30">
        <v>1052539.90766</v>
      </c>
      <c r="F191" s="63"/>
      <c r="G191" s="15">
        <f t="shared" si="8"/>
        <v>1052539.90766</v>
      </c>
      <c r="H191" s="63"/>
      <c r="I191" s="15">
        <f t="shared" si="9"/>
        <v>0</v>
      </c>
      <c r="J191" s="63"/>
      <c r="K191" s="15">
        <v>1052539.90766</v>
      </c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</row>
    <row r="192" spans="2:31" ht="16" customHeight="1" x14ac:dyDescent="0.35">
      <c r="B192" s="14" t="s">
        <v>702</v>
      </c>
      <c r="C192" s="14" t="s">
        <v>1441</v>
      </c>
      <c r="D192" s="61"/>
      <c r="E192" s="30">
        <v>36239.577120000002</v>
      </c>
      <c r="F192" s="63"/>
      <c r="G192" s="15">
        <f t="shared" si="8"/>
        <v>36239.577120000002</v>
      </c>
      <c r="H192" s="63"/>
      <c r="I192" s="15">
        <f t="shared" si="9"/>
        <v>0</v>
      </c>
      <c r="J192" s="63"/>
      <c r="K192" s="15">
        <v>36218.242279999999</v>
      </c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>
        <v>21.33484</v>
      </c>
    </row>
    <row r="193" spans="2:31" ht="16" customHeight="1" x14ac:dyDescent="0.35">
      <c r="B193" s="14" t="s">
        <v>704</v>
      </c>
      <c r="C193" s="14" t="s">
        <v>705</v>
      </c>
      <c r="D193" s="61"/>
      <c r="E193" s="30"/>
      <c r="F193" s="63"/>
      <c r="G193" s="15">
        <f t="shared" si="8"/>
        <v>0</v>
      </c>
      <c r="H193" s="63"/>
      <c r="I193" s="15">
        <f t="shared" si="9"/>
        <v>0</v>
      </c>
      <c r="J193" s="63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</row>
    <row r="194" spans="2:31" ht="16" customHeight="1" x14ac:dyDescent="0.35">
      <c r="B194" s="14" t="s">
        <v>706</v>
      </c>
      <c r="C194" s="14" t="s">
        <v>1442</v>
      </c>
      <c r="D194" s="61"/>
      <c r="E194" s="30"/>
      <c r="F194" s="63"/>
      <c r="G194" s="15">
        <f t="shared" si="8"/>
        <v>0</v>
      </c>
      <c r="H194" s="63"/>
      <c r="I194" s="15">
        <f t="shared" si="9"/>
        <v>0</v>
      </c>
      <c r="J194" s="63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</row>
    <row r="195" spans="2:31" ht="16" customHeight="1" x14ac:dyDescent="0.35">
      <c r="B195" s="14" t="s">
        <v>708</v>
      </c>
      <c r="C195" s="14" t="s">
        <v>709</v>
      </c>
      <c r="D195" s="61"/>
      <c r="E195" s="30"/>
      <c r="F195" s="63"/>
      <c r="G195" s="15">
        <f t="shared" si="8"/>
        <v>0</v>
      </c>
      <c r="H195" s="63"/>
      <c r="I195" s="15">
        <f t="shared" si="9"/>
        <v>0</v>
      </c>
      <c r="J195" s="63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</row>
    <row r="196" spans="2:31" ht="16" customHeight="1" x14ac:dyDescent="0.35">
      <c r="B196" s="14" t="s">
        <v>710</v>
      </c>
      <c r="C196" s="14" t="s">
        <v>711</v>
      </c>
      <c r="D196" s="61"/>
      <c r="E196" s="30"/>
      <c r="F196" s="63"/>
      <c r="G196" s="15">
        <f t="shared" si="8"/>
        <v>0</v>
      </c>
      <c r="H196" s="63"/>
      <c r="I196" s="15">
        <f t="shared" si="9"/>
        <v>0</v>
      </c>
      <c r="J196" s="63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</row>
    <row r="197" spans="2:31" ht="16" customHeight="1" x14ac:dyDescent="0.35">
      <c r="B197" s="14" t="s">
        <v>712</v>
      </c>
      <c r="C197" s="14" t="s">
        <v>713</v>
      </c>
      <c r="D197" s="61"/>
      <c r="E197" s="30"/>
      <c r="F197" s="63"/>
      <c r="G197" s="15">
        <f t="shared" si="8"/>
        <v>0</v>
      </c>
      <c r="H197" s="63"/>
      <c r="I197" s="15">
        <f t="shared" si="9"/>
        <v>0</v>
      </c>
      <c r="J197" s="63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</row>
    <row r="198" spans="2:31" ht="16" customHeight="1" x14ac:dyDescent="0.35">
      <c r="B198" s="14" t="s">
        <v>714</v>
      </c>
      <c r="C198" s="14" t="s">
        <v>1681</v>
      </c>
      <c r="D198" s="61"/>
      <c r="E198" s="30">
        <v>0</v>
      </c>
      <c r="F198" s="63"/>
      <c r="G198" s="15">
        <f t="shared" si="8"/>
        <v>0</v>
      </c>
      <c r="H198" s="63"/>
      <c r="I198" s="15">
        <f t="shared" si="9"/>
        <v>0</v>
      </c>
      <c r="J198" s="63"/>
      <c r="K198" s="15">
        <v>0</v>
      </c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</row>
    <row r="199" spans="2:31" ht="16" customHeight="1" x14ac:dyDescent="0.35">
      <c r="B199" s="14" t="s">
        <v>716</v>
      </c>
      <c r="C199" s="14" t="s">
        <v>1444</v>
      </c>
      <c r="D199" s="61"/>
      <c r="E199" s="30"/>
      <c r="F199" s="63"/>
      <c r="G199" s="15">
        <f t="shared" si="8"/>
        <v>0</v>
      </c>
      <c r="H199" s="63"/>
      <c r="I199" s="15">
        <f t="shared" si="9"/>
        <v>0</v>
      </c>
      <c r="J199" s="63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</row>
    <row r="200" spans="2:31" ht="16" customHeight="1" x14ac:dyDescent="0.35">
      <c r="B200" s="14" t="s">
        <v>718</v>
      </c>
      <c r="C200" s="14" t="s">
        <v>1445</v>
      </c>
      <c r="D200" s="61"/>
      <c r="E200" s="30"/>
      <c r="F200" s="63"/>
      <c r="G200" s="15">
        <f t="shared" si="8"/>
        <v>0</v>
      </c>
      <c r="H200" s="63"/>
      <c r="I200" s="15">
        <f t="shared" si="9"/>
        <v>0</v>
      </c>
      <c r="J200" s="63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</row>
    <row r="201" spans="2:31" ht="16" customHeight="1" x14ac:dyDescent="0.35">
      <c r="B201" s="14" t="s">
        <v>720</v>
      </c>
      <c r="C201" s="14" t="s">
        <v>721</v>
      </c>
      <c r="D201" s="61"/>
      <c r="E201" s="30">
        <v>1634.6095299999999</v>
      </c>
      <c r="F201" s="63"/>
      <c r="G201" s="15">
        <f t="shared" si="8"/>
        <v>1634.6095299999999</v>
      </c>
      <c r="H201" s="63"/>
      <c r="I201" s="15">
        <f t="shared" si="9"/>
        <v>0</v>
      </c>
      <c r="J201" s="63"/>
      <c r="K201" s="15">
        <v>1634.6095299999999</v>
      </c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>
        <v>0</v>
      </c>
      <c r="AC201" s="15">
        <v>0</v>
      </c>
      <c r="AD201" s="15"/>
      <c r="AE201" s="15"/>
    </row>
    <row r="202" spans="2:31" ht="16" customHeight="1" x14ac:dyDescent="0.35">
      <c r="B202" s="14" t="s">
        <v>722</v>
      </c>
      <c r="C202" s="14" t="s">
        <v>723</v>
      </c>
      <c r="D202" s="61"/>
      <c r="E202" s="30">
        <v>-382.74698000000001</v>
      </c>
      <c r="F202" s="63"/>
      <c r="G202" s="15">
        <f t="shared" si="8"/>
        <v>-382.74698000000001</v>
      </c>
      <c r="H202" s="63"/>
      <c r="I202" s="15">
        <f t="shared" si="9"/>
        <v>0</v>
      </c>
      <c r="J202" s="63"/>
      <c r="K202" s="15">
        <v>-293.22998000000001</v>
      </c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>
        <v>-89.516999999999996</v>
      </c>
      <c r="AC202" s="15">
        <v>0</v>
      </c>
      <c r="AD202" s="15"/>
      <c r="AE202" s="15"/>
    </row>
    <row r="203" spans="2:31" ht="16" customHeight="1" x14ac:dyDescent="0.35">
      <c r="B203" s="14" t="s">
        <v>724</v>
      </c>
      <c r="C203" s="14" t="s">
        <v>1446</v>
      </c>
      <c r="D203" s="61"/>
      <c r="E203" s="30">
        <v>33053.66461</v>
      </c>
      <c r="F203" s="63"/>
      <c r="G203" s="15">
        <f t="shared" si="8"/>
        <v>33053.66461</v>
      </c>
      <c r="H203" s="63"/>
      <c r="I203" s="15">
        <f t="shared" si="9"/>
        <v>0</v>
      </c>
      <c r="J203" s="63"/>
      <c r="K203" s="15">
        <v>33460.998610000002</v>
      </c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>
        <v>-407.334</v>
      </c>
      <c r="AD203" s="15"/>
      <c r="AE203" s="15"/>
    </row>
    <row r="204" spans="2:31" ht="16" customHeight="1" x14ac:dyDescent="0.35">
      <c r="B204" s="14" t="s">
        <v>726</v>
      </c>
      <c r="C204" s="14" t="s">
        <v>727</v>
      </c>
      <c r="D204" s="61"/>
      <c r="E204" s="30">
        <v>6.165</v>
      </c>
      <c r="F204" s="63"/>
      <c r="G204" s="15">
        <f t="shared" si="8"/>
        <v>6.165</v>
      </c>
      <c r="H204" s="63"/>
      <c r="I204" s="15">
        <f t="shared" si="9"/>
        <v>0</v>
      </c>
      <c r="J204" s="63"/>
      <c r="K204" s="15">
        <v>6.4989999999999997</v>
      </c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>
        <v>-0.33400000000000002</v>
      </c>
      <c r="AD204" s="15"/>
      <c r="AE204" s="15"/>
    </row>
    <row r="205" spans="2:31" ht="16" customHeight="1" x14ac:dyDescent="0.35">
      <c r="B205" s="14" t="s">
        <v>728</v>
      </c>
      <c r="C205" s="14" t="s">
        <v>1447</v>
      </c>
      <c r="D205" s="61"/>
      <c r="E205" s="30"/>
      <c r="F205" s="63"/>
      <c r="G205" s="15">
        <f t="shared" si="8"/>
        <v>0</v>
      </c>
      <c r="H205" s="63"/>
      <c r="I205" s="15">
        <f t="shared" si="9"/>
        <v>0</v>
      </c>
      <c r="J205" s="63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</row>
    <row r="206" spans="2:31" ht="16" customHeight="1" x14ac:dyDescent="0.35">
      <c r="B206" s="14" t="s">
        <v>730</v>
      </c>
      <c r="C206" s="14" t="s">
        <v>1448</v>
      </c>
      <c r="D206" s="61"/>
      <c r="E206" s="30">
        <v>-8841.5616200000004</v>
      </c>
      <c r="F206" s="63"/>
      <c r="G206" s="15">
        <f t="shared" si="8"/>
        <v>-8841.5616200000004</v>
      </c>
      <c r="H206" s="63"/>
      <c r="I206" s="15">
        <f t="shared" si="9"/>
        <v>0</v>
      </c>
      <c r="J206" s="63"/>
      <c r="K206" s="15">
        <v>-8158.7366199999997</v>
      </c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>
        <v>-682.82500000000005</v>
      </c>
      <c r="AC206" s="15"/>
      <c r="AD206" s="15"/>
      <c r="AE206" s="15"/>
    </row>
    <row r="207" spans="2:31" ht="16" customHeight="1" x14ac:dyDescent="0.35">
      <c r="B207" s="14" t="s">
        <v>732</v>
      </c>
      <c r="C207" s="14" t="s">
        <v>1449</v>
      </c>
      <c r="D207" s="61"/>
      <c r="E207" s="30">
        <v>-243213.44787</v>
      </c>
      <c r="F207" s="63"/>
      <c r="G207" s="15">
        <f t="shared" si="8"/>
        <v>-243213.44787</v>
      </c>
      <c r="H207" s="63"/>
      <c r="I207" s="15">
        <f t="shared" si="9"/>
        <v>0</v>
      </c>
      <c r="J207" s="63"/>
      <c r="K207" s="15">
        <v>-243213.44787</v>
      </c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</row>
    <row r="208" spans="2:31" ht="16" customHeight="1" x14ac:dyDescent="0.35">
      <c r="B208" s="14" t="s">
        <v>734</v>
      </c>
      <c r="C208" s="14" t="s">
        <v>1450</v>
      </c>
      <c r="D208" s="61"/>
      <c r="E208" s="30"/>
      <c r="F208" s="63"/>
      <c r="G208" s="15">
        <f t="shared" si="8"/>
        <v>0</v>
      </c>
      <c r="H208" s="63"/>
      <c r="I208" s="15">
        <f t="shared" si="9"/>
        <v>0</v>
      </c>
      <c r="J208" s="63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</row>
    <row r="209" spans="2:31" ht="16" customHeight="1" x14ac:dyDescent="0.35">
      <c r="B209" s="14" t="s">
        <v>736</v>
      </c>
      <c r="C209" s="14" t="s">
        <v>1451</v>
      </c>
      <c r="D209" s="61"/>
      <c r="E209" s="30"/>
      <c r="F209" s="63"/>
      <c r="G209" s="15">
        <f t="shared" si="8"/>
        <v>0</v>
      </c>
      <c r="H209" s="63"/>
      <c r="I209" s="15">
        <f t="shared" si="9"/>
        <v>0</v>
      </c>
      <c r="J209" s="63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</row>
    <row r="210" spans="2:31" ht="16" customHeight="1" x14ac:dyDescent="0.35">
      <c r="B210" s="14" t="s">
        <v>1452</v>
      </c>
      <c r="C210" s="14" t="s">
        <v>1453</v>
      </c>
      <c r="D210" s="61"/>
      <c r="E210" s="30"/>
      <c r="F210" s="63"/>
      <c r="G210" s="15">
        <f t="shared" si="8"/>
        <v>0</v>
      </c>
      <c r="H210" s="63"/>
      <c r="I210" s="15">
        <f t="shared" si="9"/>
        <v>0</v>
      </c>
      <c r="J210" s="63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</row>
    <row r="211" spans="2:31" ht="16" customHeight="1" x14ac:dyDescent="0.35">
      <c r="B211" s="14" t="s">
        <v>1454</v>
      </c>
      <c r="C211" s="14" t="s">
        <v>1455</v>
      </c>
      <c r="D211" s="61"/>
      <c r="E211" s="30"/>
      <c r="F211" s="63"/>
      <c r="G211" s="15">
        <f t="shared" si="8"/>
        <v>0</v>
      </c>
      <c r="H211" s="63"/>
      <c r="I211" s="15">
        <f t="shared" si="9"/>
        <v>0</v>
      </c>
      <c r="J211" s="63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</row>
    <row r="212" spans="2:31" ht="16" customHeight="1" x14ac:dyDescent="0.35">
      <c r="B212" s="14" t="s">
        <v>1456</v>
      </c>
      <c r="C212" s="14" t="s">
        <v>1457</v>
      </c>
      <c r="D212" s="61"/>
      <c r="E212" s="30"/>
      <c r="F212" s="63"/>
      <c r="G212" s="15">
        <f t="shared" si="8"/>
        <v>0</v>
      </c>
      <c r="H212" s="63"/>
      <c r="I212" s="15">
        <f t="shared" si="9"/>
        <v>0</v>
      </c>
      <c r="J212" s="63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</row>
    <row r="213" spans="2:31" ht="16" customHeight="1" x14ac:dyDescent="0.35">
      <c r="B213" s="14" t="s">
        <v>1458</v>
      </c>
      <c r="C213" s="14" t="s">
        <v>1459</v>
      </c>
      <c r="D213" s="61"/>
      <c r="E213" s="30"/>
      <c r="F213" s="63"/>
      <c r="G213" s="15">
        <f t="shared" si="8"/>
        <v>0</v>
      </c>
      <c r="H213" s="63"/>
      <c r="I213" s="15">
        <f t="shared" si="9"/>
        <v>0</v>
      </c>
      <c r="J213" s="63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</row>
    <row r="214" spans="2:31" ht="16" customHeight="1" x14ac:dyDescent="0.35">
      <c r="B214" s="14" t="s">
        <v>1460</v>
      </c>
      <c r="C214" s="14" t="s">
        <v>1461</v>
      </c>
      <c r="D214" s="61"/>
      <c r="E214" s="30"/>
      <c r="F214" s="63"/>
      <c r="G214" s="15">
        <f t="shared" si="8"/>
        <v>0</v>
      </c>
      <c r="H214" s="63"/>
      <c r="I214" s="15">
        <f t="shared" si="9"/>
        <v>0</v>
      </c>
      <c r="J214" s="63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</row>
    <row r="215" spans="2:31" ht="16" customHeight="1" x14ac:dyDescent="0.35">
      <c r="B215" s="14" t="s">
        <v>1462</v>
      </c>
      <c r="C215" s="14" t="s">
        <v>1463</v>
      </c>
      <c r="D215" s="61"/>
      <c r="E215" s="30"/>
      <c r="F215" s="63"/>
      <c r="G215" s="15">
        <f t="shared" si="8"/>
        <v>0</v>
      </c>
      <c r="H215" s="63"/>
      <c r="I215" s="15">
        <f t="shared" si="9"/>
        <v>0</v>
      </c>
      <c r="J215" s="63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</row>
    <row r="216" spans="2:31" ht="16" customHeight="1" x14ac:dyDescent="0.35">
      <c r="B216" s="14" t="s">
        <v>1464</v>
      </c>
      <c r="C216" s="14" t="s">
        <v>1465</v>
      </c>
      <c r="D216" s="61"/>
      <c r="E216" s="30"/>
      <c r="F216" s="63"/>
      <c r="G216" s="15">
        <f t="shared" si="8"/>
        <v>0</v>
      </c>
      <c r="H216" s="63"/>
      <c r="I216" s="15">
        <f t="shared" si="9"/>
        <v>0</v>
      </c>
      <c r="J216" s="63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</row>
    <row r="217" spans="2:31" ht="16" customHeight="1" x14ac:dyDescent="0.35">
      <c r="B217" s="14" t="s">
        <v>1466</v>
      </c>
      <c r="C217" s="14" t="s">
        <v>1467</v>
      </c>
      <c r="D217" s="61"/>
      <c r="E217" s="30"/>
      <c r="F217" s="63"/>
      <c r="G217" s="15">
        <f t="shared" si="8"/>
        <v>0</v>
      </c>
      <c r="H217" s="63"/>
      <c r="I217" s="15">
        <f t="shared" si="9"/>
        <v>0</v>
      </c>
      <c r="J217" s="63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</row>
    <row r="218" spans="2:31" ht="16" customHeight="1" x14ac:dyDescent="0.35">
      <c r="B218" s="16" t="s">
        <v>1682</v>
      </c>
      <c r="C218" s="16"/>
      <c r="D218" s="64"/>
      <c r="E218" s="31">
        <f>SUBTOTAL(109, E123:E217)</f>
        <v>8880870.0977899991</v>
      </c>
      <c r="F218" s="65"/>
      <c r="G218" s="17">
        <f>SUBTOTAL(109, G123:G217)</f>
        <v>8880870.0967899971</v>
      </c>
      <c r="H218" s="65"/>
      <c r="I218" s="17">
        <f>SUBTOTAL(109, I123:I217)</f>
        <v>1.0000001571714989E-3</v>
      </c>
      <c r="J218" s="65"/>
      <c r="K218" s="17">
        <f t="shared" ref="K218:AE218" si="10">SUBTOTAL(109, K123:K217)</f>
        <v>8540885.3490200005</v>
      </c>
      <c r="L218" s="17">
        <f t="shared" si="10"/>
        <v>0</v>
      </c>
      <c r="M218" s="17">
        <f t="shared" si="10"/>
        <v>0</v>
      </c>
      <c r="N218" s="17">
        <f t="shared" si="10"/>
        <v>0</v>
      </c>
      <c r="O218" s="17">
        <f t="shared" si="10"/>
        <v>168361.74643</v>
      </c>
      <c r="P218" s="17">
        <f t="shared" si="10"/>
        <v>142733.38203000001</v>
      </c>
      <c r="Q218" s="17">
        <f t="shared" si="10"/>
        <v>34237.666069999999</v>
      </c>
      <c r="R218" s="17">
        <f t="shared" si="10"/>
        <v>13034.401119999999</v>
      </c>
      <c r="S218" s="17">
        <f t="shared" si="10"/>
        <v>0</v>
      </c>
      <c r="T218" s="17">
        <f t="shared" si="10"/>
        <v>0</v>
      </c>
      <c r="U218" s="17">
        <f t="shared" si="10"/>
        <v>5422.0422200000012</v>
      </c>
      <c r="V218" s="17">
        <f t="shared" si="10"/>
        <v>-11212.437239999999</v>
      </c>
      <c r="W218" s="17">
        <f t="shared" si="10"/>
        <v>-12865.203529999999</v>
      </c>
      <c r="X218" s="17">
        <f t="shared" si="10"/>
        <v>3127.91372</v>
      </c>
      <c r="Y218" s="17">
        <f t="shared" si="10"/>
        <v>0</v>
      </c>
      <c r="Z218" s="17">
        <f t="shared" si="10"/>
        <v>0</v>
      </c>
      <c r="AA218" s="17">
        <f t="shared" si="10"/>
        <v>-1151.3244300000001</v>
      </c>
      <c r="AB218" s="17">
        <f t="shared" si="10"/>
        <v>-1323.11331</v>
      </c>
      <c r="AC218" s="17">
        <f t="shared" si="10"/>
        <v>-407.66800000000001</v>
      </c>
      <c r="AD218" s="17">
        <f t="shared" si="10"/>
        <v>-0.96243000000000001</v>
      </c>
      <c r="AE218" s="17">
        <f t="shared" si="10"/>
        <v>28.305120000000002</v>
      </c>
    </row>
    <row r="219" spans="2:31" ht="16" customHeight="1" x14ac:dyDescent="0.35">
      <c r="B219" s="11"/>
      <c r="C219" s="11"/>
      <c r="D219" s="29"/>
      <c r="E219" s="29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</row>
    <row r="220" spans="2:31" ht="16" customHeight="1" x14ac:dyDescent="0.35">
      <c r="B220" s="99" t="s">
        <v>751</v>
      </c>
      <c r="C220" s="99"/>
      <c r="D220" s="100"/>
      <c r="E220" s="101">
        <f>E121-E218</f>
        <v>-2.4730000644922256E-2</v>
      </c>
      <c r="F220" s="102"/>
      <c r="G220" s="103">
        <f>G121-G218</f>
        <v>-2.3739997297525406E-2</v>
      </c>
      <c r="H220" s="102"/>
      <c r="I220" s="103">
        <f>I121-I218</f>
        <v>-9.9000012468231091E-4</v>
      </c>
      <c r="J220" s="102"/>
      <c r="K220" s="103">
        <f t="shared" ref="K220:AE220" si="11">K121-K218</f>
        <v>-2.728000096976757E-2</v>
      </c>
      <c r="L220" s="103">
        <f t="shared" si="11"/>
        <v>0</v>
      </c>
      <c r="M220" s="103">
        <f t="shared" si="11"/>
        <v>0</v>
      </c>
      <c r="N220" s="103">
        <f t="shared" si="11"/>
        <v>0</v>
      </c>
      <c r="O220" s="103">
        <f t="shared" si="11"/>
        <v>-168361.74643</v>
      </c>
      <c r="P220" s="103">
        <f t="shared" si="11"/>
        <v>169859.31100999998</v>
      </c>
      <c r="Q220" s="103">
        <f t="shared" si="11"/>
        <v>48411.537290000015</v>
      </c>
      <c r="R220" s="103">
        <f t="shared" si="11"/>
        <v>0</v>
      </c>
      <c r="S220" s="103">
        <f t="shared" si="11"/>
        <v>0</v>
      </c>
      <c r="T220" s="103">
        <f t="shared" si="11"/>
        <v>0</v>
      </c>
      <c r="U220" s="103">
        <f t="shared" si="11"/>
        <v>-67718.749319999988</v>
      </c>
      <c r="V220" s="103">
        <f t="shared" si="11"/>
        <v>6244.358549999999</v>
      </c>
      <c r="W220" s="103">
        <f t="shared" si="11"/>
        <v>12865.203529999999</v>
      </c>
      <c r="X220" s="103">
        <f t="shared" si="11"/>
        <v>-3127.91372</v>
      </c>
      <c r="Y220" s="103">
        <f t="shared" si="11"/>
        <v>141.24077</v>
      </c>
      <c r="Z220" s="103">
        <f t="shared" si="11"/>
        <v>0</v>
      </c>
      <c r="AA220" s="103">
        <f t="shared" si="11"/>
        <v>1.0000005659094313E-5</v>
      </c>
      <c r="AB220" s="103">
        <f t="shared" si="11"/>
        <v>1279.0938799999999</v>
      </c>
      <c r="AC220" s="103">
        <f t="shared" si="11"/>
        <v>407.66800000000001</v>
      </c>
      <c r="AD220" s="103">
        <f t="shared" si="11"/>
        <v>0</v>
      </c>
      <c r="AE220" s="103">
        <f t="shared" si="11"/>
        <v>-2.9999999995311555E-5</v>
      </c>
    </row>
    <row r="221" spans="2:31" ht="16" customHeight="1" x14ac:dyDescent="0.45">
      <c r="B221" s="9"/>
      <c r="C221" s="9"/>
      <c r="D221" s="9"/>
      <c r="E221" s="9"/>
      <c r="F221" s="13"/>
      <c r="G221" s="13"/>
      <c r="H221" s="13"/>
      <c r="I221" s="13"/>
      <c r="J221" s="13"/>
      <c r="K221" s="13"/>
      <c r="L221" s="98"/>
      <c r="M221" s="98"/>
      <c r="N221" s="98"/>
      <c r="O221" s="98"/>
      <c r="P221" s="98"/>
      <c r="Q221" s="98"/>
      <c r="R221" s="98"/>
      <c r="S221" s="98"/>
    </row>
    <row r="222" spans="2:31" ht="16" customHeight="1" x14ac:dyDescent="0.3">
      <c r="B222" s="98"/>
      <c r="C222" s="97"/>
      <c r="D222" s="97"/>
      <c r="E222" s="97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</row>
    <row r="223" spans="2:31" ht="16" customHeight="1" x14ac:dyDescent="0.3">
      <c r="B223" s="98"/>
      <c r="C223" s="97"/>
      <c r="D223" s="97"/>
      <c r="E223" s="97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</row>
    <row r="224" spans="2:31" ht="16" customHeight="1" x14ac:dyDescent="0.3">
      <c r="B224" s="98"/>
      <c r="C224" s="97"/>
      <c r="D224" s="97"/>
      <c r="E224" s="97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</row>
    <row r="225" spans="2:19" ht="16" customHeight="1" x14ac:dyDescent="0.3">
      <c r="B225" s="98"/>
      <c r="C225" s="97"/>
      <c r="D225" s="97"/>
      <c r="E225" s="97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</row>
    <row r="226" spans="2:19" ht="16" customHeight="1" x14ac:dyDescent="0.3">
      <c r="B226" s="98"/>
      <c r="C226" s="97"/>
      <c r="D226" s="97"/>
      <c r="E226" s="97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</row>
    <row r="227" spans="2:19" ht="16" customHeight="1" x14ac:dyDescent="0.3">
      <c r="B227" s="98"/>
      <c r="C227" s="97"/>
      <c r="D227" s="97"/>
      <c r="E227" s="97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</row>
    <row r="228" spans="2:19" ht="16" customHeight="1" x14ac:dyDescent="0.3">
      <c r="B228" s="98"/>
      <c r="C228" s="97"/>
      <c r="D228" s="97"/>
      <c r="E228" s="97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</row>
    <row r="229" spans="2:19" ht="16" customHeight="1" x14ac:dyDescent="0.3">
      <c r="B229" s="98"/>
      <c r="C229" s="97"/>
      <c r="D229" s="97"/>
      <c r="E229" s="97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</row>
    <row r="230" spans="2:19" ht="16" customHeight="1" x14ac:dyDescent="0.3">
      <c r="B230" s="98"/>
      <c r="C230" s="97"/>
      <c r="D230" s="97"/>
      <c r="E230" s="97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</row>
    <row r="231" spans="2:19" ht="16" customHeight="1" x14ac:dyDescent="0.3">
      <c r="B231" s="98"/>
      <c r="C231" s="97"/>
      <c r="D231" s="97"/>
      <c r="E231" s="97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</row>
    <row r="232" spans="2:19" ht="16" customHeight="1" x14ac:dyDescent="0.3">
      <c r="B232" s="98"/>
      <c r="C232" s="97"/>
      <c r="D232" s="97"/>
      <c r="E232" s="97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</row>
    <row r="233" spans="2:19" ht="16" customHeight="1" x14ac:dyDescent="0.3">
      <c r="B233" s="98"/>
      <c r="C233" s="97"/>
      <c r="D233" s="97"/>
      <c r="E233" s="97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</row>
    <row r="234" spans="2:19" ht="16" customHeight="1" x14ac:dyDescent="0.3">
      <c r="B234" s="98"/>
      <c r="C234" s="97"/>
      <c r="D234" s="97"/>
      <c r="E234" s="97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</row>
    <row r="235" spans="2:19" ht="16" customHeight="1" x14ac:dyDescent="0.3">
      <c r="B235" s="98"/>
      <c r="C235" s="97"/>
      <c r="D235" s="97"/>
      <c r="E235" s="97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</row>
    <row r="236" spans="2:19" ht="16" customHeight="1" x14ac:dyDescent="0.3">
      <c r="B236" s="98"/>
      <c r="C236" s="97"/>
      <c r="D236" s="97"/>
      <c r="E236" s="97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</row>
    <row r="237" spans="2:19" ht="16" customHeight="1" x14ac:dyDescent="0.3">
      <c r="B237" s="98"/>
      <c r="C237" s="97"/>
      <c r="D237" s="97"/>
      <c r="E237" s="97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</row>
    <row r="238" spans="2:19" ht="16" customHeight="1" x14ac:dyDescent="0.3">
      <c r="B238" s="98"/>
      <c r="C238" s="97"/>
      <c r="D238" s="97"/>
      <c r="E238" s="97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</row>
    <row r="239" spans="2:19" ht="16" customHeight="1" x14ac:dyDescent="0.3">
      <c r="B239" s="98"/>
      <c r="C239" s="97"/>
      <c r="D239" s="97"/>
      <c r="E239" s="97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</row>
    <row r="240" spans="2:19" ht="16" customHeight="1" x14ac:dyDescent="0.3">
      <c r="B240" s="98"/>
      <c r="C240" s="97"/>
      <c r="D240" s="97"/>
      <c r="E240" s="97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</row>
    <row r="241" spans="2:19" ht="16" customHeight="1" x14ac:dyDescent="0.3">
      <c r="B241" s="98"/>
      <c r="C241" s="97"/>
      <c r="D241" s="97"/>
      <c r="E241" s="97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</row>
    <row r="242" spans="2:19" ht="16" customHeight="1" x14ac:dyDescent="0.3">
      <c r="B242" s="98"/>
      <c r="C242" s="97"/>
      <c r="D242" s="97"/>
      <c r="E242" s="97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</row>
    <row r="243" spans="2:19" ht="16" customHeight="1" x14ac:dyDescent="0.3">
      <c r="B243" s="98"/>
      <c r="C243" s="97"/>
      <c r="D243" s="97"/>
      <c r="E243" s="97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</row>
    <row r="244" spans="2:19" ht="16" customHeight="1" x14ac:dyDescent="0.3">
      <c r="B244" s="98"/>
      <c r="C244" s="97"/>
      <c r="D244" s="97"/>
      <c r="E244" s="97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</row>
    <row r="245" spans="2:19" ht="16" customHeight="1" x14ac:dyDescent="0.3">
      <c r="B245" s="98"/>
      <c r="C245" s="97"/>
      <c r="D245" s="97"/>
      <c r="E245" s="97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</row>
    <row r="246" spans="2:19" ht="16" customHeight="1" x14ac:dyDescent="0.3">
      <c r="B246" s="98"/>
      <c r="C246" s="97"/>
      <c r="D246" s="97"/>
      <c r="E246" s="97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</row>
    <row r="247" spans="2:19" ht="16" customHeight="1" x14ac:dyDescent="0.3">
      <c r="B247" s="98"/>
      <c r="C247" s="97"/>
      <c r="D247" s="97"/>
      <c r="E247" s="97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</row>
    <row r="248" spans="2:19" ht="16" customHeight="1" x14ac:dyDescent="0.3">
      <c r="B248" s="98"/>
      <c r="C248" s="97"/>
      <c r="D248" s="97"/>
      <c r="E248" s="97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</row>
    <row r="249" spans="2:19" ht="16" customHeight="1" x14ac:dyDescent="0.3">
      <c r="B249" s="98"/>
      <c r="C249" s="97"/>
      <c r="D249" s="97"/>
      <c r="E249" s="97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</row>
    <row r="250" spans="2:19" ht="16" customHeight="1" x14ac:dyDescent="0.3">
      <c r="B250" s="98"/>
      <c r="C250" s="97"/>
      <c r="D250" s="97"/>
      <c r="E250" s="97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</row>
    <row r="251" spans="2:19" ht="16" customHeight="1" x14ac:dyDescent="0.3">
      <c r="B251" s="98"/>
      <c r="C251" s="97"/>
      <c r="D251" s="97"/>
      <c r="E251" s="97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</row>
    <row r="252" spans="2:19" ht="16" customHeight="1" x14ac:dyDescent="0.3">
      <c r="B252" s="98"/>
      <c r="C252" s="97"/>
      <c r="D252" s="97"/>
      <c r="E252" s="97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</row>
    <row r="253" spans="2:19" ht="16" customHeight="1" x14ac:dyDescent="0.3">
      <c r="B253" s="98"/>
      <c r="C253" s="97"/>
      <c r="D253" s="97"/>
      <c r="E253" s="97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</row>
    <row r="254" spans="2:19" ht="16" customHeight="1" x14ac:dyDescent="0.3">
      <c r="B254" s="98"/>
      <c r="C254" s="97"/>
      <c r="D254" s="97"/>
      <c r="E254" s="97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</row>
    <row r="255" spans="2:19" ht="16" customHeight="1" x14ac:dyDescent="0.3">
      <c r="B255" s="98"/>
      <c r="C255" s="97"/>
      <c r="D255" s="97"/>
      <c r="E255" s="97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</row>
    <row r="256" spans="2:19" ht="16" customHeight="1" x14ac:dyDescent="0.3">
      <c r="B256" s="98"/>
      <c r="C256" s="97"/>
      <c r="D256" s="97"/>
      <c r="E256" s="97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</row>
    <row r="257" spans="2:19" ht="16" customHeight="1" x14ac:dyDescent="0.3">
      <c r="B257" s="98"/>
      <c r="C257" s="97"/>
      <c r="D257" s="97"/>
      <c r="E257" s="97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</row>
    <row r="258" spans="2:19" ht="16" customHeight="1" x14ac:dyDescent="0.3">
      <c r="B258" s="98"/>
      <c r="C258" s="97"/>
      <c r="D258" s="97"/>
      <c r="E258" s="97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</row>
    <row r="259" spans="2:19" ht="16" customHeight="1" x14ac:dyDescent="0.3">
      <c r="B259" s="98"/>
      <c r="C259" s="97"/>
      <c r="D259" s="97"/>
      <c r="E259" s="97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</row>
    <row r="260" spans="2:19" ht="16" customHeight="1" x14ac:dyDescent="0.3">
      <c r="B260" s="98"/>
      <c r="C260" s="97"/>
      <c r="D260" s="97"/>
      <c r="E260" s="97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</row>
    <row r="261" spans="2:19" ht="16" customHeight="1" x14ac:dyDescent="0.3">
      <c r="B261" s="98"/>
      <c r="C261" s="97"/>
      <c r="D261" s="97"/>
      <c r="E261" s="97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</row>
    <row r="262" spans="2:19" ht="16" customHeight="1" x14ac:dyDescent="0.3">
      <c r="B262" s="98"/>
      <c r="C262" s="97"/>
      <c r="D262" s="97"/>
      <c r="E262" s="97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</row>
    <row r="263" spans="2:19" ht="16" customHeight="1" x14ac:dyDescent="0.3">
      <c r="B263" s="98"/>
      <c r="C263" s="97"/>
      <c r="D263" s="97"/>
      <c r="E263" s="97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</row>
    <row r="264" spans="2:19" ht="16" customHeight="1" x14ac:dyDescent="0.3">
      <c r="B264" s="98"/>
      <c r="C264" s="97"/>
      <c r="D264" s="97"/>
      <c r="E264" s="97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</row>
    <row r="265" spans="2:19" ht="16" customHeight="1" x14ac:dyDescent="0.3">
      <c r="B265" s="98"/>
      <c r="C265" s="97"/>
      <c r="D265" s="97"/>
      <c r="E265" s="97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</row>
    <row r="266" spans="2:19" ht="16" customHeight="1" x14ac:dyDescent="0.3">
      <c r="B266" s="98"/>
      <c r="C266" s="97"/>
      <c r="D266" s="97"/>
      <c r="E266" s="97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</row>
    <row r="267" spans="2:19" ht="16" customHeight="1" x14ac:dyDescent="0.3">
      <c r="B267" s="98"/>
      <c r="C267" s="97"/>
      <c r="D267" s="97"/>
      <c r="E267" s="97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</row>
    <row r="268" spans="2:19" ht="16" customHeight="1" x14ac:dyDescent="0.3">
      <c r="B268" s="98"/>
      <c r="C268" s="97"/>
      <c r="D268" s="97"/>
      <c r="E268" s="97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</row>
    <row r="269" spans="2:19" ht="16" customHeight="1" x14ac:dyDescent="0.3">
      <c r="B269" s="98"/>
      <c r="C269" s="97"/>
      <c r="D269" s="97"/>
      <c r="E269" s="97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</row>
    <row r="270" spans="2:19" ht="16" customHeight="1" x14ac:dyDescent="0.3">
      <c r="B270" s="98"/>
      <c r="C270" s="97"/>
      <c r="D270" s="97"/>
      <c r="E270" s="97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</row>
    <row r="271" spans="2:19" ht="16" customHeight="1" x14ac:dyDescent="0.3">
      <c r="B271" s="98"/>
      <c r="C271" s="97"/>
      <c r="D271" s="97"/>
      <c r="E271" s="97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</row>
    <row r="272" spans="2:19" ht="16" customHeight="1" x14ac:dyDescent="0.3">
      <c r="B272" s="98"/>
      <c r="C272" s="97"/>
      <c r="D272" s="97"/>
      <c r="E272" s="97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</row>
    <row r="273" spans="2:19" ht="16" customHeight="1" x14ac:dyDescent="0.3">
      <c r="B273" s="98"/>
      <c r="C273" s="97"/>
      <c r="D273" s="97"/>
      <c r="E273" s="97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</row>
    <row r="274" spans="2:19" ht="16" customHeight="1" x14ac:dyDescent="0.3">
      <c r="B274" s="98"/>
      <c r="C274" s="97"/>
      <c r="D274" s="97"/>
      <c r="E274" s="97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</row>
    <row r="275" spans="2:19" ht="16" customHeight="1" x14ac:dyDescent="0.3">
      <c r="B275" s="98"/>
      <c r="C275" s="97"/>
      <c r="D275" s="97"/>
      <c r="E275" s="97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</row>
    <row r="276" spans="2:19" ht="16" customHeight="1" x14ac:dyDescent="0.3">
      <c r="B276" s="98"/>
      <c r="C276" s="97"/>
      <c r="D276" s="97"/>
      <c r="E276" s="97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</row>
    <row r="277" spans="2:19" ht="16" customHeight="1" x14ac:dyDescent="0.3">
      <c r="B277" s="98"/>
      <c r="C277" s="97"/>
      <c r="D277" s="97"/>
      <c r="E277" s="97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</row>
    <row r="278" spans="2:19" ht="16" customHeight="1" x14ac:dyDescent="0.3">
      <c r="B278" s="98"/>
      <c r="C278" s="97"/>
      <c r="D278" s="97"/>
      <c r="E278" s="97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</row>
    <row r="279" spans="2:19" ht="16" customHeight="1" x14ac:dyDescent="0.3">
      <c r="B279" s="98"/>
      <c r="C279" s="97"/>
      <c r="D279" s="97"/>
      <c r="E279" s="97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</row>
    <row r="280" spans="2:19" ht="16" customHeight="1" x14ac:dyDescent="0.3">
      <c r="B280" s="98"/>
      <c r="C280" s="97"/>
      <c r="D280" s="97"/>
      <c r="E280" s="97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</row>
    <row r="281" spans="2:19" ht="16" customHeight="1" x14ac:dyDescent="0.3">
      <c r="B281" s="98"/>
      <c r="C281" s="97"/>
      <c r="D281" s="97"/>
      <c r="E281" s="97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</row>
    <row r="282" spans="2:19" ht="16" customHeight="1" x14ac:dyDescent="0.3">
      <c r="B282" s="98"/>
      <c r="C282" s="97"/>
      <c r="D282" s="97"/>
      <c r="E282" s="97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</row>
    <row r="283" spans="2:19" ht="16" customHeight="1" x14ac:dyDescent="0.3">
      <c r="B283" s="98"/>
      <c r="C283" s="97"/>
      <c r="D283" s="97"/>
      <c r="E283" s="97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</row>
    <row r="284" spans="2:19" ht="16" customHeight="1" x14ac:dyDescent="0.3">
      <c r="B284" s="98"/>
      <c r="C284" s="97"/>
      <c r="D284" s="97"/>
      <c r="E284" s="97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</row>
    <row r="285" spans="2:19" ht="16" customHeight="1" x14ac:dyDescent="0.3">
      <c r="B285" s="98"/>
      <c r="C285" s="97"/>
      <c r="D285" s="97"/>
      <c r="E285" s="97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</row>
    <row r="286" spans="2:19" ht="16" customHeight="1" x14ac:dyDescent="0.3">
      <c r="B286" s="98"/>
      <c r="C286" s="97"/>
      <c r="D286" s="97"/>
      <c r="E286" s="97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</row>
    <row r="287" spans="2:19" ht="16" customHeight="1" x14ac:dyDescent="0.3">
      <c r="B287" s="98"/>
      <c r="C287" s="97"/>
      <c r="D287" s="97"/>
      <c r="E287" s="97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</row>
    <row r="288" spans="2:19" ht="16" customHeight="1" x14ac:dyDescent="0.3">
      <c r="B288" s="98"/>
      <c r="C288" s="97"/>
      <c r="D288" s="97"/>
      <c r="E288" s="97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</row>
    <row r="289" spans="2:19" ht="16" customHeight="1" x14ac:dyDescent="0.3">
      <c r="B289" s="98"/>
      <c r="C289" s="97"/>
      <c r="D289" s="97"/>
      <c r="E289" s="97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</row>
    <row r="290" spans="2:19" ht="16" customHeight="1" x14ac:dyDescent="0.3">
      <c r="B290" s="98"/>
      <c r="C290" s="97"/>
      <c r="D290" s="97"/>
      <c r="E290" s="97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</row>
    <row r="291" spans="2:19" ht="16" customHeight="1" x14ac:dyDescent="0.3">
      <c r="B291" s="98"/>
      <c r="C291" s="97"/>
      <c r="D291" s="97"/>
      <c r="E291" s="97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</row>
    <row r="292" spans="2:19" ht="16" customHeight="1" x14ac:dyDescent="0.3">
      <c r="B292" s="98"/>
      <c r="C292" s="97"/>
      <c r="D292" s="97"/>
      <c r="E292" s="97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</row>
    <row r="293" spans="2:19" ht="16" customHeight="1" x14ac:dyDescent="0.3">
      <c r="B293" s="98"/>
      <c r="C293" s="97"/>
      <c r="D293" s="97"/>
      <c r="E293" s="97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</row>
    <row r="294" spans="2:19" ht="16" customHeight="1" x14ac:dyDescent="0.3">
      <c r="B294" s="98"/>
      <c r="C294" s="97"/>
      <c r="D294" s="97"/>
      <c r="E294" s="97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</row>
    <row r="295" spans="2:19" ht="16" customHeight="1" x14ac:dyDescent="0.3">
      <c r="B295" s="98"/>
      <c r="C295" s="97"/>
      <c r="D295" s="97"/>
      <c r="E295" s="97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</row>
    <row r="296" spans="2:19" ht="16" customHeight="1" x14ac:dyDescent="0.3">
      <c r="B296" s="98"/>
      <c r="C296" s="97"/>
      <c r="D296" s="97"/>
      <c r="E296" s="97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</row>
    <row r="297" spans="2:19" ht="16" customHeight="1" x14ac:dyDescent="0.3">
      <c r="B297" s="98"/>
      <c r="C297" s="97"/>
      <c r="D297" s="97"/>
      <c r="E297" s="97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</row>
    <row r="298" spans="2:19" ht="16" customHeight="1" x14ac:dyDescent="0.3">
      <c r="B298" s="98"/>
      <c r="C298" s="97"/>
      <c r="D298" s="97"/>
      <c r="E298" s="97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</row>
    <row r="299" spans="2:19" ht="16" customHeight="1" x14ac:dyDescent="0.3">
      <c r="B299" s="98"/>
      <c r="C299" s="97"/>
      <c r="D299" s="97"/>
      <c r="E299" s="97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</row>
    <row r="300" spans="2:19" ht="16" customHeight="1" x14ac:dyDescent="0.3">
      <c r="B300" s="98"/>
      <c r="C300" s="97"/>
      <c r="D300" s="97"/>
      <c r="E300" s="97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</row>
    <row r="301" spans="2:19" ht="16" customHeight="1" x14ac:dyDescent="0.3">
      <c r="B301" s="98"/>
      <c r="C301" s="97"/>
      <c r="D301" s="97"/>
      <c r="E301" s="97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</row>
    <row r="302" spans="2:19" ht="16" customHeight="1" x14ac:dyDescent="0.3">
      <c r="B302" s="98"/>
      <c r="C302" s="97"/>
      <c r="D302" s="97"/>
      <c r="E302" s="97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</row>
    <row r="303" spans="2:19" ht="16" customHeight="1" x14ac:dyDescent="0.3">
      <c r="B303" s="98"/>
      <c r="C303" s="97"/>
      <c r="D303" s="97"/>
      <c r="E303" s="97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</row>
    <row r="304" spans="2:19" ht="16" customHeight="1" x14ac:dyDescent="0.3">
      <c r="B304" s="98"/>
      <c r="C304" s="97"/>
      <c r="D304" s="97"/>
      <c r="E304" s="97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</row>
    <row r="305" spans="2:19" ht="16" customHeight="1" x14ac:dyDescent="0.3">
      <c r="B305" s="98"/>
      <c r="C305" s="97"/>
      <c r="D305" s="97"/>
      <c r="E305" s="97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</row>
    <row r="306" spans="2:19" ht="16" customHeight="1" x14ac:dyDescent="0.3">
      <c r="B306" s="98"/>
      <c r="C306" s="97"/>
      <c r="D306" s="97"/>
      <c r="E306" s="97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</row>
    <row r="307" spans="2:19" ht="16" customHeight="1" x14ac:dyDescent="0.3">
      <c r="B307" s="98"/>
      <c r="C307" s="97"/>
      <c r="D307" s="97"/>
      <c r="E307" s="97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</row>
    <row r="308" spans="2:19" ht="16" customHeight="1" x14ac:dyDescent="0.3">
      <c r="B308" s="98"/>
      <c r="C308" s="97"/>
      <c r="D308" s="97"/>
      <c r="E308" s="97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</row>
    <row r="309" spans="2:19" ht="16" customHeight="1" x14ac:dyDescent="0.3">
      <c r="B309" s="98"/>
      <c r="C309" s="97"/>
      <c r="D309" s="97"/>
      <c r="E309" s="97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</row>
    <row r="310" spans="2:19" ht="16" customHeight="1" x14ac:dyDescent="0.3">
      <c r="B310" s="98"/>
      <c r="C310" s="97"/>
      <c r="D310" s="97"/>
      <c r="E310" s="97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</row>
    <row r="311" spans="2:19" ht="16" customHeight="1" x14ac:dyDescent="0.3">
      <c r="B311" s="98"/>
      <c r="C311" s="97"/>
      <c r="D311" s="97"/>
      <c r="E311" s="97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</row>
    <row r="312" spans="2:19" ht="16" customHeight="1" x14ac:dyDescent="0.3">
      <c r="B312" s="98"/>
      <c r="C312" s="97"/>
      <c r="D312" s="97"/>
      <c r="E312" s="97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</row>
    <row r="313" spans="2:19" ht="16" customHeight="1" x14ac:dyDescent="0.3">
      <c r="B313" s="98"/>
      <c r="C313" s="97"/>
      <c r="D313" s="97"/>
      <c r="E313" s="97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</row>
    <row r="314" spans="2:19" ht="16" customHeight="1" x14ac:dyDescent="0.3">
      <c r="B314" s="98"/>
      <c r="C314" s="97"/>
      <c r="D314" s="97"/>
      <c r="E314" s="97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</row>
    <row r="315" spans="2:19" ht="16" customHeight="1" x14ac:dyDescent="0.3">
      <c r="B315" s="98"/>
      <c r="C315" s="97"/>
      <c r="D315" s="97"/>
      <c r="E315" s="97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</row>
    <row r="316" spans="2:19" ht="16" customHeight="1" x14ac:dyDescent="0.3">
      <c r="B316" s="98"/>
      <c r="C316" s="97"/>
      <c r="D316" s="97"/>
      <c r="E316" s="97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</row>
    <row r="317" spans="2:19" ht="16" customHeight="1" x14ac:dyDescent="0.3">
      <c r="B317" s="98"/>
      <c r="C317" s="97"/>
      <c r="D317" s="97"/>
      <c r="E317" s="97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</row>
    <row r="318" spans="2:19" ht="16" customHeight="1" x14ac:dyDescent="0.3">
      <c r="B318" s="98"/>
      <c r="C318" s="97"/>
      <c r="D318" s="97"/>
      <c r="E318" s="97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</row>
    <row r="319" spans="2:19" ht="16" customHeight="1" x14ac:dyDescent="0.3">
      <c r="B319" s="98"/>
      <c r="C319" s="97"/>
      <c r="D319" s="97"/>
      <c r="E319" s="97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</row>
    <row r="320" spans="2:19" ht="16" customHeight="1" x14ac:dyDescent="0.3">
      <c r="B320" s="98"/>
      <c r="C320" s="97"/>
      <c r="D320" s="97"/>
      <c r="E320" s="97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</row>
    <row r="321" spans="2:19" ht="16" customHeight="1" x14ac:dyDescent="0.3">
      <c r="B321" s="98"/>
      <c r="C321" s="97"/>
      <c r="D321" s="97"/>
      <c r="E321" s="97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</row>
    <row r="322" spans="2:19" ht="16" customHeight="1" x14ac:dyDescent="0.3">
      <c r="B322" s="98"/>
      <c r="C322" s="97"/>
      <c r="D322" s="97"/>
      <c r="E322" s="97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</row>
    <row r="323" spans="2:19" ht="16" customHeight="1" x14ac:dyDescent="0.3">
      <c r="B323" s="98"/>
      <c r="C323" s="97"/>
      <c r="D323" s="97"/>
      <c r="E323" s="97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</row>
    <row r="324" spans="2:19" ht="16" customHeight="1" x14ac:dyDescent="0.3">
      <c r="B324" s="98"/>
      <c r="C324" s="97"/>
      <c r="D324" s="97"/>
      <c r="E324" s="97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</row>
    <row r="325" spans="2:19" ht="16" customHeight="1" x14ac:dyDescent="0.3">
      <c r="B325" s="98"/>
      <c r="C325" s="97"/>
      <c r="D325" s="97"/>
      <c r="E325" s="97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</row>
    <row r="326" spans="2:19" ht="16" customHeight="1" x14ac:dyDescent="0.3">
      <c r="B326" s="98"/>
      <c r="C326" s="97"/>
      <c r="D326" s="97"/>
      <c r="E326" s="97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</row>
    <row r="327" spans="2:19" ht="16" customHeight="1" x14ac:dyDescent="0.3">
      <c r="B327" s="98"/>
      <c r="C327" s="97"/>
      <c r="D327" s="97"/>
      <c r="E327" s="97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</row>
    <row r="328" spans="2:19" ht="16" customHeight="1" x14ac:dyDescent="0.3">
      <c r="B328" s="98"/>
      <c r="C328" s="97"/>
      <c r="D328" s="97"/>
      <c r="E328" s="97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</row>
    <row r="329" spans="2:19" ht="16" customHeight="1" x14ac:dyDescent="0.3">
      <c r="B329" s="98"/>
      <c r="C329" s="97"/>
      <c r="D329" s="97"/>
      <c r="E329" s="97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</row>
    <row r="330" spans="2:19" ht="16" customHeight="1" x14ac:dyDescent="0.3">
      <c r="B330" s="98"/>
      <c r="C330" s="97"/>
      <c r="D330" s="97"/>
      <c r="E330" s="97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</row>
    <row r="331" spans="2:19" ht="16" customHeight="1" x14ac:dyDescent="0.3">
      <c r="B331" s="98"/>
      <c r="C331" s="97"/>
      <c r="D331" s="97"/>
      <c r="E331" s="97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</row>
    <row r="332" spans="2:19" ht="16" customHeight="1" x14ac:dyDescent="0.3">
      <c r="B332" s="98"/>
      <c r="C332" s="97"/>
      <c r="D332" s="97"/>
      <c r="E332" s="97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</row>
    <row r="333" spans="2:19" ht="16" customHeight="1" x14ac:dyDescent="0.3">
      <c r="B333" s="98"/>
      <c r="C333" s="97"/>
      <c r="D333" s="97"/>
      <c r="E333" s="97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</row>
    <row r="334" spans="2:19" ht="16" customHeight="1" x14ac:dyDescent="0.3">
      <c r="B334" s="98"/>
      <c r="C334" s="97"/>
      <c r="D334" s="97"/>
      <c r="E334" s="97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</row>
    <row r="335" spans="2:19" ht="16" customHeight="1" x14ac:dyDescent="0.3">
      <c r="B335" s="98"/>
      <c r="C335" s="97"/>
      <c r="D335" s="97"/>
      <c r="E335" s="97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</row>
    <row r="336" spans="2:19" ht="16" customHeight="1" x14ac:dyDescent="0.3">
      <c r="B336" s="98"/>
      <c r="C336" s="97"/>
      <c r="D336" s="97"/>
      <c r="E336" s="97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</row>
    <row r="337" spans="2:19" ht="16" customHeight="1" x14ac:dyDescent="0.3">
      <c r="B337" s="98"/>
      <c r="C337" s="97"/>
      <c r="D337" s="97"/>
      <c r="E337" s="97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</row>
    <row r="338" spans="2:19" ht="16" customHeight="1" x14ac:dyDescent="0.3">
      <c r="B338" s="98"/>
      <c r="C338" s="97"/>
      <c r="D338" s="97"/>
      <c r="E338" s="97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</row>
    <row r="339" spans="2:19" ht="16" customHeight="1" x14ac:dyDescent="0.3">
      <c r="B339" s="98"/>
      <c r="C339" s="97"/>
      <c r="D339" s="97"/>
      <c r="E339" s="97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</row>
    <row r="340" spans="2:19" ht="16" customHeight="1" x14ac:dyDescent="0.3">
      <c r="B340" s="98"/>
      <c r="C340" s="97"/>
      <c r="D340" s="97"/>
      <c r="E340" s="97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</row>
    <row r="341" spans="2:19" ht="16" customHeight="1" x14ac:dyDescent="0.3">
      <c r="B341" s="98"/>
      <c r="C341" s="97"/>
      <c r="D341" s="97"/>
      <c r="E341" s="97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</row>
    <row r="342" spans="2:19" ht="16" customHeight="1" x14ac:dyDescent="0.3">
      <c r="B342" s="98"/>
      <c r="C342" s="97"/>
      <c r="D342" s="97"/>
      <c r="E342" s="97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</row>
    <row r="343" spans="2:19" ht="16" customHeight="1" x14ac:dyDescent="0.3">
      <c r="B343" s="98"/>
      <c r="C343" s="97"/>
      <c r="D343" s="97"/>
      <c r="E343" s="97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</row>
    <row r="344" spans="2:19" ht="16" customHeight="1" x14ac:dyDescent="0.3">
      <c r="B344" s="98"/>
      <c r="C344" s="97"/>
      <c r="D344" s="97"/>
      <c r="E344" s="97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</row>
    <row r="345" spans="2:19" ht="16" customHeight="1" x14ac:dyDescent="0.3">
      <c r="B345" s="98"/>
      <c r="C345" s="97"/>
      <c r="D345" s="97"/>
      <c r="E345" s="97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</row>
    <row r="346" spans="2:19" ht="16" customHeight="1" x14ac:dyDescent="0.3">
      <c r="B346" s="98"/>
      <c r="C346" s="97"/>
      <c r="D346" s="97"/>
      <c r="E346" s="97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</row>
    <row r="347" spans="2:19" ht="16" customHeight="1" x14ac:dyDescent="0.3">
      <c r="B347" s="98"/>
      <c r="C347" s="97"/>
      <c r="D347" s="97"/>
      <c r="E347" s="97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</row>
    <row r="348" spans="2:19" ht="16" customHeight="1" x14ac:dyDescent="0.3">
      <c r="B348" s="98"/>
      <c r="C348" s="97"/>
      <c r="D348" s="97"/>
      <c r="E348" s="97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</row>
    <row r="349" spans="2:19" ht="16" customHeight="1" x14ac:dyDescent="0.3">
      <c r="B349" s="98"/>
      <c r="C349" s="97"/>
      <c r="D349" s="97"/>
      <c r="E349" s="97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</row>
    <row r="350" spans="2:19" ht="16" customHeight="1" x14ac:dyDescent="0.3">
      <c r="B350" s="98"/>
      <c r="C350" s="97"/>
      <c r="D350" s="97"/>
      <c r="E350" s="97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</row>
    <row r="351" spans="2:19" ht="16" customHeight="1" x14ac:dyDescent="0.3">
      <c r="B351" s="98"/>
      <c r="C351" s="97"/>
      <c r="D351" s="97"/>
      <c r="E351" s="97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</row>
  </sheetData>
  <mergeCells count="1">
    <mergeCell ref="B8:C8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2B176-AC49-40DD-9EB0-5B4FD506D76D}">
  <dimension ref="B3:T50"/>
  <sheetViews>
    <sheetView showGridLines="0" zoomScale="90" zoomScaleNormal="90" workbookViewId="0">
      <pane xSplit="3" ySplit="9" topLeftCell="D10" activePane="bottomRight" state="frozen"/>
      <selection pane="topRight" activeCell="D1" sqref="D1"/>
      <selection pane="bottomLeft" activeCell="A8" sqref="A8"/>
      <selection pane="bottomRight" activeCell="B4" sqref="B4:C4"/>
    </sheetView>
  </sheetViews>
  <sheetFormatPr defaultColWidth="9.1796875" defaultRowHeight="16" customHeight="1" x14ac:dyDescent="0.35"/>
  <cols>
    <col min="1" max="1" width="1.81640625" style="1" customWidth="1"/>
    <col min="2" max="2" width="10.7265625" style="1" customWidth="1"/>
    <col min="3" max="3" width="50.7265625" style="1" customWidth="1"/>
    <col min="4" max="26" width="14.7265625" style="1" customWidth="1"/>
    <col min="27" max="16384" width="9.1796875" style="1"/>
  </cols>
  <sheetData>
    <row r="3" spans="2:20" ht="16" customHeight="1" x14ac:dyDescent="0.35">
      <c r="B3" s="2" t="s">
        <v>1685</v>
      </c>
    </row>
    <row r="4" spans="2:20" ht="16" customHeight="1" x14ac:dyDescent="0.35">
      <c r="B4" s="88" t="s">
        <v>270</v>
      </c>
      <c r="C4" s="88"/>
    </row>
    <row r="5" spans="2:20" ht="16" customHeight="1" x14ac:dyDescent="0.35">
      <c r="B5" s="89" t="s">
        <v>1016</v>
      </c>
    </row>
    <row r="6" spans="2:20" ht="16" customHeight="1" x14ac:dyDescent="0.35">
      <c r="B6" s="104">
        <v>46189.341918495367</v>
      </c>
      <c r="C6" s="104"/>
    </row>
    <row r="7" spans="2:20" ht="16" customHeight="1" x14ac:dyDescent="0.35">
      <c r="B7" s="89"/>
    </row>
    <row r="8" spans="2:20" ht="39.5" thickBot="1" x14ac:dyDescent="0.5">
      <c r="B8" s="7"/>
      <c r="C8" s="28"/>
      <c r="D8" s="8" t="s">
        <v>1686</v>
      </c>
      <c r="E8" s="8" t="s">
        <v>1687</v>
      </c>
      <c r="F8" s="8" t="s">
        <v>1688</v>
      </c>
      <c r="G8" s="8" t="s">
        <v>1689</v>
      </c>
      <c r="H8" s="8" t="s">
        <v>1690</v>
      </c>
      <c r="I8" s="8" t="s">
        <v>1691</v>
      </c>
      <c r="J8" s="8" t="s">
        <v>1692</v>
      </c>
      <c r="K8" s="8" t="s">
        <v>1693</v>
      </c>
      <c r="L8" s="8" t="s">
        <v>1694</v>
      </c>
      <c r="M8" s="8" t="s">
        <v>1695</v>
      </c>
      <c r="N8" s="21" t="s">
        <v>1017</v>
      </c>
      <c r="O8" s="9"/>
      <c r="P8" s="9"/>
      <c r="Q8" s="9"/>
      <c r="R8" s="9"/>
      <c r="S8" s="9"/>
      <c r="T8" s="9"/>
    </row>
    <row r="9" spans="2:20" ht="16" customHeight="1" thickBot="1" x14ac:dyDescent="0.5">
      <c r="B9" s="28"/>
      <c r="C9" s="28"/>
      <c r="D9" s="8" t="s">
        <v>1696</v>
      </c>
      <c r="E9" s="8" t="s">
        <v>1697</v>
      </c>
      <c r="F9" s="8" t="s">
        <v>1698</v>
      </c>
      <c r="G9" s="8" t="s">
        <v>1699</v>
      </c>
      <c r="H9" s="8" t="s">
        <v>1700</v>
      </c>
      <c r="I9" s="8" t="s">
        <v>1701</v>
      </c>
      <c r="J9" s="8" t="s">
        <v>1702</v>
      </c>
      <c r="K9" s="8" t="s">
        <v>1703</v>
      </c>
      <c r="L9" s="8" t="s">
        <v>1704</v>
      </c>
      <c r="M9" s="8" t="s">
        <v>1705</v>
      </c>
      <c r="N9" s="21"/>
      <c r="O9" s="9"/>
      <c r="P9" s="9"/>
      <c r="Q9" s="9"/>
      <c r="R9" s="9"/>
      <c r="S9" s="9"/>
      <c r="T9" s="9"/>
    </row>
    <row r="10" spans="2:20" ht="16" customHeight="1" x14ac:dyDescent="0.45">
      <c r="B10" s="11"/>
      <c r="C10" s="11"/>
      <c r="D10" s="29"/>
      <c r="E10" s="29"/>
      <c r="F10" s="12"/>
      <c r="G10" s="12"/>
      <c r="H10" s="12"/>
      <c r="I10" s="12"/>
      <c r="J10" s="12"/>
      <c r="K10" s="12"/>
      <c r="L10" s="12"/>
      <c r="M10" s="12"/>
      <c r="N10" s="22"/>
      <c r="O10" s="13"/>
      <c r="P10" s="13"/>
      <c r="Q10" s="13"/>
      <c r="R10" s="13"/>
      <c r="S10" s="13"/>
      <c r="T10" s="13"/>
    </row>
    <row r="11" spans="2:20" ht="16" customHeight="1" x14ac:dyDescent="0.45">
      <c r="B11" s="14" t="s">
        <v>1057</v>
      </c>
      <c r="C11" s="14" t="s">
        <v>330</v>
      </c>
      <c r="D11" s="30"/>
      <c r="E11" s="30"/>
      <c r="F11" s="15">
        <v>-49256.296999999999</v>
      </c>
      <c r="G11" s="15"/>
      <c r="H11" s="15"/>
      <c r="I11" s="15"/>
      <c r="J11" s="15"/>
      <c r="K11" s="15"/>
      <c r="L11" s="15"/>
      <c r="M11" s="15"/>
      <c r="N11" s="23">
        <v>-49256.296999999999</v>
      </c>
      <c r="O11" s="13"/>
    </row>
    <row r="12" spans="2:20" ht="16" customHeight="1" x14ac:dyDescent="0.45">
      <c r="B12" s="14" t="s">
        <v>1058</v>
      </c>
      <c r="C12" s="14" t="s">
        <v>1059</v>
      </c>
      <c r="D12" s="30"/>
      <c r="E12" s="30"/>
      <c r="F12" s="15">
        <v>-53203.67366</v>
      </c>
      <c r="G12" s="15"/>
      <c r="H12" s="15"/>
      <c r="I12" s="15"/>
      <c r="J12" s="15"/>
      <c r="K12" s="15"/>
      <c r="L12" s="15"/>
      <c r="M12" s="15"/>
      <c r="N12" s="23">
        <v>-53203.67366</v>
      </c>
      <c r="O12" s="13"/>
    </row>
    <row r="13" spans="2:20" ht="16" customHeight="1" x14ac:dyDescent="0.45">
      <c r="B13" s="14" t="s">
        <v>1060</v>
      </c>
      <c r="C13" s="14" t="s">
        <v>1061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23"/>
      <c r="O13" s="13"/>
    </row>
    <row r="14" spans="2:20" ht="16" customHeight="1" x14ac:dyDescent="0.45">
      <c r="B14" s="14" t="s">
        <v>1062</v>
      </c>
      <c r="C14" s="14" t="s">
        <v>1063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23"/>
      <c r="O14" s="13"/>
    </row>
    <row r="15" spans="2:20" ht="16" customHeight="1" x14ac:dyDescent="0.45">
      <c r="B15" s="14" t="s">
        <v>1064</v>
      </c>
      <c r="C15" s="14" t="s">
        <v>1065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23"/>
      <c r="O15" s="13"/>
    </row>
    <row r="16" spans="2:20" ht="16" customHeight="1" x14ac:dyDescent="0.45">
      <c r="B16" s="14" t="s">
        <v>1066</v>
      </c>
      <c r="C16" s="14" t="s">
        <v>30</v>
      </c>
      <c r="D16" s="15">
        <v>-5312.5511100000003</v>
      </c>
      <c r="E16" s="15"/>
      <c r="F16" s="15">
        <v>-7593.2257300000001</v>
      </c>
      <c r="G16" s="15">
        <v>-5.4322100000000004</v>
      </c>
      <c r="H16" s="15">
        <v>-3.8123100000000001</v>
      </c>
      <c r="I16" s="15"/>
      <c r="J16" s="15"/>
      <c r="K16" s="15"/>
      <c r="L16" s="15">
        <v>-0.67308999999999997</v>
      </c>
      <c r="M16" s="15"/>
      <c r="N16" s="23">
        <v>-12915.694450000001</v>
      </c>
      <c r="O16" s="13"/>
    </row>
    <row r="17" spans="2:15" ht="16" customHeight="1" x14ac:dyDescent="0.45">
      <c r="B17" s="14" t="s">
        <v>1067</v>
      </c>
      <c r="C17" s="14" t="s">
        <v>1068</v>
      </c>
      <c r="D17" s="15">
        <v>-4946.7691400000003</v>
      </c>
      <c r="E17" s="15"/>
      <c r="F17" s="15">
        <v>-50242.496359999997</v>
      </c>
      <c r="G17" s="15"/>
      <c r="H17" s="15"/>
      <c r="I17" s="15"/>
      <c r="J17" s="15">
        <v>-0.5</v>
      </c>
      <c r="K17" s="15"/>
      <c r="L17" s="15"/>
      <c r="M17" s="15"/>
      <c r="N17" s="23">
        <v>-55189.765500000001</v>
      </c>
      <c r="O17" s="13"/>
    </row>
    <row r="18" spans="2:15" ht="16" customHeight="1" x14ac:dyDescent="0.35">
      <c r="B18" s="14" t="s">
        <v>1069</v>
      </c>
      <c r="C18" s="14" t="s">
        <v>1070</v>
      </c>
      <c r="D18" s="15">
        <v>-1634.5211099999999</v>
      </c>
      <c r="E18" s="15"/>
      <c r="F18" s="15">
        <v>-20558.967059999999</v>
      </c>
      <c r="G18" s="15">
        <v>-32.743589999999998</v>
      </c>
      <c r="H18" s="15"/>
      <c r="I18" s="15"/>
      <c r="J18" s="15"/>
      <c r="K18" s="15"/>
      <c r="L18" s="15"/>
      <c r="M18" s="15"/>
      <c r="N18" s="23">
        <v>-22226.231759999999</v>
      </c>
    </row>
    <row r="19" spans="2:15" ht="16" customHeight="1" x14ac:dyDescent="0.35">
      <c r="B19" s="14" t="s">
        <v>1071</v>
      </c>
      <c r="C19" s="14" t="s">
        <v>1072</v>
      </c>
      <c r="D19" s="15">
        <v>-2312.0261700000001</v>
      </c>
      <c r="E19" s="15"/>
      <c r="F19" s="15"/>
      <c r="G19" s="15"/>
      <c r="H19" s="15"/>
      <c r="I19" s="15"/>
      <c r="J19" s="15"/>
      <c r="K19" s="15"/>
      <c r="L19" s="15"/>
      <c r="M19" s="15"/>
      <c r="N19" s="23">
        <v>-2312.0261700000001</v>
      </c>
    </row>
    <row r="20" spans="2:15" ht="16" customHeight="1" x14ac:dyDescent="0.35">
      <c r="B20" s="14" t="s">
        <v>1073</v>
      </c>
      <c r="C20" s="14" t="s">
        <v>1074</v>
      </c>
      <c r="D20" s="15"/>
      <c r="E20" s="15"/>
      <c r="F20" s="15">
        <v>-30075.936740000001</v>
      </c>
      <c r="G20" s="15"/>
      <c r="H20" s="15"/>
      <c r="I20" s="15"/>
      <c r="J20" s="15"/>
      <c r="K20" s="15"/>
      <c r="L20" s="15"/>
      <c r="M20" s="15"/>
      <c r="N20" s="23">
        <v>-30075.936740000001</v>
      </c>
    </row>
    <row r="21" spans="2:15" ht="16" customHeight="1" x14ac:dyDescent="0.35">
      <c r="B21" s="14" t="s">
        <v>1075</v>
      </c>
      <c r="C21" s="14" t="s">
        <v>1076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23"/>
    </row>
    <row r="22" spans="2:15" ht="16" customHeight="1" x14ac:dyDescent="0.35">
      <c r="B22" s="14" t="s">
        <v>1077</v>
      </c>
      <c r="C22" s="14" t="s">
        <v>1078</v>
      </c>
      <c r="D22" s="15">
        <v>-331.30081000000001</v>
      </c>
      <c r="E22" s="15"/>
      <c r="F22" s="15">
        <v>-239.68231</v>
      </c>
      <c r="G22" s="15"/>
      <c r="H22" s="15"/>
      <c r="I22" s="15"/>
      <c r="J22" s="15"/>
      <c r="K22" s="15"/>
      <c r="L22" s="15"/>
      <c r="M22" s="15"/>
      <c r="N22" s="23">
        <v>-570.98311999999999</v>
      </c>
    </row>
    <row r="23" spans="2:15" ht="16" customHeight="1" x14ac:dyDescent="0.35">
      <c r="B23" s="14" t="s">
        <v>1079</v>
      </c>
      <c r="C23" s="14" t="s">
        <v>1080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23"/>
    </row>
    <row r="24" spans="2:15" ht="16" customHeight="1" x14ac:dyDescent="0.35">
      <c r="B24" s="14" t="s">
        <v>1081</v>
      </c>
      <c r="C24" s="14" t="s">
        <v>1082</v>
      </c>
      <c r="D24" s="15"/>
      <c r="E24" s="15"/>
      <c r="F24" s="15">
        <v>-29.556940000000001</v>
      </c>
      <c r="G24" s="15"/>
      <c r="H24" s="15"/>
      <c r="I24" s="15"/>
      <c r="J24" s="15"/>
      <c r="K24" s="15"/>
      <c r="L24" s="15"/>
      <c r="M24" s="15"/>
      <c r="N24" s="23">
        <v>-29.556940000000001</v>
      </c>
    </row>
    <row r="25" spans="2:15" ht="16" customHeight="1" x14ac:dyDescent="0.35">
      <c r="B25" s="14" t="s">
        <v>1083</v>
      </c>
      <c r="C25" s="14" t="s">
        <v>1084</v>
      </c>
      <c r="D25" s="15">
        <v>-138573.78228000001</v>
      </c>
      <c r="E25" s="15"/>
      <c r="F25" s="15"/>
      <c r="G25" s="15"/>
      <c r="H25" s="15"/>
      <c r="I25" s="15"/>
      <c r="J25" s="15"/>
      <c r="K25" s="15"/>
      <c r="L25" s="15"/>
      <c r="M25" s="15"/>
      <c r="N25" s="23">
        <v>-138573.78228000001</v>
      </c>
    </row>
    <row r="26" spans="2:15" ht="16" customHeight="1" x14ac:dyDescent="0.35">
      <c r="B26" s="14" t="s">
        <v>1085</v>
      </c>
      <c r="C26" s="14" t="s">
        <v>1086</v>
      </c>
      <c r="D26" s="15"/>
      <c r="E26" s="15"/>
      <c r="F26" s="15">
        <v>-23454.106220000001</v>
      </c>
      <c r="G26" s="15"/>
      <c r="H26" s="15"/>
      <c r="I26" s="15"/>
      <c r="J26" s="15"/>
      <c r="K26" s="15"/>
      <c r="L26" s="15"/>
      <c r="M26" s="15"/>
      <c r="N26" s="23">
        <v>-23454.106220000001</v>
      </c>
    </row>
    <row r="27" spans="2:15" ht="16" customHeight="1" x14ac:dyDescent="0.35">
      <c r="B27" s="14" t="s">
        <v>1087</v>
      </c>
      <c r="C27" s="14" t="s">
        <v>1088</v>
      </c>
      <c r="D27" s="15"/>
      <c r="E27" s="15"/>
      <c r="F27" s="15">
        <v>-3003.4913299999998</v>
      </c>
      <c r="G27" s="15"/>
      <c r="H27" s="15"/>
      <c r="I27" s="15"/>
      <c r="J27" s="15"/>
      <c r="K27" s="15"/>
      <c r="L27" s="15"/>
      <c r="M27" s="15"/>
      <c r="N27" s="23">
        <v>-3003.4913299999998</v>
      </c>
    </row>
    <row r="28" spans="2:15" ht="16" customHeight="1" x14ac:dyDescent="0.35">
      <c r="B28" s="14" t="s">
        <v>1089</v>
      </c>
      <c r="C28" s="14" t="s">
        <v>1090</v>
      </c>
      <c r="D28" s="15"/>
      <c r="E28" s="15"/>
      <c r="F28" s="15"/>
      <c r="G28" s="15"/>
      <c r="H28" s="15">
        <v>-346.44763</v>
      </c>
      <c r="I28" s="15"/>
      <c r="J28" s="15"/>
      <c r="K28" s="15"/>
      <c r="L28" s="15"/>
      <c r="M28" s="15"/>
      <c r="N28" s="23">
        <v>-346.44763</v>
      </c>
    </row>
    <row r="29" spans="2:15" ht="16" customHeight="1" x14ac:dyDescent="0.35">
      <c r="B29" s="16" t="s">
        <v>1706</v>
      </c>
      <c r="C29" s="105"/>
      <c r="D29" s="17">
        <f t="shared" ref="D29:N29" si="0">SUBTOTAL(109, D11:D28)</f>
        <v>-153110.95062000002</v>
      </c>
      <c r="E29" s="17">
        <f t="shared" si="0"/>
        <v>0</v>
      </c>
      <c r="F29" s="17">
        <f t="shared" si="0"/>
        <v>-237657.43335000001</v>
      </c>
      <c r="G29" s="17">
        <f t="shared" si="0"/>
        <v>-38.175799999999995</v>
      </c>
      <c r="H29" s="17">
        <f t="shared" si="0"/>
        <v>-350.25994000000003</v>
      </c>
      <c r="I29" s="17">
        <f t="shared" si="0"/>
        <v>0</v>
      </c>
      <c r="J29" s="17">
        <f t="shared" si="0"/>
        <v>-0.5</v>
      </c>
      <c r="K29" s="17">
        <f t="shared" si="0"/>
        <v>0</v>
      </c>
      <c r="L29" s="17">
        <f t="shared" si="0"/>
        <v>-0.67308999999999997</v>
      </c>
      <c r="M29" s="17">
        <f t="shared" si="0"/>
        <v>0</v>
      </c>
      <c r="N29" s="24">
        <f t="shared" si="0"/>
        <v>-391157.99280000001</v>
      </c>
    </row>
    <row r="30" spans="2:15" ht="16" customHeight="1" x14ac:dyDescent="0.35">
      <c r="B30" s="11"/>
      <c r="C30" s="10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22"/>
    </row>
    <row r="31" spans="2:15" ht="16" customHeight="1" x14ac:dyDescent="0.35">
      <c r="B31" s="14" t="s">
        <v>1091</v>
      </c>
      <c r="C31" s="14" t="s">
        <v>1092</v>
      </c>
      <c r="D31" s="15">
        <v>-180.2236</v>
      </c>
      <c r="E31" s="15"/>
      <c r="F31" s="15">
        <v>-6583.9810799999996</v>
      </c>
      <c r="G31" s="15"/>
      <c r="H31" s="15"/>
      <c r="I31" s="15"/>
      <c r="J31" s="15"/>
      <c r="K31" s="15"/>
      <c r="L31" s="15"/>
      <c r="M31" s="15"/>
      <c r="N31" s="23">
        <v>-6764.2046799999998</v>
      </c>
    </row>
    <row r="32" spans="2:15" ht="16" customHeight="1" x14ac:dyDescent="0.35">
      <c r="B32" s="14" t="s">
        <v>1093</v>
      </c>
      <c r="C32" s="14" t="s">
        <v>1094</v>
      </c>
      <c r="D32" s="15">
        <v>-5222.3502399999998</v>
      </c>
      <c r="E32" s="15">
        <v>-0.40500999999999998</v>
      </c>
      <c r="F32" s="15">
        <v>-50863.263379999997</v>
      </c>
      <c r="G32" s="15"/>
      <c r="H32" s="15"/>
      <c r="I32" s="15"/>
      <c r="J32" s="15"/>
      <c r="K32" s="15"/>
      <c r="L32" s="15"/>
      <c r="M32" s="15"/>
      <c r="N32" s="23">
        <v>-56086.018629999999</v>
      </c>
    </row>
    <row r="33" spans="2:14" ht="16" customHeight="1" x14ac:dyDescent="0.35">
      <c r="B33" s="14" t="s">
        <v>1095</v>
      </c>
      <c r="C33" s="14" t="s">
        <v>1096</v>
      </c>
      <c r="D33" s="15">
        <v>-32181.46499</v>
      </c>
      <c r="E33" s="15">
        <v>-4781.5483899999999</v>
      </c>
      <c r="F33" s="15">
        <v>-79104.729879999999</v>
      </c>
      <c r="G33" s="15">
        <v>-10031.80197</v>
      </c>
      <c r="H33" s="15">
        <v>-10507.71845</v>
      </c>
      <c r="I33" s="15">
        <v>-6978.7744599999996</v>
      </c>
      <c r="J33" s="15">
        <v>-1761.4135100000001</v>
      </c>
      <c r="K33" s="15">
        <v>-4175.5907699999998</v>
      </c>
      <c r="L33" s="15">
        <v>-1551.95415</v>
      </c>
      <c r="M33" s="15">
        <v>-482.41352000000001</v>
      </c>
      <c r="N33" s="23">
        <v>-151557.41008999999</v>
      </c>
    </row>
    <row r="34" spans="2:14" ht="16" customHeight="1" x14ac:dyDescent="0.35">
      <c r="B34" s="14" t="s">
        <v>1097</v>
      </c>
      <c r="C34" s="14" t="s">
        <v>1098</v>
      </c>
      <c r="D34" s="15">
        <v>-48.436900000000001</v>
      </c>
      <c r="E34" s="15"/>
      <c r="F34" s="15">
        <v>-41733.178829999997</v>
      </c>
      <c r="G34" s="15"/>
      <c r="H34" s="15"/>
      <c r="I34" s="15">
        <v>1.58</v>
      </c>
      <c r="J34" s="15">
        <v>-43.29</v>
      </c>
      <c r="K34" s="15">
        <v>-149.458</v>
      </c>
      <c r="L34" s="15"/>
      <c r="M34" s="15">
        <v>-54.125</v>
      </c>
      <c r="N34" s="23">
        <v>-42026.908730000003</v>
      </c>
    </row>
    <row r="35" spans="2:14" ht="16" customHeight="1" x14ac:dyDescent="0.35">
      <c r="B35" s="14" t="s">
        <v>1099</v>
      </c>
      <c r="C35" s="14" t="s">
        <v>1100</v>
      </c>
      <c r="D35" s="15">
        <v>-1071.6229599999999</v>
      </c>
      <c r="E35" s="15"/>
      <c r="F35" s="15">
        <v>-37592.708449999998</v>
      </c>
      <c r="G35" s="15"/>
      <c r="H35" s="15"/>
      <c r="I35" s="15"/>
      <c r="J35" s="15"/>
      <c r="K35" s="15"/>
      <c r="L35" s="15"/>
      <c r="M35" s="15"/>
      <c r="N35" s="23">
        <v>-38664.331409999999</v>
      </c>
    </row>
    <row r="36" spans="2:14" ht="16" customHeight="1" x14ac:dyDescent="0.35">
      <c r="B36" s="14" t="s">
        <v>1101</v>
      </c>
      <c r="C36" s="14" t="s">
        <v>1102</v>
      </c>
      <c r="D36" s="15">
        <v>-144.69217</v>
      </c>
      <c r="E36" s="15"/>
      <c r="F36" s="15">
        <v>-40.69605</v>
      </c>
      <c r="G36" s="15"/>
      <c r="H36" s="15"/>
      <c r="I36" s="15"/>
      <c r="J36" s="15"/>
      <c r="K36" s="15"/>
      <c r="L36" s="15"/>
      <c r="M36" s="15"/>
      <c r="N36" s="23">
        <v>-185.38821999999999</v>
      </c>
    </row>
    <row r="37" spans="2:14" ht="16" customHeight="1" x14ac:dyDescent="0.35">
      <c r="B37" s="14" t="s">
        <v>1103</v>
      </c>
      <c r="C37" s="14" t="s">
        <v>1104</v>
      </c>
      <c r="D37" s="15">
        <v>-582.61296000000004</v>
      </c>
      <c r="E37" s="15">
        <v>-206.77393000000001</v>
      </c>
      <c r="F37" s="15">
        <v>-2736.6712499999999</v>
      </c>
      <c r="G37" s="15">
        <v>-1140.09356</v>
      </c>
      <c r="H37" s="15">
        <v>-1666.40562</v>
      </c>
      <c r="I37" s="15">
        <v>-1438.43281</v>
      </c>
      <c r="J37" s="15">
        <v>-49.214739999999999</v>
      </c>
      <c r="K37" s="15">
        <v>-375.12466999999998</v>
      </c>
      <c r="L37" s="15">
        <v>-74.780600000000007</v>
      </c>
      <c r="M37" s="15">
        <v>-286.42838999999998</v>
      </c>
      <c r="N37" s="23">
        <v>-8556.5385299999998</v>
      </c>
    </row>
    <row r="38" spans="2:14" ht="16" customHeight="1" x14ac:dyDescent="0.35">
      <c r="B38" s="14" t="s">
        <v>1105</v>
      </c>
      <c r="C38" s="14" t="s">
        <v>80</v>
      </c>
      <c r="D38" s="15">
        <v>-31328.658490000002</v>
      </c>
      <c r="E38" s="15">
        <v>-81.033699999999996</v>
      </c>
      <c r="F38" s="15">
        <v>-28534.513370000001</v>
      </c>
      <c r="G38" s="15">
        <v>-670.16895999999997</v>
      </c>
      <c r="H38" s="15">
        <v>-1862.7065700000001</v>
      </c>
      <c r="I38" s="15">
        <v>-4458.5996299999997</v>
      </c>
      <c r="J38" s="15">
        <v>-55.609760000000001</v>
      </c>
      <c r="K38" s="15">
        <v>-1575.6375399999999</v>
      </c>
      <c r="L38" s="15">
        <v>-7076.1045100000001</v>
      </c>
      <c r="M38" s="15">
        <v>-545.27746999999999</v>
      </c>
      <c r="N38" s="23">
        <v>-76188.31</v>
      </c>
    </row>
    <row r="39" spans="2:14" ht="16" customHeight="1" x14ac:dyDescent="0.35">
      <c r="B39" s="14" t="s">
        <v>1106</v>
      </c>
      <c r="C39" s="14" t="s">
        <v>762</v>
      </c>
      <c r="D39" s="15">
        <v>-13817.242920000001</v>
      </c>
      <c r="E39" s="15">
        <v>-14.9247</v>
      </c>
      <c r="F39" s="15">
        <v>-3363.0036599999999</v>
      </c>
      <c r="G39" s="15">
        <v>-46.300980000000003</v>
      </c>
      <c r="H39" s="15">
        <v>-144.70626999999999</v>
      </c>
      <c r="I39" s="15">
        <v>-556.17192</v>
      </c>
      <c r="J39" s="15"/>
      <c r="K39" s="15"/>
      <c r="L39" s="15">
        <v>-138.94577000000001</v>
      </c>
      <c r="M39" s="15"/>
      <c r="N39" s="23">
        <v>-18081.29622</v>
      </c>
    </row>
    <row r="40" spans="2:14" ht="16" customHeight="1" x14ac:dyDescent="0.35">
      <c r="B40" s="14" t="s">
        <v>1107</v>
      </c>
      <c r="C40" s="14" t="s">
        <v>1108</v>
      </c>
      <c r="D40" s="15">
        <v>-16672.784189999998</v>
      </c>
      <c r="E40" s="15"/>
      <c r="F40" s="15">
        <v>-42401.51109</v>
      </c>
      <c r="G40" s="15"/>
      <c r="H40" s="15"/>
      <c r="I40" s="15"/>
      <c r="J40" s="15"/>
      <c r="K40" s="15"/>
      <c r="L40" s="15"/>
      <c r="M40" s="15"/>
      <c r="N40" s="23">
        <v>-59074.295279999998</v>
      </c>
    </row>
    <row r="41" spans="2:14" ht="16" customHeight="1" x14ac:dyDescent="0.35">
      <c r="B41" s="14" t="s">
        <v>1109</v>
      </c>
      <c r="C41" s="14" t="s">
        <v>1110</v>
      </c>
      <c r="D41" s="15">
        <v>-8993.4309200000007</v>
      </c>
      <c r="E41" s="15">
        <v>-210.44027</v>
      </c>
      <c r="F41" s="15">
        <v>-37478.087090000001</v>
      </c>
      <c r="G41" s="15">
        <v>-4360.2896600000004</v>
      </c>
      <c r="H41" s="15">
        <v>-2997.0380599999999</v>
      </c>
      <c r="I41" s="15">
        <v>-6143.5307300000004</v>
      </c>
      <c r="J41" s="15">
        <v>-3468.5251800000001</v>
      </c>
      <c r="K41" s="15">
        <v>-4280.4252800000004</v>
      </c>
      <c r="L41" s="15">
        <v>-12465.77137</v>
      </c>
      <c r="M41" s="15">
        <v>-263.46035999999998</v>
      </c>
      <c r="N41" s="23">
        <v>-80660.999849999993</v>
      </c>
    </row>
    <row r="42" spans="2:14" ht="16" customHeight="1" x14ac:dyDescent="0.35">
      <c r="B42" s="14" t="s">
        <v>1111</v>
      </c>
      <c r="C42" s="14" t="s">
        <v>1112</v>
      </c>
      <c r="D42" s="15">
        <v>3536.4871400000002</v>
      </c>
      <c r="E42" s="15">
        <v>12.89493</v>
      </c>
      <c r="F42" s="15">
        <v>48498.527699999999</v>
      </c>
      <c r="G42" s="15">
        <v>4333.0625200000004</v>
      </c>
      <c r="H42" s="15">
        <v>2344.0844499999998</v>
      </c>
      <c r="I42" s="15">
        <v>4334.3189599999996</v>
      </c>
      <c r="J42" s="15">
        <v>2394.5621799999999</v>
      </c>
      <c r="K42" s="15">
        <v>5396.0122700000002</v>
      </c>
      <c r="L42" s="15">
        <v>14025.312809999999</v>
      </c>
      <c r="M42" s="15">
        <v>300.63612999999998</v>
      </c>
      <c r="N42" s="23">
        <v>85175.899090000006</v>
      </c>
    </row>
    <row r="43" spans="2:14" ht="16" customHeight="1" x14ac:dyDescent="0.35">
      <c r="B43" s="14" t="s">
        <v>1113</v>
      </c>
      <c r="C43" s="14" t="s">
        <v>1114</v>
      </c>
      <c r="D43" s="15">
        <v>-23.43845</v>
      </c>
      <c r="E43" s="15"/>
      <c r="F43" s="15">
        <v>391.14218</v>
      </c>
      <c r="G43" s="15"/>
      <c r="H43" s="15"/>
      <c r="I43" s="15"/>
      <c r="J43" s="15"/>
      <c r="K43" s="15"/>
      <c r="L43" s="15"/>
      <c r="M43" s="15"/>
      <c r="N43" s="23">
        <v>367.70373000000001</v>
      </c>
    </row>
    <row r="44" spans="2:14" ht="16" customHeight="1" x14ac:dyDescent="0.35">
      <c r="B44" s="14" t="s">
        <v>1115</v>
      </c>
      <c r="C44" s="14" t="s">
        <v>1116</v>
      </c>
      <c r="D44" s="15"/>
      <c r="E44" s="15"/>
      <c r="F44" s="15">
        <v>-3317.20856</v>
      </c>
      <c r="G44" s="15"/>
      <c r="H44" s="15"/>
      <c r="I44" s="15"/>
      <c r="J44" s="15"/>
      <c r="K44" s="15"/>
      <c r="L44" s="15"/>
      <c r="M44" s="15"/>
      <c r="N44" s="23">
        <v>-3317.20856</v>
      </c>
    </row>
    <row r="45" spans="2:14" ht="16" customHeight="1" x14ac:dyDescent="0.35">
      <c r="B45" s="14" t="s">
        <v>1117</v>
      </c>
      <c r="C45" s="14" t="s">
        <v>88</v>
      </c>
      <c r="D45" s="15"/>
      <c r="E45" s="15"/>
      <c r="F45" s="15">
        <v>2158.8922699999998</v>
      </c>
      <c r="G45" s="15"/>
      <c r="H45" s="15"/>
      <c r="I45" s="15"/>
      <c r="J45" s="15"/>
      <c r="K45" s="15"/>
      <c r="L45" s="15"/>
      <c r="M45" s="15"/>
      <c r="N45" s="23">
        <v>2158.8922699999998</v>
      </c>
    </row>
    <row r="46" spans="2:14" ht="16" customHeight="1" x14ac:dyDescent="0.35">
      <c r="B46" s="14" t="s">
        <v>1118</v>
      </c>
      <c r="C46" s="14" t="s">
        <v>64</v>
      </c>
      <c r="D46" s="15"/>
      <c r="E46" s="15"/>
      <c r="F46" s="15">
        <v>84.691779999999994</v>
      </c>
      <c r="G46" s="15"/>
      <c r="H46" s="15"/>
      <c r="I46" s="15"/>
      <c r="J46" s="15"/>
      <c r="K46" s="15"/>
      <c r="L46" s="15"/>
      <c r="M46" s="15"/>
      <c r="N46" s="23">
        <v>84.691779999999994</v>
      </c>
    </row>
    <row r="47" spans="2:14" ht="16" customHeight="1" x14ac:dyDescent="0.35">
      <c r="B47" s="14" t="s">
        <v>121</v>
      </c>
      <c r="C47" s="42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23"/>
    </row>
    <row r="48" spans="2:14" ht="16" customHeight="1" x14ac:dyDescent="0.35">
      <c r="B48" s="16" t="s">
        <v>1707</v>
      </c>
      <c r="C48" s="105"/>
      <c r="D48" s="17">
        <f t="shared" ref="D48:N48" si="1">SUBTOTAL(109, D31:D47)</f>
        <v>-106730.47165000001</v>
      </c>
      <c r="E48" s="17">
        <f t="shared" si="1"/>
        <v>-5282.2310699999998</v>
      </c>
      <c r="F48" s="17">
        <f t="shared" si="1"/>
        <v>-282616.29875999998</v>
      </c>
      <c r="G48" s="17">
        <f t="shared" si="1"/>
        <v>-11915.59261</v>
      </c>
      <c r="H48" s="17">
        <f t="shared" si="1"/>
        <v>-14834.490520000001</v>
      </c>
      <c r="I48" s="17">
        <f t="shared" si="1"/>
        <v>-15239.61059</v>
      </c>
      <c r="J48" s="17">
        <f t="shared" si="1"/>
        <v>-2983.4910100000006</v>
      </c>
      <c r="K48" s="17">
        <f t="shared" si="1"/>
        <v>-5160.2239899999995</v>
      </c>
      <c r="L48" s="17">
        <f t="shared" si="1"/>
        <v>-7282.2435900000019</v>
      </c>
      <c r="M48" s="17">
        <f t="shared" si="1"/>
        <v>-1331.0686100000003</v>
      </c>
      <c r="N48" s="24">
        <f t="shared" si="1"/>
        <v>-453375.72333000007</v>
      </c>
    </row>
    <row r="49" spans="2:14" ht="16" customHeight="1" x14ac:dyDescent="0.35">
      <c r="B49" s="11"/>
      <c r="C49" s="10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22"/>
    </row>
    <row r="50" spans="2:14" ht="16" customHeight="1" x14ac:dyDescent="0.35">
      <c r="B50" s="16" t="s">
        <v>1708</v>
      </c>
      <c r="C50" s="105"/>
      <c r="D50" s="17">
        <f t="shared" ref="D50:N50" si="2">SUM(D29, D48)</f>
        <v>-259841.42227000004</v>
      </c>
      <c r="E50" s="17">
        <f t="shared" si="2"/>
        <v>-5282.2310699999998</v>
      </c>
      <c r="F50" s="17">
        <f t="shared" si="2"/>
        <v>-520273.73210999998</v>
      </c>
      <c r="G50" s="17">
        <f t="shared" si="2"/>
        <v>-11953.768410000001</v>
      </c>
      <c r="H50" s="17">
        <f t="shared" si="2"/>
        <v>-15184.750460000001</v>
      </c>
      <c r="I50" s="17">
        <f t="shared" si="2"/>
        <v>-15239.61059</v>
      </c>
      <c r="J50" s="17">
        <f t="shared" si="2"/>
        <v>-2983.9910100000006</v>
      </c>
      <c r="K50" s="17">
        <f t="shared" si="2"/>
        <v>-5160.2239899999995</v>
      </c>
      <c r="L50" s="17">
        <f t="shared" si="2"/>
        <v>-7282.9166800000021</v>
      </c>
      <c r="M50" s="17">
        <f t="shared" si="2"/>
        <v>-1331.0686100000003</v>
      </c>
      <c r="N50" s="24">
        <f t="shared" si="2"/>
        <v>-844533.71613000007</v>
      </c>
    </row>
  </sheetData>
  <mergeCells count="2">
    <mergeCell ref="B4:C4"/>
    <mergeCell ref="B6:C6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8F39-8305-4429-A360-5EA90329FAAF}">
  <dimension ref="B3:T50"/>
  <sheetViews>
    <sheetView showGridLines="0" tabSelected="1" zoomScale="90" zoomScaleNormal="90" workbookViewId="0">
      <pane xSplit="3" ySplit="9" topLeftCell="D10" activePane="bottomRight" state="frozen"/>
      <selection pane="topRight" activeCell="D1" sqref="D1"/>
      <selection pane="bottomLeft" activeCell="A8" sqref="A8"/>
      <selection pane="bottomRight" activeCell="B4" sqref="B4:C4"/>
    </sheetView>
  </sheetViews>
  <sheetFormatPr defaultColWidth="9.1796875" defaultRowHeight="16" customHeight="1" x14ac:dyDescent="0.35"/>
  <cols>
    <col min="1" max="1" width="2.7265625" style="1" customWidth="1"/>
    <col min="2" max="2" width="10.7265625" style="1" customWidth="1"/>
    <col min="3" max="3" width="50.7265625" style="1" customWidth="1"/>
    <col min="4" max="26" width="14.7265625" style="1" customWidth="1"/>
    <col min="27" max="16384" width="9.1796875" style="1"/>
  </cols>
  <sheetData>
    <row r="3" spans="2:20" ht="16" customHeight="1" x14ac:dyDescent="0.35">
      <c r="B3" s="2" t="s">
        <v>1685</v>
      </c>
    </row>
    <row r="4" spans="2:20" ht="16" customHeight="1" x14ac:dyDescent="0.35">
      <c r="B4" s="88" t="s">
        <v>270</v>
      </c>
      <c r="C4" s="88"/>
    </row>
    <row r="5" spans="2:20" ht="16" customHeight="1" x14ac:dyDescent="0.35">
      <c r="B5" s="89" t="s">
        <v>1016</v>
      </c>
    </row>
    <row r="6" spans="2:20" ht="16" customHeight="1" x14ac:dyDescent="0.35">
      <c r="B6" s="104">
        <v>46189.341918495367</v>
      </c>
      <c r="C6" s="104"/>
    </row>
    <row r="7" spans="2:20" ht="16" customHeight="1" x14ac:dyDescent="0.35">
      <c r="B7" s="89"/>
    </row>
    <row r="8" spans="2:20" ht="39.5" thickBot="1" x14ac:dyDescent="0.5">
      <c r="B8" s="7"/>
      <c r="C8" s="28"/>
      <c r="D8" s="8" t="s">
        <v>1686</v>
      </c>
      <c r="E8" s="8" t="s">
        <v>1687</v>
      </c>
      <c r="F8" s="8" t="s">
        <v>1688</v>
      </c>
      <c r="G8" s="8" t="s">
        <v>1689</v>
      </c>
      <c r="H8" s="8" t="s">
        <v>1690</v>
      </c>
      <c r="I8" s="8" t="s">
        <v>1691</v>
      </c>
      <c r="J8" s="8" t="s">
        <v>1692</v>
      </c>
      <c r="K8" s="8" t="s">
        <v>1693</v>
      </c>
      <c r="L8" s="8" t="s">
        <v>1694</v>
      </c>
      <c r="M8" s="8" t="s">
        <v>1695</v>
      </c>
      <c r="N8" s="21" t="s">
        <v>1017</v>
      </c>
      <c r="O8" s="9"/>
      <c r="P8" s="9"/>
      <c r="Q8" s="9"/>
      <c r="R8" s="9"/>
      <c r="S8" s="9"/>
      <c r="T8" s="9"/>
    </row>
    <row r="9" spans="2:20" ht="16" customHeight="1" thickBot="1" x14ac:dyDescent="0.5">
      <c r="B9" s="28"/>
      <c r="C9" s="28"/>
      <c r="D9" s="8" t="s">
        <v>1696</v>
      </c>
      <c r="E9" s="8" t="s">
        <v>1697</v>
      </c>
      <c r="F9" s="8" t="s">
        <v>1698</v>
      </c>
      <c r="G9" s="8" t="s">
        <v>1699</v>
      </c>
      <c r="H9" s="8" t="s">
        <v>1700</v>
      </c>
      <c r="I9" s="8" t="s">
        <v>1701</v>
      </c>
      <c r="J9" s="8" t="s">
        <v>1702</v>
      </c>
      <c r="K9" s="8" t="s">
        <v>1703</v>
      </c>
      <c r="L9" s="8" t="s">
        <v>1704</v>
      </c>
      <c r="M9" s="8" t="s">
        <v>1705</v>
      </c>
      <c r="N9" s="21"/>
      <c r="O9" s="9"/>
      <c r="P9" s="9"/>
      <c r="Q9" s="9"/>
      <c r="R9" s="9"/>
      <c r="S9" s="9"/>
      <c r="T9" s="9"/>
    </row>
    <row r="10" spans="2:20" ht="16" customHeight="1" x14ac:dyDescent="0.45">
      <c r="B10" s="11"/>
      <c r="C10" s="11"/>
      <c r="D10" s="29"/>
      <c r="E10" s="29"/>
      <c r="F10" s="12"/>
      <c r="G10" s="12"/>
      <c r="H10" s="12"/>
      <c r="I10" s="12"/>
      <c r="J10" s="12"/>
      <c r="K10" s="12"/>
      <c r="L10" s="12"/>
      <c r="M10" s="12"/>
      <c r="N10" s="22"/>
      <c r="O10" s="13"/>
      <c r="P10" s="13"/>
      <c r="Q10" s="13"/>
      <c r="R10" s="13"/>
      <c r="S10" s="13"/>
      <c r="T10" s="13"/>
    </row>
    <row r="11" spans="2:20" ht="16" customHeight="1" x14ac:dyDescent="0.45">
      <c r="B11" s="14" t="s">
        <v>1057</v>
      </c>
      <c r="C11" s="14" t="s">
        <v>330</v>
      </c>
      <c r="D11" s="30"/>
      <c r="E11" s="30"/>
      <c r="F11" s="15">
        <v>-13892.081980000001</v>
      </c>
      <c r="G11" s="15"/>
      <c r="H11" s="15"/>
      <c r="I11" s="15"/>
      <c r="J11" s="15"/>
      <c r="K11" s="15"/>
      <c r="L11" s="15"/>
      <c r="M11" s="15"/>
      <c r="N11" s="23">
        <v>-13892.081980000001</v>
      </c>
      <c r="O11" s="13"/>
    </row>
    <row r="12" spans="2:20" ht="16" customHeight="1" x14ac:dyDescent="0.45">
      <c r="B12" s="14" t="s">
        <v>1058</v>
      </c>
      <c r="C12" s="14" t="s">
        <v>1059</v>
      </c>
      <c r="D12" s="30"/>
      <c r="E12" s="30"/>
      <c r="F12" s="15">
        <v>-12739.813410000001</v>
      </c>
      <c r="G12" s="15"/>
      <c r="H12" s="15"/>
      <c r="I12" s="15"/>
      <c r="J12" s="15"/>
      <c r="K12" s="15"/>
      <c r="L12" s="15"/>
      <c r="M12" s="15"/>
      <c r="N12" s="23">
        <v>-12739.813410000001</v>
      </c>
      <c r="O12" s="13"/>
    </row>
    <row r="13" spans="2:20" ht="16" customHeight="1" x14ac:dyDescent="0.45">
      <c r="B13" s="14" t="s">
        <v>1060</v>
      </c>
      <c r="C13" s="14" t="s">
        <v>1061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23"/>
      <c r="O13" s="13"/>
    </row>
    <row r="14" spans="2:20" ht="16" customHeight="1" x14ac:dyDescent="0.45">
      <c r="B14" s="14" t="s">
        <v>1062</v>
      </c>
      <c r="C14" s="14" t="s">
        <v>1063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23"/>
      <c r="O14" s="13"/>
    </row>
    <row r="15" spans="2:20" ht="16" customHeight="1" x14ac:dyDescent="0.45">
      <c r="B15" s="14" t="s">
        <v>1064</v>
      </c>
      <c r="C15" s="14" t="s">
        <v>1065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23"/>
      <c r="O15" s="13"/>
    </row>
    <row r="16" spans="2:20" ht="16" customHeight="1" x14ac:dyDescent="0.45">
      <c r="B16" s="14" t="s">
        <v>1066</v>
      </c>
      <c r="C16" s="14" t="s">
        <v>30</v>
      </c>
      <c r="D16" s="15">
        <v>-2251.2276299999999</v>
      </c>
      <c r="E16" s="15"/>
      <c r="F16" s="15">
        <v>-1853.5865799999999</v>
      </c>
      <c r="G16" s="15">
        <v>-1.5560499999999999</v>
      </c>
      <c r="H16" s="15">
        <v>-1.2283299999999999</v>
      </c>
      <c r="I16" s="15"/>
      <c r="J16" s="15"/>
      <c r="K16" s="15"/>
      <c r="L16" s="15">
        <v>0</v>
      </c>
      <c r="M16" s="15"/>
      <c r="N16" s="23">
        <v>-4107.5985899999996</v>
      </c>
      <c r="O16" s="13"/>
    </row>
    <row r="17" spans="2:15" ht="16" customHeight="1" x14ac:dyDescent="0.45">
      <c r="B17" s="14" t="s">
        <v>1067</v>
      </c>
      <c r="C17" s="14" t="s">
        <v>1068</v>
      </c>
      <c r="D17" s="15">
        <v>-903.10108000000002</v>
      </c>
      <c r="E17" s="15"/>
      <c r="F17" s="15">
        <v>-10750.107889999999</v>
      </c>
      <c r="G17" s="15"/>
      <c r="H17" s="15"/>
      <c r="I17" s="15"/>
      <c r="J17" s="15">
        <v>0</v>
      </c>
      <c r="K17" s="15"/>
      <c r="L17" s="15"/>
      <c r="M17" s="15"/>
      <c r="N17" s="23">
        <v>-11653.20897</v>
      </c>
      <c r="O17" s="13"/>
    </row>
    <row r="18" spans="2:15" ht="16" customHeight="1" x14ac:dyDescent="0.35">
      <c r="B18" s="14" t="s">
        <v>1069</v>
      </c>
      <c r="C18" s="14" t="s">
        <v>1070</v>
      </c>
      <c r="D18" s="15">
        <v>-368.12794000000002</v>
      </c>
      <c r="E18" s="15"/>
      <c r="F18" s="15">
        <v>-4539.9043199999996</v>
      </c>
      <c r="G18" s="15">
        <v>-0.17412</v>
      </c>
      <c r="H18" s="15"/>
      <c r="I18" s="15"/>
      <c r="J18" s="15"/>
      <c r="K18" s="15"/>
      <c r="L18" s="15"/>
      <c r="M18" s="15"/>
      <c r="N18" s="23">
        <v>-4908.2063799999996</v>
      </c>
    </row>
    <row r="19" spans="2:15" ht="16" customHeight="1" x14ac:dyDescent="0.35">
      <c r="B19" s="14" t="s">
        <v>1071</v>
      </c>
      <c r="C19" s="14" t="s">
        <v>1072</v>
      </c>
      <c r="D19" s="15">
        <v>-503.53437000000002</v>
      </c>
      <c r="E19" s="15"/>
      <c r="F19" s="15"/>
      <c r="G19" s="15"/>
      <c r="H19" s="15"/>
      <c r="I19" s="15"/>
      <c r="J19" s="15"/>
      <c r="K19" s="15"/>
      <c r="L19" s="15"/>
      <c r="M19" s="15"/>
      <c r="N19" s="23">
        <v>-503.53437000000002</v>
      </c>
    </row>
    <row r="20" spans="2:15" ht="16" customHeight="1" x14ac:dyDescent="0.35">
      <c r="B20" s="14" t="s">
        <v>1073</v>
      </c>
      <c r="C20" s="14" t="s">
        <v>1074</v>
      </c>
      <c r="D20" s="15"/>
      <c r="E20" s="15"/>
      <c r="F20" s="15">
        <v>-1355.1430399999999</v>
      </c>
      <c r="G20" s="15"/>
      <c r="H20" s="15"/>
      <c r="I20" s="15"/>
      <c r="J20" s="15"/>
      <c r="K20" s="15"/>
      <c r="L20" s="15"/>
      <c r="M20" s="15"/>
      <c r="N20" s="23">
        <v>-1355.1430399999999</v>
      </c>
    </row>
    <row r="21" spans="2:15" ht="16" customHeight="1" x14ac:dyDescent="0.35">
      <c r="B21" s="14" t="s">
        <v>1075</v>
      </c>
      <c r="C21" s="14" t="s">
        <v>1076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23"/>
    </row>
    <row r="22" spans="2:15" ht="16" customHeight="1" x14ac:dyDescent="0.35">
      <c r="B22" s="14" t="s">
        <v>1077</v>
      </c>
      <c r="C22" s="14" t="s">
        <v>1078</v>
      </c>
      <c r="D22" s="15">
        <v>-76.950770000000006</v>
      </c>
      <c r="E22" s="15"/>
      <c r="F22" s="15">
        <v>-67.10127</v>
      </c>
      <c r="G22" s="15"/>
      <c r="H22" s="15"/>
      <c r="I22" s="15"/>
      <c r="J22" s="15"/>
      <c r="K22" s="15"/>
      <c r="L22" s="15"/>
      <c r="M22" s="15"/>
      <c r="N22" s="23">
        <v>-144.05204000000001</v>
      </c>
    </row>
    <row r="23" spans="2:15" ht="16" customHeight="1" x14ac:dyDescent="0.35">
      <c r="B23" s="14" t="s">
        <v>1079</v>
      </c>
      <c r="C23" s="14" t="s">
        <v>1080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23"/>
    </row>
    <row r="24" spans="2:15" ht="16" customHeight="1" x14ac:dyDescent="0.35">
      <c r="B24" s="14" t="s">
        <v>1081</v>
      </c>
      <c r="C24" s="14" t="s">
        <v>1082</v>
      </c>
      <c r="D24" s="15"/>
      <c r="E24" s="15"/>
      <c r="F24" s="15">
        <v>0</v>
      </c>
      <c r="G24" s="15"/>
      <c r="H24" s="15"/>
      <c r="I24" s="15"/>
      <c r="J24" s="15"/>
      <c r="K24" s="15"/>
      <c r="L24" s="15"/>
      <c r="M24" s="15"/>
      <c r="N24" s="23">
        <v>0</v>
      </c>
    </row>
    <row r="25" spans="2:15" ht="16" customHeight="1" x14ac:dyDescent="0.35">
      <c r="B25" s="14" t="s">
        <v>1083</v>
      </c>
      <c r="C25" s="14" t="s">
        <v>1084</v>
      </c>
      <c r="D25" s="15">
        <v>-32906.101269999999</v>
      </c>
      <c r="E25" s="15"/>
      <c r="F25" s="15"/>
      <c r="G25" s="15"/>
      <c r="H25" s="15"/>
      <c r="I25" s="15"/>
      <c r="J25" s="15"/>
      <c r="K25" s="15"/>
      <c r="L25" s="15"/>
      <c r="M25" s="15"/>
      <c r="N25" s="23">
        <v>-32906.101269999999</v>
      </c>
    </row>
    <row r="26" spans="2:15" ht="16" customHeight="1" x14ac:dyDescent="0.35">
      <c r="B26" s="14" t="s">
        <v>1085</v>
      </c>
      <c r="C26" s="14" t="s">
        <v>1086</v>
      </c>
      <c r="D26" s="15"/>
      <c r="E26" s="15"/>
      <c r="F26" s="15">
        <v>-5146.7945499999996</v>
      </c>
      <c r="G26" s="15"/>
      <c r="H26" s="15"/>
      <c r="I26" s="15"/>
      <c r="J26" s="15"/>
      <c r="K26" s="15"/>
      <c r="L26" s="15"/>
      <c r="M26" s="15"/>
      <c r="N26" s="23">
        <v>-5146.7945499999996</v>
      </c>
    </row>
    <row r="27" spans="2:15" ht="16" customHeight="1" x14ac:dyDescent="0.35">
      <c r="B27" s="14" t="s">
        <v>1087</v>
      </c>
      <c r="C27" s="14" t="s">
        <v>1088</v>
      </c>
      <c r="D27" s="15"/>
      <c r="E27" s="15"/>
      <c r="F27" s="15">
        <v>-627.37048000000004</v>
      </c>
      <c r="G27" s="15"/>
      <c r="H27" s="15"/>
      <c r="I27" s="15"/>
      <c r="J27" s="15"/>
      <c r="K27" s="15"/>
      <c r="L27" s="15"/>
      <c r="M27" s="15"/>
      <c r="N27" s="23">
        <v>-627.37048000000004</v>
      </c>
    </row>
    <row r="28" spans="2:15" ht="16" customHeight="1" x14ac:dyDescent="0.35">
      <c r="B28" s="14" t="s">
        <v>1089</v>
      </c>
      <c r="C28" s="14" t="s">
        <v>1090</v>
      </c>
      <c r="D28" s="15"/>
      <c r="E28" s="15"/>
      <c r="F28" s="15"/>
      <c r="G28" s="15"/>
      <c r="H28" s="15">
        <v>-28.119230000000002</v>
      </c>
      <c r="I28" s="15"/>
      <c r="J28" s="15"/>
      <c r="K28" s="15"/>
      <c r="L28" s="15"/>
      <c r="M28" s="15"/>
      <c r="N28" s="23">
        <v>-28.119230000000002</v>
      </c>
    </row>
    <row r="29" spans="2:15" ht="16" customHeight="1" x14ac:dyDescent="0.35">
      <c r="B29" s="16" t="s">
        <v>1706</v>
      </c>
      <c r="C29" s="105"/>
      <c r="D29" s="17">
        <f t="shared" ref="D29:N29" si="0">SUBTOTAL(109, D11:D28)</f>
        <v>-37009.043059999996</v>
      </c>
      <c r="E29" s="17">
        <f t="shared" si="0"/>
        <v>0</v>
      </c>
      <c r="F29" s="17">
        <f t="shared" si="0"/>
        <v>-50971.90352</v>
      </c>
      <c r="G29" s="17">
        <f t="shared" si="0"/>
        <v>-1.73017</v>
      </c>
      <c r="H29" s="17">
        <f t="shared" si="0"/>
        <v>-29.347560000000001</v>
      </c>
      <c r="I29" s="17">
        <f t="shared" si="0"/>
        <v>0</v>
      </c>
      <c r="J29" s="17">
        <f t="shared" si="0"/>
        <v>0</v>
      </c>
      <c r="K29" s="17">
        <f t="shared" si="0"/>
        <v>0</v>
      </c>
      <c r="L29" s="17">
        <f t="shared" si="0"/>
        <v>0</v>
      </c>
      <c r="M29" s="17">
        <f t="shared" si="0"/>
        <v>0</v>
      </c>
      <c r="N29" s="24">
        <f t="shared" si="0"/>
        <v>-88012.024309999993</v>
      </c>
    </row>
    <row r="30" spans="2:15" ht="16" customHeight="1" x14ac:dyDescent="0.35">
      <c r="B30" s="11"/>
      <c r="C30" s="10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22"/>
    </row>
    <row r="31" spans="2:15" ht="16" customHeight="1" x14ac:dyDescent="0.35">
      <c r="B31" s="14" t="s">
        <v>1091</v>
      </c>
      <c r="C31" s="14" t="s">
        <v>1092</v>
      </c>
      <c r="D31" s="15">
        <v>-24.047779999999999</v>
      </c>
      <c r="E31" s="15"/>
      <c r="F31" s="15">
        <v>-1366.4244200000001</v>
      </c>
      <c r="G31" s="15"/>
      <c r="H31" s="15"/>
      <c r="I31" s="15"/>
      <c r="J31" s="15"/>
      <c r="K31" s="15"/>
      <c r="L31" s="15"/>
      <c r="M31" s="15"/>
      <c r="N31" s="23">
        <v>-1390.4721999999999</v>
      </c>
    </row>
    <row r="32" spans="2:15" ht="16" customHeight="1" x14ac:dyDescent="0.35">
      <c r="B32" s="14" t="s">
        <v>1093</v>
      </c>
      <c r="C32" s="14" t="s">
        <v>1094</v>
      </c>
      <c r="D32" s="15">
        <v>-923.31494999999995</v>
      </c>
      <c r="E32" s="15">
        <v>-7.2950000000000001E-2</v>
      </c>
      <c r="F32" s="15">
        <v>-6977.4229800000003</v>
      </c>
      <c r="G32" s="15"/>
      <c r="H32" s="15"/>
      <c r="I32" s="15"/>
      <c r="J32" s="15"/>
      <c r="K32" s="15"/>
      <c r="L32" s="15"/>
      <c r="M32" s="15"/>
      <c r="N32" s="23">
        <v>-7900.81088</v>
      </c>
    </row>
    <row r="33" spans="2:14" ht="16" customHeight="1" x14ac:dyDescent="0.35">
      <c r="B33" s="14" t="s">
        <v>1095</v>
      </c>
      <c r="C33" s="14" t="s">
        <v>1096</v>
      </c>
      <c r="D33" s="15">
        <v>-6465.13897</v>
      </c>
      <c r="E33" s="15">
        <v>-714.85635000000002</v>
      </c>
      <c r="F33" s="15">
        <v>-15612.08675</v>
      </c>
      <c r="G33" s="15">
        <v>-2120.87527</v>
      </c>
      <c r="H33" s="15">
        <v>-1819.55999</v>
      </c>
      <c r="I33" s="15">
        <v>-1524.5614700000001</v>
      </c>
      <c r="J33" s="15">
        <v>-325.44565999999998</v>
      </c>
      <c r="K33" s="15">
        <v>-889.78714000000002</v>
      </c>
      <c r="L33" s="15">
        <v>-297.11964</v>
      </c>
      <c r="M33" s="15">
        <v>-368.49227000000002</v>
      </c>
      <c r="N33" s="23">
        <v>-30137.923510000001</v>
      </c>
    </row>
    <row r="34" spans="2:14" ht="16" customHeight="1" x14ac:dyDescent="0.35">
      <c r="B34" s="14" t="s">
        <v>1097</v>
      </c>
      <c r="C34" s="14" t="s">
        <v>1098</v>
      </c>
      <c r="D34" s="15">
        <v>-18.657050000000002</v>
      </c>
      <c r="E34" s="15"/>
      <c r="F34" s="15">
        <v>-13217.32379</v>
      </c>
      <c r="G34" s="15"/>
      <c r="H34" s="15"/>
      <c r="I34" s="15">
        <v>0</v>
      </c>
      <c r="J34" s="15">
        <v>0</v>
      </c>
      <c r="K34" s="15">
        <v>-26.36</v>
      </c>
      <c r="L34" s="15"/>
      <c r="M34" s="15">
        <v>0</v>
      </c>
      <c r="N34" s="23">
        <v>-13262.340840000001</v>
      </c>
    </row>
    <row r="35" spans="2:14" ht="16" customHeight="1" x14ac:dyDescent="0.35">
      <c r="B35" s="14" t="s">
        <v>1099</v>
      </c>
      <c r="C35" s="14" t="s">
        <v>1100</v>
      </c>
      <c r="D35" s="15">
        <v>-260.58323000000001</v>
      </c>
      <c r="E35" s="15"/>
      <c r="F35" s="15">
        <v>-6847.9826599999997</v>
      </c>
      <c r="G35" s="15"/>
      <c r="H35" s="15"/>
      <c r="I35" s="15"/>
      <c r="J35" s="15"/>
      <c r="K35" s="15"/>
      <c r="L35" s="15"/>
      <c r="M35" s="15"/>
      <c r="N35" s="23">
        <v>-7108.5658899999999</v>
      </c>
    </row>
    <row r="36" spans="2:14" ht="16" customHeight="1" x14ac:dyDescent="0.35">
      <c r="B36" s="14" t="s">
        <v>1101</v>
      </c>
      <c r="C36" s="14" t="s">
        <v>1102</v>
      </c>
      <c r="D36" s="15">
        <v>-145.40275</v>
      </c>
      <c r="E36" s="15"/>
      <c r="F36" s="15">
        <v>-5.8422799999999997</v>
      </c>
      <c r="G36" s="15"/>
      <c r="H36" s="15"/>
      <c r="I36" s="15"/>
      <c r="J36" s="15"/>
      <c r="K36" s="15"/>
      <c r="L36" s="15"/>
      <c r="M36" s="15"/>
      <c r="N36" s="23">
        <v>-151.24503000000001</v>
      </c>
    </row>
    <row r="37" spans="2:14" ht="16" customHeight="1" x14ac:dyDescent="0.35">
      <c r="B37" s="14" t="s">
        <v>1103</v>
      </c>
      <c r="C37" s="14" t="s">
        <v>1104</v>
      </c>
      <c r="D37" s="15">
        <v>-126.7158</v>
      </c>
      <c r="E37" s="15">
        <v>-34.563040000000001</v>
      </c>
      <c r="F37" s="15">
        <v>-618.27434000000005</v>
      </c>
      <c r="G37" s="15">
        <v>-185.16251</v>
      </c>
      <c r="H37" s="15">
        <v>-353.02352000000002</v>
      </c>
      <c r="I37" s="15">
        <v>-557.30187999999998</v>
      </c>
      <c r="J37" s="15">
        <v>-4.4016999999999999</v>
      </c>
      <c r="K37" s="15">
        <v>-159.59832</v>
      </c>
      <c r="L37" s="15">
        <v>-12.66394</v>
      </c>
      <c r="M37" s="15">
        <v>-22.026710000000001</v>
      </c>
      <c r="N37" s="23">
        <v>-2073.7317600000001</v>
      </c>
    </row>
    <row r="38" spans="2:14" ht="16" customHeight="1" x14ac:dyDescent="0.35">
      <c r="B38" s="14" t="s">
        <v>1105</v>
      </c>
      <c r="C38" s="14" t="s">
        <v>80</v>
      </c>
      <c r="D38" s="15">
        <v>-6649.3602899999996</v>
      </c>
      <c r="E38" s="15">
        <v>-25.795590000000001</v>
      </c>
      <c r="F38" s="15">
        <v>-4630.9396399999996</v>
      </c>
      <c r="G38" s="15">
        <v>-39.287210000000002</v>
      </c>
      <c r="H38" s="15">
        <v>-105.54456999999999</v>
      </c>
      <c r="I38" s="15">
        <v>-788.50544000000002</v>
      </c>
      <c r="J38" s="15">
        <v>-19.871949999999998</v>
      </c>
      <c r="K38" s="15">
        <v>-163.38969</v>
      </c>
      <c r="L38" s="15">
        <v>-1674.61968</v>
      </c>
      <c r="M38" s="15">
        <v>-152.81433999999999</v>
      </c>
      <c r="N38" s="23">
        <v>-14250.1284</v>
      </c>
    </row>
    <row r="39" spans="2:14" ht="16" customHeight="1" x14ac:dyDescent="0.35">
      <c r="B39" s="14" t="s">
        <v>1106</v>
      </c>
      <c r="C39" s="14" t="s">
        <v>762</v>
      </c>
      <c r="D39" s="15">
        <v>-2738.50497</v>
      </c>
      <c r="E39" s="15">
        <v>-2.9849399999999999</v>
      </c>
      <c r="F39" s="15">
        <v>408.93979999999999</v>
      </c>
      <c r="G39" s="15">
        <v>-8.6857799999999994</v>
      </c>
      <c r="H39" s="15">
        <v>-26.283770000000001</v>
      </c>
      <c r="I39" s="15">
        <v>-111.23438</v>
      </c>
      <c r="J39" s="15"/>
      <c r="K39" s="15"/>
      <c r="L39" s="15">
        <v>-10.66717</v>
      </c>
      <c r="M39" s="15"/>
      <c r="N39" s="23">
        <v>-2489.42121</v>
      </c>
    </row>
    <row r="40" spans="2:14" ht="16" customHeight="1" x14ac:dyDescent="0.35">
      <c r="B40" s="14" t="s">
        <v>1107</v>
      </c>
      <c r="C40" s="14" t="s">
        <v>1108</v>
      </c>
      <c r="D40" s="15">
        <v>-3023.72361</v>
      </c>
      <c r="E40" s="15"/>
      <c r="F40" s="15">
        <v>576.25458000000003</v>
      </c>
      <c r="G40" s="15"/>
      <c r="H40" s="15"/>
      <c r="I40" s="15"/>
      <c r="J40" s="15"/>
      <c r="K40" s="15"/>
      <c r="L40" s="15"/>
      <c r="M40" s="15"/>
      <c r="N40" s="23">
        <v>-2447.4690300000002</v>
      </c>
    </row>
    <row r="41" spans="2:14" ht="16" customHeight="1" x14ac:dyDescent="0.35">
      <c r="B41" s="14" t="s">
        <v>1109</v>
      </c>
      <c r="C41" s="14" t="s">
        <v>1110</v>
      </c>
      <c r="D41" s="15">
        <v>-1765.80466</v>
      </c>
      <c r="E41" s="15">
        <v>-21.805430000000001</v>
      </c>
      <c r="F41" s="15">
        <v>-7436.6979099999999</v>
      </c>
      <c r="G41" s="15">
        <v>-659.30754000000002</v>
      </c>
      <c r="H41" s="15">
        <v>-494.21710000000002</v>
      </c>
      <c r="I41" s="15">
        <v>-1124.30134</v>
      </c>
      <c r="J41" s="15">
        <v>-736.24938999999995</v>
      </c>
      <c r="K41" s="15">
        <v>-1088.62357</v>
      </c>
      <c r="L41" s="15">
        <v>-2586.89264</v>
      </c>
      <c r="M41" s="15">
        <v>-27.465039999999998</v>
      </c>
      <c r="N41" s="23">
        <v>-15941.36462</v>
      </c>
    </row>
    <row r="42" spans="2:14" ht="16" customHeight="1" x14ac:dyDescent="0.35">
      <c r="B42" s="14" t="s">
        <v>1111</v>
      </c>
      <c r="C42" s="14" t="s">
        <v>1112</v>
      </c>
      <c r="D42" s="15">
        <v>826.65850999999998</v>
      </c>
      <c r="E42" s="15">
        <v>2.4471699999999998</v>
      </c>
      <c r="F42" s="15">
        <v>14414.585859999999</v>
      </c>
      <c r="G42" s="15">
        <v>687.49450000000002</v>
      </c>
      <c r="H42" s="15">
        <v>444.30252999999999</v>
      </c>
      <c r="I42" s="15">
        <v>1178.99919</v>
      </c>
      <c r="J42" s="15">
        <v>479.90100000000001</v>
      </c>
      <c r="K42" s="15">
        <v>1229.70129</v>
      </c>
      <c r="L42" s="15">
        <v>3283.3273899999999</v>
      </c>
      <c r="M42" s="15">
        <v>152.44103000000001</v>
      </c>
      <c r="N42" s="23">
        <v>22699.858469999999</v>
      </c>
    </row>
    <row r="43" spans="2:14" ht="16" customHeight="1" x14ac:dyDescent="0.35">
      <c r="B43" s="14" t="s">
        <v>1113</v>
      </c>
      <c r="C43" s="14" t="s">
        <v>1114</v>
      </c>
      <c r="D43" s="15">
        <v>0</v>
      </c>
      <c r="E43" s="15"/>
      <c r="F43" s="15">
        <v>1080.5885000000001</v>
      </c>
      <c r="G43" s="15"/>
      <c r="H43" s="15"/>
      <c r="I43" s="15"/>
      <c r="J43" s="15"/>
      <c r="K43" s="15"/>
      <c r="L43" s="15"/>
      <c r="M43" s="15"/>
      <c r="N43" s="23">
        <v>1080.5885000000001</v>
      </c>
    </row>
    <row r="44" spans="2:14" ht="16" customHeight="1" x14ac:dyDescent="0.35">
      <c r="B44" s="14" t="s">
        <v>1115</v>
      </c>
      <c r="C44" s="14" t="s">
        <v>1116</v>
      </c>
      <c r="D44" s="15"/>
      <c r="E44" s="15"/>
      <c r="F44" s="15">
        <v>59.968679999999999</v>
      </c>
      <c r="G44" s="15"/>
      <c r="H44" s="15"/>
      <c r="I44" s="15"/>
      <c r="J44" s="15"/>
      <c r="K44" s="15"/>
      <c r="L44" s="15"/>
      <c r="M44" s="15"/>
      <c r="N44" s="23">
        <v>59.968679999999999</v>
      </c>
    </row>
    <row r="45" spans="2:14" ht="16" customHeight="1" x14ac:dyDescent="0.35">
      <c r="B45" s="14" t="s">
        <v>1117</v>
      </c>
      <c r="C45" s="14" t="s">
        <v>88</v>
      </c>
      <c r="D45" s="15"/>
      <c r="E45" s="15"/>
      <c r="F45" s="15">
        <v>0</v>
      </c>
      <c r="G45" s="15"/>
      <c r="H45" s="15"/>
      <c r="I45" s="15"/>
      <c r="J45" s="15"/>
      <c r="K45" s="15"/>
      <c r="L45" s="15"/>
      <c r="M45" s="15"/>
      <c r="N45" s="23">
        <v>0</v>
      </c>
    </row>
    <row r="46" spans="2:14" ht="16" customHeight="1" x14ac:dyDescent="0.35">
      <c r="B46" s="14" t="s">
        <v>1118</v>
      </c>
      <c r="C46" s="14" t="s">
        <v>64</v>
      </c>
      <c r="D46" s="15"/>
      <c r="E46" s="15"/>
      <c r="F46" s="15">
        <v>0.1208</v>
      </c>
      <c r="G46" s="15"/>
      <c r="H46" s="15"/>
      <c r="I46" s="15"/>
      <c r="J46" s="15"/>
      <c r="K46" s="15"/>
      <c r="L46" s="15"/>
      <c r="M46" s="15"/>
      <c r="N46" s="23">
        <v>0.1208</v>
      </c>
    </row>
    <row r="47" spans="2:14" ht="16" customHeight="1" x14ac:dyDescent="0.35">
      <c r="B47" s="14" t="s">
        <v>121</v>
      </c>
      <c r="C47" s="42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23"/>
    </row>
    <row r="48" spans="2:14" ht="16" customHeight="1" x14ac:dyDescent="0.35">
      <c r="B48" s="16" t="s">
        <v>1707</v>
      </c>
      <c r="C48" s="105"/>
      <c r="D48" s="17">
        <f t="shared" ref="D48:N48" si="1">SUBTOTAL(109, D31:D47)</f>
        <v>-21314.595549999998</v>
      </c>
      <c r="E48" s="17">
        <f t="shared" si="1"/>
        <v>-797.63112999999998</v>
      </c>
      <c r="F48" s="17">
        <f t="shared" si="1"/>
        <v>-40172.536550000012</v>
      </c>
      <c r="G48" s="17">
        <f t="shared" si="1"/>
        <v>-2325.8238099999999</v>
      </c>
      <c r="H48" s="17">
        <f t="shared" si="1"/>
        <v>-2354.3264199999999</v>
      </c>
      <c r="I48" s="17">
        <f t="shared" si="1"/>
        <v>-2926.9053200000003</v>
      </c>
      <c r="J48" s="17">
        <f t="shared" si="1"/>
        <v>-606.06769999999983</v>
      </c>
      <c r="K48" s="17">
        <f t="shared" si="1"/>
        <v>-1098.0574299999998</v>
      </c>
      <c r="L48" s="17">
        <f t="shared" si="1"/>
        <v>-1298.6356799999999</v>
      </c>
      <c r="M48" s="17">
        <f t="shared" si="1"/>
        <v>-418.35732999999999</v>
      </c>
      <c r="N48" s="24">
        <f t="shared" si="1"/>
        <v>-73312.936920000007</v>
      </c>
    </row>
    <row r="49" spans="2:14" ht="16" customHeight="1" x14ac:dyDescent="0.35">
      <c r="B49" s="11"/>
      <c r="C49" s="10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22"/>
    </row>
    <row r="50" spans="2:14" ht="16" customHeight="1" x14ac:dyDescent="0.35">
      <c r="B50" s="16" t="s">
        <v>1708</v>
      </c>
      <c r="C50" s="105"/>
      <c r="D50" s="17">
        <f t="shared" ref="D50:N50" si="2">SUM(D29, D48)</f>
        <v>-58323.638609999995</v>
      </c>
      <c r="E50" s="17">
        <f t="shared" si="2"/>
        <v>-797.63112999999998</v>
      </c>
      <c r="F50" s="17">
        <f t="shared" si="2"/>
        <v>-91144.440070000011</v>
      </c>
      <c r="G50" s="17">
        <f t="shared" si="2"/>
        <v>-2327.5539799999997</v>
      </c>
      <c r="H50" s="17">
        <f t="shared" si="2"/>
        <v>-2383.67398</v>
      </c>
      <c r="I50" s="17">
        <f t="shared" si="2"/>
        <v>-2926.9053200000003</v>
      </c>
      <c r="J50" s="17">
        <f t="shared" si="2"/>
        <v>-606.06769999999983</v>
      </c>
      <c r="K50" s="17">
        <f t="shared" si="2"/>
        <v>-1098.0574299999998</v>
      </c>
      <c r="L50" s="17">
        <f t="shared" si="2"/>
        <v>-1298.6356799999999</v>
      </c>
      <c r="M50" s="17">
        <f t="shared" si="2"/>
        <v>-418.35732999999999</v>
      </c>
      <c r="N50" s="24">
        <f t="shared" si="2"/>
        <v>-161324.96123000002</v>
      </c>
    </row>
  </sheetData>
  <mergeCells count="2">
    <mergeCell ref="B4:C4"/>
    <mergeCell ref="B6:C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201_YTD</vt:lpstr>
      <vt:lpstr>201_QTD</vt:lpstr>
      <vt:lpstr>201_MTD</vt:lpstr>
      <vt:lpstr>202_YTD</vt:lpstr>
      <vt:lpstr>203_YTD</vt:lpstr>
      <vt:lpstr>203_QTD</vt:lpstr>
      <vt:lpstr>203_MTD</vt:lpstr>
      <vt:lpstr>204_YTD</vt:lpstr>
      <vt:lpstr>205_YTD</vt:lpstr>
      <vt:lpstr>205_MTD</vt:lpstr>
      <vt:lpstr>206_YTD</vt:lpstr>
      <vt:lpstr>210B_YTD</vt:lpstr>
      <vt:lpstr>211B_YTD</vt:lpstr>
      <vt:lpstr>212B_YTD</vt:lpstr>
      <vt:lpstr>315_YTD</vt:lpstr>
      <vt:lpstr>315_QTD</vt:lpstr>
      <vt:lpstr>315_MTD</vt:lpstr>
      <vt:lpstr>316_SFP</vt:lpstr>
      <vt:lpstr>317_SCF</vt:lpstr>
      <vt:lpstr>402_YTD</vt:lpstr>
      <vt:lpstr>402_MTD</vt:lpstr>
      <vt:lpstr>402_QTD</vt:lpstr>
      <vt:lpstr>404_YTD</vt:lpstr>
      <vt:lpstr>404_MTD</vt:lpstr>
    </vt:vector>
  </TitlesOfParts>
  <Company>Holcim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Brayan Alexis Moreno Aguirre</dc:creator>
  <cp:lastModifiedBy>Brayan Alexis Moreno Aguirre</cp:lastModifiedBy>
  <dcterms:created xsi:type="dcterms:W3CDTF">2026-06-16T13:13:37Z</dcterms:created>
  <dcterms:modified xsi:type="dcterms:W3CDTF">2026-06-16T13:13:51Z</dcterms:modified>
</cp:coreProperties>
</file>