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orenoa\Desktop\Reports Automation\"/>
    </mc:Choice>
  </mc:AlternateContent>
  <xr:revisionPtr revIDLastSave="0" documentId="8_{F567BC10-7FC8-4DB8-BE4E-BA7E72475DDC}" xr6:coauthVersionLast="47" xr6:coauthVersionMax="47" xr10:uidLastSave="{00000000-0000-0000-0000-000000000000}"/>
  <bookViews>
    <workbookView xWindow="2280" yWindow="2280" windowWidth="14400" windowHeight="8170" firstSheet="18" activeTab="22" xr2:uid="{A1360802-B7A3-4DEF-8678-1D31F07EEECF}"/>
  </bookViews>
  <sheets>
    <sheet name="201_YTD" sheetId="2" r:id="rId1"/>
    <sheet name="201_QTD" sheetId="3" r:id="rId2"/>
    <sheet name="201_MTD" sheetId="4" r:id="rId3"/>
    <sheet name="202_YTD" sheetId="5" r:id="rId4"/>
    <sheet name="203_YTD" sheetId="6" r:id="rId5"/>
    <sheet name="203_QTD" sheetId="7" r:id="rId6"/>
    <sheet name="203_MTD" sheetId="8" r:id="rId7"/>
    <sheet name="204_YTD" sheetId="9" r:id="rId8"/>
    <sheet name="205_YTD" sheetId="10" r:id="rId9"/>
    <sheet name="205_MTD" sheetId="11" r:id="rId10"/>
    <sheet name="206_YTD" sheetId="12" r:id="rId11"/>
    <sheet name="210B_YTD" sheetId="13" r:id="rId12"/>
    <sheet name="211B_YTD" sheetId="14" r:id="rId13"/>
    <sheet name="315_YTD" sheetId="15" r:id="rId14"/>
    <sheet name="315_QTD" sheetId="16" r:id="rId15"/>
    <sheet name="315_MTD" sheetId="17" r:id="rId16"/>
    <sheet name="316_SFP" sheetId="18" r:id="rId17"/>
    <sheet name="317_SCF" sheetId="19" r:id="rId18"/>
    <sheet name="402_YTD" sheetId="20" r:id="rId19"/>
    <sheet name="402_MTD" sheetId="21" r:id="rId20"/>
    <sheet name="402_QTD" sheetId="22" r:id="rId21"/>
    <sheet name="404_YTD" sheetId="23" r:id="rId22"/>
    <sheet name="404_MTD" sheetId="24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0" i="24" l="1"/>
  <c r="K50" i="24"/>
  <c r="J50" i="24"/>
  <c r="I50" i="24"/>
  <c r="H50" i="24"/>
  <c r="G50" i="24"/>
  <c r="F50" i="24"/>
  <c r="E50" i="24"/>
  <c r="D50" i="24"/>
  <c r="N48" i="24"/>
  <c r="M48" i="24"/>
  <c r="L48" i="24"/>
  <c r="K48" i="24"/>
  <c r="J48" i="24"/>
  <c r="I48" i="24"/>
  <c r="H48" i="24"/>
  <c r="G48" i="24"/>
  <c r="F48" i="24"/>
  <c r="E48" i="24"/>
  <c r="D48" i="24"/>
  <c r="N29" i="24"/>
  <c r="N50" i="24" s="1"/>
  <c r="M29" i="24"/>
  <c r="M50" i="24" s="1"/>
  <c r="L29" i="24"/>
  <c r="K29" i="24"/>
  <c r="J29" i="24"/>
  <c r="I29" i="24"/>
  <c r="H29" i="24"/>
  <c r="G29" i="24"/>
  <c r="F29" i="24"/>
  <c r="E29" i="24"/>
  <c r="D29" i="24"/>
  <c r="L50" i="23"/>
  <c r="K50" i="23"/>
  <c r="J50" i="23"/>
  <c r="I50" i="23"/>
  <c r="H50" i="23"/>
  <c r="G50" i="23"/>
  <c r="F50" i="23"/>
  <c r="E50" i="23"/>
  <c r="D50" i="23"/>
  <c r="N48" i="23"/>
  <c r="M48" i="23"/>
  <c r="L48" i="23"/>
  <c r="K48" i="23"/>
  <c r="J48" i="23"/>
  <c r="I48" i="23"/>
  <c r="H48" i="23"/>
  <c r="G48" i="23"/>
  <c r="F48" i="23"/>
  <c r="E48" i="23"/>
  <c r="D48" i="23"/>
  <c r="N29" i="23"/>
  <c r="N50" i="23" s="1"/>
  <c r="M29" i="23"/>
  <c r="M50" i="23" s="1"/>
  <c r="L29" i="23"/>
  <c r="K29" i="23"/>
  <c r="J29" i="23"/>
  <c r="I29" i="23"/>
  <c r="H29" i="23"/>
  <c r="G29" i="23"/>
  <c r="F29" i="23"/>
  <c r="E29" i="23"/>
  <c r="D29" i="23"/>
  <c r="W220" i="22"/>
  <c r="V220" i="22"/>
  <c r="L220" i="22"/>
  <c r="K220" i="22"/>
  <c r="AG218" i="22"/>
  <c r="AF218" i="22"/>
  <c r="AE218" i="22"/>
  <c r="AD218" i="22"/>
  <c r="AC218" i="22"/>
  <c r="AB218" i="22"/>
  <c r="AA218" i="22"/>
  <c r="Z218" i="22"/>
  <c r="Y218" i="22"/>
  <c r="X218" i="22"/>
  <c r="X220" i="22" s="1"/>
  <c r="W218" i="22"/>
  <c r="V218" i="22"/>
  <c r="U218" i="22"/>
  <c r="T218" i="22"/>
  <c r="S218" i="22"/>
  <c r="R218" i="22"/>
  <c r="Q218" i="22"/>
  <c r="P218" i="22"/>
  <c r="O218" i="22"/>
  <c r="N218" i="22"/>
  <c r="M218" i="22"/>
  <c r="L218" i="22"/>
  <c r="K218" i="22"/>
  <c r="E218" i="22"/>
  <c r="G217" i="22"/>
  <c r="I217" i="22" s="1"/>
  <c r="G216" i="22"/>
  <c r="I216" i="22" s="1"/>
  <c r="G215" i="22"/>
  <c r="I215" i="22" s="1"/>
  <c r="G214" i="22"/>
  <c r="I214" i="22" s="1"/>
  <c r="G213" i="22"/>
  <c r="I213" i="22" s="1"/>
  <c r="G212" i="22"/>
  <c r="I212" i="22" s="1"/>
  <c r="G211" i="22"/>
  <c r="I211" i="22" s="1"/>
  <c r="I210" i="22"/>
  <c r="G210" i="22"/>
  <c r="G209" i="22"/>
  <c r="I209" i="22" s="1"/>
  <c r="G208" i="22"/>
  <c r="I208" i="22" s="1"/>
  <c r="G207" i="22"/>
  <c r="I207" i="22" s="1"/>
  <c r="G206" i="22"/>
  <c r="I206" i="22" s="1"/>
  <c r="G205" i="22"/>
  <c r="I205" i="22" s="1"/>
  <c r="G204" i="22"/>
  <c r="I204" i="22" s="1"/>
  <c r="I203" i="22"/>
  <c r="G203" i="22"/>
  <c r="G202" i="22"/>
  <c r="I202" i="22" s="1"/>
  <c r="G201" i="22"/>
  <c r="I201" i="22" s="1"/>
  <c r="G200" i="22"/>
  <c r="I200" i="22" s="1"/>
  <c r="G199" i="22"/>
  <c r="I199" i="22" s="1"/>
  <c r="G198" i="22"/>
  <c r="I198" i="22" s="1"/>
  <c r="G197" i="22"/>
  <c r="I197" i="22" s="1"/>
  <c r="I196" i="22"/>
  <c r="G196" i="22"/>
  <c r="G195" i="22"/>
  <c r="I195" i="22" s="1"/>
  <c r="G194" i="22"/>
  <c r="I194" i="22" s="1"/>
  <c r="G193" i="22"/>
  <c r="I193" i="22" s="1"/>
  <c r="G192" i="22"/>
  <c r="I192" i="22" s="1"/>
  <c r="G191" i="22"/>
  <c r="I191" i="22" s="1"/>
  <c r="G190" i="22"/>
  <c r="I190" i="22" s="1"/>
  <c r="G189" i="22"/>
  <c r="I189" i="22" s="1"/>
  <c r="G188" i="22"/>
  <c r="I188" i="22" s="1"/>
  <c r="G187" i="22"/>
  <c r="I187" i="22" s="1"/>
  <c r="G186" i="22"/>
  <c r="I186" i="22" s="1"/>
  <c r="G185" i="22"/>
  <c r="I185" i="22" s="1"/>
  <c r="G184" i="22"/>
  <c r="I184" i="22" s="1"/>
  <c r="G183" i="22"/>
  <c r="I183" i="22" s="1"/>
  <c r="G182" i="22"/>
  <c r="I182" i="22" s="1"/>
  <c r="I181" i="22"/>
  <c r="G181" i="22"/>
  <c r="G180" i="22"/>
  <c r="I180" i="22" s="1"/>
  <c r="G179" i="22"/>
  <c r="I179" i="22" s="1"/>
  <c r="G178" i="22"/>
  <c r="I178" i="22" s="1"/>
  <c r="G177" i="22"/>
  <c r="I177" i="22" s="1"/>
  <c r="G176" i="22"/>
  <c r="I176" i="22" s="1"/>
  <c r="G175" i="22"/>
  <c r="I175" i="22" s="1"/>
  <c r="I174" i="22"/>
  <c r="G174" i="22"/>
  <c r="G173" i="22"/>
  <c r="I173" i="22" s="1"/>
  <c r="G172" i="22"/>
  <c r="I172" i="22" s="1"/>
  <c r="G171" i="22"/>
  <c r="I171" i="22" s="1"/>
  <c r="G170" i="22"/>
  <c r="I170" i="22" s="1"/>
  <c r="G169" i="22"/>
  <c r="I169" i="22" s="1"/>
  <c r="I168" i="22"/>
  <c r="G168" i="22"/>
  <c r="I167" i="22"/>
  <c r="G167" i="22"/>
  <c r="G166" i="22"/>
  <c r="I166" i="22" s="1"/>
  <c r="G165" i="22"/>
  <c r="I165" i="22" s="1"/>
  <c r="G164" i="22"/>
  <c r="I164" i="22" s="1"/>
  <c r="G163" i="22"/>
  <c r="I163" i="22" s="1"/>
  <c r="G162" i="22"/>
  <c r="I162" i="22" s="1"/>
  <c r="G161" i="22"/>
  <c r="I161" i="22" s="1"/>
  <c r="I160" i="22"/>
  <c r="G160" i="22"/>
  <c r="G159" i="22"/>
  <c r="I159" i="22" s="1"/>
  <c r="G158" i="22"/>
  <c r="I158" i="22" s="1"/>
  <c r="G157" i="22"/>
  <c r="I157" i="22" s="1"/>
  <c r="G156" i="22"/>
  <c r="I156" i="22" s="1"/>
  <c r="G155" i="22"/>
  <c r="I155" i="22" s="1"/>
  <c r="G154" i="22"/>
  <c r="I154" i="22" s="1"/>
  <c r="G153" i="22"/>
  <c r="I153" i="22" s="1"/>
  <c r="G152" i="22"/>
  <c r="I152" i="22" s="1"/>
  <c r="G151" i="22"/>
  <c r="I151" i="22" s="1"/>
  <c r="G150" i="22"/>
  <c r="I150" i="22" s="1"/>
  <c r="G149" i="22"/>
  <c r="I149" i="22" s="1"/>
  <c r="G148" i="22"/>
  <c r="I148" i="22" s="1"/>
  <c r="G147" i="22"/>
  <c r="I147" i="22" s="1"/>
  <c r="G146" i="22"/>
  <c r="I146" i="22" s="1"/>
  <c r="I145" i="22"/>
  <c r="G145" i="22"/>
  <c r="G144" i="22"/>
  <c r="I144" i="22" s="1"/>
  <c r="G143" i="22"/>
  <c r="I143" i="22" s="1"/>
  <c r="G142" i="22"/>
  <c r="I142" i="22" s="1"/>
  <c r="G141" i="22"/>
  <c r="I141" i="22" s="1"/>
  <c r="G140" i="22"/>
  <c r="I140" i="22" s="1"/>
  <c r="I139" i="22"/>
  <c r="G139" i="22"/>
  <c r="I138" i="22"/>
  <c r="G138" i="22"/>
  <c r="G137" i="22"/>
  <c r="I137" i="22" s="1"/>
  <c r="G136" i="22"/>
  <c r="I136" i="22" s="1"/>
  <c r="G135" i="22"/>
  <c r="I135" i="22" s="1"/>
  <c r="G134" i="22"/>
  <c r="I134" i="22" s="1"/>
  <c r="G133" i="22"/>
  <c r="I133" i="22" s="1"/>
  <c r="G132" i="22"/>
  <c r="I132" i="22" s="1"/>
  <c r="I131" i="22"/>
  <c r="G131" i="22"/>
  <c r="G130" i="22"/>
  <c r="I130" i="22" s="1"/>
  <c r="G129" i="22"/>
  <c r="I129" i="22" s="1"/>
  <c r="G128" i="22"/>
  <c r="I128" i="22" s="1"/>
  <c r="G127" i="22"/>
  <c r="I127" i="22" s="1"/>
  <c r="G126" i="22"/>
  <c r="I126" i="22" s="1"/>
  <c r="G125" i="22"/>
  <c r="I125" i="22" s="1"/>
  <c r="I124" i="22"/>
  <c r="G124" i="22"/>
  <c r="G123" i="22"/>
  <c r="I123" i="22" s="1"/>
  <c r="AG121" i="22"/>
  <c r="AG220" i="22" s="1"/>
  <c r="AF121" i="22"/>
  <c r="AF220" i="22" s="1"/>
  <c r="AE121" i="22"/>
  <c r="AE220" i="22" s="1"/>
  <c r="AD121" i="22"/>
  <c r="AD220" i="22" s="1"/>
  <c r="AC121" i="22"/>
  <c r="AC220" i="22" s="1"/>
  <c r="AB121" i="22"/>
  <c r="AB220" i="22" s="1"/>
  <c r="AA121" i="22"/>
  <c r="AA220" i="22" s="1"/>
  <c r="Z121" i="22"/>
  <c r="Z220" i="22" s="1"/>
  <c r="Y121" i="22"/>
  <c r="Y220" i="22" s="1"/>
  <c r="X121" i="22"/>
  <c r="W121" i="22"/>
  <c r="V121" i="22"/>
  <c r="U121" i="22"/>
  <c r="U220" i="22" s="1"/>
  <c r="T121" i="22"/>
  <c r="T220" i="22" s="1"/>
  <c r="S121" i="22"/>
  <c r="S220" i="22" s="1"/>
  <c r="R121" i="22"/>
  <c r="R220" i="22" s="1"/>
  <c r="Q121" i="22"/>
  <c r="Q220" i="22" s="1"/>
  <c r="P121" i="22"/>
  <c r="P220" i="22" s="1"/>
  <c r="O121" i="22"/>
  <c r="O220" i="22" s="1"/>
  <c r="N121" i="22"/>
  <c r="N220" i="22" s="1"/>
  <c r="M121" i="22"/>
  <c r="M220" i="22" s="1"/>
  <c r="L121" i="22"/>
  <c r="K121" i="22"/>
  <c r="E121" i="22"/>
  <c r="E220" i="22" s="1"/>
  <c r="G120" i="22"/>
  <c r="I120" i="22" s="1"/>
  <c r="G119" i="22"/>
  <c r="I119" i="22" s="1"/>
  <c r="G118" i="22"/>
  <c r="I118" i="22" s="1"/>
  <c r="G117" i="22"/>
  <c r="I117" i="22" s="1"/>
  <c r="G116" i="22"/>
  <c r="I116" i="22" s="1"/>
  <c r="G115" i="22"/>
  <c r="I115" i="22" s="1"/>
  <c r="G114" i="22"/>
  <c r="I114" i="22" s="1"/>
  <c r="G113" i="22"/>
  <c r="I113" i="22" s="1"/>
  <c r="G112" i="22"/>
  <c r="I112" i="22" s="1"/>
  <c r="G111" i="22"/>
  <c r="I111" i="22" s="1"/>
  <c r="G110" i="22"/>
  <c r="I110" i="22" s="1"/>
  <c r="G109" i="22"/>
  <c r="I109" i="22" s="1"/>
  <c r="I108" i="22"/>
  <c r="G108" i="22"/>
  <c r="G107" i="22"/>
  <c r="I107" i="22" s="1"/>
  <c r="G106" i="22"/>
  <c r="I106" i="22" s="1"/>
  <c r="G105" i="22"/>
  <c r="I105" i="22" s="1"/>
  <c r="G104" i="22"/>
  <c r="I104" i="22" s="1"/>
  <c r="G103" i="22"/>
  <c r="I103" i="22" s="1"/>
  <c r="G102" i="22"/>
  <c r="I102" i="22" s="1"/>
  <c r="I101" i="22"/>
  <c r="G101" i="22"/>
  <c r="G100" i="22"/>
  <c r="I100" i="22" s="1"/>
  <c r="G99" i="22"/>
  <c r="I99" i="22" s="1"/>
  <c r="G98" i="22"/>
  <c r="I98" i="22" s="1"/>
  <c r="G97" i="22"/>
  <c r="I97" i="22" s="1"/>
  <c r="G96" i="22"/>
  <c r="I96" i="22" s="1"/>
  <c r="G95" i="22"/>
  <c r="I95" i="22" s="1"/>
  <c r="I94" i="22"/>
  <c r="G94" i="22"/>
  <c r="G93" i="22"/>
  <c r="I93" i="22" s="1"/>
  <c r="G92" i="22"/>
  <c r="I92" i="22" s="1"/>
  <c r="G91" i="22"/>
  <c r="I91" i="22" s="1"/>
  <c r="G90" i="22"/>
  <c r="I90" i="22" s="1"/>
  <c r="G89" i="22"/>
  <c r="I89" i="22" s="1"/>
  <c r="G88" i="22"/>
  <c r="I88" i="22" s="1"/>
  <c r="I87" i="22"/>
  <c r="G87" i="22"/>
  <c r="G86" i="22"/>
  <c r="I86" i="22" s="1"/>
  <c r="G85" i="22"/>
  <c r="I85" i="22" s="1"/>
  <c r="G84" i="22"/>
  <c r="I84" i="22" s="1"/>
  <c r="G83" i="22"/>
  <c r="I83" i="22" s="1"/>
  <c r="G82" i="22"/>
  <c r="I82" i="22" s="1"/>
  <c r="G81" i="22"/>
  <c r="I81" i="22" s="1"/>
  <c r="G80" i="22"/>
  <c r="I80" i="22" s="1"/>
  <c r="G79" i="22"/>
  <c r="I79" i="22" s="1"/>
  <c r="G78" i="22"/>
  <c r="I78" i="22" s="1"/>
  <c r="G77" i="22"/>
  <c r="I77" i="22" s="1"/>
  <c r="G76" i="22"/>
  <c r="I76" i="22" s="1"/>
  <c r="G75" i="22"/>
  <c r="I75" i="22" s="1"/>
  <c r="G74" i="22"/>
  <c r="I74" i="22" s="1"/>
  <c r="G73" i="22"/>
  <c r="I73" i="22" s="1"/>
  <c r="I72" i="22"/>
  <c r="G72" i="22"/>
  <c r="G71" i="22"/>
  <c r="I71" i="22" s="1"/>
  <c r="G70" i="22"/>
  <c r="I70" i="22" s="1"/>
  <c r="G69" i="22"/>
  <c r="I69" i="22" s="1"/>
  <c r="G68" i="22"/>
  <c r="I68" i="22" s="1"/>
  <c r="G67" i="22"/>
  <c r="I67" i="22" s="1"/>
  <c r="G66" i="22"/>
  <c r="I66" i="22" s="1"/>
  <c r="I65" i="22"/>
  <c r="G65" i="22"/>
  <c r="G64" i="22"/>
  <c r="I64" i="22" s="1"/>
  <c r="G63" i="22"/>
  <c r="I63" i="22" s="1"/>
  <c r="G62" i="22"/>
  <c r="I62" i="22" s="1"/>
  <c r="G61" i="22"/>
  <c r="I61" i="22" s="1"/>
  <c r="G60" i="22"/>
  <c r="I60" i="22" s="1"/>
  <c r="G59" i="22"/>
  <c r="I59" i="22" s="1"/>
  <c r="I58" i="22"/>
  <c r="G58" i="22"/>
  <c r="G57" i="22"/>
  <c r="I57" i="22" s="1"/>
  <c r="G56" i="22"/>
  <c r="I56" i="22" s="1"/>
  <c r="G55" i="22"/>
  <c r="I55" i="22" s="1"/>
  <c r="G54" i="22"/>
  <c r="I54" i="22" s="1"/>
  <c r="G53" i="22"/>
  <c r="I53" i="22" s="1"/>
  <c r="G52" i="22"/>
  <c r="I52" i="22" s="1"/>
  <c r="I51" i="22"/>
  <c r="G51" i="22"/>
  <c r="G50" i="22"/>
  <c r="I50" i="22" s="1"/>
  <c r="G49" i="22"/>
  <c r="I49" i="22" s="1"/>
  <c r="G48" i="22"/>
  <c r="I48" i="22" s="1"/>
  <c r="G47" i="22"/>
  <c r="I47" i="22" s="1"/>
  <c r="G46" i="22"/>
  <c r="I46" i="22" s="1"/>
  <c r="G45" i="22"/>
  <c r="I45" i="22" s="1"/>
  <c r="G44" i="22"/>
  <c r="I44" i="22" s="1"/>
  <c r="G43" i="22"/>
  <c r="I43" i="22" s="1"/>
  <c r="G42" i="22"/>
  <c r="I42" i="22" s="1"/>
  <c r="G41" i="22"/>
  <c r="I41" i="22" s="1"/>
  <c r="G40" i="22"/>
  <c r="I40" i="22" s="1"/>
  <c r="G39" i="22"/>
  <c r="I39" i="22" s="1"/>
  <c r="G38" i="22"/>
  <c r="I38" i="22" s="1"/>
  <c r="G37" i="22"/>
  <c r="I37" i="22" s="1"/>
  <c r="I36" i="22"/>
  <c r="G36" i="22"/>
  <c r="G35" i="22"/>
  <c r="I35" i="22" s="1"/>
  <c r="G34" i="22"/>
  <c r="I34" i="22" s="1"/>
  <c r="G33" i="22"/>
  <c r="I33" i="22" s="1"/>
  <c r="G32" i="22"/>
  <c r="I32" i="22" s="1"/>
  <c r="G31" i="22"/>
  <c r="I31" i="22" s="1"/>
  <c r="G30" i="22"/>
  <c r="I30" i="22" s="1"/>
  <c r="I29" i="22"/>
  <c r="G29" i="22"/>
  <c r="G28" i="22"/>
  <c r="I28" i="22" s="1"/>
  <c r="G27" i="22"/>
  <c r="I27" i="22" s="1"/>
  <c r="G26" i="22"/>
  <c r="I26" i="22" s="1"/>
  <c r="G25" i="22"/>
  <c r="I25" i="22" s="1"/>
  <c r="G24" i="22"/>
  <c r="I24" i="22" s="1"/>
  <c r="G23" i="22"/>
  <c r="I23" i="22" s="1"/>
  <c r="I22" i="22"/>
  <c r="G22" i="22"/>
  <c r="G21" i="22"/>
  <c r="I21" i="22" s="1"/>
  <c r="G20" i="22"/>
  <c r="I20" i="22" s="1"/>
  <c r="G19" i="22"/>
  <c r="I19" i="22" s="1"/>
  <c r="G18" i="22"/>
  <c r="I18" i="22" s="1"/>
  <c r="G17" i="22"/>
  <c r="I17" i="22" s="1"/>
  <c r="G16" i="22"/>
  <c r="I16" i="22" s="1"/>
  <c r="I15" i="22"/>
  <c r="G15" i="22"/>
  <c r="G14" i="22"/>
  <c r="I14" i="22" s="1"/>
  <c r="G13" i="22"/>
  <c r="I13" i="22" s="1"/>
  <c r="G12" i="22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O220" i="21" s="1"/>
  <c r="N218" i="21"/>
  <c r="N220" i="21" s="1"/>
  <c r="M218" i="21"/>
  <c r="M220" i="21" s="1"/>
  <c r="L218" i="21"/>
  <c r="L220" i="21" s="1"/>
  <c r="K218" i="21"/>
  <c r="K220" i="21" s="1"/>
  <c r="E218" i="21"/>
  <c r="G217" i="21"/>
  <c r="I217" i="21" s="1"/>
  <c r="G216" i="21"/>
  <c r="I216" i="21" s="1"/>
  <c r="G215" i="21"/>
  <c r="I215" i="21" s="1"/>
  <c r="G214" i="21"/>
  <c r="I214" i="21" s="1"/>
  <c r="G213" i="21"/>
  <c r="I213" i="21" s="1"/>
  <c r="G212" i="21"/>
  <c r="I212" i="21" s="1"/>
  <c r="G211" i="21"/>
  <c r="I211" i="21" s="1"/>
  <c r="G210" i="21"/>
  <c r="I210" i="21" s="1"/>
  <c r="G209" i="21"/>
  <c r="I209" i="21" s="1"/>
  <c r="G208" i="21"/>
  <c r="I208" i="21" s="1"/>
  <c r="G207" i="21"/>
  <c r="I207" i="21" s="1"/>
  <c r="G206" i="21"/>
  <c r="I206" i="21" s="1"/>
  <c r="G205" i="21"/>
  <c r="I205" i="21" s="1"/>
  <c r="G204" i="21"/>
  <c r="I204" i="21" s="1"/>
  <c r="G203" i="21"/>
  <c r="I203" i="21" s="1"/>
  <c r="G202" i="21"/>
  <c r="I202" i="21" s="1"/>
  <c r="G201" i="21"/>
  <c r="I201" i="21" s="1"/>
  <c r="G200" i="21"/>
  <c r="I200" i="21" s="1"/>
  <c r="G199" i="21"/>
  <c r="I199" i="21" s="1"/>
  <c r="G198" i="21"/>
  <c r="I198" i="21" s="1"/>
  <c r="G197" i="21"/>
  <c r="I197" i="21" s="1"/>
  <c r="G196" i="21"/>
  <c r="I196" i="21" s="1"/>
  <c r="I195" i="21"/>
  <c r="G195" i="21"/>
  <c r="G194" i="21"/>
  <c r="I194" i="21" s="1"/>
  <c r="G193" i="21"/>
  <c r="I193" i="21" s="1"/>
  <c r="G192" i="21"/>
  <c r="I192" i="21" s="1"/>
  <c r="G191" i="21"/>
  <c r="I191" i="21" s="1"/>
  <c r="G190" i="21"/>
  <c r="I190" i="21" s="1"/>
  <c r="G189" i="21"/>
  <c r="I189" i="21" s="1"/>
  <c r="G188" i="21"/>
  <c r="I188" i="21" s="1"/>
  <c r="G187" i="21"/>
  <c r="I187" i="21" s="1"/>
  <c r="G186" i="21"/>
  <c r="I186" i="21" s="1"/>
  <c r="G185" i="21"/>
  <c r="I185" i="21" s="1"/>
  <c r="G184" i="21"/>
  <c r="I184" i="21" s="1"/>
  <c r="G183" i="21"/>
  <c r="I183" i="21" s="1"/>
  <c r="G182" i="21"/>
  <c r="I182" i="21" s="1"/>
  <c r="G181" i="21"/>
  <c r="I181" i="21" s="1"/>
  <c r="G180" i="21"/>
  <c r="I180" i="21" s="1"/>
  <c r="G179" i="21"/>
  <c r="I179" i="21" s="1"/>
  <c r="G178" i="21"/>
  <c r="I178" i="21" s="1"/>
  <c r="G177" i="21"/>
  <c r="I177" i="21" s="1"/>
  <c r="G176" i="21"/>
  <c r="I176" i="21" s="1"/>
  <c r="G175" i="21"/>
  <c r="I175" i="21" s="1"/>
  <c r="G174" i="21"/>
  <c r="I174" i="21" s="1"/>
  <c r="G173" i="21"/>
  <c r="I173" i="21" s="1"/>
  <c r="G172" i="21"/>
  <c r="I172" i="21" s="1"/>
  <c r="G171" i="21"/>
  <c r="I171" i="21" s="1"/>
  <c r="G170" i="21"/>
  <c r="I170" i="21" s="1"/>
  <c r="G169" i="21"/>
  <c r="I169" i="21" s="1"/>
  <c r="G168" i="21"/>
  <c r="I168" i="21" s="1"/>
  <c r="G167" i="21"/>
  <c r="I167" i="21" s="1"/>
  <c r="G166" i="21"/>
  <c r="I166" i="21" s="1"/>
  <c r="G165" i="21"/>
  <c r="I165" i="21" s="1"/>
  <c r="G164" i="21"/>
  <c r="I164" i="21" s="1"/>
  <c r="G163" i="21"/>
  <c r="I163" i="21" s="1"/>
  <c r="G162" i="21"/>
  <c r="I162" i="21" s="1"/>
  <c r="G161" i="21"/>
  <c r="I161" i="21" s="1"/>
  <c r="G160" i="21"/>
  <c r="I160" i="21" s="1"/>
  <c r="G159" i="21"/>
  <c r="I159" i="21" s="1"/>
  <c r="G158" i="21"/>
  <c r="I158" i="21" s="1"/>
  <c r="G157" i="21"/>
  <c r="I157" i="21" s="1"/>
  <c r="G156" i="21"/>
  <c r="I156" i="21" s="1"/>
  <c r="G155" i="21"/>
  <c r="I155" i="21" s="1"/>
  <c r="G154" i="21"/>
  <c r="I154" i="21" s="1"/>
  <c r="G153" i="21"/>
  <c r="I153" i="21" s="1"/>
  <c r="G152" i="21"/>
  <c r="I152" i="21" s="1"/>
  <c r="G151" i="21"/>
  <c r="I151" i="21" s="1"/>
  <c r="G150" i="21"/>
  <c r="I150" i="21" s="1"/>
  <c r="G149" i="21"/>
  <c r="I149" i="21" s="1"/>
  <c r="G148" i="21"/>
  <c r="I148" i="21" s="1"/>
  <c r="G147" i="21"/>
  <c r="I147" i="21" s="1"/>
  <c r="G146" i="21"/>
  <c r="I146" i="21" s="1"/>
  <c r="G145" i="21"/>
  <c r="I145" i="21" s="1"/>
  <c r="G144" i="21"/>
  <c r="I144" i="21" s="1"/>
  <c r="G143" i="21"/>
  <c r="I143" i="21" s="1"/>
  <c r="G142" i="21"/>
  <c r="I142" i="21" s="1"/>
  <c r="G141" i="21"/>
  <c r="I141" i="21" s="1"/>
  <c r="G140" i="21"/>
  <c r="I140" i="21" s="1"/>
  <c r="G139" i="21"/>
  <c r="I139" i="21" s="1"/>
  <c r="G138" i="21"/>
  <c r="I138" i="21" s="1"/>
  <c r="G137" i="21"/>
  <c r="I137" i="21" s="1"/>
  <c r="G136" i="21"/>
  <c r="I136" i="21" s="1"/>
  <c r="G135" i="21"/>
  <c r="I135" i="21" s="1"/>
  <c r="G134" i="21"/>
  <c r="I134" i="21" s="1"/>
  <c r="G133" i="21"/>
  <c r="I133" i="21" s="1"/>
  <c r="G132" i="21"/>
  <c r="I132" i="21" s="1"/>
  <c r="G131" i="21"/>
  <c r="I131" i="21" s="1"/>
  <c r="G130" i="21"/>
  <c r="I130" i="21" s="1"/>
  <c r="G129" i="21"/>
  <c r="I129" i="21" s="1"/>
  <c r="G128" i="21"/>
  <c r="I128" i="21" s="1"/>
  <c r="G127" i="21"/>
  <c r="I127" i="21" s="1"/>
  <c r="G126" i="21"/>
  <c r="I126" i="21" s="1"/>
  <c r="G125" i="21"/>
  <c r="I125" i="21" s="1"/>
  <c r="G124" i="21"/>
  <c r="I124" i="21" s="1"/>
  <c r="G123" i="21"/>
  <c r="G218" i="21" s="1"/>
  <c r="AF121" i="21"/>
  <c r="AF220" i="21" s="1"/>
  <c r="AE121" i="21"/>
  <c r="AE220" i="21" s="1"/>
  <c r="AD121" i="21"/>
  <c r="AD220" i="21" s="1"/>
  <c r="AC121" i="21"/>
  <c r="AC220" i="21" s="1"/>
  <c r="AB121" i="21"/>
  <c r="AA121" i="21"/>
  <c r="AA220" i="21" s="1"/>
  <c r="Z121" i="21"/>
  <c r="Z220" i="21" s="1"/>
  <c r="Y121" i="21"/>
  <c r="Y220" i="21" s="1"/>
  <c r="X121" i="21"/>
  <c r="X220" i="21" s="1"/>
  <c r="W121" i="21"/>
  <c r="W220" i="21" s="1"/>
  <c r="V121" i="21"/>
  <c r="V220" i="21" s="1"/>
  <c r="U121" i="21"/>
  <c r="U220" i="21" s="1"/>
  <c r="T121" i="21"/>
  <c r="T220" i="21" s="1"/>
  <c r="S121" i="21"/>
  <c r="S220" i="21" s="1"/>
  <c r="R121" i="21"/>
  <c r="R220" i="21" s="1"/>
  <c r="Q121" i="21"/>
  <c r="Q220" i="21" s="1"/>
  <c r="P121" i="21"/>
  <c r="O121" i="21"/>
  <c r="N121" i="21"/>
  <c r="M121" i="21"/>
  <c r="L121" i="21"/>
  <c r="K121" i="21"/>
  <c r="G121" i="21"/>
  <c r="G220" i="21" s="1"/>
  <c r="E121" i="21"/>
  <c r="E220" i="21" s="1"/>
  <c r="G120" i="21"/>
  <c r="I120" i="21" s="1"/>
  <c r="G119" i="21"/>
  <c r="I119" i="21" s="1"/>
  <c r="G118" i="21"/>
  <c r="I118" i="21" s="1"/>
  <c r="G117" i="21"/>
  <c r="I117" i="21" s="1"/>
  <c r="G116" i="21"/>
  <c r="I116" i="21" s="1"/>
  <c r="I115" i="21"/>
  <c r="G115" i="21"/>
  <c r="G114" i="21"/>
  <c r="I114" i="21" s="1"/>
  <c r="G113" i="21"/>
  <c r="I113" i="21" s="1"/>
  <c r="G112" i="21"/>
  <c r="I112" i="21" s="1"/>
  <c r="G111" i="21"/>
  <c r="I111" i="21" s="1"/>
  <c r="G110" i="21"/>
  <c r="I110" i="21" s="1"/>
  <c r="I109" i="21"/>
  <c r="G109" i="21"/>
  <c r="G108" i="21"/>
  <c r="I108" i="21" s="1"/>
  <c r="G107" i="21"/>
  <c r="I107" i="21" s="1"/>
  <c r="I106" i="21"/>
  <c r="G106" i="21"/>
  <c r="G105" i="21"/>
  <c r="I105" i="21" s="1"/>
  <c r="G104" i="21"/>
  <c r="I104" i="21" s="1"/>
  <c r="I103" i="21"/>
  <c r="G103" i="21"/>
  <c r="G102" i="21"/>
  <c r="I102" i="21" s="1"/>
  <c r="G101" i="21"/>
  <c r="I101" i="21" s="1"/>
  <c r="G100" i="21"/>
  <c r="I100" i="21" s="1"/>
  <c r="I99" i="21"/>
  <c r="G99" i="21"/>
  <c r="G98" i="21"/>
  <c r="I98" i="21" s="1"/>
  <c r="I97" i="21"/>
  <c r="G97" i="21"/>
  <c r="G96" i="21"/>
  <c r="I96" i="21" s="1"/>
  <c r="G95" i="21"/>
  <c r="I95" i="21" s="1"/>
  <c r="G94" i="21"/>
  <c r="I94" i="21" s="1"/>
  <c r="G93" i="21"/>
  <c r="I93" i="21" s="1"/>
  <c r="I92" i="21"/>
  <c r="G92" i="21"/>
  <c r="I91" i="21"/>
  <c r="G91" i="21"/>
  <c r="G90" i="21"/>
  <c r="I90" i="21" s="1"/>
  <c r="G89" i="21"/>
  <c r="I89" i="21" s="1"/>
  <c r="G88" i="21"/>
  <c r="I88" i="21" s="1"/>
  <c r="G87" i="21"/>
  <c r="I87" i="21" s="1"/>
  <c r="G86" i="21"/>
  <c r="I86" i="21" s="1"/>
  <c r="I85" i="21"/>
  <c r="G85" i="21"/>
  <c r="G84" i="21"/>
  <c r="I84" i="21" s="1"/>
  <c r="G83" i="21"/>
  <c r="I83" i="21" s="1"/>
  <c r="G82" i="21"/>
  <c r="I82" i="21" s="1"/>
  <c r="G81" i="21"/>
  <c r="I81" i="21" s="1"/>
  <c r="G80" i="21"/>
  <c r="I80" i="21" s="1"/>
  <c r="I79" i="21"/>
  <c r="G79" i="21"/>
  <c r="G78" i="21"/>
  <c r="I78" i="21" s="1"/>
  <c r="G77" i="21"/>
  <c r="I77" i="21" s="1"/>
  <c r="G76" i="21"/>
  <c r="I76" i="21" s="1"/>
  <c r="G75" i="21"/>
  <c r="I75" i="21" s="1"/>
  <c r="G74" i="21"/>
  <c r="I74" i="21" s="1"/>
  <c r="I73" i="21"/>
  <c r="G73" i="21"/>
  <c r="G72" i="21"/>
  <c r="I72" i="21" s="1"/>
  <c r="G71" i="21"/>
  <c r="I71" i="21" s="1"/>
  <c r="I70" i="21"/>
  <c r="G70" i="21"/>
  <c r="G69" i="21"/>
  <c r="I69" i="21" s="1"/>
  <c r="G68" i="21"/>
  <c r="I68" i="21" s="1"/>
  <c r="I67" i="21"/>
  <c r="G67" i="21"/>
  <c r="G66" i="21"/>
  <c r="I66" i="21" s="1"/>
  <c r="G65" i="21"/>
  <c r="I65" i="21" s="1"/>
  <c r="G64" i="21"/>
  <c r="I64" i="21" s="1"/>
  <c r="I63" i="21"/>
  <c r="G63" i="21"/>
  <c r="G62" i="21"/>
  <c r="I62" i="21" s="1"/>
  <c r="I61" i="21"/>
  <c r="G61" i="21"/>
  <c r="G60" i="21"/>
  <c r="I60" i="21" s="1"/>
  <c r="G59" i="21"/>
  <c r="I59" i="21" s="1"/>
  <c r="G58" i="21"/>
  <c r="I58" i="21" s="1"/>
  <c r="G57" i="21"/>
  <c r="I57" i="21" s="1"/>
  <c r="I56" i="21"/>
  <c r="G56" i="21"/>
  <c r="I55" i="21"/>
  <c r="G55" i="21"/>
  <c r="G54" i="21"/>
  <c r="I54" i="21" s="1"/>
  <c r="G53" i="21"/>
  <c r="I53" i="21" s="1"/>
  <c r="G52" i="21"/>
  <c r="I52" i="21" s="1"/>
  <c r="G51" i="21"/>
  <c r="I51" i="21" s="1"/>
  <c r="G50" i="21"/>
  <c r="I50" i="21" s="1"/>
  <c r="I49" i="21"/>
  <c r="G49" i="21"/>
  <c r="G48" i="21"/>
  <c r="I48" i="21" s="1"/>
  <c r="G47" i="21"/>
  <c r="I47" i="21" s="1"/>
  <c r="G46" i="21"/>
  <c r="I46" i="21" s="1"/>
  <c r="G45" i="21"/>
  <c r="I45" i="21" s="1"/>
  <c r="G44" i="21"/>
  <c r="I44" i="21" s="1"/>
  <c r="I43" i="21"/>
  <c r="G43" i="21"/>
  <c r="G42" i="21"/>
  <c r="I42" i="21" s="1"/>
  <c r="G41" i="21"/>
  <c r="I41" i="21" s="1"/>
  <c r="G40" i="21"/>
  <c r="I40" i="21" s="1"/>
  <c r="G39" i="21"/>
  <c r="I39" i="21" s="1"/>
  <c r="G38" i="21"/>
  <c r="I38" i="21" s="1"/>
  <c r="I37" i="21"/>
  <c r="G37" i="21"/>
  <c r="G36" i="21"/>
  <c r="I36" i="21" s="1"/>
  <c r="G35" i="21"/>
  <c r="I35" i="21" s="1"/>
  <c r="I34" i="21"/>
  <c r="G34" i="21"/>
  <c r="G33" i="21"/>
  <c r="I33" i="21" s="1"/>
  <c r="G32" i="21"/>
  <c r="I32" i="21" s="1"/>
  <c r="I31" i="21"/>
  <c r="G31" i="21"/>
  <c r="G30" i="21"/>
  <c r="I30" i="21" s="1"/>
  <c r="G29" i="21"/>
  <c r="I29" i="21" s="1"/>
  <c r="G28" i="21"/>
  <c r="I28" i="21" s="1"/>
  <c r="I27" i="21"/>
  <c r="G27" i="21"/>
  <c r="G26" i="21"/>
  <c r="I26" i="21" s="1"/>
  <c r="I25" i="21"/>
  <c r="G25" i="21"/>
  <c r="G24" i="21"/>
  <c r="I24" i="21" s="1"/>
  <c r="G23" i="21"/>
  <c r="I23" i="21" s="1"/>
  <c r="G22" i="21"/>
  <c r="I22" i="21" s="1"/>
  <c r="G21" i="21"/>
  <c r="I21" i="21" s="1"/>
  <c r="I20" i="21"/>
  <c r="G20" i="21"/>
  <c r="I19" i="21"/>
  <c r="G19" i="21"/>
  <c r="G18" i="21"/>
  <c r="I18" i="21" s="1"/>
  <c r="G17" i="21"/>
  <c r="I17" i="21" s="1"/>
  <c r="G16" i="21"/>
  <c r="I16" i="21" s="1"/>
  <c r="G15" i="21"/>
  <c r="I15" i="21" s="1"/>
  <c r="G14" i="21"/>
  <c r="I14" i="21" s="1"/>
  <c r="I13" i="21"/>
  <c r="G13" i="21"/>
  <c r="G12" i="21"/>
  <c r="I12" i="21" s="1"/>
  <c r="AF218" i="20"/>
  <c r="AE218" i="20"/>
  <c r="AD218" i="20"/>
  <c r="AC218" i="20"/>
  <c r="AB218" i="20"/>
  <c r="AA218" i="20"/>
  <c r="Z218" i="20"/>
  <c r="Y218" i="20"/>
  <c r="X218" i="20"/>
  <c r="W218" i="20"/>
  <c r="V218" i="20"/>
  <c r="U218" i="20"/>
  <c r="T218" i="20"/>
  <c r="S218" i="20"/>
  <c r="R218" i="20"/>
  <c r="Q218" i="20"/>
  <c r="P218" i="20"/>
  <c r="O218" i="20"/>
  <c r="O220" i="20" s="1"/>
  <c r="N218" i="20"/>
  <c r="N220" i="20" s="1"/>
  <c r="M218" i="20"/>
  <c r="M220" i="20" s="1"/>
  <c r="L218" i="20"/>
  <c r="L220" i="20" s="1"/>
  <c r="K218" i="20"/>
  <c r="K220" i="20" s="1"/>
  <c r="E218" i="20"/>
  <c r="G217" i="20"/>
  <c r="I217" i="20" s="1"/>
  <c r="G216" i="20"/>
  <c r="I216" i="20" s="1"/>
  <c r="G215" i="20"/>
  <c r="I215" i="20" s="1"/>
  <c r="G214" i="20"/>
  <c r="I214" i="20" s="1"/>
  <c r="G213" i="20"/>
  <c r="I213" i="20" s="1"/>
  <c r="G212" i="20"/>
  <c r="I212" i="20" s="1"/>
  <c r="G211" i="20"/>
  <c r="I211" i="20" s="1"/>
  <c r="G210" i="20"/>
  <c r="I210" i="20" s="1"/>
  <c r="G209" i="20"/>
  <c r="I209" i="20" s="1"/>
  <c r="G208" i="20"/>
  <c r="I208" i="20" s="1"/>
  <c r="G207" i="20"/>
  <c r="I207" i="20" s="1"/>
  <c r="G206" i="20"/>
  <c r="I206" i="20" s="1"/>
  <c r="G205" i="20"/>
  <c r="I205" i="20" s="1"/>
  <c r="G204" i="20"/>
  <c r="I204" i="20" s="1"/>
  <c r="G203" i="20"/>
  <c r="I203" i="20" s="1"/>
  <c r="G202" i="20"/>
  <c r="I202" i="20" s="1"/>
  <c r="G201" i="20"/>
  <c r="I201" i="20" s="1"/>
  <c r="G200" i="20"/>
  <c r="I200" i="20" s="1"/>
  <c r="G199" i="20"/>
  <c r="I199" i="20" s="1"/>
  <c r="G198" i="20"/>
  <c r="I198" i="20" s="1"/>
  <c r="G197" i="20"/>
  <c r="I197" i="20" s="1"/>
  <c r="G196" i="20"/>
  <c r="I196" i="20" s="1"/>
  <c r="I195" i="20"/>
  <c r="G195" i="20"/>
  <c r="G194" i="20"/>
  <c r="I194" i="20" s="1"/>
  <c r="G193" i="20"/>
  <c r="I193" i="20" s="1"/>
  <c r="G192" i="20"/>
  <c r="I192" i="20" s="1"/>
  <c r="G191" i="20"/>
  <c r="I191" i="20" s="1"/>
  <c r="G190" i="20"/>
  <c r="I190" i="20" s="1"/>
  <c r="G189" i="20"/>
  <c r="I189" i="20" s="1"/>
  <c r="G188" i="20"/>
  <c r="I188" i="20" s="1"/>
  <c r="G187" i="20"/>
  <c r="I187" i="20" s="1"/>
  <c r="G186" i="20"/>
  <c r="I186" i="20" s="1"/>
  <c r="G185" i="20"/>
  <c r="I185" i="20" s="1"/>
  <c r="G184" i="20"/>
  <c r="I184" i="20" s="1"/>
  <c r="G183" i="20"/>
  <c r="I183" i="20" s="1"/>
  <c r="G182" i="20"/>
  <c r="I182" i="20" s="1"/>
  <c r="G181" i="20"/>
  <c r="I181" i="20" s="1"/>
  <c r="G180" i="20"/>
  <c r="I180" i="20" s="1"/>
  <c r="G179" i="20"/>
  <c r="I179" i="20" s="1"/>
  <c r="G178" i="20"/>
  <c r="I178" i="20" s="1"/>
  <c r="G177" i="20"/>
  <c r="I177" i="20" s="1"/>
  <c r="G176" i="20"/>
  <c r="I176" i="20" s="1"/>
  <c r="G175" i="20"/>
  <c r="I175" i="20" s="1"/>
  <c r="G174" i="20"/>
  <c r="I174" i="20" s="1"/>
  <c r="G173" i="20"/>
  <c r="I173" i="20" s="1"/>
  <c r="G172" i="20"/>
  <c r="I172" i="20" s="1"/>
  <c r="G171" i="20"/>
  <c r="I171" i="20" s="1"/>
  <c r="G170" i="20"/>
  <c r="I170" i="20" s="1"/>
  <c r="G169" i="20"/>
  <c r="I169" i="20" s="1"/>
  <c r="G168" i="20"/>
  <c r="I168" i="20" s="1"/>
  <c r="G167" i="20"/>
  <c r="I167" i="20" s="1"/>
  <c r="G166" i="20"/>
  <c r="I166" i="20" s="1"/>
  <c r="G165" i="20"/>
  <c r="I165" i="20" s="1"/>
  <c r="G164" i="20"/>
  <c r="I164" i="20" s="1"/>
  <c r="G163" i="20"/>
  <c r="I163" i="20" s="1"/>
  <c r="G162" i="20"/>
  <c r="I162" i="20" s="1"/>
  <c r="G161" i="20"/>
  <c r="I161" i="20" s="1"/>
  <c r="G160" i="20"/>
  <c r="I160" i="20" s="1"/>
  <c r="G159" i="20"/>
  <c r="I159" i="20" s="1"/>
  <c r="G158" i="20"/>
  <c r="I158" i="20" s="1"/>
  <c r="G157" i="20"/>
  <c r="I157" i="20" s="1"/>
  <c r="G156" i="20"/>
  <c r="I156" i="20" s="1"/>
  <c r="G155" i="20"/>
  <c r="I155" i="20" s="1"/>
  <c r="G154" i="20"/>
  <c r="I154" i="20" s="1"/>
  <c r="G153" i="20"/>
  <c r="I153" i="20" s="1"/>
  <c r="G152" i="20"/>
  <c r="I152" i="20" s="1"/>
  <c r="G151" i="20"/>
  <c r="I151" i="20" s="1"/>
  <c r="G150" i="20"/>
  <c r="I150" i="20" s="1"/>
  <c r="G149" i="20"/>
  <c r="I149" i="20" s="1"/>
  <c r="G148" i="20"/>
  <c r="I148" i="20" s="1"/>
  <c r="G147" i="20"/>
  <c r="I147" i="20" s="1"/>
  <c r="G146" i="20"/>
  <c r="I146" i="20" s="1"/>
  <c r="G145" i="20"/>
  <c r="I145" i="20" s="1"/>
  <c r="G144" i="20"/>
  <c r="I144" i="20" s="1"/>
  <c r="G143" i="20"/>
  <c r="I143" i="20" s="1"/>
  <c r="G142" i="20"/>
  <c r="I142" i="20" s="1"/>
  <c r="G141" i="20"/>
  <c r="I141" i="20" s="1"/>
  <c r="G140" i="20"/>
  <c r="I140" i="20" s="1"/>
  <c r="G139" i="20"/>
  <c r="I139" i="20" s="1"/>
  <c r="G138" i="20"/>
  <c r="I138" i="20" s="1"/>
  <c r="G137" i="20"/>
  <c r="I137" i="20" s="1"/>
  <c r="G136" i="20"/>
  <c r="I136" i="20" s="1"/>
  <c r="G135" i="20"/>
  <c r="I135" i="20" s="1"/>
  <c r="G134" i="20"/>
  <c r="I134" i="20" s="1"/>
  <c r="G133" i="20"/>
  <c r="I133" i="20" s="1"/>
  <c r="G132" i="20"/>
  <c r="I132" i="20" s="1"/>
  <c r="G131" i="20"/>
  <c r="I131" i="20" s="1"/>
  <c r="G130" i="20"/>
  <c r="I130" i="20" s="1"/>
  <c r="G129" i="20"/>
  <c r="I129" i="20" s="1"/>
  <c r="G128" i="20"/>
  <c r="I128" i="20" s="1"/>
  <c r="G127" i="20"/>
  <c r="I127" i="20" s="1"/>
  <c r="G126" i="20"/>
  <c r="I126" i="20" s="1"/>
  <c r="G125" i="20"/>
  <c r="I125" i="20" s="1"/>
  <c r="G124" i="20"/>
  <c r="I124" i="20" s="1"/>
  <c r="G123" i="20"/>
  <c r="G218" i="20" s="1"/>
  <c r="AF121" i="20"/>
  <c r="AF220" i="20" s="1"/>
  <c r="AE121" i="20"/>
  <c r="AE220" i="20" s="1"/>
  <c r="AD121" i="20"/>
  <c r="AD220" i="20" s="1"/>
  <c r="AC121" i="20"/>
  <c r="AC220" i="20" s="1"/>
  <c r="AB121" i="20"/>
  <c r="AA121" i="20"/>
  <c r="AA220" i="20" s="1"/>
  <c r="Z121" i="20"/>
  <c r="Z220" i="20" s="1"/>
  <c r="Y121" i="20"/>
  <c r="Y220" i="20" s="1"/>
  <c r="X121" i="20"/>
  <c r="X220" i="20" s="1"/>
  <c r="W121" i="20"/>
  <c r="W220" i="20" s="1"/>
  <c r="V121" i="20"/>
  <c r="V220" i="20" s="1"/>
  <c r="U121" i="20"/>
  <c r="U220" i="20" s="1"/>
  <c r="T121" i="20"/>
  <c r="T220" i="20" s="1"/>
  <c r="S121" i="20"/>
  <c r="S220" i="20" s="1"/>
  <c r="R121" i="20"/>
  <c r="R220" i="20" s="1"/>
  <c r="Q121" i="20"/>
  <c r="Q220" i="20" s="1"/>
  <c r="P121" i="20"/>
  <c r="O121" i="20"/>
  <c r="N121" i="20"/>
  <c r="M121" i="20"/>
  <c r="L121" i="20"/>
  <c r="K121" i="20"/>
  <c r="G121" i="20"/>
  <c r="G220" i="20" s="1"/>
  <c r="E121" i="20"/>
  <c r="E220" i="20" s="1"/>
  <c r="G120" i="20"/>
  <c r="I120" i="20" s="1"/>
  <c r="G119" i="20"/>
  <c r="I119" i="20" s="1"/>
  <c r="G118" i="20"/>
  <c r="I118" i="20" s="1"/>
  <c r="G117" i="20"/>
  <c r="I117" i="20" s="1"/>
  <c r="G116" i="20"/>
  <c r="I116" i="20" s="1"/>
  <c r="I115" i="20"/>
  <c r="G115" i="20"/>
  <c r="G114" i="20"/>
  <c r="I114" i="20" s="1"/>
  <c r="G113" i="20"/>
  <c r="I113" i="20" s="1"/>
  <c r="G112" i="20"/>
  <c r="I112" i="20" s="1"/>
  <c r="G111" i="20"/>
  <c r="I111" i="20" s="1"/>
  <c r="G110" i="20"/>
  <c r="I110" i="20" s="1"/>
  <c r="I109" i="20"/>
  <c r="G109" i="20"/>
  <c r="G108" i="20"/>
  <c r="I108" i="20" s="1"/>
  <c r="G107" i="20"/>
  <c r="I107" i="20" s="1"/>
  <c r="I106" i="20"/>
  <c r="G106" i="20"/>
  <c r="G105" i="20"/>
  <c r="I105" i="20" s="1"/>
  <c r="G104" i="20"/>
  <c r="I104" i="20" s="1"/>
  <c r="I103" i="20"/>
  <c r="G103" i="20"/>
  <c r="G102" i="20"/>
  <c r="I102" i="20" s="1"/>
  <c r="G101" i="20"/>
  <c r="I101" i="20" s="1"/>
  <c r="G100" i="20"/>
  <c r="I100" i="20" s="1"/>
  <c r="I99" i="20"/>
  <c r="G99" i="20"/>
  <c r="G98" i="20"/>
  <c r="I98" i="20" s="1"/>
  <c r="I97" i="20"/>
  <c r="G97" i="20"/>
  <c r="G96" i="20"/>
  <c r="I96" i="20" s="1"/>
  <c r="G95" i="20"/>
  <c r="I95" i="20" s="1"/>
  <c r="G94" i="20"/>
  <c r="I94" i="20" s="1"/>
  <c r="G93" i="20"/>
  <c r="I93" i="20" s="1"/>
  <c r="I92" i="20"/>
  <c r="G92" i="20"/>
  <c r="I91" i="20"/>
  <c r="G91" i="20"/>
  <c r="G90" i="20"/>
  <c r="I90" i="20" s="1"/>
  <c r="G89" i="20"/>
  <c r="I89" i="20" s="1"/>
  <c r="G88" i="20"/>
  <c r="I88" i="20" s="1"/>
  <c r="G87" i="20"/>
  <c r="I87" i="20" s="1"/>
  <c r="G86" i="20"/>
  <c r="I86" i="20" s="1"/>
  <c r="I85" i="20"/>
  <c r="G85" i="20"/>
  <c r="G84" i="20"/>
  <c r="I84" i="20" s="1"/>
  <c r="G83" i="20"/>
  <c r="I83" i="20" s="1"/>
  <c r="G82" i="20"/>
  <c r="I82" i="20" s="1"/>
  <c r="G81" i="20"/>
  <c r="I81" i="20" s="1"/>
  <c r="G80" i="20"/>
  <c r="I80" i="20" s="1"/>
  <c r="I79" i="20"/>
  <c r="G79" i="20"/>
  <c r="G78" i="20"/>
  <c r="I78" i="20" s="1"/>
  <c r="G77" i="20"/>
  <c r="I77" i="20" s="1"/>
  <c r="G76" i="20"/>
  <c r="I76" i="20" s="1"/>
  <c r="G75" i="20"/>
  <c r="I75" i="20" s="1"/>
  <c r="G74" i="20"/>
  <c r="I74" i="20" s="1"/>
  <c r="I73" i="20"/>
  <c r="G73" i="20"/>
  <c r="G72" i="20"/>
  <c r="I72" i="20" s="1"/>
  <c r="G71" i="20"/>
  <c r="I71" i="20" s="1"/>
  <c r="I70" i="20"/>
  <c r="G70" i="20"/>
  <c r="G69" i="20"/>
  <c r="I69" i="20" s="1"/>
  <c r="G68" i="20"/>
  <c r="I68" i="20" s="1"/>
  <c r="I67" i="20"/>
  <c r="G67" i="20"/>
  <c r="G66" i="20"/>
  <c r="I66" i="20" s="1"/>
  <c r="G65" i="20"/>
  <c r="I65" i="20" s="1"/>
  <c r="G64" i="20"/>
  <c r="I64" i="20" s="1"/>
  <c r="I63" i="20"/>
  <c r="G63" i="20"/>
  <c r="G62" i="20"/>
  <c r="I62" i="20" s="1"/>
  <c r="I61" i="20"/>
  <c r="G61" i="20"/>
  <c r="G60" i="20"/>
  <c r="I60" i="20" s="1"/>
  <c r="G59" i="20"/>
  <c r="I59" i="20" s="1"/>
  <c r="G58" i="20"/>
  <c r="I58" i="20" s="1"/>
  <c r="G57" i="20"/>
  <c r="I57" i="20" s="1"/>
  <c r="I56" i="20"/>
  <c r="G56" i="20"/>
  <c r="I55" i="20"/>
  <c r="G55" i="20"/>
  <c r="G54" i="20"/>
  <c r="I54" i="20" s="1"/>
  <c r="G53" i="20"/>
  <c r="I53" i="20" s="1"/>
  <c r="G52" i="20"/>
  <c r="I52" i="20" s="1"/>
  <c r="G51" i="20"/>
  <c r="I51" i="20" s="1"/>
  <c r="G50" i="20"/>
  <c r="I50" i="20" s="1"/>
  <c r="I49" i="20"/>
  <c r="G49" i="20"/>
  <c r="G48" i="20"/>
  <c r="I48" i="20" s="1"/>
  <c r="G47" i="20"/>
  <c r="I47" i="20" s="1"/>
  <c r="G46" i="20"/>
  <c r="I46" i="20" s="1"/>
  <c r="G45" i="20"/>
  <c r="I45" i="20" s="1"/>
  <c r="G44" i="20"/>
  <c r="I44" i="20" s="1"/>
  <c r="I43" i="20"/>
  <c r="G43" i="20"/>
  <c r="G42" i="20"/>
  <c r="I42" i="20" s="1"/>
  <c r="G41" i="20"/>
  <c r="I41" i="20" s="1"/>
  <c r="G40" i="20"/>
  <c r="I40" i="20" s="1"/>
  <c r="G39" i="20"/>
  <c r="I39" i="20" s="1"/>
  <c r="G38" i="20"/>
  <c r="I38" i="20" s="1"/>
  <c r="I37" i="20"/>
  <c r="G37" i="20"/>
  <c r="G36" i="20"/>
  <c r="I36" i="20" s="1"/>
  <c r="G35" i="20"/>
  <c r="I35" i="20" s="1"/>
  <c r="I34" i="20"/>
  <c r="G34" i="20"/>
  <c r="G33" i="20"/>
  <c r="I33" i="20" s="1"/>
  <c r="G32" i="20"/>
  <c r="I32" i="20" s="1"/>
  <c r="I31" i="20"/>
  <c r="G31" i="20"/>
  <c r="G30" i="20"/>
  <c r="I30" i="20" s="1"/>
  <c r="G29" i="20"/>
  <c r="I29" i="20" s="1"/>
  <c r="G28" i="20"/>
  <c r="I28" i="20" s="1"/>
  <c r="I27" i="20"/>
  <c r="G27" i="20"/>
  <c r="G26" i="20"/>
  <c r="I26" i="20" s="1"/>
  <c r="I25" i="20"/>
  <c r="G25" i="20"/>
  <c r="G24" i="20"/>
  <c r="I24" i="20" s="1"/>
  <c r="G23" i="20"/>
  <c r="I23" i="20" s="1"/>
  <c r="G22" i="20"/>
  <c r="I22" i="20" s="1"/>
  <c r="G21" i="20"/>
  <c r="I21" i="20" s="1"/>
  <c r="I20" i="20"/>
  <c r="G20" i="20"/>
  <c r="I19" i="20"/>
  <c r="G19" i="20"/>
  <c r="G18" i="20"/>
  <c r="I18" i="20" s="1"/>
  <c r="G17" i="20"/>
  <c r="I17" i="20" s="1"/>
  <c r="G16" i="20"/>
  <c r="I16" i="20" s="1"/>
  <c r="G15" i="20"/>
  <c r="I15" i="20" s="1"/>
  <c r="G14" i="20"/>
  <c r="I14" i="20" s="1"/>
  <c r="I13" i="20"/>
  <c r="G13" i="20"/>
  <c r="G12" i="20"/>
  <c r="I12" i="20" s="1"/>
  <c r="G121" i="22" l="1"/>
  <c r="I12" i="22"/>
  <c r="I121" i="22" s="1"/>
  <c r="I218" i="22"/>
  <c r="G218" i="22"/>
  <c r="I121" i="21"/>
  <c r="I123" i="21"/>
  <c r="I218" i="21" s="1"/>
  <c r="P220" i="21"/>
  <c r="AB220" i="21"/>
  <c r="I121" i="20"/>
  <c r="I123" i="20"/>
  <c r="I218" i="20" s="1"/>
  <c r="P220" i="20"/>
  <c r="AB220" i="20"/>
  <c r="K239" i="19"/>
  <c r="I238" i="19"/>
  <c r="K238" i="19" s="1"/>
  <c r="I237" i="19"/>
  <c r="K237" i="19" s="1"/>
  <c r="I236" i="19"/>
  <c r="K236" i="19" s="1"/>
  <c r="K235" i="19"/>
  <c r="G233" i="19"/>
  <c r="E233" i="19"/>
  <c r="G231" i="19"/>
  <c r="E231" i="19"/>
  <c r="E229" i="19"/>
  <c r="K227" i="19"/>
  <c r="K226" i="19"/>
  <c r="K225" i="19"/>
  <c r="K224" i="19"/>
  <c r="K222" i="19"/>
  <c r="K221" i="19"/>
  <c r="I220" i="19"/>
  <c r="I219" i="19"/>
  <c r="K219" i="19" s="1"/>
  <c r="G218" i="19"/>
  <c r="E218" i="19"/>
  <c r="I217" i="19"/>
  <c r="K217" i="19" s="1"/>
  <c r="K216" i="19"/>
  <c r="K214" i="19"/>
  <c r="K212" i="19"/>
  <c r="I211" i="19"/>
  <c r="K211" i="19" s="1"/>
  <c r="I210" i="19"/>
  <c r="I208" i="19" s="1"/>
  <c r="K208" i="19" s="1"/>
  <c r="K209" i="19"/>
  <c r="I209" i="19"/>
  <c r="G208" i="19"/>
  <c r="E208" i="19"/>
  <c r="K207" i="19"/>
  <c r="I206" i="19"/>
  <c r="K206" i="19" s="1"/>
  <c r="I205" i="19"/>
  <c r="K205" i="19" s="1"/>
  <c r="I204" i="19"/>
  <c r="G204" i="19"/>
  <c r="E204" i="19"/>
  <c r="K203" i="19"/>
  <c r="G202" i="19"/>
  <c r="E202" i="19"/>
  <c r="K201" i="19"/>
  <c r="I200" i="19"/>
  <c r="K200" i="19" s="1"/>
  <c r="I199" i="19"/>
  <c r="I198" i="19" s="1"/>
  <c r="K198" i="19" s="1"/>
  <c r="G198" i="19"/>
  <c r="E198" i="19"/>
  <c r="K197" i="19"/>
  <c r="I196" i="19"/>
  <c r="K196" i="19" s="1"/>
  <c r="I195" i="19"/>
  <c r="K195" i="19" s="1"/>
  <c r="I194" i="19"/>
  <c r="I193" i="19" s="1"/>
  <c r="G193" i="19"/>
  <c r="E193" i="19"/>
  <c r="K192" i="19"/>
  <c r="G191" i="19"/>
  <c r="E191" i="19"/>
  <c r="K190" i="19"/>
  <c r="I189" i="19"/>
  <c r="I184" i="19" s="1"/>
  <c r="K184" i="19" s="1"/>
  <c r="K188" i="19"/>
  <c r="I188" i="19"/>
  <c r="I187" i="19"/>
  <c r="K187" i="19" s="1"/>
  <c r="I186" i="19"/>
  <c r="K186" i="19" s="1"/>
  <c r="I185" i="19"/>
  <c r="K185" i="19" s="1"/>
  <c r="G184" i="19"/>
  <c r="E184" i="19"/>
  <c r="K183" i="19"/>
  <c r="I182" i="19"/>
  <c r="K182" i="19" s="1"/>
  <c r="I181" i="19"/>
  <c r="K181" i="19" s="1"/>
  <c r="I180" i="19"/>
  <c r="K180" i="19" s="1"/>
  <c r="G180" i="19"/>
  <c r="E180" i="19"/>
  <c r="E213" i="19" s="1"/>
  <c r="K179" i="19"/>
  <c r="I178" i="19"/>
  <c r="K178" i="19" s="1"/>
  <c r="K177" i="19"/>
  <c r="I176" i="19"/>
  <c r="K176" i="19" s="1"/>
  <c r="K175" i="19"/>
  <c r="I174" i="19"/>
  <c r="K174" i="19" s="1"/>
  <c r="K173" i="19"/>
  <c r="I172" i="19"/>
  <c r="K172" i="19" s="1"/>
  <c r="I171" i="19"/>
  <c r="I170" i="19" s="1"/>
  <c r="K170" i="19" s="1"/>
  <c r="G170" i="19"/>
  <c r="E170" i="19"/>
  <c r="K169" i="19"/>
  <c r="I168" i="19"/>
  <c r="K168" i="19" s="1"/>
  <c r="I167" i="19"/>
  <c r="K167" i="19" s="1"/>
  <c r="I166" i="19"/>
  <c r="K166" i="19" s="1"/>
  <c r="I165" i="19"/>
  <c r="G165" i="19"/>
  <c r="G213" i="19" s="1"/>
  <c r="E165" i="19"/>
  <c r="K164" i="19"/>
  <c r="K163" i="19"/>
  <c r="K162" i="19"/>
  <c r="K160" i="19"/>
  <c r="K158" i="19"/>
  <c r="I157" i="19"/>
  <c r="K157" i="19" s="1"/>
  <c r="I156" i="19"/>
  <c r="K156" i="19" s="1"/>
  <c r="I155" i="19"/>
  <c r="K155" i="19" s="1"/>
  <c r="G155" i="19"/>
  <c r="E155" i="19"/>
  <c r="K154" i="19"/>
  <c r="K153" i="19"/>
  <c r="I153" i="19"/>
  <c r="I152" i="19"/>
  <c r="K152" i="19" s="1"/>
  <c r="G152" i="19"/>
  <c r="E152" i="19"/>
  <c r="K151" i="19"/>
  <c r="I150" i="19"/>
  <c r="K150" i="19" s="1"/>
  <c r="I149" i="19"/>
  <c r="I148" i="19" s="1"/>
  <c r="K148" i="19" s="1"/>
  <c r="G148" i="19"/>
  <c r="E148" i="19"/>
  <c r="K147" i="19"/>
  <c r="I146" i="19"/>
  <c r="K146" i="19" s="1"/>
  <c r="I145" i="19"/>
  <c r="K145" i="19" s="1"/>
  <c r="I144" i="19"/>
  <c r="K144" i="19" s="1"/>
  <c r="G144" i="19"/>
  <c r="G159" i="19" s="1"/>
  <c r="E144" i="19"/>
  <c r="K143" i="19"/>
  <c r="I142" i="19"/>
  <c r="K142" i="19" s="1"/>
  <c r="I141" i="19"/>
  <c r="K141" i="19" s="1"/>
  <c r="I140" i="19"/>
  <c r="K140" i="19" s="1"/>
  <c r="G140" i="19"/>
  <c r="G138" i="19" s="1"/>
  <c r="E140" i="19"/>
  <c r="E138" i="19" s="1"/>
  <c r="I139" i="19"/>
  <c r="K139" i="19" s="1"/>
  <c r="I138" i="19"/>
  <c r="K137" i="19"/>
  <c r="I136" i="19"/>
  <c r="K136" i="19" s="1"/>
  <c r="I135" i="19"/>
  <c r="K135" i="19" s="1"/>
  <c r="I134" i="19"/>
  <c r="K134" i="19" s="1"/>
  <c r="G134" i="19"/>
  <c r="E134" i="19"/>
  <c r="K133" i="19"/>
  <c r="K131" i="19"/>
  <c r="I130" i="19"/>
  <c r="K130" i="19" s="1"/>
  <c r="I129" i="19"/>
  <c r="K129" i="19" s="1"/>
  <c r="I128" i="19"/>
  <c r="I229" i="19" s="1"/>
  <c r="G128" i="19"/>
  <c r="G229" i="19" s="1"/>
  <c r="E128" i="19"/>
  <c r="K127" i="19"/>
  <c r="K125" i="19"/>
  <c r="I124" i="19"/>
  <c r="K124" i="19" s="1"/>
  <c r="I123" i="19"/>
  <c r="I122" i="19" s="1"/>
  <c r="K122" i="19"/>
  <c r="G122" i="19"/>
  <c r="E122" i="19"/>
  <c r="K121" i="19"/>
  <c r="E120" i="19"/>
  <c r="E126" i="19" s="1"/>
  <c r="E132" i="19" s="1"/>
  <c r="K119" i="19"/>
  <c r="I118" i="19"/>
  <c r="I114" i="19" s="1"/>
  <c r="K117" i="19"/>
  <c r="I117" i="19"/>
  <c r="I116" i="19"/>
  <c r="K116" i="19" s="1"/>
  <c r="I115" i="19"/>
  <c r="K115" i="19" s="1"/>
  <c r="G114" i="19"/>
  <c r="G120" i="19" s="1"/>
  <c r="G126" i="19" s="1"/>
  <c r="E114" i="19"/>
  <c r="K113" i="19"/>
  <c r="I112" i="19"/>
  <c r="I106" i="19" s="1"/>
  <c r="I111" i="19"/>
  <c r="K111" i="19" s="1"/>
  <c r="I110" i="19"/>
  <c r="K110" i="19" s="1"/>
  <c r="I109" i="19"/>
  <c r="K109" i="19" s="1"/>
  <c r="I108" i="19"/>
  <c r="K108" i="19" s="1"/>
  <c r="I107" i="19"/>
  <c r="K107" i="19" s="1"/>
  <c r="G106" i="19"/>
  <c r="E106" i="19"/>
  <c r="K105" i="19"/>
  <c r="K104" i="19"/>
  <c r="K103" i="19"/>
  <c r="K101" i="19"/>
  <c r="I100" i="19"/>
  <c r="K100" i="19" s="1"/>
  <c r="K99" i="19"/>
  <c r="K97" i="19"/>
  <c r="I96" i="19"/>
  <c r="K96" i="19" s="1"/>
  <c r="K95" i="19"/>
  <c r="I94" i="19"/>
  <c r="K94" i="19" s="1"/>
  <c r="K93" i="19"/>
  <c r="I92" i="19"/>
  <c r="K92" i="19" s="1"/>
  <c r="I91" i="19"/>
  <c r="K91" i="19" s="1"/>
  <c r="I90" i="19"/>
  <c r="K90" i="19" s="1"/>
  <c r="I89" i="19"/>
  <c r="G89" i="19"/>
  <c r="E89" i="19"/>
  <c r="K88" i="19"/>
  <c r="K87" i="19"/>
  <c r="I87" i="19"/>
  <c r="I86" i="19"/>
  <c r="K86" i="19" s="1"/>
  <c r="I85" i="19"/>
  <c r="K85" i="19" s="1"/>
  <c r="I84" i="19"/>
  <c r="G84" i="19"/>
  <c r="E84" i="19"/>
  <c r="K83" i="19"/>
  <c r="I82" i="19"/>
  <c r="K81" i="19"/>
  <c r="K79" i="19"/>
  <c r="G78" i="19"/>
  <c r="E78" i="19"/>
  <c r="K77" i="19"/>
  <c r="K76" i="19"/>
  <c r="I76" i="19"/>
  <c r="I75" i="19"/>
  <c r="K75" i="19" s="1"/>
  <c r="I74" i="19"/>
  <c r="K74" i="19" s="1"/>
  <c r="G74" i="19"/>
  <c r="E74" i="19"/>
  <c r="K73" i="19"/>
  <c r="I72" i="19"/>
  <c r="K72" i="19" s="1"/>
  <c r="I71" i="19"/>
  <c r="I69" i="19" s="1"/>
  <c r="K69" i="19" s="1"/>
  <c r="I70" i="19"/>
  <c r="K70" i="19" s="1"/>
  <c r="G69" i="19"/>
  <c r="E69" i="19"/>
  <c r="K68" i="19"/>
  <c r="I67" i="19"/>
  <c r="K67" i="19" s="1"/>
  <c r="I66" i="19"/>
  <c r="I65" i="19" s="1"/>
  <c r="K65" i="19"/>
  <c r="G65" i="19"/>
  <c r="E65" i="19"/>
  <c r="K64" i="19"/>
  <c r="I63" i="19"/>
  <c r="K63" i="19" s="1"/>
  <c r="I62" i="19"/>
  <c r="K62" i="19" s="1"/>
  <c r="I61" i="19"/>
  <c r="I233" i="19" s="1"/>
  <c r="K233" i="19" s="1"/>
  <c r="I60" i="19"/>
  <c r="K60" i="19" s="1"/>
  <c r="G60" i="19"/>
  <c r="E60" i="19"/>
  <c r="K59" i="19"/>
  <c r="I58" i="19"/>
  <c r="K58" i="19" s="1"/>
  <c r="K57" i="19"/>
  <c r="I56" i="19"/>
  <c r="K56" i="19" s="1"/>
  <c r="K55" i="19"/>
  <c r="I55" i="19"/>
  <c r="G54" i="19"/>
  <c r="E54" i="19"/>
  <c r="K53" i="19"/>
  <c r="I52" i="19"/>
  <c r="K52" i="19" s="1"/>
  <c r="I51" i="19"/>
  <c r="K51" i="19" s="1"/>
  <c r="I50" i="19"/>
  <c r="K50" i="19" s="1"/>
  <c r="I49" i="19"/>
  <c r="K49" i="19" s="1"/>
  <c r="G49" i="19"/>
  <c r="E49" i="19"/>
  <c r="K48" i="19"/>
  <c r="I47" i="19"/>
  <c r="K47" i="19" s="1"/>
  <c r="I46" i="19"/>
  <c r="K46" i="19" s="1"/>
  <c r="I45" i="19"/>
  <c r="G45" i="19"/>
  <c r="G43" i="19" s="1"/>
  <c r="E45" i="19"/>
  <c r="E43" i="19" s="1"/>
  <c r="K44" i="19"/>
  <c r="K42" i="19"/>
  <c r="I41" i="19"/>
  <c r="K41" i="19" s="1"/>
  <c r="I40" i="19"/>
  <c r="K40" i="19" s="1"/>
  <c r="I39" i="19"/>
  <c r="K39" i="19" s="1"/>
  <c r="I38" i="19"/>
  <c r="K38" i="19" s="1"/>
  <c r="G38" i="19"/>
  <c r="E38" i="19"/>
  <c r="K37" i="19"/>
  <c r="I36" i="19"/>
  <c r="K36" i="19" s="1"/>
  <c r="I35" i="19"/>
  <c r="K35" i="19" s="1"/>
  <c r="I34" i="19"/>
  <c r="K34" i="19" s="1"/>
  <c r="I33" i="19"/>
  <c r="K32" i="19"/>
  <c r="I32" i="19"/>
  <c r="I31" i="19"/>
  <c r="K31" i="19" s="1"/>
  <c r="I30" i="19"/>
  <c r="K30" i="19" s="1"/>
  <c r="G29" i="19"/>
  <c r="E29" i="19"/>
  <c r="K28" i="19"/>
  <c r="I27" i="19"/>
  <c r="I25" i="19" s="1"/>
  <c r="K25" i="19" s="1"/>
  <c r="I26" i="19"/>
  <c r="K26" i="19" s="1"/>
  <c r="G25" i="19"/>
  <c r="E25" i="19"/>
  <c r="K24" i="19"/>
  <c r="I23" i="19"/>
  <c r="K23" i="19" s="1"/>
  <c r="I22" i="19"/>
  <c r="I21" i="19" s="1"/>
  <c r="K21" i="19"/>
  <c r="G21" i="19"/>
  <c r="E21" i="19"/>
  <c r="K20" i="19"/>
  <c r="I19" i="19"/>
  <c r="K19" i="19" s="1"/>
  <c r="I18" i="19"/>
  <c r="K18" i="19" s="1"/>
  <c r="K17" i="19"/>
  <c r="I16" i="19"/>
  <c r="G16" i="19"/>
  <c r="E16" i="19"/>
  <c r="K15" i="19"/>
  <c r="I14" i="19"/>
  <c r="K14" i="19" s="1"/>
  <c r="K13" i="19"/>
  <c r="I12" i="19"/>
  <c r="K12" i="19" s="1"/>
  <c r="K11" i="19"/>
  <c r="K10" i="19"/>
  <c r="K9" i="19"/>
  <c r="I220" i="22" l="1"/>
  <c r="G220" i="22"/>
  <c r="I220" i="21"/>
  <c r="I220" i="20"/>
  <c r="I120" i="19"/>
  <c r="K106" i="19"/>
  <c r="I159" i="19"/>
  <c r="K159" i="19" s="1"/>
  <c r="K112" i="19"/>
  <c r="K229" i="19"/>
  <c r="K149" i="19"/>
  <c r="K194" i="19"/>
  <c r="K27" i="19"/>
  <c r="K71" i="19"/>
  <c r="G98" i="19"/>
  <c r="G102" i="19" s="1"/>
  <c r="K128" i="19"/>
  <c r="K171" i="19"/>
  <c r="I78" i="19"/>
  <c r="K165" i="19"/>
  <c r="E228" i="19"/>
  <c r="G132" i="19"/>
  <c r="G161" i="19" s="1"/>
  <c r="K138" i="19"/>
  <c r="K189" i="19"/>
  <c r="G228" i="19"/>
  <c r="K210" i="19"/>
  <c r="K22" i="19"/>
  <c r="I43" i="19"/>
  <c r="K43" i="19" s="1"/>
  <c r="K45" i="19"/>
  <c r="K66" i="19"/>
  <c r="I80" i="19"/>
  <c r="K80" i="19" s="1"/>
  <c r="K123" i="19"/>
  <c r="I202" i="19"/>
  <c r="K202" i="19" s="1"/>
  <c r="I218" i="19"/>
  <c r="K218" i="19" s="1"/>
  <c r="K82" i="19"/>
  <c r="K89" i="19"/>
  <c r="K204" i="19"/>
  <c r="K220" i="19"/>
  <c r="E159" i="19"/>
  <c r="E161" i="19" s="1"/>
  <c r="K16" i="19"/>
  <c r="I54" i="19"/>
  <c r="K54" i="19" s="1"/>
  <c r="E80" i="19"/>
  <c r="E98" i="19" s="1"/>
  <c r="E102" i="19" s="1"/>
  <c r="K114" i="19"/>
  <c r="K199" i="19"/>
  <c r="I29" i="19"/>
  <c r="K29" i="19" s="1"/>
  <c r="K61" i="19"/>
  <c r="G80" i="19"/>
  <c r="K118" i="19"/>
  <c r="I231" i="19"/>
  <c r="K231" i="19" s="1"/>
  <c r="K33" i="19"/>
  <c r="K84" i="19"/>
  <c r="K193" i="19"/>
  <c r="E215" i="19" l="1"/>
  <c r="E223" i="19" s="1"/>
  <c r="E230" i="19"/>
  <c r="E232" i="19" s="1"/>
  <c r="E234" i="19" s="1"/>
  <c r="G230" i="19"/>
  <c r="G232" i="19" s="1"/>
  <c r="G234" i="19" s="1"/>
  <c r="G215" i="19"/>
  <c r="G223" i="19" s="1"/>
  <c r="I191" i="19"/>
  <c r="I126" i="19"/>
  <c r="K120" i="19"/>
  <c r="K78" i="19"/>
  <c r="I98" i="19"/>
  <c r="K98" i="19" s="1"/>
  <c r="I132" i="19" l="1"/>
  <c r="K126" i="19"/>
  <c r="I228" i="19"/>
  <c r="K228" i="19" s="1"/>
  <c r="I102" i="19"/>
  <c r="K191" i="19"/>
  <c r="I213" i="19"/>
  <c r="K213" i="19" s="1"/>
  <c r="I230" i="19" l="1"/>
  <c r="K102" i="19"/>
  <c r="K132" i="19"/>
  <c r="I161" i="19"/>
  <c r="K161" i="19" s="1"/>
  <c r="I215" i="19" l="1"/>
  <c r="K230" i="19"/>
  <c r="I232" i="19"/>
  <c r="K232" i="19" l="1"/>
  <c r="I234" i="19"/>
  <c r="K234" i="19" s="1"/>
  <c r="I223" i="19"/>
  <c r="K223" i="19" s="1"/>
  <c r="K215" i="19"/>
  <c r="K272" i="18" l="1"/>
  <c r="K271" i="18"/>
  <c r="K269" i="18"/>
  <c r="K267" i="18"/>
  <c r="I266" i="18"/>
  <c r="K266" i="18" s="1"/>
  <c r="K265" i="18"/>
  <c r="G264" i="18"/>
  <c r="G268" i="18" s="1"/>
  <c r="E264" i="18"/>
  <c r="E268" i="18" s="1"/>
  <c r="K263" i="18"/>
  <c r="I263" i="18"/>
  <c r="I262" i="18"/>
  <c r="K262" i="18" s="1"/>
  <c r="I261" i="18"/>
  <c r="K261" i="18" s="1"/>
  <c r="I260" i="18"/>
  <c r="K260" i="18" s="1"/>
  <c r="I259" i="18"/>
  <c r="K259" i="18" s="1"/>
  <c r="I258" i="18"/>
  <c r="K258" i="18" s="1"/>
  <c r="K257" i="18"/>
  <c r="I257" i="18"/>
  <c r="I256" i="18"/>
  <c r="K256" i="18" s="1"/>
  <c r="I255" i="18"/>
  <c r="K255" i="18" s="1"/>
  <c r="I254" i="18"/>
  <c r="K254" i="18" s="1"/>
  <c r="I253" i="18"/>
  <c r="K253" i="18" s="1"/>
  <c r="I252" i="18"/>
  <c r="K252" i="18" s="1"/>
  <c r="K251" i="18"/>
  <c r="I251" i="18"/>
  <c r="I250" i="18"/>
  <c r="K250" i="18" s="1"/>
  <c r="I249" i="18"/>
  <c r="K249" i="18" s="1"/>
  <c r="I248" i="18"/>
  <c r="K248" i="18" s="1"/>
  <c r="I247" i="18"/>
  <c r="K247" i="18" s="1"/>
  <c r="I246" i="18"/>
  <c r="K246" i="18" s="1"/>
  <c r="K245" i="18"/>
  <c r="I245" i="18"/>
  <c r="I244" i="18"/>
  <c r="K244" i="18" s="1"/>
  <c r="I243" i="18"/>
  <c r="K243" i="18" s="1"/>
  <c r="I242" i="18"/>
  <c r="I264" i="18" s="1"/>
  <c r="K264" i="18" s="1"/>
  <c r="K241" i="18"/>
  <c r="I240" i="18"/>
  <c r="K240" i="18" s="1"/>
  <c r="K239" i="18"/>
  <c r="K238" i="18"/>
  <c r="I238" i="18"/>
  <c r="K237" i="18"/>
  <c r="I236" i="18"/>
  <c r="K235" i="18"/>
  <c r="K233" i="18"/>
  <c r="E232" i="18"/>
  <c r="K231" i="18"/>
  <c r="I230" i="18"/>
  <c r="K230" i="18" s="1"/>
  <c r="K229" i="18"/>
  <c r="I228" i="18"/>
  <c r="K228" i="18" s="1"/>
  <c r="K227" i="18"/>
  <c r="I226" i="18"/>
  <c r="K226" i="18" s="1"/>
  <c r="K225" i="18"/>
  <c r="I224" i="18"/>
  <c r="K224" i="18" s="1"/>
  <c r="K223" i="18"/>
  <c r="I222" i="18"/>
  <c r="K222" i="18" s="1"/>
  <c r="K221" i="18"/>
  <c r="I220" i="18"/>
  <c r="K220" i="18" s="1"/>
  <c r="K219" i="18"/>
  <c r="G218" i="18"/>
  <c r="G232" i="18" s="1"/>
  <c r="E218" i="18"/>
  <c r="I217" i="18"/>
  <c r="K217" i="18" s="1"/>
  <c r="I216" i="18"/>
  <c r="K216" i="18" s="1"/>
  <c r="I215" i="18"/>
  <c r="K215" i="18" s="1"/>
  <c r="I214" i="18"/>
  <c r="I218" i="18" s="1"/>
  <c r="K213" i="18"/>
  <c r="I213" i="18"/>
  <c r="K212" i="18"/>
  <c r="I212" i="18"/>
  <c r="K211" i="18"/>
  <c r="G210" i="18"/>
  <c r="G234" i="18" s="1"/>
  <c r="G270" i="18" s="1"/>
  <c r="E210" i="18"/>
  <c r="E234" i="18" s="1"/>
  <c r="E270" i="18" s="1"/>
  <c r="K209" i="18"/>
  <c r="I208" i="18"/>
  <c r="K208" i="18" s="1"/>
  <c r="K207" i="18"/>
  <c r="K206" i="18"/>
  <c r="I206" i="18"/>
  <c r="K205" i="18"/>
  <c r="G204" i="18"/>
  <c r="E204" i="18"/>
  <c r="I203" i="18"/>
  <c r="K203" i="18" s="1"/>
  <c r="I202" i="18"/>
  <c r="K202" i="18" s="1"/>
  <c r="I201" i="18"/>
  <c r="K201" i="18" s="1"/>
  <c r="K200" i="18"/>
  <c r="I200" i="18"/>
  <c r="I199" i="18"/>
  <c r="K199" i="18" s="1"/>
  <c r="I198" i="18"/>
  <c r="K198" i="18" s="1"/>
  <c r="I197" i="18"/>
  <c r="K197" i="18" s="1"/>
  <c r="I196" i="18"/>
  <c r="K196" i="18" s="1"/>
  <c r="I195" i="18"/>
  <c r="K195" i="18" s="1"/>
  <c r="K194" i="18"/>
  <c r="I194" i="18"/>
  <c r="I193" i="18"/>
  <c r="K193" i="18" s="1"/>
  <c r="I192" i="18"/>
  <c r="K192" i="18" s="1"/>
  <c r="I191" i="18"/>
  <c r="K191" i="18" s="1"/>
  <c r="I190" i="18"/>
  <c r="K189" i="18"/>
  <c r="G188" i="18"/>
  <c r="E188" i="18"/>
  <c r="I187" i="18"/>
  <c r="I186" i="18"/>
  <c r="K186" i="18" s="1"/>
  <c r="K185" i="18"/>
  <c r="I184" i="18"/>
  <c r="K184" i="18" s="1"/>
  <c r="K183" i="18"/>
  <c r="G182" i="18"/>
  <c r="E182" i="18"/>
  <c r="I181" i="18"/>
  <c r="K181" i="18" s="1"/>
  <c r="K180" i="18"/>
  <c r="I180" i="18"/>
  <c r="I179" i="18"/>
  <c r="K179" i="18" s="1"/>
  <c r="I178" i="18"/>
  <c r="K178" i="18" s="1"/>
  <c r="I177" i="18"/>
  <c r="K177" i="18" s="1"/>
  <c r="I176" i="18"/>
  <c r="K176" i="18" s="1"/>
  <c r="I175" i="18"/>
  <c r="K175" i="18" s="1"/>
  <c r="I174" i="18"/>
  <c r="I182" i="18" s="1"/>
  <c r="K182" i="18" s="1"/>
  <c r="K173" i="18"/>
  <c r="I173" i="18"/>
  <c r="I172" i="18"/>
  <c r="K172" i="18" s="1"/>
  <c r="K171" i="18"/>
  <c r="G170" i="18"/>
  <c r="E170" i="18"/>
  <c r="I169" i="18"/>
  <c r="K169" i="18" s="1"/>
  <c r="I168" i="18"/>
  <c r="K168" i="18" s="1"/>
  <c r="K167" i="18"/>
  <c r="I167" i="18"/>
  <c r="I166" i="18"/>
  <c r="K165" i="18"/>
  <c r="K163" i="18"/>
  <c r="K161" i="18"/>
  <c r="K160" i="18"/>
  <c r="I160" i="18"/>
  <c r="K159" i="18"/>
  <c r="I158" i="18"/>
  <c r="K158" i="18" s="1"/>
  <c r="K157" i="18"/>
  <c r="G156" i="18"/>
  <c r="E156" i="18"/>
  <c r="I155" i="18"/>
  <c r="K155" i="18" s="1"/>
  <c r="I154" i="18"/>
  <c r="I153" i="18"/>
  <c r="K153" i="18" s="1"/>
  <c r="I152" i="18"/>
  <c r="K152" i="18" s="1"/>
  <c r="K151" i="18"/>
  <c r="G150" i="18"/>
  <c r="E150" i="18"/>
  <c r="I149" i="18"/>
  <c r="I150" i="18" s="1"/>
  <c r="K150" i="18" s="1"/>
  <c r="K148" i="18"/>
  <c r="I148" i="18"/>
  <c r="I147" i="18"/>
  <c r="K147" i="18" s="1"/>
  <c r="I146" i="18"/>
  <c r="K146" i="18" s="1"/>
  <c r="K145" i="18"/>
  <c r="G143" i="18"/>
  <c r="E143" i="18"/>
  <c r="I142" i="18"/>
  <c r="K142" i="18" s="1"/>
  <c r="G142" i="18"/>
  <c r="E142" i="18"/>
  <c r="K141" i="18"/>
  <c r="I140" i="18"/>
  <c r="K140" i="18" s="1"/>
  <c r="G140" i="18"/>
  <c r="E140" i="18"/>
  <c r="K139" i="18"/>
  <c r="I139" i="18"/>
  <c r="I138" i="18"/>
  <c r="K138" i="18" s="1"/>
  <c r="I137" i="18"/>
  <c r="K137" i="18" s="1"/>
  <c r="G137" i="18"/>
  <c r="E137" i="18"/>
  <c r="I136" i="18"/>
  <c r="K136" i="18" s="1"/>
  <c r="I135" i="18"/>
  <c r="K135" i="18" s="1"/>
  <c r="G134" i="18"/>
  <c r="E134" i="18"/>
  <c r="I133" i="18"/>
  <c r="K133" i="18" s="1"/>
  <c r="K132" i="18"/>
  <c r="I132" i="18"/>
  <c r="I131" i="18"/>
  <c r="K131" i="18" s="1"/>
  <c r="G131" i="18"/>
  <c r="E131" i="18"/>
  <c r="K130" i="18"/>
  <c r="I130" i="18"/>
  <c r="I129" i="18"/>
  <c r="K129" i="18" s="1"/>
  <c r="I128" i="18"/>
  <c r="G128" i="18"/>
  <c r="G144" i="18" s="1"/>
  <c r="E128" i="18"/>
  <c r="E144" i="18" s="1"/>
  <c r="I127" i="18"/>
  <c r="K127" i="18" s="1"/>
  <c r="I126" i="18"/>
  <c r="K126" i="18" s="1"/>
  <c r="G125" i="18"/>
  <c r="E125" i="18"/>
  <c r="I124" i="18"/>
  <c r="K124" i="18" s="1"/>
  <c r="I123" i="18"/>
  <c r="K122" i="18"/>
  <c r="I122" i="18"/>
  <c r="G122" i="18"/>
  <c r="E122" i="18"/>
  <c r="K121" i="18"/>
  <c r="I121" i="18"/>
  <c r="I120" i="18"/>
  <c r="K120" i="18" s="1"/>
  <c r="K119" i="18"/>
  <c r="E116" i="18"/>
  <c r="K115" i="18"/>
  <c r="G113" i="18"/>
  <c r="E113" i="18"/>
  <c r="G112" i="18"/>
  <c r="E112" i="18"/>
  <c r="K111" i="18"/>
  <c r="G110" i="18"/>
  <c r="E110" i="18"/>
  <c r="I109" i="18"/>
  <c r="I110" i="18" s="1"/>
  <c r="K110" i="18" s="1"/>
  <c r="I108" i="18"/>
  <c r="K108" i="18" s="1"/>
  <c r="I107" i="18"/>
  <c r="K107" i="18" s="1"/>
  <c r="G107" i="18"/>
  <c r="E107" i="18"/>
  <c r="I106" i="18"/>
  <c r="K106" i="18" s="1"/>
  <c r="I105" i="18"/>
  <c r="K105" i="18" s="1"/>
  <c r="G104" i="18"/>
  <c r="E104" i="18"/>
  <c r="I103" i="18"/>
  <c r="K102" i="18"/>
  <c r="I102" i="18"/>
  <c r="G101" i="18"/>
  <c r="E101" i="18"/>
  <c r="I100" i="18"/>
  <c r="I101" i="18" s="1"/>
  <c r="K101" i="18" s="1"/>
  <c r="I99" i="18"/>
  <c r="K99" i="18" s="1"/>
  <c r="I98" i="18"/>
  <c r="G98" i="18"/>
  <c r="G114" i="18" s="1"/>
  <c r="E98" i="18"/>
  <c r="E114" i="18" s="1"/>
  <c r="K97" i="18"/>
  <c r="I97" i="18"/>
  <c r="I96" i="18"/>
  <c r="K95" i="18"/>
  <c r="G93" i="18"/>
  <c r="E93" i="18"/>
  <c r="E117" i="18" s="1"/>
  <c r="I92" i="18"/>
  <c r="G92" i="18"/>
  <c r="G116" i="18" s="1"/>
  <c r="E92" i="18"/>
  <c r="K91" i="18"/>
  <c r="G90" i="18"/>
  <c r="E90" i="18"/>
  <c r="I89" i="18"/>
  <c r="K89" i="18" s="1"/>
  <c r="I88" i="18"/>
  <c r="I90" i="18" s="1"/>
  <c r="K90" i="18" s="1"/>
  <c r="I87" i="18"/>
  <c r="G87" i="18"/>
  <c r="E87" i="18"/>
  <c r="I86" i="18"/>
  <c r="K86" i="18" s="1"/>
  <c r="I85" i="18"/>
  <c r="K85" i="18" s="1"/>
  <c r="G84" i="18"/>
  <c r="E84" i="18"/>
  <c r="I83" i="18"/>
  <c r="I93" i="18" s="1"/>
  <c r="I82" i="18"/>
  <c r="I84" i="18" s="1"/>
  <c r="K84" i="18" s="1"/>
  <c r="G81" i="18"/>
  <c r="E81" i="18"/>
  <c r="I80" i="18"/>
  <c r="K80" i="18" s="1"/>
  <c r="I79" i="18"/>
  <c r="I81" i="18" s="1"/>
  <c r="K81" i="18" s="1"/>
  <c r="G78" i="18"/>
  <c r="E78" i="18"/>
  <c r="I77" i="18"/>
  <c r="K77" i="18" s="1"/>
  <c r="I76" i="18"/>
  <c r="K76" i="18" s="1"/>
  <c r="K75" i="18"/>
  <c r="K74" i="18"/>
  <c r="I74" i="18"/>
  <c r="K73" i="18"/>
  <c r="G72" i="18"/>
  <c r="E72" i="18"/>
  <c r="I71" i="18"/>
  <c r="K71" i="18" s="1"/>
  <c r="I70" i="18"/>
  <c r="K70" i="18" s="1"/>
  <c r="K69" i="18"/>
  <c r="G68" i="18"/>
  <c r="E68" i="18"/>
  <c r="I67" i="18"/>
  <c r="K67" i="18" s="1"/>
  <c r="K66" i="18"/>
  <c r="I66" i="18"/>
  <c r="I65" i="18"/>
  <c r="K65" i="18" s="1"/>
  <c r="I64" i="18"/>
  <c r="K64" i="18" s="1"/>
  <c r="I63" i="18"/>
  <c r="K63" i="18" s="1"/>
  <c r="I62" i="18"/>
  <c r="I68" i="18" s="1"/>
  <c r="I61" i="18"/>
  <c r="K61" i="18" s="1"/>
  <c r="K60" i="18"/>
  <c r="K58" i="18"/>
  <c r="I57" i="18"/>
  <c r="K57" i="18" s="1"/>
  <c r="K56" i="18"/>
  <c r="G55" i="18"/>
  <c r="E55" i="18"/>
  <c r="I54" i="18"/>
  <c r="K54" i="18" s="1"/>
  <c r="I53" i="18"/>
  <c r="K53" i="18" s="1"/>
  <c r="I52" i="18"/>
  <c r="K52" i="18" s="1"/>
  <c r="I51" i="18"/>
  <c r="K51" i="18" s="1"/>
  <c r="I50" i="18"/>
  <c r="K50" i="18" s="1"/>
  <c r="I49" i="18"/>
  <c r="K49" i="18" s="1"/>
  <c r="I48" i="18"/>
  <c r="K48" i="18" s="1"/>
  <c r="I47" i="18"/>
  <c r="I46" i="18"/>
  <c r="K46" i="18" s="1"/>
  <c r="I45" i="18"/>
  <c r="K45" i="18" s="1"/>
  <c r="I44" i="18"/>
  <c r="K44" i="18" s="1"/>
  <c r="K43" i="18"/>
  <c r="G42" i="18"/>
  <c r="E42" i="18"/>
  <c r="I41" i="18"/>
  <c r="K41" i="18" s="1"/>
  <c r="I40" i="18"/>
  <c r="K40" i="18" s="1"/>
  <c r="I39" i="18"/>
  <c r="K39" i="18" s="1"/>
  <c r="I38" i="18"/>
  <c r="K38" i="18" s="1"/>
  <c r="K37" i="18"/>
  <c r="I37" i="18"/>
  <c r="I36" i="18"/>
  <c r="K35" i="18"/>
  <c r="I34" i="18"/>
  <c r="K34" i="18" s="1"/>
  <c r="G34" i="18"/>
  <c r="E34" i="18"/>
  <c r="I33" i="18"/>
  <c r="K33" i="18" s="1"/>
  <c r="I32" i="18"/>
  <c r="K32" i="18" s="1"/>
  <c r="I31" i="18"/>
  <c r="K31" i="18" s="1"/>
  <c r="I30" i="18"/>
  <c r="K30" i="18" s="1"/>
  <c r="I29" i="18"/>
  <c r="K29" i="18" s="1"/>
  <c r="I28" i="18"/>
  <c r="K28" i="18" s="1"/>
  <c r="K27" i="18"/>
  <c r="I26" i="18"/>
  <c r="K26" i="18" s="1"/>
  <c r="K25" i="18"/>
  <c r="G24" i="18"/>
  <c r="E24" i="18"/>
  <c r="I23" i="18"/>
  <c r="K23" i="18" s="1"/>
  <c r="I22" i="18"/>
  <c r="K22" i="18" s="1"/>
  <c r="K21" i="18"/>
  <c r="I21" i="18"/>
  <c r="I20" i="18"/>
  <c r="K20" i="18" s="1"/>
  <c r="I19" i="18"/>
  <c r="K19" i="18" s="1"/>
  <c r="K18" i="18"/>
  <c r="G17" i="18"/>
  <c r="E17" i="18"/>
  <c r="E59" i="18" s="1"/>
  <c r="I16" i="18"/>
  <c r="K16" i="18" s="1"/>
  <c r="I15" i="18"/>
  <c r="I17" i="18" s="1"/>
  <c r="K17" i="18" s="1"/>
  <c r="K14" i="18"/>
  <c r="G13" i="18"/>
  <c r="E13" i="18"/>
  <c r="I12" i="18"/>
  <c r="K12" i="18" s="1"/>
  <c r="I11" i="18"/>
  <c r="I13" i="18" s="1"/>
  <c r="K10" i="18"/>
  <c r="K68" i="18" l="1"/>
  <c r="K87" i="18"/>
  <c r="K103" i="18"/>
  <c r="I104" i="18"/>
  <c r="K104" i="18" s="1"/>
  <c r="K62" i="18"/>
  <c r="K128" i="18"/>
  <c r="K15" i="18"/>
  <c r="K93" i="18"/>
  <c r="I113" i="18"/>
  <c r="K113" i="18" s="1"/>
  <c r="I125" i="18"/>
  <c r="K123" i="18"/>
  <c r="I268" i="18"/>
  <c r="K268" i="18" s="1"/>
  <c r="I156" i="18"/>
  <c r="K156" i="18" s="1"/>
  <c r="K154" i="18"/>
  <c r="I116" i="18"/>
  <c r="K116" i="18" s="1"/>
  <c r="K92" i="18"/>
  <c r="K218" i="18"/>
  <c r="I232" i="18"/>
  <c r="K232" i="18" s="1"/>
  <c r="K47" i="18"/>
  <c r="I55" i="18"/>
  <c r="K55" i="18" s="1"/>
  <c r="G162" i="18"/>
  <c r="K187" i="18"/>
  <c r="I188" i="18"/>
  <c r="K188" i="18" s="1"/>
  <c r="G117" i="18"/>
  <c r="K174" i="18"/>
  <c r="K214" i="18"/>
  <c r="I42" i="18"/>
  <c r="K42" i="18" s="1"/>
  <c r="K82" i="18"/>
  <c r="K98" i="18"/>
  <c r="K109" i="18"/>
  <c r="I143" i="18"/>
  <c r="K143" i="18" s="1"/>
  <c r="E94" i="18"/>
  <c r="E118" i="18" s="1"/>
  <c r="E162" i="18" s="1"/>
  <c r="E164" i="18" s="1"/>
  <c r="E273" i="18" s="1"/>
  <c r="K149" i="18"/>
  <c r="K13" i="18"/>
  <c r="G94" i="18"/>
  <c r="G118" i="18" s="1"/>
  <c r="K83" i="18"/>
  <c r="K88" i="18"/>
  <c r="I114" i="18"/>
  <c r="K114" i="18" s="1"/>
  <c r="K11" i="18"/>
  <c r="I78" i="18"/>
  <c r="K100" i="18"/>
  <c r="I204" i="18"/>
  <c r="K204" i="18" s="1"/>
  <c r="K190" i="18"/>
  <c r="I72" i="18"/>
  <c r="K72" i="18" s="1"/>
  <c r="K79" i="18"/>
  <c r="I112" i="18"/>
  <c r="K112" i="18" s="1"/>
  <c r="I170" i="18"/>
  <c r="K242" i="18"/>
  <c r="G59" i="18"/>
  <c r="K96" i="18"/>
  <c r="K166" i="18"/>
  <c r="I134" i="18"/>
  <c r="K134" i="18" s="1"/>
  <c r="K236" i="18"/>
  <c r="I24" i="18"/>
  <c r="K24" i="18" s="1"/>
  <c r="K36" i="18"/>
  <c r="I117" i="18" l="1"/>
  <c r="K117" i="18" s="1"/>
  <c r="I94" i="18"/>
  <c r="K78" i="18"/>
  <c r="G164" i="18"/>
  <c r="G273" i="18" s="1"/>
  <c r="I210" i="18"/>
  <c r="K170" i="18"/>
  <c r="I59" i="18"/>
  <c r="I144" i="18"/>
  <c r="K144" i="18" s="1"/>
  <c r="K125" i="18"/>
  <c r="K59" i="18" l="1"/>
  <c r="K210" i="18"/>
  <c r="I234" i="18"/>
  <c r="K94" i="18"/>
  <c r="I118" i="18"/>
  <c r="K118" i="18" l="1"/>
  <c r="I162" i="18"/>
  <c r="K234" i="18"/>
  <c r="I270" i="18"/>
  <c r="K270" i="18" s="1"/>
  <c r="K162" i="18" l="1"/>
  <c r="I164" i="18"/>
  <c r="L150" i="17"/>
  <c r="K150" i="17"/>
  <c r="I150" i="17"/>
  <c r="F150" i="17"/>
  <c r="K148" i="17"/>
  <c r="L148" i="17" s="1"/>
  <c r="I148" i="17"/>
  <c r="F148" i="17"/>
  <c r="K146" i="17"/>
  <c r="L146" i="17" s="1"/>
  <c r="I146" i="17"/>
  <c r="F146" i="17"/>
  <c r="L144" i="17"/>
  <c r="K144" i="17"/>
  <c r="I144" i="17"/>
  <c r="F144" i="17"/>
  <c r="K142" i="17"/>
  <c r="L142" i="17" s="1"/>
  <c r="I142" i="17"/>
  <c r="F142" i="17"/>
  <c r="K141" i="17"/>
  <c r="L141" i="17" s="1"/>
  <c r="I141" i="17"/>
  <c r="F141" i="17"/>
  <c r="L140" i="17"/>
  <c r="K140" i="17"/>
  <c r="I140" i="17"/>
  <c r="F140" i="17"/>
  <c r="K138" i="17"/>
  <c r="L138" i="17" s="1"/>
  <c r="I138" i="17"/>
  <c r="F138" i="17"/>
  <c r="K136" i="17"/>
  <c r="L136" i="17" s="1"/>
  <c r="I136" i="17"/>
  <c r="F136" i="17"/>
  <c r="L135" i="17"/>
  <c r="K135" i="17"/>
  <c r="I135" i="17"/>
  <c r="F135" i="17"/>
  <c r="K134" i="17"/>
  <c r="L134" i="17" s="1"/>
  <c r="I134" i="17"/>
  <c r="F134" i="17"/>
  <c r="K133" i="17"/>
  <c r="L133" i="17" s="1"/>
  <c r="I133" i="17"/>
  <c r="F133" i="17"/>
  <c r="L132" i="17"/>
  <c r="K132" i="17"/>
  <c r="I132" i="17"/>
  <c r="F132" i="17"/>
  <c r="K130" i="17"/>
  <c r="L130" i="17" s="1"/>
  <c r="I130" i="17"/>
  <c r="F130" i="17"/>
  <c r="K128" i="17"/>
  <c r="L128" i="17" s="1"/>
  <c r="I128" i="17"/>
  <c r="F128" i="17"/>
  <c r="L126" i="17"/>
  <c r="K126" i="17"/>
  <c r="I126" i="17"/>
  <c r="F126" i="17"/>
  <c r="K125" i="17"/>
  <c r="L125" i="17" s="1"/>
  <c r="I125" i="17"/>
  <c r="F125" i="17"/>
  <c r="K124" i="17"/>
  <c r="L124" i="17" s="1"/>
  <c r="I124" i="17"/>
  <c r="F124" i="17"/>
  <c r="L123" i="17"/>
  <c r="K123" i="17"/>
  <c r="I123" i="17"/>
  <c r="F123" i="17"/>
  <c r="K122" i="17"/>
  <c r="L122" i="17" s="1"/>
  <c r="I122" i="17"/>
  <c r="F122" i="17"/>
  <c r="K121" i="17"/>
  <c r="L121" i="17" s="1"/>
  <c r="I121" i="17"/>
  <c r="F121" i="17"/>
  <c r="L120" i="17"/>
  <c r="K120" i="17"/>
  <c r="I120" i="17"/>
  <c r="F120" i="17"/>
  <c r="K119" i="17"/>
  <c r="L119" i="17" s="1"/>
  <c r="I119" i="17"/>
  <c r="F119" i="17"/>
  <c r="K118" i="17"/>
  <c r="L118" i="17" s="1"/>
  <c r="I118" i="17"/>
  <c r="F118" i="17"/>
  <c r="L116" i="17"/>
  <c r="K116" i="17"/>
  <c r="I116" i="17"/>
  <c r="F116" i="17"/>
  <c r="K114" i="17"/>
  <c r="L114" i="17" s="1"/>
  <c r="I114" i="17"/>
  <c r="F114" i="17"/>
  <c r="K113" i="17"/>
  <c r="L113" i="17" s="1"/>
  <c r="I113" i="17"/>
  <c r="F113" i="17"/>
  <c r="L112" i="17"/>
  <c r="K112" i="17"/>
  <c r="I112" i="17"/>
  <c r="F112" i="17"/>
  <c r="K111" i="17"/>
  <c r="L111" i="17" s="1"/>
  <c r="I111" i="17"/>
  <c r="F111" i="17"/>
  <c r="K110" i="17"/>
  <c r="L110" i="17" s="1"/>
  <c r="I110" i="17"/>
  <c r="F110" i="17"/>
  <c r="L109" i="17"/>
  <c r="K109" i="17"/>
  <c r="I109" i="17"/>
  <c r="F109" i="17"/>
  <c r="K107" i="17"/>
  <c r="L107" i="17" s="1"/>
  <c r="I107" i="17"/>
  <c r="F107" i="17"/>
  <c r="K106" i="17"/>
  <c r="L106" i="17" s="1"/>
  <c r="I106" i="17"/>
  <c r="F106" i="17"/>
  <c r="L105" i="17"/>
  <c r="K105" i="17"/>
  <c r="I105" i="17"/>
  <c r="F105" i="17"/>
  <c r="K104" i="17"/>
  <c r="L104" i="17" s="1"/>
  <c r="I104" i="17"/>
  <c r="F104" i="17"/>
  <c r="K103" i="17"/>
  <c r="L103" i="17" s="1"/>
  <c r="I103" i="17"/>
  <c r="F103" i="17"/>
  <c r="L101" i="17"/>
  <c r="K101" i="17"/>
  <c r="I101" i="17"/>
  <c r="F101" i="17"/>
  <c r="K100" i="17"/>
  <c r="L100" i="17" s="1"/>
  <c r="I100" i="17"/>
  <c r="F100" i="17"/>
  <c r="K99" i="17"/>
  <c r="L99" i="17" s="1"/>
  <c r="I99" i="17"/>
  <c r="F99" i="17"/>
  <c r="L98" i="17"/>
  <c r="K98" i="17"/>
  <c r="I98" i="17"/>
  <c r="F98" i="17"/>
  <c r="K97" i="17"/>
  <c r="L97" i="17" s="1"/>
  <c r="I97" i="17"/>
  <c r="F97" i="17"/>
  <c r="K95" i="17"/>
  <c r="L95" i="17" s="1"/>
  <c r="I95" i="17"/>
  <c r="F95" i="17"/>
  <c r="L94" i="17"/>
  <c r="K94" i="17"/>
  <c r="I94" i="17"/>
  <c r="F94" i="17"/>
  <c r="K92" i="17"/>
  <c r="L92" i="17" s="1"/>
  <c r="I92" i="17"/>
  <c r="F92" i="17"/>
  <c r="K91" i="17"/>
  <c r="L91" i="17" s="1"/>
  <c r="I91" i="17"/>
  <c r="F91" i="17"/>
  <c r="L90" i="17"/>
  <c r="K90" i="17"/>
  <c r="I90" i="17"/>
  <c r="F90" i="17"/>
  <c r="K89" i="17"/>
  <c r="L89" i="17" s="1"/>
  <c r="I89" i="17"/>
  <c r="F89" i="17"/>
  <c r="K88" i="17"/>
  <c r="L88" i="17" s="1"/>
  <c r="I88" i="17"/>
  <c r="F88" i="17"/>
  <c r="L87" i="17"/>
  <c r="K87" i="17"/>
  <c r="I87" i="17"/>
  <c r="F87" i="17"/>
  <c r="K85" i="17"/>
  <c r="L85" i="17" s="1"/>
  <c r="I85" i="17"/>
  <c r="F85" i="17"/>
  <c r="K84" i="17"/>
  <c r="L84" i="17" s="1"/>
  <c r="I84" i="17"/>
  <c r="F84" i="17"/>
  <c r="L83" i="17"/>
  <c r="K83" i="17"/>
  <c r="I83" i="17"/>
  <c r="F83" i="17"/>
  <c r="K82" i="17"/>
  <c r="L82" i="17" s="1"/>
  <c r="I82" i="17"/>
  <c r="F82" i="17"/>
  <c r="K81" i="17"/>
  <c r="L81" i="17" s="1"/>
  <c r="I81" i="17"/>
  <c r="F81" i="17"/>
  <c r="L80" i="17"/>
  <c r="K80" i="17"/>
  <c r="I80" i="17"/>
  <c r="F80" i="17"/>
  <c r="K78" i="17"/>
  <c r="L78" i="17" s="1"/>
  <c r="I78" i="17"/>
  <c r="F78" i="17"/>
  <c r="K76" i="17"/>
  <c r="L76" i="17" s="1"/>
  <c r="I76" i="17"/>
  <c r="F76" i="17"/>
  <c r="L75" i="17"/>
  <c r="K75" i="17"/>
  <c r="I75" i="17"/>
  <c r="F75" i="17"/>
  <c r="K74" i="17"/>
  <c r="L74" i="17" s="1"/>
  <c r="I74" i="17"/>
  <c r="F74" i="17"/>
  <c r="K73" i="17"/>
  <c r="L73" i="17" s="1"/>
  <c r="I73" i="17"/>
  <c r="F73" i="17"/>
  <c r="L71" i="17"/>
  <c r="K71" i="17"/>
  <c r="I71" i="17"/>
  <c r="F71" i="17"/>
  <c r="K69" i="17"/>
  <c r="L69" i="17" s="1"/>
  <c r="I69" i="17"/>
  <c r="F69" i="17"/>
  <c r="K68" i="17"/>
  <c r="L68" i="17" s="1"/>
  <c r="I68" i="17"/>
  <c r="F68" i="17"/>
  <c r="L67" i="17"/>
  <c r="K67" i="17"/>
  <c r="I67" i="17"/>
  <c r="F67" i="17"/>
  <c r="K65" i="17"/>
  <c r="L65" i="17" s="1"/>
  <c r="I65" i="17"/>
  <c r="F65" i="17"/>
  <c r="K63" i="17"/>
  <c r="L63" i="17" s="1"/>
  <c r="I63" i="17"/>
  <c r="F63" i="17"/>
  <c r="L62" i="17"/>
  <c r="K62" i="17"/>
  <c r="I62" i="17"/>
  <c r="F62" i="17"/>
  <c r="K61" i="17"/>
  <c r="L61" i="17" s="1"/>
  <c r="I61" i="17"/>
  <c r="F61" i="17"/>
  <c r="K59" i="17"/>
  <c r="L59" i="17" s="1"/>
  <c r="I59" i="17"/>
  <c r="F59" i="17"/>
  <c r="L57" i="17"/>
  <c r="K57" i="17"/>
  <c r="I57" i="17"/>
  <c r="F57" i="17"/>
  <c r="K56" i="17"/>
  <c r="L56" i="17" s="1"/>
  <c r="I56" i="17"/>
  <c r="F56" i="17"/>
  <c r="K55" i="17"/>
  <c r="L55" i="17" s="1"/>
  <c r="I55" i="17"/>
  <c r="F55" i="17"/>
  <c r="L54" i="17"/>
  <c r="K54" i="17"/>
  <c r="I54" i="17"/>
  <c r="F54" i="17"/>
  <c r="K53" i="17"/>
  <c r="L53" i="17" s="1"/>
  <c r="I53" i="17"/>
  <c r="F53" i="17"/>
  <c r="K52" i="17"/>
  <c r="L52" i="17" s="1"/>
  <c r="I52" i="17"/>
  <c r="F52" i="17"/>
  <c r="L50" i="17"/>
  <c r="K50" i="17"/>
  <c r="I50" i="17"/>
  <c r="F50" i="17"/>
  <c r="K49" i="17"/>
  <c r="L49" i="17" s="1"/>
  <c r="I49" i="17"/>
  <c r="F49" i="17"/>
  <c r="K48" i="17"/>
  <c r="L48" i="17" s="1"/>
  <c r="I48" i="17"/>
  <c r="F48" i="17"/>
  <c r="L47" i="17"/>
  <c r="K47" i="17"/>
  <c r="I47" i="17"/>
  <c r="F47" i="17"/>
  <c r="K46" i="17"/>
  <c r="L46" i="17" s="1"/>
  <c r="I46" i="17"/>
  <c r="F46" i="17"/>
  <c r="K45" i="17"/>
  <c r="L45" i="17" s="1"/>
  <c r="I45" i="17"/>
  <c r="F45" i="17"/>
  <c r="L44" i="17"/>
  <c r="K44" i="17"/>
  <c r="I44" i="17"/>
  <c r="F44" i="17"/>
  <c r="K42" i="17"/>
  <c r="L42" i="17" s="1"/>
  <c r="I42" i="17"/>
  <c r="F42" i="17"/>
  <c r="K40" i="17"/>
  <c r="L40" i="17" s="1"/>
  <c r="I40" i="17"/>
  <c r="F40" i="17"/>
  <c r="L38" i="17"/>
  <c r="K38" i="17"/>
  <c r="I38" i="17"/>
  <c r="F38" i="17"/>
  <c r="K37" i="17"/>
  <c r="L37" i="17" s="1"/>
  <c r="I37" i="17"/>
  <c r="F37" i="17"/>
  <c r="K36" i="17"/>
  <c r="L36" i="17" s="1"/>
  <c r="I36" i="17"/>
  <c r="F36" i="17"/>
  <c r="L35" i="17"/>
  <c r="K35" i="17"/>
  <c r="I35" i="17"/>
  <c r="F35" i="17"/>
  <c r="K34" i="17"/>
  <c r="L34" i="17" s="1"/>
  <c r="I34" i="17"/>
  <c r="F34" i="17"/>
  <c r="K33" i="17"/>
  <c r="L33" i="17" s="1"/>
  <c r="I33" i="17"/>
  <c r="F33" i="17"/>
  <c r="L32" i="17"/>
  <c r="K32" i="17"/>
  <c r="I32" i="17"/>
  <c r="F32" i="17"/>
  <c r="K31" i="17"/>
  <c r="L31" i="17" s="1"/>
  <c r="I31" i="17"/>
  <c r="F31" i="17"/>
  <c r="K30" i="17"/>
  <c r="L30" i="17" s="1"/>
  <c r="I30" i="17"/>
  <c r="F30" i="17"/>
  <c r="L29" i="17"/>
  <c r="K29" i="17"/>
  <c r="I29" i="17"/>
  <c r="F29" i="17"/>
  <c r="K28" i="17"/>
  <c r="L28" i="17" s="1"/>
  <c r="I28" i="17"/>
  <c r="F28" i="17"/>
  <c r="K27" i="17"/>
  <c r="L27" i="17" s="1"/>
  <c r="I27" i="17"/>
  <c r="F27" i="17"/>
  <c r="L26" i="17"/>
  <c r="K26" i="17"/>
  <c r="I26" i="17"/>
  <c r="F26" i="17"/>
  <c r="K25" i="17"/>
  <c r="L25" i="17" s="1"/>
  <c r="I25" i="17"/>
  <c r="F25" i="17"/>
  <c r="K24" i="17"/>
  <c r="L24" i="17" s="1"/>
  <c r="I24" i="17"/>
  <c r="F24" i="17"/>
  <c r="L22" i="17"/>
  <c r="K22" i="17"/>
  <c r="I22" i="17"/>
  <c r="F22" i="17"/>
  <c r="K21" i="17"/>
  <c r="L21" i="17" s="1"/>
  <c r="I21" i="17"/>
  <c r="F21" i="17"/>
  <c r="K20" i="17"/>
  <c r="L20" i="17" s="1"/>
  <c r="I20" i="17"/>
  <c r="F20" i="17"/>
  <c r="L19" i="17"/>
  <c r="K19" i="17"/>
  <c r="I19" i="17"/>
  <c r="F19" i="17"/>
  <c r="K18" i="17"/>
  <c r="L18" i="17" s="1"/>
  <c r="I18" i="17"/>
  <c r="F18" i="17"/>
  <c r="K17" i="17"/>
  <c r="L17" i="17" s="1"/>
  <c r="I17" i="17"/>
  <c r="F17" i="17"/>
  <c r="L16" i="17"/>
  <c r="K16" i="17"/>
  <c r="I16" i="17"/>
  <c r="F16" i="17"/>
  <c r="K15" i="17"/>
  <c r="L15" i="17" s="1"/>
  <c r="I15" i="17"/>
  <c r="F15" i="17"/>
  <c r="K13" i="17"/>
  <c r="L13" i="17" s="1"/>
  <c r="I13" i="17"/>
  <c r="F13" i="17"/>
  <c r="L12" i="17"/>
  <c r="K12" i="17"/>
  <c r="I12" i="17"/>
  <c r="F12" i="17"/>
  <c r="K11" i="17"/>
  <c r="L11" i="17" s="1"/>
  <c r="I11" i="17"/>
  <c r="F11" i="17"/>
  <c r="K10" i="17"/>
  <c r="L10" i="17" s="1"/>
  <c r="I10" i="17"/>
  <c r="F10" i="17"/>
  <c r="L150" i="16"/>
  <c r="K150" i="16"/>
  <c r="I150" i="16"/>
  <c r="F150" i="16"/>
  <c r="K148" i="16"/>
  <c r="L148" i="16" s="1"/>
  <c r="I148" i="16"/>
  <c r="F148" i="16"/>
  <c r="K146" i="16"/>
  <c r="L146" i="16" s="1"/>
  <c r="I146" i="16"/>
  <c r="F146" i="16"/>
  <c r="L144" i="16"/>
  <c r="K144" i="16"/>
  <c r="I144" i="16"/>
  <c r="F144" i="16"/>
  <c r="K142" i="16"/>
  <c r="L142" i="16" s="1"/>
  <c r="I142" i="16"/>
  <c r="F142" i="16"/>
  <c r="K141" i="16"/>
  <c r="L141" i="16" s="1"/>
  <c r="I141" i="16"/>
  <c r="F141" i="16"/>
  <c r="L140" i="16"/>
  <c r="K140" i="16"/>
  <c r="I140" i="16"/>
  <c r="F140" i="16"/>
  <c r="K138" i="16"/>
  <c r="L138" i="16" s="1"/>
  <c r="I138" i="16"/>
  <c r="F138" i="16"/>
  <c r="K136" i="16"/>
  <c r="L136" i="16" s="1"/>
  <c r="I136" i="16"/>
  <c r="F136" i="16"/>
  <c r="L135" i="16"/>
  <c r="K135" i="16"/>
  <c r="I135" i="16"/>
  <c r="F135" i="16"/>
  <c r="K134" i="16"/>
  <c r="L134" i="16" s="1"/>
  <c r="I134" i="16"/>
  <c r="F134" i="16"/>
  <c r="K133" i="16"/>
  <c r="L133" i="16" s="1"/>
  <c r="I133" i="16"/>
  <c r="F133" i="16"/>
  <c r="L132" i="16"/>
  <c r="K132" i="16"/>
  <c r="I132" i="16"/>
  <c r="F132" i="16"/>
  <c r="K130" i="16"/>
  <c r="L130" i="16" s="1"/>
  <c r="I130" i="16"/>
  <c r="F130" i="16"/>
  <c r="K128" i="16"/>
  <c r="L128" i="16" s="1"/>
  <c r="I128" i="16"/>
  <c r="F128" i="16"/>
  <c r="L126" i="16"/>
  <c r="K126" i="16"/>
  <c r="I126" i="16"/>
  <c r="F126" i="16"/>
  <c r="K125" i="16"/>
  <c r="L125" i="16" s="1"/>
  <c r="I125" i="16"/>
  <c r="F125" i="16"/>
  <c r="K124" i="16"/>
  <c r="L124" i="16" s="1"/>
  <c r="I124" i="16"/>
  <c r="F124" i="16"/>
  <c r="L123" i="16"/>
  <c r="K123" i="16"/>
  <c r="I123" i="16"/>
  <c r="F123" i="16"/>
  <c r="K122" i="16"/>
  <c r="L122" i="16" s="1"/>
  <c r="I122" i="16"/>
  <c r="F122" i="16"/>
  <c r="K121" i="16"/>
  <c r="L121" i="16" s="1"/>
  <c r="I121" i="16"/>
  <c r="F121" i="16"/>
  <c r="L120" i="16"/>
  <c r="K120" i="16"/>
  <c r="I120" i="16"/>
  <c r="F120" i="16"/>
  <c r="K119" i="16"/>
  <c r="L119" i="16" s="1"/>
  <c r="I119" i="16"/>
  <c r="F119" i="16"/>
  <c r="K118" i="16"/>
  <c r="L118" i="16" s="1"/>
  <c r="I118" i="16"/>
  <c r="F118" i="16"/>
  <c r="L116" i="16"/>
  <c r="K116" i="16"/>
  <c r="I116" i="16"/>
  <c r="F116" i="16"/>
  <c r="K114" i="16"/>
  <c r="L114" i="16" s="1"/>
  <c r="I114" i="16"/>
  <c r="F114" i="16"/>
  <c r="K113" i="16"/>
  <c r="L113" i="16" s="1"/>
  <c r="I113" i="16"/>
  <c r="F113" i="16"/>
  <c r="L112" i="16"/>
  <c r="K112" i="16"/>
  <c r="I112" i="16"/>
  <c r="F112" i="16"/>
  <c r="K111" i="16"/>
  <c r="L111" i="16" s="1"/>
  <c r="I111" i="16"/>
  <c r="F111" i="16"/>
  <c r="K110" i="16"/>
  <c r="L110" i="16" s="1"/>
  <c r="I110" i="16"/>
  <c r="F110" i="16"/>
  <c r="L109" i="16"/>
  <c r="K109" i="16"/>
  <c r="I109" i="16"/>
  <c r="F109" i="16"/>
  <c r="K107" i="16"/>
  <c r="L107" i="16" s="1"/>
  <c r="I107" i="16"/>
  <c r="F107" i="16"/>
  <c r="K106" i="16"/>
  <c r="L106" i="16" s="1"/>
  <c r="I106" i="16"/>
  <c r="F106" i="16"/>
  <c r="L105" i="16"/>
  <c r="K105" i="16"/>
  <c r="I105" i="16"/>
  <c r="F105" i="16"/>
  <c r="K104" i="16"/>
  <c r="L104" i="16" s="1"/>
  <c r="I104" i="16"/>
  <c r="F104" i="16"/>
  <c r="K103" i="16"/>
  <c r="L103" i="16" s="1"/>
  <c r="I103" i="16"/>
  <c r="F103" i="16"/>
  <c r="L101" i="16"/>
  <c r="K101" i="16"/>
  <c r="I101" i="16"/>
  <c r="F101" i="16"/>
  <c r="K100" i="16"/>
  <c r="L100" i="16" s="1"/>
  <c r="I100" i="16"/>
  <c r="F100" i="16"/>
  <c r="K99" i="16"/>
  <c r="L99" i="16" s="1"/>
  <c r="I99" i="16"/>
  <c r="F99" i="16"/>
  <c r="L98" i="16"/>
  <c r="K98" i="16"/>
  <c r="I98" i="16"/>
  <c r="F98" i="16"/>
  <c r="K97" i="16"/>
  <c r="L97" i="16" s="1"/>
  <c r="I97" i="16"/>
  <c r="F97" i="16"/>
  <c r="K95" i="16"/>
  <c r="L95" i="16" s="1"/>
  <c r="I95" i="16"/>
  <c r="F95" i="16"/>
  <c r="L94" i="16"/>
  <c r="K94" i="16"/>
  <c r="I94" i="16"/>
  <c r="F94" i="16"/>
  <c r="K92" i="16"/>
  <c r="L92" i="16" s="1"/>
  <c r="I92" i="16"/>
  <c r="F92" i="16"/>
  <c r="K91" i="16"/>
  <c r="L91" i="16" s="1"/>
  <c r="I91" i="16"/>
  <c r="F91" i="16"/>
  <c r="L90" i="16"/>
  <c r="K90" i="16"/>
  <c r="I90" i="16"/>
  <c r="F90" i="16"/>
  <c r="K89" i="16"/>
  <c r="L89" i="16" s="1"/>
  <c r="I89" i="16"/>
  <c r="F89" i="16"/>
  <c r="K88" i="16"/>
  <c r="L88" i="16" s="1"/>
  <c r="I88" i="16"/>
  <c r="F88" i="16"/>
  <c r="L87" i="16"/>
  <c r="K87" i="16"/>
  <c r="I87" i="16"/>
  <c r="F87" i="16"/>
  <c r="K85" i="16"/>
  <c r="L85" i="16" s="1"/>
  <c r="I85" i="16"/>
  <c r="F85" i="16"/>
  <c r="K84" i="16"/>
  <c r="L84" i="16" s="1"/>
  <c r="I84" i="16"/>
  <c r="F84" i="16"/>
  <c r="L83" i="16"/>
  <c r="K83" i="16"/>
  <c r="I83" i="16"/>
  <c r="F83" i="16"/>
  <c r="K82" i="16"/>
  <c r="L82" i="16" s="1"/>
  <c r="I82" i="16"/>
  <c r="F82" i="16"/>
  <c r="K81" i="16"/>
  <c r="L81" i="16" s="1"/>
  <c r="I81" i="16"/>
  <c r="F81" i="16"/>
  <c r="L80" i="16"/>
  <c r="K80" i="16"/>
  <c r="I80" i="16"/>
  <c r="F80" i="16"/>
  <c r="K78" i="16"/>
  <c r="L78" i="16" s="1"/>
  <c r="I78" i="16"/>
  <c r="F78" i="16"/>
  <c r="K76" i="16"/>
  <c r="L76" i="16" s="1"/>
  <c r="I76" i="16"/>
  <c r="F76" i="16"/>
  <c r="L75" i="16"/>
  <c r="K75" i="16"/>
  <c r="I75" i="16"/>
  <c r="F75" i="16"/>
  <c r="K74" i="16"/>
  <c r="L74" i="16" s="1"/>
  <c r="I74" i="16"/>
  <c r="F74" i="16"/>
  <c r="K73" i="16"/>
  <c r="L73" i="16" s="1"/>
  <c r="I73" i="16"/>
  <c r="F73" i="16"/>
  <c r="L71" i="16"/>
  <c r="K71" i="16"/>
  <c r="I71" i="16"/>
  <c r="F71" i="16"/>
  <c r="K69" i="16"/>
  <c r="L69" i="16" s="1"/>
  <c r="I69" i="16"/>
  <c r="F69" i="16"/>
  <c r="K68" i="16"/>
  <c r="L68" i="16" s="1"/>
  <c r="I68" i="16"/>
  <c r="F68" i="16"/>
  <c r="L67" i="16"/>
  <c r="K67" i="16"/>
  <c r="I67" i="16"/>
  <c r="F67" i="16"/>
  <c r="K65" i="16"/>
  <c r="L65" i="16" s="1"/>
  <c r="I65" i="16"/>
  <c r="F65" i="16"/>
  <c r="K63" i="16"/>
  <c r="L63" i="16" s="1"/>
  <c r="I63" i="16"/>
  <c r="F63" i="16"/>
  <c r="L62" i="16"/>
  <c r="K62" i="16"/>
  <c r="I62" i="16"/>
  <c r="F62" i="16"/>
  <c r="K61" i="16"/>
  <c r="L61" i="16" s="1"/>
  <c r="I61" i="16"/>
  <c r="F61" i="16"/>
  <c r="K59" i="16"/>
  <c r="L59" i="16" s="1"/>
  <c r="I59" i="16"/>
  <c r="F59" i="16"/>
  <c r="L57" i="16"/>
  <c r="K57" i="16"/>
  <c r="I57" i="16"/>
  <c r="F57" i="16"/>
  <c r="K56" i="16"/>
  <c r="L56" i="16" s="1"/>
  <c r="I56" i="16"/>
  <c r="F56" i="16"/>
  <c r="K55" i="16"/>
  <c r="L55" i="16" s="1"/>
  <c r="I55" i="16"/>
  <c r="F55" i="16"/>
  <c r="L54" i="16"/>
  <c r="K54" i="16"/>
  <c r="I54" i="16"/>
  <c r="F54" i="16"/>
  <c r="K53" i="16"/>
  <c r="L53" i="16" s="1"/>
  <c r="I53" i="16"/>
  <c r="F53" i="16"/>
  <c r="K52" i="16"/>
  <c r="L52" i="16" s="1"/>
  <c r="I52" i="16"/>
  <c r="F52" i="16"/>
  <c r="L50" i="16"/>
  <c r="K50" i="16"/>
  <c r="I50" i="16"/>
  <c r="F50" i="16"/>
  <c r="K49" i="16"/>
  <c r="L49" i="16" s="1"/>
  <c r="I49" i="16"/>
  <c r="F49" i="16"/>
  <c r="K48" i="16"/>
  <c r="L48" i="16" s="1"/>
  <c r="I48" i="16"/>
  <c r="F48" i="16"/>
  <c r="L47" i="16"/>
  <c r="K47" i="16"/>
  <c r="I47" i="16"/>
  <c r="F47" i="16"/>
  <c r="K46" i="16"/>
  <c r="L46" i="16" s="1"/>
  <c r="I46" i="16"/>
  <c r="F46" i="16"/>
  <c r="K45" i="16"/>
  <c r="L45" i="16" s="1"/>
  <c r="I45" i="16"/>
  <c r="F45" i="16"/>
  <c r="L44" i="16"/>
  <c r="K44" i="16"/>
  <c r="I44" i="16"/>
  <c r="F44" i="16"/>
  <c r="K42" i="16"/>
  <c r="L42" i="16" s="1"/>
  <c r="I42" i="16"/>
  <c r="F42" i="16"/>
  <c r="K40" i="16"/>
  <c r="L40" i="16" s="1"/>
  <c r="I40" i="16"/>
  <c r="F40" i="16"/>
  <c r="L38" i="16"/>
  <c r="K38" i="16"/>
  <c r="I38" i="16"/>
  <c r="F38" i="16"/>
  <c r="K37" i="16"/>
  <c r="L37" i="16" s="1"/>
  <c r="I37" i="16"/>
  <c r="F37" i="16"/>
  <c r="K36" i="16"/>
  <c r="L36" i="16" s="1"/>
  <c r="I36" i="16"/>
  <c r="F36" i="16"/>
  <c r="L35" i="16"/>
  <c r="K35" i="16"/>
  <c r="I35" i="16"/>
  <c r="F35" i="16"/>
  <c r="K34" i="16"/>
  <c r="L34" i="16" s="1"/>
  <c r="I34" i="16"/>
  <c r="F34" i="16"/>
  <c r="K33" i="16"/>
  <c r="L33" i="16" s="1"/>
  <c r="I33" i="16"/>
  <c r="F33" i="16"/>
  <c r="L32" i="16"/>
  <c r="K32" i="16"/>
  <c r="I32" i="16"/>
  <c r="F32" i="16"/>
  <c r="K31" i="16"/>
  <c r="L31" i="16" s="1"/>
  <c r="I31" i="16"/>
  <c r="F31" i="16"/>
  <c r="K30" i="16"/>
  <c r="L30" i="16" s="1"/>
  <c r="I30" i="16"/>
  <c r="F30" i="16"/>
  <c r="L29" i="16"/>
  <c r="K29" i="16"/>
  <c r="I29" i="16"/>
  <c r="F29" i="16"/>
  <c r="K28" i="16"/>
  <c r="L28" i="16" s="1"/>
  <c r="I28" i="16"/>
  <c r="F28" i="16"/>
  <c r="K27" i="16"/>
  <c r="L27" i="16" s="1"/>
  <c r="I27" i="16"/>
  <c r="F27" i="16"/>
  <c r="L26" i="16"/>
  <c r="K26" i="16"/>
  <c r="I26" i="16"/>
  <c r="F26" i="16"/>
  <c r="K25" i="16"/>
  <c r="L25" i="16" s="1"/>
  <c r="I25" i="16"/>
  <c r="F25" i="16"/>
  <c r="K24" i="16"/>
  <c r="L24" i="16" s="1"/>
  <c r="I24" i="16"/>
  <c r="F24" i="16"/>
  <c r="L22" i="16"/>
  <c r="K22" i="16"/>
  <c r="I22" i="16"/>
  <c r="F22" i="16"/>
  <c r="K21" i="16"/>
  <c r="L21" i="16" s="1"/>
  <c r="I21" i="16"/>
  <c r="F21" i="16"/>
  <c r="K20" i="16"/>
  <c r="L20" i="16" s="1"/>
  <c r="I20" i="16"/>
  <c r="F20" i="16"/>
  <c r="L19" i="16"/>
  <c r="K19" i="16"/>
  <c r="I19" i="16"/>
  <c r="F19" i="16"/>
  <c r="K18" i="16"/>
  <c r="L18" i="16" s="1"/>
  <c r="I18" i="16"/>
  <c r="F18" i="16"/>
  <c r="K17" i="16"/>
  <c r="L17" i="16" s="1"/>
  <c r="I17" i="16"/>
  <c r="F17" i="16"/>
  <c r="L16" i="16"/>
  <c r="K16" i="16"/>
  <c r="I16" i="16"/>
  <c r="F16" i="16"/>
  <c r="K15" i="16"/>
  <c r="L15" i="16" s="1"/>
  <c r="I15" i="16"/>
  <c r="F15" i="16"/>
  <c r="K13" i="16"/>
  <c r="L13" i="16" s="1"/>
  <c r="I13" i="16"/>
  <c r="F13" i="16"/>
  <c r="L12" i="16"/>
  <c r="K12" i="16"/>
  <c r="I12" i="16"/>
  <c r="F12" i="16"/>
  <c r="K11" i="16"/>
  <c r="L11" i="16" s="1"/>
  <c r="I11" i="16"/>
  <c r="F11" i="16"/>
  <c r="K10" i="16"/>
  <c r="L10" i="16" s="1"/>
  <c r="I10" i="16"/>
  <c r="F10" i="16"/>
  <c r="K150" i="15"/>
  <c r="L150" i="15" s="1"/>
  <c r="I150" i="15"/>
  <c r="F150" i="15"/>
  <c r="K148" i="15"/>
  <c r="L148" i="15" s="1"/>
  <c r="I148" i="15"/>
  <c r="F148" i="15"/>
  <c r="K146" i="15"/>
  <c r="L146" i="15" s="1"/>
  <c r="I146" i="15"/>
  <c r="F146" i="15"/>
  <c r="K144" i="15"/>
  <c r="L144" i="15" s="1"/>
  <c r="I144" i="15"/>
  <c r="F144" i="15"/>
  <c r="K142" i="15"/>
  <c r="L142" i="15" s="1"/>
  <c r="I142" i="15"/>
  <c r="F142" i="15"/>
  <c r="K141" i="15"/>
  <c r="L141" i="15" s="1"/>
  <c r="I141" i="15"/>
  <c r="F141" i="15"/>
  <c r="K140" i="15"/>
  <c r="L140" i="15" s="1"/>
  <c r="I140" i="15"/>
  <c r="F140" i="15"/>
  <c r="K138" i="15"/>
  <c r="L138" i="15" s="1"/>
  <c r="I138" i="15"/>
  <c r="F138" i="15"/>
  <c r="K136" i="15"/>
  <c r="L136" i="15" s="1"/>
  <c r="I136" i="15"/>
  <c r="F136" i="15"/>
  <c r="K135" i="15"/>
  <c r="L135" i="15" s="1"/>
  <c r="I135" i="15"/>
  <c r="F135" i="15"/>
  <c r="K134" i="15"/>
  <c r="L134" i="15" s="1"/>
  <c r="I134" i="15"/>
  <c r="F134" i="15"/>
  <c r="K133" i="15"/>
  <c r="L133" i="15" s="1"/>
  <c r="I133" i="15"/>
  <c r="F133" i="15"/>
  <c r="K132" i="15"/>
  <c r="L132" i="15" s="1"/>
  <c r="I132" i="15"/>
  <c r="F132" i="15"/>
  <c r="K130" i="15"/>
  <c r="L130" i="15" s="1"/>
  <c r="I130" i="15"/>
  <c r="F130" i="15"/>
  <c r="K128" i="15"/>
  <c r="L128" i="15" s="1"/>
  <c r="I128" i="15"/>
  <c r="F128" i="15"/>
  <c r="K126" i="15"/>
  <c r="L126" i="15" s="1"/>
  <c r="I126" i="15"/>
  <c r="F126" i="15"/>
  <c r="K125" i="15"/>
  <c r="L125" i="15" s="1"/>
  <c r="I125" i="15"/>
  <c r="F125" i="15"/>
  <c r="K124" i="15"/>
  <c r="L124" i="15" s="1"/>
  <c r="I124" i="15"/>
  <c r="F124" i="15"/>
  <c r="K123" i="15"/>
  <c r="L123" i="15" s="1"/>
  <c r="I123" i="15"/>
  <c r="F123" i="15"/>
  <c r="K122" i="15"/>
  <c r="L122" i="15" s="1"/>
  <c r="I122" i="15"/>
  <c r="F122" i="15"/>
  <c r="K121" i="15"/>
  <c r="L121" i="15" s="1"/>
  <c r="I121" i="15"/>
  <c r="F121" i="15"/>
  <c r="K120" i="15"/>
  <c r="L120" i="15" s="1"/>
  <c r="I120" i="15"/>
  <c r="F120" i="15"/>
  <c r="K119" i="15"/>
  <c r="L119" i="15" s="1"/>
  <c r="I119" i="15"/>
  <c r="F119" i="15"/>
  <c r="K118" i="15"/>
  <c r="L118" i="15" s="1"/>
  <c r="I118" i="15"/>
  <c r="F118" i="15"/>
  <c r="K116" i="15"/>
  <c r="L116" i="15" s="1"/>
  <c r="I116" i="15"/>
  <c r="F116" i="15"/>
  <c r="K114" i="15"/>
  <c r="L114" i="15" s="1"/>
  <c r="I114" i="15"/>
  <c r="F114" i="15"/>
  <c r="K113" i="15"/>
  <c r="L113" i="15" s="1"/>
  <c r="I113" i="15"/>
  <c r="F113" i="15"/>
  <c r="K112" i="15"/>
  <c r="L112" i="15" s="1"/>
  <c r="I112" i="15"/>
  <c r="F112" i="15"/>
  <c r="K111" i="15"/>
  <c r="L111" i="15" s="1"/>
  <c r="I111" i="15"/>
  <c r="F111" i="15"/>
  <c r="K110" i="15"/>
  <c r="L110" i="15" s="1"/>
  <c r="I110" i="15"/>
  <c r="F110" i="15"/>
  <c r="K109" i="15"/>
  <c r="L109" i="15" s="1"/>
  <c r="I109" i="15"/>
  <c r="F109" i="15"/>
  <c r="K107" i="15"/>
  <c r="L107" i="15" s="1"/>
  <c r="I107" i="15"/>
  <c r="F107" i="15"/>
  <c r="K106" i="15"/>
  <c r="L106" i="15" s="1"/>
  <c r="I106" i="15"/>
  <c r="F106" i="15"/>
  <c r="K105" i="15"/>
  <c r="L105" i="15" s="1"/>
  <c r="I105" i="15"/>
  <c r="F105" i="15"/>
  <c r="K104" i="15"/>
  <c r="L104" i="15" s="1"/>
  <c r="I104" i="15"/>
  <c r="F104" i="15"/>
  <c r="K103" i="15"/>
  <c r="L103" i="15" s="1"/>
  <c r="I103" i="15"/>
  <c r="F103" i="15"/>
  <c r="K101" i="15"/>
  <c r="L101" i="15" s="1"/>
  <c r="I101" i="15"/>
  <c r="F101" i="15"/>
  <c r="K100" i="15"/>
  <c r="L100" i="15" s="1"/>
  <c r="I100" i="15"/>
  <c r="F100" i="15"/>
  <c r="K99" i="15"/>
  <c r="L99" i="15" s="1"/>
  <c r="I99" i="15"/>
  <c r="F99" i="15"/>
  <c r="K98" i="15"/>
  <c r="L98" i="15" s="1"/>
  <c r="I98" i="15"/>
  <c r="F98" i="15"/>
  <c r="K97" i="15"/>
  <c r="L97" i="15" s="1"/>
  <c r="I97" i="15"/>
  <c r="F97" i="15"/>
  <c r="K95" i="15"/>
  <c r="L95" i="15" s="1"/>
  <c r="I95" i="15"/>
  <c r="F95" i="15"/>
  <c r="K94" i="15"/>
  <c r="L94" i="15" s="1"/>
  <c r="I94" i="15"/>
  <c r="F94" i="15"/>
  <c r="K92" i="15"/>
  <c r="L92" i="15" s="1"/>
  <c r="I92" i="15"/>
  <c r="F92" i="15"/>
  <c r="K91" i="15"/>
  <c r="L91" i="15" s="1"/>
  <c r="I91" i="15"/>
  <c r="F91" i="15"/>
  <c r="K90" i="15"/>
  <c r="L90" i="15" s="1"/>
  <c r="I90" i="15"/>
  <c r="F90" i="15"/>
  <c r="K89" i="15"/>
  <c r="L89" i="15" s="1"/>
  <c r="I89" i="15"/>
  <c r="F89" i="15"/>
  <c r="K88" i="15"/>
  <c r="L88" i="15" s="1"/>
  <c r="I88" i="15"/>
  <c r="F88" i="15"/>
  <c r="K87" i="15"/>
  <c r="L87" i="15" s="1"/>
  <c r="I87" i="15"/>
  <c r="F87" i="15"/>
  <c r="K85" i="15"/>
  <c r="L85" i="15" s="1"/>
  <c r="I85" i="15"/>
  <c r="F85" i="15"/>
  <c r="K84" i="15"/>
  <c r="L84" i="15" s="1"/>
  <c r="I84" i="15"/>
  <c r="F84" i="15"/>
  <c r="K83" i="15"/>
  <c r="L83" i="15" s="1"/>
  <c r="I83" i="15"/>
  <c r="F83" i="15"/>
  <c r="K82" i="15"/>
  <c r="L82" i="15" s="1"/>
  <c r="I82" i="15"/>
  <c r="F82" i="15"/>
  <c r="K81" i="15"/>
  <c r="L81" i="15" s="1"/>
  <c r="I81" i="15"/>
  <c r="F81" i="15"/>
  <c r="K80" i="15"/>
  <c r="L80" i="15" s="1"/>
  <c r="I80" i="15"/>
  <c r="F80" i="15"/>
  <c r="K78" i="15"/>
  <c r="L78" i="15" s="1"/>
  <c r="I78" i="15"/>
  <c r="F78" i="15"/>
  <c r="K76" i="15"/>
  <c r="L76" i="15" s="1"/>
  <c r="I76" i="15"/>
  <c r="F76" i="15"/>
  <c r="K75" i="15"/>
  <c r="L75" i="15" s="1"/>
  <c r="I75" i="15"/>
  <c r="F75" i="15"/>
  <c r="K74" i="15"/>
  <c r="L74" i="15" s="1"/>
  <c r="I74" i="15"/>
  <c r="F74" i="15"/>
  <c r="K73" i="15"/>
  <c r="L73" i="15" s="1"/>
  <c r="I73" i="15"/>
  <c r="F73" i="15"/>
  <c r="K71" i="15"/>
  <c r="L71" i="15" s="1"/>
  <c r="I71" i="15"/>
  <c r="F71" i="15"/>
  <c r="K69" i="15"/>
  <c r="L69" i="15" s="1"/>
  <c r="I69" i="15"/>
  <c r="F69" i="15"/>
  <c r="K68" i="15"/>
  <c r="L68" i="15" s="1"/>
  <c r="I68" i="15"/>
  <c r="F68" i="15"/>
  <c r="K67" i="15"/>
  <c r="L67" i="15" s="1"/>
  <c r="I67" i="15"/>
  <c r="F67" i="15"/>
  <c r="K65" i="15"/>
  <c r="L65" i="15" s="1"/>
  <c r="I65" i="15"/>
  <c r="F65" i="15"/>
  <c r="K63" i="15"/>
  <c r="L63" i="15" s="1"/>
  <c r="I63" i="15"/>
  <c r="F63" i="15"/>
  <c r="K62" i="15"/>
  <c r="L62" i="15" s="1"/>
  <c r="I62" i="15"/>
  <c r="F62" i="15"/>
  <c r="K61" i="15"/>
  <c r="L61" i="15" s="1"/>
  <c r="I61" i="15"/>
  <c r="F61" i="15"/>
  <c r="K59" i="15"/>
  <c r="L59" i="15" s="1"/>
  <c r="I59" i="15"/>
  <c r="F59" i="15"/>
  <c r="K57" i="15"/>
  <c r="L57" i="15" s="1"/>
  <c r="I57" i="15"/>
  <c r="F57" i="15"/>
  <c r="K56" i="15"/>
  <c r="L56" i="15" s="1"/>
  <c r="I56" i="15"/>
  <c r="F56" i="15"/>
  <c r="K55" i="15"/>
  <c r="L55" i="15" s="1"/>
  <c r="I55" i="15"/>
  <c r="F55" i="15"/>
  <c r="K54" i="15"/>
  <c r="L54" i="15" s="1"/>
  <c r="I54" i="15"/>
  <c r="F54" i="15"/>
  <c r="K53" i="15"/>
  <c r="L53" i="15" s="1"/>
  <c r="I53" i="15"/>
  <c r="F53" i="15"/>
  <c r="K52" i="15"/>
  <c r="L52" i="15" s="1"/>
  <c r="I52" i="15"/>
  <c r="F52" i="15"/>
  <c r="K50" i="15"/>
  <c r="L50" i="15" s="1"/>
  <c r="I50" i="15"/>
  <c r="F50" i="15"/>
  <c r="K49" i="15"/>
  <c r="L49" i="15" s="1"/>
  <c r="I49" i="15"/>
  <c r="F49" i="15"/>
  <c r="K48" i="15"/>
  <c r="L48" i="15" s="1"/>
  <c r="I48" i="15"/>
  <c r="F48" i="15"/>
  <c r="K47" i="15"/>
  <c r="L47" i="15" s="1"/>
  <c r="I47" i="15"/>
  <c r="F47" i="15"/>
  <c r="K46" i="15"/>
  <c r="L46" i="15" s="1"/>
  <c r="I46" i="15"/>
  <c r="F46" i="15"/>
  <c r="K45" i="15"/>
  <c r="L45" i="15" s="1"/>
  <c r="I45" i="15"/>
  <c r="F45" i="15"/>
  <c r="K44" i="15"/>
  <c r="L44" i="15" s="1"/>
  <c r="I44" i="15"/>
  <c r="F44" i="15"/>
  <c r="K42" i="15"/>
  <c r="L42" i="15" s="1"/>
  <c r="I42" i="15"/>
  <c r="F42" i="15"/>
  <c r="K40" i="15"/>
  <c r="L40" i="15" s="1"/>
  <c r="I40" i="15"/>
  <c r="F40" i="15"/>
  <c r="K38" i="15"/>
  <c r="L38" i="15" s="1"/>
  <c r="I38" i="15"/>
  <c r="F38" i="15"/>
  <c r="K37" i="15"/>
  <c r="L37" i="15" s="1"/>
  <c r="I37" i="15"/>
  <c r="F37" i="15"/>
  <c r="K36" i="15"/>
  <c r="L36" i="15" s="1"/>
  <c r="I36" i="15"/>
  <c r="F36" i="15"/>
  <c r="K35" i="15"/>
  <c r="L35" i="15" s="1"/>
  <c r="I35" i="15"/>
  <c r="F35" i="15"/>
  <c r="K34" i="15"/>
  <c r="L34" i="15" s="1"/>
  <c r="I34" i="15"/>
  <c r="F34" i="15"/>
  <c r="K33" i="15"/>
  <c r="L33" i="15" s="1"/>
  <c r="I33" i="15"/>
  <c r="F33" i="15"/>
  <c r="K32" i="15"/>
  <c r="L32" i="15" s="1"/>
  <c r="I32" i="15"/>
  <c r="F32" i="15"/>
  <c r="K31" i="15"/>
  <c r="L31" i="15" s="1"/>
  <c r="I31" i="15"/>
  <c r="F31" i="15"/>
  <c r="K30" i="15"/>
  <c r="L30" i="15" s="1"/>
  <c r="I30" i="15"/>
  <c r="F30" i="15"/>
  <c r="K29" i="15"/>
  <c r="L29" i="15" s="1"/>
  <c r="I29" i="15"/>
  <c r="F29" i="15"/>
  <c r="K28" i="15"/>
  <c r="L28" i="15" s="1"/>
  <c r="I28" i="15"/>
  <c r="F28" i="15"/>
  <c r="K27" i="15"/>
  <c r="L27" i="15" s="1"/>
  <c r="I27" i="15"/>
  <c r="F27" i="15"/>
  <c r="K26" i="15"/>
  <c r="L26" i="15" s="1"/>
  <c r="I26" i="15"/>
  <c r="F26" i="15"/>
  <c r="K25" i="15"/>
  <c r="L25" i="15" s="1"/>
  <c r="I25" i="15"/>
  <c r="F25" i="15"/>
  <c r="K24" i="15"/>
  <c r="L24" i="15" s="1"/>
  <c r="I24" i="15"/>
  <c r="F24" i="15"/>
  <c r="K22" i="15"/>
  <c r="L22" i="15" s="1"/>
  <c r="I22" i="15"/>
  <c r="F22" i="15"/>
  <c r="K21" i="15"/>
  <c r="L21" i="15" s="1"/>
  <c r="I21" i="15"/>
  <c r="F21" i="15"/>
  <c r="K20" i="15"/>
  <c r="L20" i="15" s="1"/>
  <c r="I20" i="15"/>
  <c r="F20" i="15"/>
  <c r="K19" i="15"/>
  <c r="L19" i="15" s="1"/>
  <c r="I19" i="15"/>
  <c r="F19" i="15"/>
  <c r="K18" i="15"/>
  <c r="L18" i="15" s="1"/>
  <c r="I18" i="15"/>
  <c r="F18" i="15"/>
  <c r="K17" i="15"/>
  <c r="L17" i="15" s="1"/>
  <c r="I17" i="15"/>
  <c r="F17" i="15"/>
  <c r="K16" i="15"/>
  <c r="L16" i="15" s="1"/>
  <c r="I16" i="15"/>
  <c r="F16" i="15"/>
  <c r="K15" i="15"/>
  <c r="L15" i="15" s="1"/>
  <c r="I15" i="15"/>
  <c r="F15" i="15"/>
  <c r="K13" i="15"/>
  <c r="L13" i="15" s="1"/>
  <c r="I13" i="15"/>
  <c r="F13" i="15"/>
  <c r="K12" i="15"/>
  <c r="L12" i="15" s="1"/>
  <c r="I12" i="15"/>
  <c r="F12" i="15"/>
  <c r="K11" i="15"/>
  <c r="L11" i="15" s="1"/>
  <c r="I11" i="15"/>
  <c r="F11" i="15"/>
  <c r="K10" i="15"/>
  <c r="L10" i="15" s="1"/>
  <c r="I10" i="15"/>
  <c r="F10" i="15"/>
  <c r="AL219" i="14"/>
  <c r="AK219" i="14"/>
  <c r="AJ219" i="14"/>
  <c r="AI219" i="14"/>
  <c r="AH219" i="14"/>
  <c r="AG219" i="14"/>
  <c r="AF219" i="14"/>
  <c r="AE219" i="14"/>
  <c r="AD219" i="14"/>
  <c r="AC219" i="14"/>
  <c r="AB219" i="14"/>
  <c r="AA219" i="14"/>
  <c r="Z219" i="14"/>
  <c r="Y219" i="14"/>
  <c r="X219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E219" i="14"/>
  <c r="L268" i="12"/>
  <c r="K268" i="12"/>
  <c r="J268" i="12"/>
  <c r="J270" i="12" s="1"/>
  <c r="I268" i="12"/>
  <c r="H268" i="12"/>
  <c r="G268" i="12"/>
  <c r="D266" i="12"/>
  <c r="L264" i="12"/>
  <c r="K264" i="12"/>
  <c r="J264" i="12"/>
  <c r="I264" i="12"/>
  <c r="H264" i="12"/>
  <c r="G264" i="12"/>
  <c r="F264" i="12"/>
  <c r="F268" i="12" s="1"/>
  <c r="E264" i="12"/>
  <c r="E268" i="12" s="1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0" i="12"/>
  <c r="D238" i="12"/>
  <c r="D236" i="12"/>
  <c r="H234" i="12"/>
  <c r="G234" i="12"/>
  <c r="G270" i="12" s="1"/>
  <c r="L232" i="12"/>
  <c r="D230" i="12"/>
  <c r="D228" i="12"/>
  <c r="D226" i="12"/>
  <c r="D224" i="12"/>
  <c r="D222" i="12"/>
  <c r="D220" i="12"/>
  <c r="L218" i="12"/>
  <c r="K218" i="12"/>
  <c r="K232" i="12" s="1"/>
  <c r="J218" i="12"/>
  <c r="J232" i="12" s="1"/>
  <c r="I218" i="12"/>
  <c r="I232" i="12" s="1"/>
  <c r="H218" i="12"/>
  <c r="H232" i="12" s="1"/>
  <c r="G218" i="12"/>
  <c r="G232" i="12" s="1"/>
  <c r="F218" i="12"/>
  <c r="F232" i="12" s="1"/>
  <c r="E218" i="12"/>
  <c r="E232" i="12" s="1"/>
  <c r="D217" i="12"/>
  <c r="D218" i="12" s="1"/>
  <c r="D232" i="12" s="1"/>
  <c r="D216" i="12"/>
  <c r="D215" i="12"/>
  <c r="D214" i="12"/>
  <c r="D213" i="12"/>
  <c r="D212" i="12"/>
  <c r="J210" i="12"/>
  <c r="J234" i="12" s="1"/>
  <c r="I210" i="12"/>
  <c r="I234" i="12" s="1"/>
  <c r="H210" i="12"/>
  <c r="G210" i="12"/>
  <c r="F210" i="12"/>
  <c r="F234" i="12" s="1"/>
  <c r="F270" i="12" s="1"/>
  <c r="D208" i="12"/>
  <c r="D206" i="12"/>
  <c r="L204" i="12"/>
  <c r="K204" i="12"/>
  <c r="J204" i="12"/>
  <c r="I204" i="12"/>
  <c r="H204" i="12"/>
  <c r="G204" i="12"/>
  <c r="F204" i="12"/>
  <c r="E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204" i="12" s="1"/>
  <c r="L188" i="12"/>
  <c r="K188" i="12"/>
  <c r="J188" i="12"/>
  <c r="I188" i="12"/>
  <c r="H188" i="12"/>
  <c r="G188" i="12"/>
  <c r="F188" i="12"/>
  <c r="E188" i="12"/>
  <c r="D188" i="12"/>
  <c r="D187" i="12"/>
  <c r="D186" i="12"/>
  <c r="D184" i="12"/>
  <c r="L182" i="12"/>
  <c r="K182" i="12"/>
  <c r="J182" i="12"/>
  <c r="I182" i="12"/>
  <c r="H182" i="12"/>
  <c r="G182" i="12"/>
  <c r="F182" i="12"/>
  <c r="E182" i="12"/>
  <c r="D182" i="12"/>
  <c r="D181" i="12"/>
  <c r="D180" i="12"/>
  <c r="D179" i="12"/>
  <c r="D178" i="12"/>
  <c r="D177" i="12"/>
  <c r="D176" i="12"/>
  <c r="D175" i="12"/>
  <c r="D174" i="12"/>
  <c r="D173" i="12"/>
  <c r="D172" i="12"/>
  <c r="L170" i="12"/>
  <c r="L210" i="12" s="1"/>
  <c r="L234" i="12" s="1"/>
  <c r="L270" i="12" s="1"/>
  <c r="K170" i="12"/>
  <c r="K210" i="12" s="1"/>
  <c r="K234" i="12" s="1"/>
  <c r="K270" i="12" s="1"/>
  <c r="J170" i="12"/>
  <c r="I170" i="12"/>
  <c r="H170" i="12"/>
  <c r="G170" i="12"/>
  <c r="F170" i="12"/>
  <c r="E170" i="12"/>
  <c r="E210" i="12" s="1"/>
  <c r="E234" i="12" s="1"/>
  <c r="E270" i="12" s="1"/>
  <c r="D169" i="12"/>
  <c r="D168" i="12"/>
  <c r="D167" i="12"/>
  <c r="D166" i="12"/>
  <c r="D170" i="12" s="1"/>
  <c r="D210" i="12" s="1"/>
  <c r="D160" i="12"/>
  <c r="D158" i="12"/>
  <c r="L156" i="12"/>
  <c r="K156" i="12"/>
  <c r="J156" i="12"/>
  <c r="I156" i="12"/>
  <c r="H156" i="12"/>
  <c r="G156" i="12"/>
  <c r="F156" i="12"/>
  <c r="E156" i="12"/>
  <c r="D155" i="12"/>
  <c r="D154" i="12"/>
  <c r="D153" i="12"/>
  <c r="D152" i="12"/>
  <c r="D156" i="12" s="1"/>
  <c r="L150" i="12"/>
  <c r="K150" i="12"/>
  <c r="J150" i="12"/>
  <c r="I150" i="12"/>
  <c r="H150" i="12"/>
  <c r="G150" i="12"/>
  <c r="F150" i="12"/>
  <c r="E150" i="12"/>
  <c r="D149" i="12"/>
  <c r="D148" i="12"/>
  <c r="D147" i="12"/>
  <c r="D146" i="12"/>
  <c r="L143" i="12"/>
  <c r="K143" i="12"/>
  <c r="J143" i="12"/>
  <c r="I143" i="12"/>
  <c r="H143" i="12"/>
  <c r="G143" i="12"/>
  <c r="F143" i="12"/>
  <c r="E143" i="12"/>
  <c r="L142" i="12"/>
  <c r="K142" i="12"/>
  <c r="J142" i="12"/>
  <c r="I142" i="12"/>
  <c r="H142" i="12"/>
  <c r="G142" i="12"/>
  <c r="F142" i="12"/>
  <c r="E142" i="12"/>
  <c r="D142" i="12"/>
  <c r="L140" i="12"/>
  <c r="K140" i="12"/>
  <c r="J140" i="12"/>
  <c r="I140" i="12"/>
  <c r="H140" i="12"/>
  <c r="G140" i="12"/>
  <c r="F140" i="12"/>
  <c r="E140" i="12"/>
  <c r="D139" i="12"/>
  <c r="D138" i="12"/>
  <c r="D140" i="12" s="1"/>
  <c r="L137" i="12"/>
  <c r="K137" i="12"/>
  <c r="J137" i="12"/>
  <c r="I137" i="12"/>
  <c r="H137" i="12"/>
  <c r="G137" i="12"/>
  <c r="F137" i="12"/>
  <c r="E137" i="12"/>
  <c r="D136" i="12"/>
  <c r="D135" i="12"/>
  <c r="D137" i="12" s="1"/>
  <c r="L134" i="12"/>
  <c r="K134" i="12"/>
  <c r="J134" i="12"/>
  <c r="I134" i="12"/>
  <c r="H134" i="12"/>
  <c r="G134" i="12"/>
  <c r="F134" i="12"/>
  <c r="E134" i="12"/>
  <c r="D133" i="12"/>
  <c r="D132" i="12"/>
  <c r="D134" i="12" s="1"/>
  <c r="L131" i="12"/>
  <c r="K131" i="12"/>
  <c r="J131" i="12"/>
  <c r="I131" i="12"/>
  <c r="H131" i="12"/>
  <c r="G131" i="12"/>
  <c r="F131" i="12"/>
  <c r="E131" i="12"/>
  <c r="D130" i="12"/>
  <c r="D129" i="12"/>
  <c r="D131" i="12" s="1"/>
  <c r="L128" i="12"/>
  <c r="K128" i="12"/>
  <c r="J128" i="12"/>
  <c r="I128" i="12"/>
  <c r="H128" i="12"/>
  <c r="G128" i="12"/>
  <c r="F128" i="12"/>
  <c r="E128" i="12"/>
  <c r="D127" i="12"/>
  <c r="D126" i="12"/>
  <c r="D128" i="12" s="1"/>
  <c r="L125" i="12"/>
  <c r="L144" i="12" s="1"/>
  <c r="K125" i="12"/>
  <c r="K144" i="12" s="1"/>
  <c r="J125" i="12"/>
  <c r="J144" i="12" s="1"/>
  <c r="I125" i="12"/>
  <c r="H125" i="12"/>
  <c r="G125" i="12"/>
  <c r="F125" i="12"/>
  <c r="E125" i="12"/>
  <c r="D124" i="12"/>
  <c r="D123" i="12"/>
  <c r="D125" i="12" s="1"/>
  <c r="L122" i="12"/>
  <c r="K122" i="12"/>
  <c r="J122" i="12"/>
  <c r="I122" i="12"/>
  <c r="H122" i="12"/>
  <c r="G122" i="12"/>
  <c r="G144" i="12" s="1"/>
  <c r="F122" i="12"/>
  <c r="E122" i="12"/>
  <c r="D121" i="12"/>
  <c r="D143" i="12" s="1"/>
  <c r="D120" i="12"/>
  <c r="D122" i="12" s="1"/>
  <c r="F118" i="12"/>
  <c r="E117" i="12"/>
  <c r="L116" i="12"/>
  <c r="E116" i="12"/>
  <c r="L113" i="12"/>
  <c r="K113" i="12"/>
  <c r="J113" i="12"/>
  <c r="I113" i="12"/>
  <c r="H113" i="12"/>
  <c r="H117" i="12" s="1"/>
  <c r="G113" i="12"/>
  <c r="G117" i="12" s="1"/>
  <c r="F113" i="12"/>
  <c r="F117" i="12" s="1"/>
  <c r="E113" i="12"/>
  <c r="L112" i="12"/>
  <c r="K112" i="12"/>
  <c r="J112" i="12"/>
  <c r="I112" i="12"/>
  <c r="H112" i="12"/>
  <c r="G112" i="12"/>
  <c r="F112" i="12"/>
  <c r="E112" i="12"/>
  <c r="D112" i="12"/>
  <c r="L110" i="12"/>
  <c r="K110" i="12"/>
  <c r="J110" i="12"/>
  <c r="I110" i="12"/>
  <c r="H110" i="12"/>
  <c r="G110" i="12"/>
  <c r="F110" i="12"/>
  <c r="E110" i="12"/>
  <c r="D109" i="12"/>
  <c r="D108" i="12"/>
  <c r="D110" i="12" s="1"/>
  <c r="L107" i="12"/>
  <c r="K107" i="12"/>
  <c r="J107" i="12"/>
  <c r="I107" i="12"/>
  <c r="H107" i="12"/>
  <c r="G107" i="12"/>
  <c r="F107" i="12"/>
  <c r="E107" i="12"/>
  <c r="D106" i="12"/>
  <c r="D105" i="12"/>
  <c r="D107" i="12" s="1"/>
  <c r="L104" i="12"/>
  <c r="K104" i="12"/>
  <c r="J104" i="12"/>
  <c r="I104" i="12"/>
  <c r="H104" i="12"/>
  <c r="G104" i="12"/>
  <c r="F104" i="12"/>
  <c r="E104" i="12"/>
  <c r="D103" i="12"/>
  <c r="D102" i="12"/>
  <c r="D104" i="12" s="1"/>
  <c r="L101" i="12"/>
  <c r="K101" i="12"/>
  <c r="J101" i="12"/>
  <c r="I101" i="12"/>
  <c r="H101" i="12"/>
  <c r="G101" i="12"/>
  <c r="G114" i="12" s="1"/>
  <c r="F101" i="12"/>
  <c r="F114" i="12" s="1"/>
  <c r="E101" i="12"/>
  <c r="D100" i="12"/>
  <c r="D99" i="12"/>
  <c r="D101" i="12" s="1"/>
  <c r="L98" i="12"/>
  <c r="L114" i="12" s="1"/>
  <c r="K98" i="12"/>
  <c r="K114" i="12" s="1"/>
  <c r="J98" i="12"/>
  <c r="J114" i="12" s="1"/>
  <c r="I98" i="12"/>
  <c r="I114" i="12" s="1"/>
  <c r="H98" i="12"/>
  <c r="H114" i="12" s="1"/>
  <c r="G98" i="12"/>
  <c r="F98" i="12"/>
  <c r="E98" i="12"/>
  <c r="D97" i="12"/>
  <c r="D96" i="12"/>
  <c r="D98" i="12" s="1"/>
  <c r="L93" i="12"/>
  <c r="L117" i="12" s="1"/>
  <c r="K93" i="12"/>
  <c r="K117" i="12" s="1"/>
  <c r="J93" i="12"/>
  <c r="J117" i="12" s="1"/>
  <c r="I93" i="12"/>
  <c r="I117" i="12" s="1"/>
  <c r="H93" i="12"/>
  <c r="G93" i="12"/>
  <c r="F93" i="12"/>
  <c r="E93" i="12"/>
  <c r="L92" i="12"/>
  <c r="K92" i="12"/>
  <c r="K116" i="12" s="1"/>
  <c r="J92" i="12"/>
  <c r="J116" i="12" s="1"/>
  <c r="I92" i="12"/>
  <c r="I116" i="12" s="1"/>
  <c r="H92" i="12"/>
  <c r="H116" i="12" s="1"/>
  <c r="G92" i="12"/>
  <c r="G116" i="12" s="1"/>
  <c r="F92" i="12"/>
  <c r="F116" i="12" s="1"/>
  <c r="E92" i="12"/>
  <c r="L90" i="12"/>
  <c r="K90" i="12"/>
  <c r="J90" i="12"/>
  <c r="I90" i="12"/>
  <c r="H90" i="12"/>
  <c r="G90" i="12"/>
  <c r="F90" i="12"/>
  <c r="E90" i="12"/>
  <c r="D89" i="12"/>
  <c r="D88" i="12"/>
  <c r="D90" i="12" s="1"/>
  <c r="L87" i="12"/>
  <c r="K87" i="12"/>
  <c r="J87" i="12"/>
  <c r="I87" i="12"/>
  <c r="H87" i="12"/>
  <c r="G87" i="12"/>
  <c r="F87" i="12"/>
  <c r="E87" i="12"/>
  <c r="D86" i="12"/>
  <c r="D93" i="12" s="1"/>
  <c r="D85" i="12"/>
  <c r="D87" i="12" s="1"/>
  <c r="L84" i="12"/>
  <c r="K84" i="12"/>
  <c r="J84" i="12"/>
  <c r="I84" i="12"/>
  <c r="H84" i="12"/>
  <c r="G84" i="12"/>
  <c r="F84" i="12"/>
  <c r="E84" i="12"/>
  <c r="D83" i="12"/>
  <c r="D82" i="12"/>
  <c r="D84" i="12" s="1"/>
  <c r="L81" i="12"/>
  <c r="K81" i="12"/>
  <c r="J81" i="12"/>
  <c r="I81" i="12"/>
  <c r="H81" i="12"/>
  <c r="G81" i="12"/>
  <c r="F81" i="12"/>
  <c r="E81" i="12"/>
  <c r="E94" i="12" s="1"/>
  <c r="D80" i="12"/>
  <c r="D79" i="12"/>
  <c r="D81" i="12" s="1"/>
  <c r="L78" i="12"/>
  <c r="L94" i="12" s="1"/>
  <c r="K78" i="12"/>
  <c r="K94" i="12" s="1"/>
  <c r="J78" i="12"/>
  <c r="J94" i="12" s="1"/>
  <c r="I78" i="12"/>
  <c r="I94" i="12" s="1"/>
  <c r="I118" i="12" s="1"/>
  <c r="H78" i="12"/>
  <c r="H94" i="12" s="1"/>
  <c r="H118" i="12" s="1"/>
  <c r="G78" i="12"/>
  <c r="G94" i="12" s="1"/>
  <c r="G118" i="12" s="1"/>
  <c r="F78" i="12"/>
  <c r="F94" i="12" s="1"/>
  <c r="E78" i="12"/>
  <c r="D77" i="12"/>
  <c r="D76" i="12"/>
  <c r="D78" i="12" s="1"/>
  <c r="D74" i="12"/>
  <c r="L72" i="12"/>
  <c r="K72" i="12"/>
  <c r="J72" i="12"/>
  <c r="I72" i="12"/>
  <c r="H72" i="12"/>
  <c r="G72" i="12"/>
  <c r="F72" i="12"/>
  <c r="E72" i="12"/>
  <c r="D71" i="12"/>
  <c r="D70" i="12"/>
  <c r="D72" i="12" s="1"/>
  <c r="L68" i="12"/>
  <c r="K68" i="12"/>
  <c r="J68" i="12"/>
  <c r="I68" i="12"/>
  <c r="H68" i="12"/>
  <c r="G68" i="12"/>
  <c r="F68" i="12"/>
  <c r="E68" i="12"/>
  <c r="D67" i="12"/>
  <c r="D66" i="12"/>
  <c r="D65" i="12"/>
  <c r="D64" i="12"/>
  <c r="D63" i="12"/>
  <c r="D62" i="12"/>
  <c r="D61" i="12"/>
  <c r="D68" i="12" s="1"/>
  <c r="D57" i="12"/>
  <c r="L55" i="12"/>
  <c r="K55" i="12"/>
  <c r="J55" i="12"/>
  <c r="I55" i="12"/>
  <c r="H55" i="12"/>
  <c r="G55" i="12"/>
  <c r="F55" i="12"/>
  <c r="E55" i="12"/>
  <c r="D54" i="12"/>
  <c r="D53" i="12"/>
  <c r="D52" i="12"/>
  <c r="D51" i="12"/>
  <c r="D50" i="12"/>
  <c r="D49" i="12"/>
  <c r="D48" i="12"/>
  <c r="D47" i="12"/>
  <c r="D46" i="12"/>
  <c r="D45" i="12"/>
  <c r="D44" i="12"/>
  <c r="L42" i="12"/>
  <c r="K42" i="12"/>
  <c r="J42" i="12"/>
  <c r="I42" i="12"/>
  <c r="I59" i="12" s="1"/>
  <c r="H42" i="12"/>
  <c r="G42" i="12"/>
  <c r="F42" i="12"/>
  <c r="E42" i="12"/>
  <c r="D41" i="12"/>
  <c r="D42" i="12" s="1"/>
  <c r="D40" i="12"/>
  <c r="D39" i="12"/>
  <c r="D38" i="12"/>
  <c r="D37" i="12"/>
  <c r="D36" i="12"/>
  <c r="L34" i="12"/>
  <c r="L59" i="12" s="1"/>
  <c r="K34" i="12"/>
  <c r="K59" i="12" s="1"/>
  <c r="J34" i="12"/>
  <c r="J59" i="12" s="1"/>
  <c r="I34" i="12"/>
  <c r="H34" i="12"/>
  <c r="G34" i="12"/>
  <c r="F34" i="12"/>
  <c r="E34" i="12"/>
  <c r="D33" i="12"/>
  <c r="D32" i="12"/>
  <c r="D31" i="12"/>
  <c r="D30" i="12"/>
  <c r="D29" i="12"/>
  <c r="D28" i="12"/>
  <c r="D34" i="12" s="1"/>
  <c r="D26" i="12"/>
  <c r="L24" i="12"/>
  <c r="K24" i="12"/>
  <c r="J24" i="12"/>
  <c r="I24" i="12"/>
  <c r="H24" i="12"/>
  <c r="G24" i="12"/>
  <c r="F24" i="12"/>
  <c r="E24" i="12"/>
  <c r="D23" i="12"/>
  <c r="D22" i="12"/>
  <c r="D21" i="12"/>
  <c r="D24" i="12" s="1"/>
  <c r="D20" i="12"/>
  <c r="D19" i="12"/>
  <c r="L17" i="12"/>
  <c r="K17" i="12"/>
  <c r="J17" i="12"/>
  <c r="I17" i="12"/>
  <c r="H17" i="12"/>
  <c r="G17" i="12"/>
  <c r="F17" i="12"/>
  <c r="E17" i="12"/>
  <c r="D16" i="12"/>
  <c r="D17" i="12" s="1"/>
  <c r="D15" i="12"/>
  <c r="L13" i="12"/>
  <c r="K13" i="12"/>
  <c r="J13" i="12"/>
  <c r="I13" i="12"/>
  <c r="H13" i="12"/>
  <c r="G13" i="12"/>
  <c r="F13" i="12"/>
  <c r="E13" i="12"/>
  <c r="D12" i="12"/>
  <c r="D11" i="12"/>
  <c r="D13" i="12" s="1"/>
  <c r="K164" i="18" l="1"/>
  <c r="I273" i="18"/>
  <c r="K273" i="18" s="1"/>
  <c r="J118" i="12"/>
  <c r="J162" i="12" s="1"/>
  <c r="D117" i="12"/>
  <c r="K118" i="12"/>
  <c r="K162" i="12" s="1"/>
  <c r="J164" i="12"/>
  <c r="J273" i="12" s="1"/>
  <c r="L118" i="12"/>
  <c r="L162" i="12" s="1"/>
  <c r="K164" i="12"/>
  <c r="K273" i="12" s="1"/>
  <c r="D234" i="12"/>
  <c r="L164" i="12"/>
  <c r="L273" i="12" s="1"/>
  <c r="D59" i="12"/>
  <c r="D144" i="12"/>
  <c r="H270" i="12"/>
  <c r="H59" i="12"/>
  <c r="I270" i="12"/>
  <c r="G162" i="12"/>
  <c r="H162" i="12"/>
  <c r="G59" i="12"/>
  <c r="G164" i="12" s="1"/>
  <c r="G273" i="12" s="1"/>
  <c r="I144" i="12"/>
  <c r="I162" i="12" s="1"/>
  <c r="I164" i="12" s="1"/>
  <c r="I273" i="12" s="1"/>
  <c r="D94" i="12"/>
  <c r="D118" i="12" s="1"/>
  <c r="D162" i="12" s="1"/>
  <c r="E144" i="12"/>
  <c r="D114" i="12"/>
  <c r="E59" i="12"/>
  <c r="F59" i="12"/>
  <c r="D264" i="12"/>
  <c r="D268" i="12" s="1"/>
  <c r="H144" i="12"/>
  <c r="D55" i="12"/>
  <c r="D92" i="12"/>
  <c r="D116" i="12" s="1"/>
  <c r="E114" i="12"/>
  <c r="E118" i="12" s="1"/>
  <c r="E162" i="12" s="1"/>
  <c r="F144" i="12"/>
  <c r="F162" i="12" s="1"/>
  <c r="D150" i="12"/>
  <c r="D113" i="12"/>
  <c r="D270" i="12" l="1"/>
  <c r="E164" i="12"/>
  <c r="E273" i="12" s="1"/>
  <c r="H164" i="12"/>
  <c r="H273" i="12" s="1"/>
  <c r="D164" i="12"/>
  <c r="D273" i="12" s="1"/>
  <c r="F164" i="12"/>
  <c r="F273" i="12" s="1"/>
  <c r="M233" i="11"/>
  <c r="L233" i="11"/>
  <c r="K233" i="11"/>
  <c r="J233" i="11"/>
  <c r="I233" i="11"/>
  <c r="H233" i="11"/>
  <c r="G233" i="11"/>
  <c r="E233" i="11"/>
  <c r="G231" i="11"/>
  <c r="E231" i="11"/>
  <c r="K229" i="11"/>
  <c r="J229" i="11"/>
  <c r="I229" i="11"/>
  <c r="H229" i="11"/>
  <c r="G229" i="11"/>
  <c r="E229" i="11"/>
  <c r="M218" i="11"/>
  <c r="L218" i="11"/>
  <c r="K218" i="11"/>
  <c r="J218" i="11"/>
  <c r="I218" i="11"/>
  <c r="H218" i="11"/>
  <c r="G218" i="11"/>
  <c r="E218" i="11"/>
  <c r="M208" i="11"/>
  <c r="L208" i="11"/>
  <c r="K208" i="11"/>
  <c r="J208" i="11"/>
  <c r="I208" i="11"/>
  <c r="H208" i="11"/>
  <c r="G208" i="11"/>
  <c r="E208" i="11"/>
  <c r="M204" i="11"/>
  <c r="L204" i="11"/>
  <c r="K204" i="11"/>
  <c r="J204" i="11"/>
  <c r="I204" i="11"/>
  <c r="H204" i="11"/>
  <c r="G204" i="11"/>
  <c r="E204" i="11"/>
  <c r="M202" i="11"/>
  <c r="M191" i="11" s="1"/>
  <c r="L202" i="11"/>
  <c r="L191" i="11" s="1"/>
  <c r="K202" i="11"/>
  <c r="J202" i="11"/>
  <c r="M198" i="11"/>
  <c r="M231" i="11" s="1"/>
  <c r="L198" i="11"/>
  <c r="L231" i="11" s="1"/>
  <c r="K198" i="11"/>
  <c r="K231" i="11" s="1"/>
  <c r="J198" i="11"/>
  <c r="J231" i="11" s="1"/>
  <c r="I198" i="11"/>
  <c r="I231" i="11" s="1"/>
  <c r="H198" i="11"/>
  <c r="H231" i="11" s="1"/>
  <c r="G198" i="11"/>
  <c r="E198" i="11"/>
  <c r="M193" i="11"/>
  <c r="L193" i="11"/>
  <c r="K193" i="11"/>
  <c r="J193" i="11"/>
  <c r="I193" i="11"/>
  <c r="H193" i="11"/>
  <c r="G193" i="11"/>
  <c r="E193" i="11"/>
  <c r="M184" i="11"/>
  <c r="L184" i="11"/>
  <c r="K184" i="11"/>
  <c r="J184" i="11"/>
  <c r="I184" i="11"/>
  <c r="H184" i="11"/>
  <c r="G184" i="11"/>
  <c r="E184" i="11"/>
  <c r="M180" i="11"/>
  <c r="L180" i="11"/>
  <c r="K180" i="11"/>
  <c r="J180" i="11"/>
  <c r="I180" i="11"/>
  <c r="H180" i="11"/>
  <c r="G180" i="11"/>
  <c r="E180" i="11"/>
  <c r="M170" i="11"/>
  <c r="M213" i="11" s="1"/>
  <c r="L170" i="11"/>
  <c r="L213" i="11" s="1"/>
  <c r="K170" i="11"/>
  <c r="J170" i="11"/>
  <c r="I170" i="11"/>
  <c r="H170" i="11"/>
  <c r="G170" i="11"/>
  <c r="E170" i="11"/>
  <c r="M165" i="11"/>
  <c r="L165" i="11"/>
  <c r="K165" i="11"/>
  <c r="J165" i="11"/>
  <c r="I165" i="11"/>
  <c r="H165" i="11"/>
  <c r="G165" i="11"/>
  <c r="E165" i="11"/>
  <c r="M155" i="11"/>
  <c r="L155" i="11"/>
  <c r="K155" i="11"/>
  <c r="J155" i="11"/>
  <c r="I155" i="11"/>
  <c r="H155" i="11"/>
  <c r="G155" i="11"/>
  <c r="E155" i="11"/>
  <c r="M152" i="11"/>
  <c r="L152" i="11"/>
  <c r="K152" i="11"/>
  <c r="J152" i="11"/>
  <c r="I152" i="11"/>
  <c r="H152" i="11"/>
  <c r="G152" i="11"/>
  <c r="E152" i="11"/>
  <c r="M148" i="11"/>
  <c r="L148" i="11"/>
  <c r="K148" i="11"/>
  <c r="J148" i="11"/>
  <c r="I148" i="11"/>
  <c r="H148" i="11"/>
  <c r="G148" i="11"/>
  <c r="E148" i="11"/>
  <c r="M144" i="11"/>
  <c r="L144" i="11"/>
  <c r="K144" i="11"/>
  <c r="J144" i="11"/>
  <c r="I144" i="11"/>
  <c r="H144" i="11"/>
  <c r="G144" i="11"/>
  <c r="E144" i="11"/>
  <c r="M140" i="11"/>
  <c r="L140" i="11"/>
  <c r="K140" i="11"/>
  <c r="J140" i="11"/>
  <c r="I140" i="11"/>
  <c r="I138" i="11" s="1"/>
  <c r="H140" i="11"/>
  <c r="H138" i="11" s="1"/>
  <c r="G140" i="11"/>
  <c r="G138" i="11" s="1"/>
  <c r="E140" i="11"/>
  <c r="E138" i="11" s="1"/>
  <c r="M138" i="11"/>
  <c r="M159" i="11" s="1"/>
  <c r="L138" i="11"/>
  <c r="L159" i="11" s="1"/>
  <c r="K138" i="11"/>
  <c r="J138" i="11"/>
  <c r="M134" i="11"/>
  <c r="L134" i="11"/>
  <c r="K134" i="11"/>
  <c r="K159" i="11" s="1"/>
  <c r="J134" i="11"/>
  <c r="J159" i="11" s="1"/>
  <c r="I134" i="11"/>
  <c r="H134" i="11"/>
  <c r="G134" i="11"/>
  <c r="G159" i="11" s="1"/>
  <c r="E134" i="11"/>
  <c r="E159" i="11" s="1"/>
  <c r="M128" i="11"/>
  <c r="M229" i="11" s="1"/>
  <c r="L128" i="11"/>
  <c r="L229" i="11" s="1"/>
  <c r="K128" i="11"/>
  <c r="J128" i="11"/>
  <c r="I128" i="11"/>
  <c r="H128" i="11"/>
  <c r="G128" i="11"/>
  <c r="E128" i="11"/>
  <c r="M122" i="11"/>
  <c r="L122" i="11"/>
  <c r="K122" i="11"/>
  <c r="J122" i="11"/>
  <c r="I122" i="11"/>
  <c r="H122" i="11"/>
  <c r="G122" i="11"/>
  <c r="E122" i="11"/>
  <c r="M120" i="11"/>
  <c r="M126" i="11" s="1"/>
  <c r="M114" i="11"/>
  <c r="L114" i="11"/>
  <c r="L120" i="11" s="1"/>
  <c r="L126" i="11" s="1"/>
  <c r="K114" i="11"/>
  <c r="K120" i="11" s="1"/>
  <c r="K126" i="11" s="1"/>
  <c r="J114" i="11"/>
  <c r="J120" i="11" s="1"/>
  <c r="J126" i="11" s="1"/>
  <c r="I114" i="11"/>
  <c r="H114" i="11"/>
  <c r="G114" i="11"/>
  <c r="E114" i="11"/>
  <c r="M106" i="11"/>
  <c r="L106" i="11"/>
  <c r="K106" i="11"/>
  <c r="J106" i="11"/>
  <c r="I106" i="11"/>
  <c r="H106" i="11"/>
  <c r="G106" i="11"/>
  <c r="E106" i="11"/>
  <c r="M89" i="11"/>
  <c r="L89" i="11"/>
  <c r="K89" i="11"/>
  <c r="J89" i="11"/>
  <c r="I89" i="11"/>
  <c r="H89" i="11"/>
  <c r="H80" i="11" s="1"/>
  <c r="G89" i="11"/>
  <c r="E89" i="11"/>
  <c r="M84" i="11"/>
  <c r="M80" i="11" s="1"/>
  <c r="L84" i="11"/>
  <c r="K84" i="11"/>
  <c r="J84" i="11"/>
  <c r="J80" i="11" s="1"/>
  <c r="I84" i="11"/>
  <c r="H84" i="11"/>
  <c r="G84" i="11"/>
  <c r="E84" i="11"/>
  <c r="L80" i="11"/>
  <c r="K80" i="11"/>
  <c r="I80" i="11"/>
  <c r="G80" i="11"/>
  <c r="E80" i="11"/>
  <c r="M74" i="11"/>
  <c r="L74" i="11"/>
  <c r="K74" i="11"/>
  <c r="J74" i="11"/>
  <c r="I74" i="11"/>
  <c r="H74" i="11"/>
  <c r="G74" i="11"/>
  <c r="E74" i="11"/>
  <c r="M69" i="11"/>
  <c r="L69" i="11"/>
  <c r="K69" i="11"/>
  <c r="J69" i="11"/>
  <c r="I69" i="11"/>
  <c r="H69" i="11"/>
  <c r="G69" i="11"/>
  <c r="E69" i="11"/>
  <c r="M65" i="11"/>
  <c r="L65" i="11"/>
  <c r="K65" i="11"/>
  <c r="J65" i="11"/>
  <c r="I65" i="11"/>
  <c r="H65" i="11"/>
  <c r="H78" i="11" s="1"/>
  <c r="H98" i="11" s="1"/>
  <c r="G65" i="11"/>
  <c r="G78" i="11" s="1"/>
  <c r="G98" i="11" s="1"/>
  <c r="E65" i="11"/>
  <c r="E78" i="11" s="1"/>
  <c r="E98" i="11" s="1"/>
  <c r="M60" i="11"/>
  <c r="L60" i="11"/>
  <c r="K60" i="11"/>
  <c r="J60" i="11"/>
  <c r="I60" i="11"/>
  <c r="H60" i="11"/>
  <c r="G60" i="11"/>
  <c r="E60" i="11"/>
  <c r="M54" i="11"/>
  <c r="L54" i="11"/>
  <c r="K54" i="11"/>
  <c r="J54" i="11"/>
  <c r="I54" i="11"/>
  <c r="H54" i="11"/>
  <c r="G54" i="11"/>
  <c r="E54" i="11"/>
  <c r="M49" i="11"/>
  <c r="L49" i="11"/>
  <c r="K49" i="11"/>
  <c r="J49" i="11"/>
  <c r="I49" i="11"/>
  <c r="H49" i="11"/>
  <c r="G49" i="11"/>
  <c r="E49" i="11"/>
  <c r="M45" i="11"/>
  <c r="M43" i="11" s="1"/>
  <c r="L45" i="11"/>
  <c r="L43" i="11" s="1"/>
  <c r="K45" i="11"/>
  <c r="K43" i="11" s="1"/>
  <c r="J45" i="11"/>
  <c r="J43" i="11" s="1"/>
  <c r="I45" i="11"/>
  <c r="H45" i="11"/>
  <c r="G45" i="11"/>
  <c r="E45" i="11"/>
  <c r="I43" i="11"/>
  <c r="H43" i="11"/>
  <c r="G43" i="11"/>
  <c r="E43" i="11"/>
  <c r="M38" i="11"/>
  <c r="L38" i="11"/>
  <c r="K38" i="11"/>
  <c r="J38" i="11"/>
  <c r="I38" i="11"/>
  <c r="H38" i="11"/>
  <c r="G38" i="11"/>
  <c r="E38" i="11"/>
  <c r="M29" i="11"/>
  <c r="L29" i="11"/>
  <c r="K29" i="11"/>
  <c r="J29" i="11"/>
  <c r="I29" i="11"/>
  <c r="H29" i="11"/>
  <c r="G29" i="11"/>
  <c r="E29" i="11"/>
  <c r="M25" i="11"/>
  <c r="L25" i="11"/>
  <c r="K25" i="11"/>
  <c r="J25" i="11"/>
  <c r="I25" i="11"/>
  <c r="H25" i="11"/>
  <c r="G25" i="11"/>
  <c r="E25" i="11"/>
  <c r="M21" i="11"/>
  <c r="L21" i="11"/>
  <c r="K21" i="11"/>
  <c r="J21" i="11"/>
  <c r="I21" i="11"/>
  <c r="H21" i="11"/>
  <c r="G21" i="11"/>
  <c r="E21" i="11"/>
  <c r="M16" i="11"/>
  <c r="L16" i="11"/>
  <c r="K16" i="11"/>
  <c r="J16" i="11"/>
  <c r="I16" i="11"/>
  <c r="H16" i="11"/>
  <c r="G16" i="11"/>
  <c r="E16" i="11"/>
  <c r="M233" i="10"/>
  <c r="L233" i="10"/>
  <c r="K233" i="10"/>
  <c r="J233" i="10"/>
  <c r="I233" i="10"/>
  <c r="H233" i="10"/>
  <c r="G233" i="10"/>
  <c r="E233" i="10"/>
  <c r="G231" i="10"/>
  <c r="E231" i="10"/>
  <c r="K229" i="10"/>
  <c r="J229" i="10"/>
  <c r="I229" i="10"/>
  <c r="H229" i="10"/>
  <c r="G229" i="10"/>
  <c r="E229" i="10"/>
  <c r="M218" i="10"/>
  <c r="L218" i="10"/>
  <c r="K218" i="10"/>
  <c r="J218" i="10"/>
  <c r="I218" i="10"/>
  <c r="H218" i="10"/>
  <c r="G218" i="10"/>
  <c r="E218" i="10"/>
  <c r="M208" i="10"/>
  <c r="L208" i="10"/>
  <c r="K208" i="10"/>
  <c r="J208" i="10"/>
  <c r="I208" i="10"/>
  <c r="H208" i="10"/>
  <c r="G208" i="10"/>
  <c r="E208" i="10"/>
  <c r="M204" i="10"/>
  <c r="L204" i="10"/>
  <c r="K204" i="10"/>
  <c r="J204" i="10"/>
  <c r="I204" i="10"/>
  <c r="H204" i="10"/>
  <c r="G204" i="10"/>
  <c r="E204" i="10"/>
  <c r="M202" i="10"/>
  <c r="M191" i="10" s="1"/>
  <c r="L202" i="10"/>
  <c r="L191" i="10" s="1"/>
  <c r="K202" i="10"/>
  <c r="J202" i="10"/>
  <c r="M198" i="10"/>
  <c r="M231" i="10" s="1"/>
  <c r="L198" i="10"/>
  <c r="L231" i="10" s="1"/>
  <c r="K198" i="10"/>
  <c r="K231" i="10" s="1"/>
  <c r="J198" i="10"/>
  <c r="J231" i="10" s="1"/>
  <c r="I198" i="10"/>
  <c r="I231" i="10" s="1"/>
  <c r="H198" i="10"/>
  <c r="H231" i="10" s="1"/>
  <c r="G198" i="10"/>
  <c r="E198" i="10"/>
  <c r="M193" i="10"/>
  <c r="L193" i="10"/>
  <c r="K193" i="10"/>
  <c r="J193" i="10"/>
  <c r="I193" i="10"/>
  <c r="H193" i="10"/>
  <c r="G193" i="10"/>
  <c r="E193" i="10"/>
  <c r="M184" i="10"/>
  <c r="L184" i="10"/>
  <c r="K184" i="10"/>
  <c r="J184" i="10"/>
  <c r="I184" i="10"/>
  <c r="H184" i="10"/>
  <c r="G184" i="10"/>
  <c r="E184" i="10"/>
  <c r="M180" i="10"/>
  <c r="L180" i="10"/>
  <c r="K180" i="10"/>
  <c r="J180" i="10"/>
  <c r="I180" i="10"/>
  <c r="H180" i="10"/>
  <c r="G180" i="10"/>
  <c r="E180" i="10"/>
  <c r="M170" i="10"/>
  <c r="M213" i="10" s="1"/>
  <c r="L170" i="10"/>
  <c r="L213" i="10" s="1"/>
  <c r="K170" i="10"/>
  <c r="J170" i="10"/>
  <c r="I170" i="10"/>
  <c r="H170" i="10"/>
  <c r="G170" i="10"/>
  <c r="E170" i="10"/>
  <c r="M165" i="10"/>
  <c r="L165" i="10"/>
  <c r="K165" i="10"/>
  <c r="J165" i="10"/>
  <c r="I165" i="10"/>
  <c r="H165" i="10"/>
  <c r="G165" i="10"/>
  <c r="E165" i="10"/>
  <c r="M155" i="10"/>
  <c r="L155" i="10"/>
  <c r="K155" i="10"/>
  <c r="J155" i="10"/>
  <c r="I155" i="10"/>
  <c r="H155" i="10"/>
  <c r="G155" i="10"/>
  <c r="E155" i="10"/>
  <c r="M152" i="10"/>
  <c r="L152" i="10"/>
  <c r="K152" i="10"/>
  <c r="J152" i="10"/>
  <c r="I152" i="10"/>
  <c r="H152" i="10"/>
  <c r="G152" i="10"/>
  <c r="E152" i="10"/>
  <c r="M148" i="10"/>
  <c r="L148" i="10"/>
  <c r="K148" i="10"/>
  <c r="J148" i="10"/>
  <c r="I148" i="10"/>
  <c r="H148" i="10"/>
  <c r="G148" i="10"/>
  <c r="E148" i="10"/>
  <c r="M144" i="10"/>
  <c r="L144" i="10"/>
  <c r="K144" i="10"/>
  <c r="J144" i="10"/>
  <c r="I144" i="10"/>
  <c r="H144" i="10"/>
  <c r="G144" i="10"/>
  <c r="E144" i="10"/>
  <c r="M140" i="10"/>
  <c r="L140" i="10"/>
  <c r="K140" i="10"/>
  <c r="J140" i="10"/>
  <c r="I140" i="10"/>
  <c r="I138" i="10" s="1"/>
  <c r="H140" i="10"/>
  <c r="H138" i="10" s="1"/>
  <c r="G140" i="10"/>
  <c r="G138" i="10" s="1"/>
  <c r="E140" i="10"/>
  <c r="E138" i="10" s="1"/>
  <c r="M138" i="10"/>
  <c r="M159" i="10" s="1"/>
  <c r="L138" i="10"/>
  <c r="L159" i="10" s="1"/>
  <c r="K138" i="10"/>
  <c r="J138" i="10"/>
  <c r="M134" i="10"/>
  <c r="L134" i="10"/>
  <c r="K134" i="10"/>
  <c r="K159" i="10" s="1"/>
  <c r="J134" i="10"/>
  <c r="J159" i="10" s="1"/>
  <c r="I134" i="10"/>
  <c r="H134" i="10"/>
  <c r="G134" i="10"/>
  <c r="G159" i="10" s="1"/>
  <c r="E134" i="10"/>
  <c r="E159" i="10" s="1"/>
  <c r="M128" i="10"/>
  <c r="M229" i="10" s="1"/>
  <c r="L128" i="10"/>
  <c r="L229" i="10" s="1"/>
  <c r="K128" i="10"/>
  <c r="J128" i="10"/>
  <c r="I128" i="10"/>
  <c r="H128" i="10"/>
  <c r="G128" i="10"/>
  <c r="E128" i="10"/>
  <c r="M122" i="10"/>
  <c r="L122" i="10"/>
  <c r="K122" i="10"/>
  <c r="J122" i="10"/>
  <c r="I122" i="10"/>
  <c r="H122" i="10"/>
  <c r="G122" i="10"/>
  <c r="E122" i="10"/>
  <c r="M120" i="10"/>
  <c r="M126" i="10" s="1"/>
  <c r="M114" i="10"/>
  <c r="L114" i="10"/>
  <c r="L120" i="10" s="1"/>
  <c r="L126" i="10" s="1"/>
  <c r="K114" i="10"/>
  <c r="K120" i="10" s="1"/>
  <c r="K126" i="10" s="1"/>
  <c r="J114" i="10"/>
  <c r="J120" i="10" s="1"/>
  <c r="J126" i="10" s="1"/>
  <c r="I114" i="10"/>
  <c r="H114" i="10"/>
  <c r="G114" i="10"/>
  <c r="E114" i="10"/>
  <c r="M106" i="10"/>
  <c r="L106" i="10"/>
  <c r="K106" i="10"/>
  <c r="J106" i="10"/>
  <c r="I106" i="10"/>
  <c r="H106" i="10"/>
  <c r="G106" i="10"/>
  <c r="E106" i="10"/>
  <c r="M89" i="10"/>
  <c r="L89" i="10"/>
  <c r="K89" i="10"/>
  <c r="J89" i="10"/>
  <c r="I89" i="10"/>
  <c r="H89" i="10"/>
  <c r="H80" i="10" s="1"/>
  <c r="G89" i="10"/>
  <c r="E89" i="10"/>
  <c r="M84" i="10"/>
  <c r="M80" i="10" s="1"/>
  <c r="L84" i="10"/>
  <c r="K84" i="10"/>
  <c r="J84" i="10"/>
  <c r="J80" i="10" s="1"/>
  <c r="I84" i="10"/>
  <c r="H84" i="10"/>
  <c r="G84" i="10"/>
  <c r="E84" i="10"/>
  <c r="L80" i="10"/>
  <c r="K80" i="10"/>
  <c r="I80" i="10"/>
  <c r="G80" i="10"/>
  <c r="E80" i="10"/>
  <c r="M74" i="10"/>
  <c r="L74" i="10"/>
  <c r="K74" i="10"/>
  <c r="J74" i="10"/>
  <c r="I74" i="10"/>
  <c r="H74" i="10"/>
  <c r="G74" i="10"/>
  <c r="E74" i="10"/>
  <c r="M69" i="10"/>
  <c r="L69" i="10"/>
  <c r="K69" i="10"/>
  <c r="J69" i="10"/>
  <c r="I69" i="10"/>
  <c r="H69" i="10"/>
  <c r="G69" i="10"/>
  <c r="E69" i="10"/>
  <c r="M65" i="10"/>
  <c r="L65" i="10"/>
  <c r="K65" i="10"/>
  <c r="J65" i="10"/>
  <c r="I65" i="10"/>
  <c r="H65" i="10"/>
  <c r="H78" i="10" s="1"/>
  <c r="H98" i="10" s="1"/>
  <c r="G65" i="10"/>
  <c r="G78" i="10" s="1"/>
  <c r="G98" i="10" s="1"/>
  <c r="E65" i="10"/>
  <c r="E78" i="10" s="1"/>
  <c r="E98" i="10" s="1"/>
  <c r="M60" i="10"/>
  <c r="L60" i="10"/>
  <c r="K60" i="10"/>
  <c r="J60" i="10"/>
  <c r="I60" i="10"/>
  <c r="H60" i="10"/>
  <c r="G60" i="10"/>
  <c r="E60" i="10"/>
  <c r="M54" i="10"/>
  <c r="L54" i="10"/>
  <c r="K54" i="10"/>
  <c r="J54" i="10"/>
  <c r="I54" i="10"/>
  <c r="H54" i="10"/>
  <c r="G54" i="10"/>
  <c r="E54" i="10"/>
  <c r="M49" i="10"/>
  <c r="L49" i="10"/>
  <c r="K49" i="10"/>
  <c r="J49" i="10"/>
  <c r="I49" i="10"/>
  <c r="H49" i="10"/>
  <c r="G49" i="10"/>
  <c r="E49" i="10"/>
  <c r="M45" i="10"/>
  <c r="M43" i="10" s="1"/>
  <c r="L45" i="10"/>
  <c r="L43" i="10" s="1"/>
  <c r="K45" i="10"/>
  <c r="K43" i="10" s="1"/>
  <c r="J45" i="10"/>
  <c r="J43" i="10" s="1"/>
  <c r="I45" i="10"/>
  <c r="H45" i="10"/>
  <c r="G45" i="10"/>
  <c r="E45" i="10"/>
  <c r="I43" i="10"/>
  <c r="H43" i="10"/>
  <c r="G43" i="10"/>
  <c r="E43" i="10"/>
  <c r="M38" i="10"/>
  <c r="L38" i="10"/>
  <c r="K38" i="10"/>
  <c r="J38" i="10"/>
  <c r="I38" i="10"/>
  <c r="H38" i="10"/>
  <c r="G38" i="10"/>
  <c r="E38" i="10"/>
  <c r="M29" i="10"/>
  <c r="L29" i="10"/>
  <c r="K29" i="10"/>
  <c r="J29" i="10"/>
  <c r="I29" i="10"/>
  <c r="H29" i="10"/>
  <c r="G29" i="10"/>
  <c r="E29" i="10"/>
  <c r="M25" i="10"/>
  <c r="L25" i="10"/>
  <c r="K25" i="10"/>
  <c r="J25" i="10"/>
  <c r="I25" i="10"/>
  <c r="H25" i="10"/>
  <c r="G25" i="10"/>
  <c r="E25" i="10"/>
  <c r="M21" i="10"/>
  <c r="L21" i="10"/>
  <c r="K21" i="10"/>
  <c r="J21" i="10"/>
  <c r="I21" i="10"/>
  <c r="H21" i="10"/>
  <c r="G21" i="10"/>
  <c r="E21" i="10"/>
  <c r="M16" i="10"/>
  <c r="L16" i="10"/>
  <c r="K16" i="10"/>
  <c r="J16" i="10"/>
  <c r="I16" i="10"/>
  <c r="H16" i="10"/>
  <c r="G16" i="10"/>
  <c r="E16" i="10"/>
  <c r="J228" i="11" l="1"/>
  <c r="J132" i="11"/>
  <c r="J161" i="11" s="1"/>
  <c r="K228" i="11"/>
  <c r="K132" i="11"/>
  <c r="K161" i="11" s="1"/>
  <c r="L228" i="11"/>
  <c r="L132" i="11"/>
  <c r="L161" i="11" s="1"/>
  <c r="J102" i="11"/>
  <c r="L102" i="11"/>
  <c r="M102" i="11"/>
  <c r="M228" i="11"/>
  <c r="M132" i="11"/>
  <c r="M161" i="11" s="1"/>
  <c r="G191" i="11"/>
  <c r="G213" i="11" s="1"/>
  <c r="H191" i="11"/>
  <c r="H213" i="11" s="1"/>
  <c r="I191" i="11"/>
  <c r="I213" i="11" s="1"/>
  <c r="H159" i="11"/>
  <c r="E120" i="11"/>
  <c r="E126" i="11" s="1"/>
  <c r="I159" i="11"/>
  <c r="G120" i="11"/>
  <c r="G126" i="11" s="1"/>
  <c r="I78" i="11"/>
  <c r="I98" i="11" s="1"/>
  <c r="I102" i="11" s="1"/>
  <c r="H120" i="11"/>
  <c r="H126" i="11" s="1"/>
  <c r="J78" i="11"/>
  <c r="J98" i="11" s="1"/>
  <c r="I120" i="11"/>
  <c r="I126" i="11" s="1"/>
  <c r="J191" i="11"/>
  <c r="J213" i="11" s="1"/>
  <c r="E202" i="11"/>
  <c r="E191" i="11" s="1"/>
  <c r="E213" i="11" s="1"/>
  <c r="E102" i="11"/>
  <c r="K78" i="11"/>
  <c r="K98" i="11" s="1"/>
  <c r="K102" i="11" s="1"/>
  <c r="K191" i="11"/>
  <c r="K213" i="11" s="1"/>
  <c r="G202" i="11"/>
  <c r="G102" i="11"/>
  <c r="L78" i="11"/>
  <c r="L98" i="11" s="1"/>
  <c r="H202" i="11"/>
  <c r="H102" i="11"/>
  <c r="M78" i="11"/>
  <c r="M98" i="11" s="1"/>
  <c r="I202" i="11"/>
  <c r="J228" i="10"/>
  <c r="J132" i="10"/>
  <c r="J161" i="10" s="1"/>
  <c r="K228" i="10"/>
  <c r="K132" i="10"/>
  <c r="K161" i="10" s="1"/>
  <c r="L228" i="10"/>
  <c r="L132" i="10"/>
  <c r="L161" i="10" s="1"/>
  <c r="J102" i="10"/>
  <c r="L102" i="10"/>
  <c r="M102" i="10"/>
  <c r="M228" i="10"/>
  <c r="M132" i="10"/>
  <c r="M161" i="10" s="1"/>
  <c r="G191" i="10"/>
  <c r="G213" i="10" s="1"/>
  <c r="H191" i="10"/>
  <c r="H213" i="10" s="1"/>
  <c r="I191" i="10"/>
  <c r="I213" i="10" s="1"/>
  <c r="H159" i="10"/>
  <c r="E120" i="10"/>
  <c r="E126" i="10" s="1"/>
  <c r="I159" i="10"/>
  <c r="G120" i="10"/>
  <c r="G126" i="10" s="1"/>
  <c r="I78" i="10"/>
  <c r="I98" i="10" s="1"/>
  <c r="I102" i="10" s="1"/>
  <c r="H120" i="10"/>
  <c r="H126" i="10" s="1"/>
  <c r="J78" i="10"/>
  <c r="J98" i="10" s="1"/>
  <c r="I120" i="10"/>
  <c r="I126" i="10" s="1"/>
  <c r="J191" i="10"/>
  <c r="J213" i="10" s="1"/>
  <c r="E202" i="10"/>
  <c r="E191" i="10" s="1"/>
  <c r="E213" i="10" s="1"/>
  <c r="E102" i="10"/>
  <c r="K78" i="10"/>
  <c r="K98" i="10" s="1"/>
  <c r="K102" i="10" s="1"/>
  <c r="K191" i="10"/>
  <c r="K213" i="10" s="1"/>
  <c r="G202" i="10"/>
  <c r="G102" i="10"/>
  <c r="L78" i="10"/>
  <c r="L98" i="10" s="1"/>
  <c r="H202" i="10"/>
  <c r="H102" i="10"/>
  <c r="M78" i="10"/>
  <c r="M98" i="10" s="1"/>
  <c r="I202" i="10"/>
  <c r="K215" i="11" l="1"/>
  <c r="K223" i="11" s="1"/>
  <c r="K230" i="11"/>
  <c r="K232" i="11" s="1"/>
  <c r="K234" i="11" s="1"/>
  <c r="M215" i="11"/>
  <c r="M223" i="11" s="1"/>
  <c r="M230" i="11"/>
  <c r="M232" i="11" s="1"/>
  <c r="M234" i="11" s="1"/>
  <c r="L215" i="11"/>
  <c r="L223" i="11" s="1"/>
  <c r="L230" i="11"/>
  <c r="L232" i="11" s="1"/>
  <c r="L234" i="11" s="1"/>
  <c r="J215" i="11"/>
  <c r="J223" i="11" s="1"/>
  <c r="J230" i="11"/>
  <c r="J232" i="11" s="1"/>
  <c r="J234" i="11" s="1"/>
  <c r="I228" i="11"/>
  <c r="I230" i="11" s="1"/>
  <c r="I232" i="11" s="1"/>
  <c r="I234" i="11" s="1"/>
  <c r="I132" i="11"/>
  <c r="I161" i="11" s="1"/>
  <c r="I215" i="11" s="1"/>
  <c r="I223" i="11" s="1"/>
  <c r="H228" i="11"/>
  <c r="H230" i="11" s="1"/>
  <c r="H232" i="11" s="1"/>
  <c r="H234" i="11" s="1"/>
  <c r="H132" i="11"/>
  <c r="H161" i="11" s="1"/>
  <c r="H215" i="11" s="1"/>
  <c r="H223" i="11" s="1"/>
  <c r="G228" i="11"/>
  <c r="G132" i="11"/>
  <c r="G161" i="11" s="1"/>
  <c r="G230" i="11"/>
  <c r="G232" i="11" s="1"/>
  <c r="G234" i="11" s="1"/>
  <c r="G215" i="11"/>
  <c r="G223" i="11" s="1"/>
  <c r="E228" i="11"/>
  <c r="E230" i="11" s="1"/>
  <c r="E232" i="11" s="1"/>
  <c r="E234" i="11" s="1"/>
  <c r="E132" i="11"/>
  <c r="E161" i="11" s="1"/>
  <c r="E215" i="11" s="1"/>
  <c r="E223" i="11" s="1"/>
  <c r="K215" i="10"/>
  <c r="K223" i="10" s="1"/>
  <c r="K230" i="10"/>
  <c r="K232" i="10" s="1"/>
  <c r="K234" i="10" s="1"/>
  <c r="M215" i="10"/>
  <c r="M223" i="10" s="1"/>
  <c r="M230" i="10"/>
  <c r="M232" i="10" s="1"/>
  <c r="M234" i="10" s="1"/>
  <c r="L215" i="10"/>
  <c r="L223" i="10" s="1"/>
  <c r="L230" i="10"/>
  <c r="L232" i="10" s="1"/>
  <c r="L234" i="10" s="1"/>
  <c r="J215" i="10"/>
  <c r="J223" i="10" s="1"/>
  <c r="J230" i="10"/>
  <c r="J232" i="10" s="1"/>
  <c r="J234" i="10" s="1"/>
  <c r="I228" i="10"/>
  <c r="I230" i="10" s="1"/>
  <c r="I232" i="10" s="1"/>
  <c r="I234" i="10" s="1"/>
  <c r="I132" i="10"/>
  <c r="I161" i="10" s="1"/>
  <c r="I215" i="10" s="1"/>
  <c r="I223" i="10" s="1"/>
  <c r="H228" i="10"/>
  <c r="H230" i="10" s="1"/>
  <c r="H232" i="10" s="1"/>
  <c r="H234" i="10" s="1"/>
  <c r="H132" i="10"/>
  <c r="H161" i="10" s="1"/>
  <c r="H215" i="10" s="1"/>
  <c r="H223" i="10" s="1"/>
  <c r="G228" i="10"/>
  <c r="G132" i="10"/>
  <c r="G161" i="10" s="1"/>
  <c r="G230" i="10"/>
  <c r="G232" i="10" s="1"/>
  <c r="G234" i="10" s="1"/>
  <c r="G215" i="10"/>
  <c r="G223" i="10" s="1"/>
  <c r="E228" i="10"/>
  <c r="E230" i="10" s="1"/>
  <c r="E232" i="10" s="1"/>
  <c r="E234" i="10" s="1"/>
  <c r="E132" i="10"/>
  <c r="E161" i="10" s="1"/>
  <c r="E215" i="10" s="1"/>
  <c r="E223" i="10" s="1"/>
  <c r="AE152" i="9"/>
  <c r="Y152" i="9"/>
  <c r="K152" i="9"/>
  <c r="O152" i="9" s="1"/>
  <c r="E152" i="9"/>
  <c r="AE148" i="9"/>
  <c r="Y148" i="9"/>
  <c r="K148" i="9"/>
  <c r="O148" i="9" s="1"/>
  <c r="E148" i="9" s="1"/>
  <c r="AD146" i="9"/>
  <c r="AC146" i="9"/>
  <c r="AA146" i="9"/>
  <c r="X146" i="9"/>
  <c r="W146" i="9"/>
  <c r="V146" i="9"/>
  <c r="U146" i="9"/>
  <c r="T146" i="9"/>
  <c r="S146" i="9"/>
  <c r="R146" i="9"/>
  <c r="Q146" i="9"/>
  <c r="N146" i="9"/>
  <c r="M146" i="9"/>
  <c r="L146" i="9"/>
  <c r="J146" i="9"/>
  <c r="I146" i="9"/>
  <c r="H146" i="9"/>
  <c r="G146" i="9"/>
  <c r="AE145" i="9"/>
  <c r="AE146" i="9" s="1"/>
  <c r="Y145" i="9"/>
  <c r="O145" i="9"/>
  <c r="E145" i="9" s="1"/>
  <c r="K145" i="9"/>
  <c r="AE144" i="9"/>
  <c r="Y144" i="9"/>
  <c r="K144" i="9"/>
  <c r="K146" i="9" s="1"/>
  <c r="AD140" i="9"/>
  <c r="AC140" i="9"/>
  <c r="AA140" i="9"/>
  <c r="X140" i="9"/>
  <c r="W140" i="9"/>
  <c r="V140" i="9"/>
  <c r="U140" i="9"/>
  <c r="T140" i="9"/>
  <c r="S140" i="9"/>
  <c r="R140" i="9"/>
  <c r="Q140" i="9"/>
  <c r="N140" i="9"/>
  <c r="M140" i="9"/>
  <c r="L140" i="9"/>
  <c r="J140" i="9"/>
  <c r="I140" i="9"/>
  <c r="H140" i="9"/>
  <c r="G140" i="9"/>
  <c r="AE139" i="9"/>
  <c r="Y139" i="9"/>
  <c r="K139" i="9"/>
  <c r="O139" i="9" s="1"/>
  <c r="E139" i="9" s="1"/>
  <c r="AE138" i="9"/>
  <c r="Y138" i="9"/>
  <c r="K138" i="9"/>
  <c r="O138" i="9" s="1"/>
  <c r="E138" i="9" s="1"/>
  <c r="AE137" i="9"/>
  <c r="Y137" i="9"/>
  <c r="Y140" i="9" s="1"/>
  <c r="O137" i="9"/>
  <c r="E137" i="9" s="1"/>
  <c r="K137" i="9"/>
  <c r="AE136" i="9"/>
  <c r="AE140" i="9" s="1"/>
  <c r="Y136" i="9"/>
  <c r="K136" i="9"/>
  <c r="G132" i="9"/>
  <c r="AE130" i="9"/>
  <c r="AD130" i="9"/>
  <c r="AC130" i="9"/>
  <c r="AA130" i="9"/>
  <c r="X130" i="9"/>
  <c r="W130" i="9"/>
  <c r="V130" i="9"/>
  <c r="U130" i="9"/>
  <c r="U132" i="9" s="1"/>
  <c r="T130" i="9"/>
  <c r="S130" i="9"/>
  <c r="R130" i="9"/>
  <c r="Q130" i="9"/>
  <c r="N130" i="9"/>
  <c r="M130" i="9"/>
  <c r="L130" i="9"/>
  <c r="J130" i="9"/>
  <c r="I130" i="9"/>
  <c r="H130" i="9"/>
  <c r="G130" i="9"/>
  <c r="AE129" i="9"/>
  <c r="Y129" i="9"/>
  <c r="K129" i="9"/>
  <c r="O129" i="9" s="1"/>
  <c r="E129" i="9" s="1"/>
  <c r="AE128" i="9"/>
  <c r="Y128" i="9"/>
  <c r="K128" i="9"/>
  <c r="O128" i="9" s="1"/>
  <c r="E128" i="9" s="1"/>
  <c r="AE127" i="9"/>
  <c r="Y127" i="9"/>
  <c r="K127" i="9"/>
  <c r="O127" i="9" s="1"/>
  <c r="E127" i="9" s="1"/>
  <c r="AE126" i="9"/>
  <c r="Y126" i="9"/>
  <c r="K126" i="9"/>
  <c r="O126" i="9" s="1"/>
  <c r="E126" i="9" s="1"/>
  <c r="AE125" i="9"/>
  <c r="Y125" i="9"/>
  <c r="K125" i="9"/>
  <c r="O125" i="9" s="1"/>
  <c r="E125" i="9" s="1"/>
  <c r="AE124" i="9"/>
  <c r="Y124" i="9"/>
  <c r="O124" i="9"/>
  <c r="E124" i="9" s="1"/>
  <c r="K124" i="9"/>
  <c r="AE123" i="9"/>
  <c r="Y123" i="9"/>
  <c r="K123" i="9"/>
  <c r="O123" i="9" s="1"/>
  <c r="E123" i="9" s="1"/>
  <c r="AE122" i="9"/>
  <c r="Y122" i="9"/>
  <c r="Y130" i="9" s="1"/>
  <c r="K122" i="9"/>
  <c r="AD120" i="9"/>
  <c r="AC120" i="9"/>
  <c r="T120" i="9"/>
  <c r="T132" i="9" s="1"/>
  <c r="S120" i="9"/>
  <c r="S132" i="9" s="1"/>
  <c r="R120" i="9"/>
  <c r="N120" i="9"/>
  <c r="M120" i="9"/>
  <c r="L120" i="9"/>
  <c r="K120" i="9"/>
  <c r="AE118" i="9"/>
  <c r="AD118" i="9"/>
  <c r="AC118" i="9"/>
  <c r="AA118" i="9"/>
  <c r="X118" i="9"/>
  <c r="W118" i="9"/>
  <c r="V118" i="9"/>
  <c r="U118" i="9"/>
  <c r="T118" i="9"/>
  <c r="S118" i="9"/>
  <c r="R118" i="9"/>
  <c r="Q118" i="9"/>
  <c r="N118" i="9"/>
  <c r="M118" i="9"/>
  <c r="L118" i="9"/>
  <c r="J118" i="9"/>
  <c r="I118" i="9"/>
  <c r="H118" i="9"/>
  <c r="G118" i="9"/>
  <c r="AE117" i="9"/>
  <c r="Y117" i="9"/>
  <c r="K117" i="9"/>
  <c r="O117" i="9" s="1"/>
  <c r="E117" i="9"/>
  <c r="AE116" i="9"/>
  <c r="Y116" i="9"/>
  <c r="K116" i="9"/>
  <c r="O116" i="9" s="1"/>
  <c r="E116" i="9" s="1"/>
  <c r="AE115" i="9"/>
  <c r="Y115" i="9"/>
  <c r="K115" i="9"/>
  <c r="O115" i="9" s="1"/>
  <c r="E115" i="9" s="1"/>
  <c r="AE114" i="9"/>
  <c r="Y114" i="9"/>
  <c r="Y118" i="9" s="1"/>
  <c r="K114" i="9"/>
  <c r="K118" i="9" s="1"/>
  <c r="AE113" i="9"/>
  <c r="Y113" i="9"/>
  <c r="O113" i="9"/>
  <c r="K113" i="9"/>
  <c r="AD111" i="9"/>
  <c r="AC111" i="9"/>
  <c r="AA111" i="9"/>
  <c r="AA120" i="9" s="1"/>
  <c r="X111" i="9"/>
  <c r="X120" i="9" s="1"/>
  <c r="W111" i="9"/>
  <c r="W120" i="9" s="1"/>
  <c r="W132" i="9" s="1"/>
  <c r="V111" i="9"/>
  <c r="V120" i="9" s="1"/>
  <c r="V132" i="9" s="1"/>
  <c r="U111" i="9"/>
  <c r="U120" i="9" s="1"/>
  <c r="T111" i="9"/>
  <c r="S111" i="9"/>
  <c r="R111" i="9"/>
  <c r="Q111" i="9"/>
  <c r="N111" i="9"/>
  <c r="M111" i="9"/>
  <c r="L111" i="9"/>
  <c r="K111" i="9"/>
  <c r="J111" i="9"/>
  <c r="J120" i="9" s="1"/>
  <c r="J132" i="9" s="1"/>
  <c r="I111" i="9"/>
  <c r="I120" i="9" s="1"/>
  <c r="I132" i="9" s="1"/>
  <c r="H111" i="9"/>
  <c r="H120" i="9" s="1"/>
  <c r="H132" i="9" s="1"/>
  <c r="G111" i="9"/>
  <c r="G120" i="9" s="1"/>
  <c r="AE110" i="9"/>
  <c r="E110" i="9" s="1"/>
  <c r="Y110" i="9"/>
  <c r="K110" i="9"/>
  <c r="O110" i="9" s="1"/>
  <c r="AE109" i="9"/>
  <c r="Y109" i="9"/>
  <c r="K109" i="9"/>
  <c r="O109" i="9" s="1"/>
  <c r="E109" i="9"/>
  <c r="AE108" i="9"/>
  <c r="AE111" i="9" s="1"/>
  <c r="Y108" i="9"/>
  <c r="Y111" i="9" s="1"/>
  <c r="Y120" i="9" s="1"/>
  <c r="O108" i="9"/>
  <c r="K108" i="9"/>
  <c r="AE107" i="9"/>
  <c r="Y107" i="9"/>
  <c r="K107" i="9"/>
  <c r="O107" i="9" s="1"/>
  <c r="E107" i="9"/>
  <c r="AD105" i="9"/>
  <c r="AC105" i="9"/>
  <c r="AC132" i="9" s="1"/>
  <c r="AA105" i="9"/>
  <c r="Y105" i="9"/>
  <c r="X105" i="9"/>
  <c r="X132" i="9" s="1"/>
  <c r="W105" i="9"/>
  <c r="V105" i="9"/>
  <c r="U105" i="9"/>
  <c r="T105" i="9"/>
  <c r="S105" i="9"/>
  <c r="R105" i="9"/>
  <c r="Q105" i="9"/>
  <c r="N105" i="9"/>
  <c r="N132" i="9" s="1"/>
  <c r="M105" i="9"/>
  <c r="L105" i="9"/>
  <c r="K105" i="9"/>
  <c r="J105" i="9"/>
  <c r="I105" i="9"/>
  <c r="H105" i="9"/>
  <c r="G105" i="9"/>
  <c r="AE104" i="9"/>
  <c r="Y104" i="9"/>
  <c r="K104" i="9"/>
  <c r="O104" i="9" s="1"/>
  <c r="E104" i="9"/>
  <c r="AE103" i="9"/>
  <c r="AE105" i="9" s="1"/>
  <c r="Y103" i="9"/>
  <c r="K103" i="9"/>
  <c r="O103" i="9" s="1"/>
  <c r="AE102" i="9"/>
  <c r="Y102" i="9"/>
  <c r="K102" i="9"/>
  <c r="O102" i="9" s="1"/>
  <c r="E102" i="9"/>
  <c r="AE101" i="9"/>
  <c r="Y101" i="9"/>
  <c r="K101" i="9"/>
  <c r="O101" i="9" s="1"/>
  <c r="U99" i="9"/>
  <c r="U134" i="9" s="1"/>
  <c r="U142" i="9" s="1"/>
  <c r="U150" i="9" s="1"/>
  <c r="U154" i="9" s="1"/>
  <c r="AE97" i="9"/>
  <c r="Y97" i="9"/>
  <c r="K97" i="9"/>
  <c r="O97" i="9" s="1"/>
  <c r="E97" i="9" s="1"/>
  <c r="AD95" i="9"/>
  <c r="AC95" i="9"/>
  <c r="AA95" i="9"/>
  <c r="X95" i="9"/>
  <c r="W95" i="9"/>
  <c r="V95" i="9"/>
  <c r="U95" i="9"/>
  <c r="T95" i="9"/>
  <c r="S95" i="9"/>
  <c r="R95" i="9"/>
  <c r="Q95" i="9"/>
  <c r="N95" i="9"/>
  <c r="M95" i="9"/>
  <c r="L95" i="9"/>
  <c r="J95" i="9"/>
  <c r="I95" i="9"/>
  <c r="H95" i="9"/>
  <c r="G95" i="9"/>
  <c r="AE94" i="9"/>
  <c r="Y94" i="9"/>
  <c r="K94" i="9"/>
  <c r="O94" i="9" s="1"/>
  <c r="E94" i="9" s="1"/>
  <c r="AE93" i="9"/>
  <c r="Y93" i="9"/>
  <c r="O93" i="9"/>
  <c r="K93" i="9"/>
  <c r="AE92" i="9"/>
  <c r="Y92" i="9"/>
  <c r="K92" i="9"/>
  <c r="O92" i="9" s="1"/>
  <c r="E92" i="9" s="1"/>
  <c r="AE91" i="9"/>
  <c r="Y91" i="9"/>
  <c r="K91" i="9"/>
  <c r="O91" i="9" s="1"/>
  <c r="E91" i="9"/>
  <c r="AE90" i="9"/>
  <c r="Y90" i="9"/>
  <c r="K90" i="9"/>
  <c r="O90" i="9" s="1"/>
  <c r="AD88" i="9"/>
  <c r="AC88" i="9"/>
  <c r="AA88" i="9"/>
  <c r="X88" i="9"/>
  <c r="W88" i="9"/>
  <c r="V88" i="9"/>
  <c r="U88" i="9"/>
  <c r="T88" i="9"/>
  <c r="S88" i="9"/>
  <c r="R88" i="9"/>
  <c r="Q88" i="9"/>
  <c r="N88" i="9"/>
  <c r="M88" i="9"/>
  <c r="L88" i="9"/>
  <c r="J88" i="9"/>
  <c r="I88" i="9"/>
  <c r="H88" i="9"/>
  <c r="G88" i="9"/>
  <c r="AE87" i="9"/>
  <c r="Y87" i="9"/>
  <c r="O87" i="9"/>
  <c r="K87" i="9"/>
  <c r="AE86" i="9"/>
  <c r="Y86" i="9"/>
  <c r="O86" i="9"/>
  <c r="E86" i="9" s="1"/>
  <c r="K86" i="9"/>
  <c r="AE85" i="9"/>
  <c r="AE88" i="9" s="1"/>
  <c r="Y85" i="9"/>
  <c r="Y88" i="9" s="1"/>
  <c r="K85" i="9"/>
  <c r="O85" i="9" s="1"/>
  <c r="E85" i="9" s="1"/>
  <c r="AE84" i="9"/>
  <c r="Y84" i="9"/>
  <c r="K84" i="9"/>
  <c r="O84" i="9" s="1"/>
  <c r="E84" i="9" s="1"/>
  <c r="AE83" i="9"/>
  <c r="Y83" i="9"/>
  <c r="K83" i="9"/>
  <c r="AE79" i="9"/>
  <c r="Y79" i="9"/>
  <c r="K79" i="9"/>
  <c r="O79" i="9" s="1"/>
  <c r="E79" i="9"/>
  <c r="AE78" i="9"/>
  <c r="Y78" i="9"/>
  <c r="O78" i="9"/>
  <c r="K78" i="9"/>
  <c r="AE77" i="9"/>
  <c r="Y77" i="9"/>
  <c r="K77" i="9"/>
  <c r="O77" i="9" s="1"/>
  <c r="E77" i="9"/>
  <c r="AE76" i="9"/>
  <c r="Y76" i="9"/>
  <c r="K76" i="9"/>
  <c r="O76" i="9" s="1"/>
  <c r="E76" i="9" s="1"/>
  <c r="AE72" i="9"/>
  <c r="Y72" i="9"/>
  <c r="K72" i="9"/>
  <c r="O72" i="9" s="1"/>
  <c r="E72" i="9"/>
  <c r="AE71" i="9"/>
  <c r="Y71" i="9"/>
  <c r="K71" i="9"/>
  <c r="O71" i="9" s="1"/>
  <c r="E71" i="9" s="1"/>
  <c r="AE70" i="9"/>
  <c r="Y70" i="9"/>
  <c r="O70" i="9"/>
  <c r="E70" i="9" s="1"/>
  <c r="K70" i="9"/>
  <c r="AD66" i="9"/>
  <c r="AC66" i="9"/>
  <c r="AA66" i="9"/>
  <c r="AA68" i="9" s="1"/>
  <c r="AA74" i="9" s="1"/>
  <c r="AA81" i="9" s="1"/>
  <c r="AA99" i="9" s="1"/>
  <c r="Y66" i="9"/>
  <c r="X66" i="9"/>
  <c r="W66" i="9"/>
  <c r="V66" i="9"/>
  <c r="U66" i="9"/>
  <c r="T66" i="9"/>
  <c r="S66" i="9"/>
  <c r="R66" i="9"/>
  <c r="Q66" i="9"/>
  <c r="N66" i="9"/>
  <c r="M66" i="9"/>
  <c r="L66" i="9"/>
  <c r="J66" i="9"/>
  <c r="I66" i="9"/>
  <c r="H66" i="9"/>
  <c r="G66" i="9"/>
  <c r="AE65" i="9"/>
  <c r="Y65" i="9"/>
  <c r="K65" i="9"/>
  <c r="O65" i="9" s="1"/>
  <c r="E65" i="9"/>
  <c r="AE64" i="9"/>
  <c r="AE66" i="9" s="1"/>
  <c r="Y64" i="9"/>
  <c r="K64" i="9"/>
  <c r="O64" i="9" s="1"/>
  <c r="V62" i="9"/>
  <c r="U62" i="9"/>
  <c r="T62" i="9"/>
  <c r="S62" i="9"/>
  <c r="AD60" i="9"/>
  <c r="AC60" i="9"/>
  <c r="AA60" i="9"/>
  <c r="X60" i="9"/>
  <c r="X62" i="9" s="1"/>
  <c r="W60" i="9"/>
  <c r="W62" i="9" s="1"/>
  <c r="V60" i="9"/>
  <c r="U60" i="9"/>
  <c r="T60" i="9"/>
  <c r="S60" i="9"/>
  <c r="R60" i="9"/>
  <c r="R62" i="9" s="1"/>
  <c r="Q60" i="9"/>
  <c r="Q62" i="9" s="1"/>
  <c r="N60" i="9"/>
  <c r="M60" i="9"/>
  <c r="L60" i="9"/>
  <c r="J60" i="9"/>
  <c r="I60" i="9"/>
  <c r="H60" i="9"/>
  <c r="G60" i="9"/>
  <c r="AE59" i="9"/>
  <c r="Y59" i="9"/>
  <c r="K59" i="9"/>
  <c r="O59" i="9" s="1"/>
  <c r="E59" i="9" s="1"/>
  <c r="AE58" i="9"/>
  <c r="Y58" i="9"/>
  <c r="O58" i="9"/>
  <c r="E58" i="9" s="1"/>
  <c r="K58" i="9"/>
  <c r="AE57" i="9"/>
  <c r="Y57" i="9"/>
  <c r="K57" i="9"/>
  <c r="O57" i="9" s="1"/>
  <c r="E57" i="9"/>
  <c r="AE56" i="9"/>
  <c r="Y56" i="9"/>
  <c r="K56" i="9"/>
  <c r="AE55" i="9"/>
  <c r="AE60" i="9" s="1"/>
  <c r="Y55" i="9"/>
  <c r="K55" i="9"/>
  <c r="O55" i="9" s="1"/>
  <c r="E55" i="9" s="1"/>
  <c r="AE54" i="9"/>
  <c r="Y54" i="9"/>
  <c r="O54" i="9"/>
  <c r="E54" i="9" s="1"/>
  <c r="K54" i="9"/>
  <c r="AD52" i="9"/>
  <c r="AC52" i="9"/>
  <c r="AA52" i="9"/>
  <c r="AA62" i="9" s="1"/>
  <c r="X52" i="9"/>
  <c r="W52" i="9"/>
  <c r="V52" i="9"/>
  <c r="U52" i="9"/>
  <c r="T52" i="9"/>
  <c r="S52" i="9"/>
  <c r="R52" i="9"/>
  <c r="Q52" i="9"/>
  <c r="N52" i="9"/>
  <c r="M52" i="9"/>
  <c r="M62" i="9" s="1"/>
  <c r="L52" i="9"/>
  <c r="L62" i="9" s="1"/>
  <c r="J52" i="9"/>
  <c r="J62" i="9" s="1"/>
  <c r="I52" i="9"/>
  <c r="I62" i="9" s="1"/>
  <c r="H52" i="9"/>
  <c r="H62" i="9" s="1"/>
  <c r="G52" i="9"/>
  <c r="G62" i="9" s="1"/>
  <c r="AE51" i="9"/>
  <c r="Y51" i="9"/>
  <c r="K51" i="9"/>
  <c r="O51" i="9" s="1"/>
  <c r="E51" i="9" s="1"/>
  <c r="AE50" i="9"/>
  <c r="Y50" i="9"/>
  <c r="K50" i="9"/>
  <c r="O50" i="9" s="1"/>
  <c r="E50" i="9" s="1"/>
  <c r="AE49" i="9"/>
  <c r="Y49" i="9"/>
  <c r="K49" i="9"/>
  <c r="O49" i="9" s="1"/>
  <c r="E49" i="9"/>
  <c r="AE48" i="9"/>
  <c r="Y48" i="9"/>
  <c r="K48" i="9"/>
  <c r="O48" i="9" s="1"/>
  <c r="E48" i="9" s="1"/>
  <c r="AE47" i="9"/>
  <c r="Y47" i="9"/>
  <c r="O47" i="9"/>
  <c r="E47" i="9" s="1"/>
  <c r="K47" i="9"/>
  <c r="AE46" i="9"/>
  <c r="AE52" i="9" s="1"/>
  <c r="Y46" i="9"/>
  <c r="K46" i="9"/>
  <c r="O46" i="9" s="1"/>
  <c r="AE45" i="9"/>
  <c r="Y45" i="9"/>
  <c r="O45" i="9"/>
  <c r="E45" i="9" s="1"/>
  <c r="K45" i="9"/>
  <c r="V43" i="9"/>
  <c r="V68" i="9" s="1"/>
  <c r="V74" i="9" s="1"/>
  <c r="V81" i="9" s="1"/>
  <c r="V99" i="9" s="1"/>
  <c r="V134" i="9" s="1"/>
  <c r="V142" i="9" s="1"/>
  <c r="V150" i="9" s="1"/>
  <c r="V154" i="9" s="1"/>
  <c r="U43" i="9"/>
  <c r="U68" i="9" s="1"/>
  <c r="U74" i="9" s="1"/>
  <c r="U81" i="9" s="1"/>
  <c r="T43" i="9"/>
  <c r="T68" i="9" s="1"/>
  <c r="T74" i="9" s="1"/>
  <c r="T81" i="9" s="1"/>
  <c r="T99" i="9" s="1"/>
  <c r="T134" i="9" s="1"/>
  <c r="T142" i="9" s="1"/>
  <c r="T150" i="9" s="1"/>
  <c r="T154" i="9" s="1"/>
  <c r="AA41" i="9"/>
  <c r="AA43" i="9" s="1"/>
  <c r="T41" i="9"/>
  <c r="M41" i="9"/>
  <c r="M43" i="9" s="1"/>
  <c r="AD39" i="9"/>
  <c r="AC39" i="9"/>
  <c r="AA39" i="9"/>
  <c r="X39" i="9"/>
  <c r="X41" i="9" s="1"/>
  <c r="X43" i="9" s="1"/>
  <c r="X68" i="9" s="1"/>
  <c r="X74" i="9" s="1"/>
  <c r="X81" i="9" s="1"/>
  <c r="X99" i="9" s="1"/>
  <c r="W39" i="9"/>
  <c r="W41" i="9" s="1"/>
  <c r="W43" i="9" s="1"/>
  <c r="W68" i="9" s="1"/>
  <c r="W74" i="9" s="1"/>
  <c r="W81" i="9" s="1"/>
  <c r="W99" i="9" s="1"/>
  <c r="W134" i="9" s="1"/>
  <c r="W142" i="9" s="1"/>
  <c r="W150" i="9" s="1"/>
  <c r="W154" i="9" s="1"/>
  <c r="V39" i="9"/>
  <c r="U39" i="9"/>
  <c r="T39" i="9"/>
  <c r="S39" i="9"/>
  <c r="R39" i="9"/>
  <c r="Q39" i="9"/>
  <c r="N39" i="9"/>
  <c r="M39" i="9"/>
  <c r="L39" i="9"/>
  <c r="L41" i="9" s="1"/>
  <c r="L43" i="9" s="1"/>
  <c r="J39" i="9"/>
  <c r="J41" i="9" s="1"/>
  <c r="J43" i="9" s="1"/>
  <c r="J68" i="9" s="1"/>
  <c r="J74" i="9" s="1"/>
  <c r="J81" i="9" s="1"/>
  <c r="J99" i="9" s="1"/>
  <c r="J134" i="9" s="1"/>
  <c r="J142" i="9" s="1"/>
  <c r="J150" i="9" s="1"/>
  <c r="J154" i="9" s="1"/>
  <c r="I39" i="9"/>
  <c r="H39" i="9"/>
  <c r="G39" i="9"/>
  <c r="AE38" i="9"/>
  <c r="Y38" i="9"/>
  <c r="O38" i="9"/>
  <c r="E38" i="9" s="1"/>
  <c r="K38" i="9"/>
  <c r="AE37" i="9"/>
  <c r="Y37" i="9"/>
  <c r="K37" i="9"/>
  <c r="O37" i="9" s="1"/>
  <c r="E37" i="9" s="1"/>
  <c r="AE36" i="9"/>
  <c r="Y36" i="9"/>
  <c r="K36" i="9"/>
  <c r="O36" i="9" s="1"/>
  <c r="E36" i="9" s="1"/>
  <c r="AE35" i="9"/>
  <c r="Y35" i="9"/>
  <c r="K35" i="9"/>
  <c r="O35" i="9" s="1"/>
  <c r="E35" i="9" s="1"/>
  <c r="AE34" i="9"/>
  <c r="Y34" i="9"/>
  <c r="K34" i="9"/>
  <c r="O34" i="9" s="1"/>
  <c r="E34" i="9" s="1"/>
  <c r="AE33" i="9"/>
  <c r="Y33" i="9"/>
  <c r="K33" i="9"/>
  <c r="O33" i="9" s="1"/>
  <c r="E33" i="9"/>
  <c r="AE32" i="9"/>
  <c r="Y32" i="9"/>
  <c r="K32" i="9"/>
  <c r="O32" i="9" s="1"/>
  <c r="E32" i="9" s="1"/>
  <c r="AE31" i="9"/>
  <c r="Y31" i="9"/>
  <c r="K31" i="9"/>
  <c r="O31" i="9" s="1"/>
  <c r="E31" i="9" s="1"/>
  <c r="AE30" i="9"/>
  <c r="Y30" i="9"/>
  <c r="K30" i="9"/>
  <c r="O30" i="9" s="1"/>
  <c r="E30" i="9" s="1"/>
  <c r="AE29" i="9"/>
  <c r="Y29" i="9"/>
  <c r="O29" i="9"/>
  <c r="E29" i="9" s="1"/>
  <c r="K29" i="9"/>
  <c r="AE28" i="9"/>
  <c r="Y28" i="9"/>
  <c r="K28" i="9"/>
  <c r="O28" i="9" s="1"/>
  <c r="E28" i="9"/>
  <c r="AE27" i="9"/>
  <c r="AE39" i="9" s="1"/>
  <c r="Y27" i="9"/>
  <c r="K27" i="9"/>
  <c r="O27" i="9" s="1"/>
  <c r="E27" i="9" s="1"/>
  <c r="AE26" i="9"/>
  <c r="Y26" i="9"/>
  <c r="O26" i="9"/>
  <c r="K26" i="9"/>
  <c r="AE25" i="9"/>
  <c r="Y25" i="9"/>
  <c r="K25" i="9"/>
  <c r="O25" i="9" s="1"/>
  <c r="AE23" i="9"/>
  <c r="AE41" i="9" s="1"/>
  <c r="AD23" i="9"/>
  <c r="AD41" i="9" s="1"/>
  <c r="AC23" i="9"/>
  <c r="AC41" i="9" s="1"/>
  <c r="AC43" i="9" s="1"/>
  <c r="AA23" i="9"/>
  <c r="X23" i="9"/>
  <c r="W23" i="9"/>
  <c r="V23" i="9"/>
  <c r="V41" i="9" s="1"/>
  <c r="U23" i="9"/>
  <c r="U41" i="9" s="1"/>
  <c r="T23" i="9"/>
  <c r="S23" i="9"/>
  <c r="S41" i="9" s="1"/>
  <c r="S43" i="9" s="1"/>
  <c r="S68" i="9" s="1"/>
  <c r="S74" i="9" s="1"/>
  <c r="S81" i="9" s="1"/>
  <c r="S99" i="9" s="1"/>
  <c r="S134" i="9" s="1"/>
  <c r="S142" i="9" s="1"/>
  <c r="S150" i="9" s="1"/>
  <c r="S154" i="9" s="1"/>
  <c r="R23" i="9"/>
  <c r="R41" i="9" s="1"/>
  <c r="Q23" i="9"/>
  <c r="Q41" i="9" s="1"/>
  <c r="N23" i="9"/>
  <c r="N41" i="9" s="1"/>
  <c r="N43" i="9" s="1"/>
  <c r="M23" i="9"/>
  <c r="L23" i="9"/>
  <c r="J23" i="9"/>
  <c r="I23" i="9"/>
  <c r="I41" i="9" s="1"/>
  <c r="H23" i="9"/>
  <c r="H41" i="9" s="1"/>
  <c r="G23" i="9"/>
  <c r="G41" i="9" s="1"/>
  <c r="G43" i="9" s="1"/>
  <c r="AE22" i="9"/>
  <c r="Y22" i="9"/>
  <c r="K22" i="9"/>
  <c r="O22" i="9" s="1"/>
  <c r="E22" i="9" s="1"/>
  <c r="AE21" i="9"/>
  <c r="E21" i="9" s="1"/>
  <c r="Y21" i="9"/>
  <c r="K21" i="9"/>
  <c r="O21" i="9" s="1"/>
  <c r="AE20" i="9"/>
  <c r="Y20" i="9"/>
  <c r="K20" i="9"/>
  <c r="O20" i="9" s="1"/>
  <c r="E20" i="9"/>
  <c r="AE19" i="9"/>
  <c r="Y19" i="9"/>
  <c r="O19" i="9"/>
  <c r="E19" i="9" s="1"/>
  <c r="K19" i="9"/>
  <c r="AE18" i="9"/>
  <c r="Y18" i="9"/>
  <c r="K18" i="9"/>
  <c r="O18" i="9" s="1"/>
  <c r="E18" i="9"/>
  <c r="AE17" i="9"/>
  <c r="Y17" i="9"/>
  <c r="K17" i="9"/>
  <c r="O17" i="9" s="1"/>
  <c r="E17" i="9"/>
  <c r="AE16" i="9"/>
  <c r="Y16" i="9"/>
  <c r="K16" i="9"/>
  <c r="O16" i="9" s="1"/>
  <c r="E16" i="9" s="1"/>
  <c r="AE15" i="9"/>
  <c r="Y15" i="9"/>
  <c r="K15" i="9"/>
  <c r="AD13" i="9"/>
  <c r="AC13" i="9"/>
  <c r="AA13" i="9"/>
  <c r="X13" i="9"/>
  <c r="W13" i="9"/>
  <c r="V13" i="9"/>
  <c r="U13" i="9"/>
  <c r="T13" i="9"/>
  <c r="S13" i="9"/>
  <c r="R13" i="9"/>
  <c r="Q13" i="9"/>
  <c r="N13" i="9"/>
  <c r="M13" i="9"/>
  <c r="L13" i="9"/>
  <c r="J13" i="9"/>
  <c r="I13" i="9"/>
  <c r="I43" i="9" s="1"/>
  <c r="H13" i="9"/>
  <c r="H43" i="9" s="1"/>
  <c r="G13" i="9"/>
  <c r="AE12" i="9"/>
  <c r="Y12" i="9"/>
  <c r="O12" i="9"/>
  <c r="E12" i="9" s="1"/>
  <c r="K12" i="9"/>
  <c r="AE11" i="9"/>
  <c r="Y11" i="9"/>
  <c r="K11" i="9"/>
  <c r="O11" i="9" s="1"/>
  <c r="E11" i="9"/>
  <c r="AE10" i="9"/>
  <c r="AE13" i="9" s="1"/>
  <c r="AE43" i="9" s="1"/>
  <c r="Y10" i="9"/>
  <c r="Y13" i="9" s="1"/>
  <c r="K10" i="9"/>
  <c r="O39" i="9" l="1"/>
  <c r="E25" i="9"/>
  <c r="O66" i="9"/>
  <c r="E64" i="9"/>
  <c r="E66" i="9" s="1"/>
  <c r="E46" i="9"/>
  <c r="O52" i="9"/>
  <c r="AE68" i="9"/>
  <c r="AE74" i="9" s="1"/>
  <c r="AE81" i="9" s="1"/>
  <c r="AE99" i="9" s="1"/>
  <c r="K66" i="9"/>
  <c r="AE132" i="9"/>
  <c r="X134" i="9"/>
  <c r="X142" i="9" s="1"/>
  <c r="X150" i="9" s="1"/>
  <c r="X154" i="9" s="1"/>
  <c r="E111" i="9"/>
  <c r="K39" i="9"/>
  <c r="N68" i="9"/>
  <c r="N74" i="9" s="1"/>
  <c r="N81" i="9" s="1"/>
  <c r="N99" i="9" s="1"/>
  <c r="N134" i="9" s="1"/>
  <c r="N142" i="9" s="1"/>
  <c r="N150" i="9" s="1"/>
  <c r="N154" i="9" s="1"/>
  <c r="L68" i="9"/>
  <c r="L74" i="9" s="1"/>
  <c r="L81" i="9" s="1"/>
  <c r="L99" i="9" s="1"/>
  <c r="E101" i="9"/>
  <c r="O105" i="9"/>
  <c r="O136" i="9"/>
  <c r="K140" i="9"/>
  <c r="M68" i="9"/>
  <c r="M74" i="9" s="1"/>
  <c r="M81" i="9" s="1"/>
  <c r="M99" i="9" s="1"/>
  <c r="M134" i="9" s="1"/>
  <c r="M142" i="9" s="1"/>
  <c r="M150" i="9" s="1"/>
  <c r="M154" i="9" s="1"/>
  <c r="O114" i="9"/>
  <c r="E114" i="9" s="1"/>
  <c r="O56" i="9"/>
  <c r="E56" i="9" s="1"/>
  <c r="E60" i="9" s="1"/>
  <c r="K60" i="9"/>
  <c r="O95" i="9"/>
  <c r="E90" i="9"/>
  <c r="Y39" i="9"/>
  <c r="AE120" i="9"/>
  <c r="G68" i="9"/>
  <c r="G74" i="9" s="1"/>
  <c r="G81" i="9" s="1"/>
  <c r="G99" i="9" s="1"/>
  <c r="G134" i="9" s="1"/>
  <c r="G142" i="9" s="1"/>
  <c r="G150" i="9" s="1"/>
  <c r="G154" i="9" s="1"/>
  <c r="Y132" i="9"/>
  <c r="H68" i="9"/>
  <c r="H74" i="9" s="1"/>
  <c r="H81" i="9" s="1"/>
  <c r="H99" i="9" s="1"/>
  <c r="H134" i="9" s="1"/>
  <c r="H142" i="9" s="1"/>
  <c r="H150" i="9" s="1"/>
  <c r="H154" i="9" s="1"/>
  <c r="E103" i="9"/>
  <c r="L132" i="9"/>
  <c r="AA132" i="9"/>
  <c r="AA134" i="9" s="1"/>
  <c r="AA142" i="9" s="1"/>
  <c r="AA150" i="9" s="1"/>
  <c r="AA154" i="9" s="1"/>
  <c r="K130" i="9"/>
  <c r="K132" i="9" s="1"/>
  <c r="I68" i="9"/>
  <c r="I74" i="9" s="1"/>
  <c r="I81" i="9" s="1"/>
  <c r="I99" i="9" s="1"/>
  <c r="I134" i="9" s="1"/>
  <c r="I142" i="9" s="1"/>
  <c r="I150" i="9" s="1"/>
  <c r="I154" i="9" s="1"/>
  <c r="AE62" i="9"/>
  <c r="M132" i="9"/>
  <c r="O122" i="9"/>
  <c r="AD132" i="9"/>
  <c r="AD43" i="9"/>
  <c r="K88" i="9"/>
  <c r="AD62" i="9"/>
  <c r="O83" i="9"/>
  <c r="O111" i="9"/>
  <c r="K23" i="9"/>
  <c r="K41" i="9" s="1"/>
  <c r="Y95" i="9"/>
  <c r="E113" i="9"/>
  <c r="AE95" i="9"/>
  <c r="K13" i="9"/>
  <c r="Y23" i="9"/>
  <c r="Y41" i="9" s="1"/>
  <c r="Y43" i="9" s="1"/>
  <c r="Y68" i="9" s="1"/>
  <c r="Y74" i="9" s="1"/>
  <c r="Y81" i="9" s="1"/>
  <c r="Y99" i="9" s="1"/>
  <c r="Y134" i="9" s="1"/>
  <c r="Y142" i="9" s="1"/>
  <c r="Y150" i="9" s="1"/>
  <c r="Y154" i="9" s="1"/>
  <c r="Y60" i="9"/>
  <c r="E87" i="9"/>
  <c r="K95" i="9"/>
  <c r="AC62" i="9"/>
  <c r="AC68" i="9" s="1"/>
  <c r="AC74" i="9" s="1"/>
  <c r="AC81" i="9" s="1"/>
  <c r="AC99" i="9" s="1"/>
  <c r="AC134" i="9" s="1"/>
  <c r="AC142" i="9" s="1"/>
  <c r="AC150" i="9" s="1"/>
  <c r="AC154" i="9" s="1"/>
  <c r="Q132" i="9"/>
  <c r="N62" i="9"/>
  <c r="R132" i="9"/>
  <c r="Q43" i="9"/>
  <c r="Q68" i="9" s="1"/>
  <c r="Q74" i="9" s="1"/>
  <c r="Q81" i="9" s="1"/>
  <c r="Q99" i="9" s="1"/>
  <c r="K52" i="9"/>
  <c r="R43" i="9"/>
  <c r="R68" i="9" s="1"/>
  <c r="R74" i="9" s="1"/>
  <c r="R81" i="9" s="1"/>
  <c r="R99" i="9" s="1"/>
  <c r="R134" i="9" s="1"/>
  <c r="R142" i="9" s="1"/>
  <c r="R150" i="9" s="1"/>
  <c r="R154" i="9" s="1"/>
  <c r="E52" i="9"/>
  <c r="O15" i="9"/>
  <c r="Y52" i="9"/>
  <c r="Y62" i="9" s="1"/>
  <c r="O10" i="9"/>
  <c r="E93" i="9"/>
  <c r="E108" i="9"/>
  <c r="E78" i="9"/>
  <c r="O144" i="9"/>
  <c r="Y146" i="9"/>
  <c r="E26" i="9"/>
  <c r="Q120" i="9"/>
  <c r="O88" i="9" l="1"/>
  <c r="E83" i="9"/>
  <c r="E88" i="9" s="1"/>
  <c r="E10" i="9"/>
  <c r="E13" i="9" s="1"/>
  <c r="O13" i="9"/>
  <c r="E62" i="9"/>
  <c r="E122" i="9"/>
  <c r="E130" i="9" s="1"/>
  <c r="O130" i="9"/>
  <c r="K62" i="9"/>
  <c r="E105" i="9"/>
  <c r="L134" i="9"/>
  <c r="L142" i="9" s="1"/>
  <c r="L150" i="9" s="1"/>
  <c r="L154" i="9" s="1"/>
  <c r="O118" i="9"/>
  <c r="O120" i="9" s="1"/>
  <c r="O132" i="9" s="1"/>
  <c r="E95" i="9"/>
  <c r="O60" i="9"/>
  <c r="AE134" i="9"/>
  <c r="AE142" i="9" s="1"/>
  <c r="AE150" i="9" s="1"/>
  <c r="AE154" i="9" s="1"/>
  <c r="E15" i="9"/>
  <c r="E23" i="9" s="1"/>
  <c r="E41" i="9" s="1"/>
  <c r="O23" i="9"/>
  <c r="O41" i="9" s="1"/>
  <c r="AD68" i="9"/>
  <c r="AD74" i="9" s="1"/>
  <c r="AD81" i="9" s="1"/>
  <c r="AD99" i="9" s="1"/>
  <c r="AD134" i="9" s="1"/>
  <c r="AD142" i="9" s="1"/>
  <c r="AD150" i="9" s="1"/>
  <c r="AD154" i="9" s="1"/>
  <c r="O62" i="9"/>
  <c r="K43" i="9"/>
  <c r="K68" i="9" s="1"/>
  <c r="K74" i="9" s="1"/>
  <c r="K81" i="9" s="1"/>
  <c r="K99" i="9" s="1"/>
  <c r="K134" i="9" s="1"/>
  <c r="K142" i="9" s="1"/>
  <c r="K150" i="9" s="1"/>
  <c r="K154" i="9" s="1"/>
  <c r="O140" i="9"/>
  <c r="E136" i="9"/>
  <c r="E140" i="9" s="1"/>
  <c r="Q134" i="9"/>
  <c r="Q142" i="9" s="1"/>
  <c r="Q150" i="9" s="1"/>
  <c r="Q154" i="9" s="1"/>
  <c r="E118" i="9"/>
  <c r="E120" i="9" s="1"/>
  <c r="E39" i="9"/>
  <c r="O146" i="9"/>
  <c r="E144" i="9"/>
  <c r="E146" i="9" s="1"/>
  <c r="E132" i="9" l="1"/>
  <c r="O43" i="9"/>
  <c r="O68" i="9" s="1"/>
  <c r="O74" i="9" s="1"/>
  <c r="O81" i="9" s="1"/>
  <c r="O99" i="9" s="1"/>
  <c r="O134" i="9" s="1"/>
  <c r="O142" i="9" s="1"/>
  <c r="O150" i="9" s="1"/>
  <c r="O154" i="9" s="1"/>
  <c r="E43" i="9"/>
  <c r="E68" i="9" s="1"/>
  <c r="E74" i="9" s="1"/>
  <c r="E81" i="9" s="1"/>
  <c r="E99" i="9" s="1"/>
  <c r="E134" i="9" s="1"/>
  <c r="E142" i="9" s="1"/>
  <c r="E150" i="9" s="1"/>
  <c r="E154" i="9" s="1"/>
  <c r="P240" i="8"/>
  <c r="P239" i="8"/>
  <c r="P238" i="8"/>
  <c r="P235" i="8"/>
  <c r="O235" i="8"/>
  <c r="N235" i="8"/>
  <c r="M235" i="8"/>
  <c r="L235" i="8"/>
  <c r="K235" i="8"/>
  <c r="J235" i="8"/>
  <c r="I235" i="8"/>
  <c r="H235" i="8"/>
  <c r="G235" i="8"/>
  <c r="F235" i="8"/>
  <c r="E235" i="8"/>
  <c r="D235" i="8"/>
  <c r="P233" i="8"/>
  <c r="O233" i="8"/>
  <c r="G233" i="8"/>
  <c r="F233" i="8"/>
  <c r="E233" i="8"/>
  <c r="D233" i="8"/>
  <c r="H231" i="8"/>
  <c r="G231" i="8"/>
  <c r="F231" i="8"/>
  <c r="P222" i="8"/>
  <c r="P220" i="8" s="1"/>
  <c r="P221" i="8"/>
  <c r="O220" i="8"/>
  <c r="N220" i="8"/>
  <c r="M220" i="8"/>
  <c r="L220" i="8"/>
  <c r="K220" i="8"/>
  <c r="J220" i="8"/>
  <c r="I220" i="8"/>
  <c r="H220" i="8"/>
  <c r="G220" i="8"/>
  <c r="F220" i="8"/>
  <c r="E220" i="8"/>
  <c r="D220" i="8"/>
  <c r="P219" i="8"/>
  <c r="P213" i="8"/>
  <c r="P210" i="8" s="1"/>
  <c r="P212" i="8"/>
  <c r="P211" i="8"/>
  <c r="O210" i="8"/>
  <c r="O204" i="8" s="1"/>
  <c r="N210" i="8"/>
  <c r="N204" i="8" s="1"/>
  <c r="M210" i="8"/>
  <c r="M204" i="8" s="1"/>
  <c r="L210" i="8"/>
  <c r="K210" i="8"/>
  <c r="J210" i="8"/>
  <c r="I210" i="8"/>
  <c r="H210" i="8"/>
  <c r="H204" i="8" s="1"/>
  <c r="G210" i="8"/>
  <c r="F210" i="8"/>
  <c r="E210" i="8"/>
  <c r="D210" i="8"/>
  <c r="P208" i="8"/>
  <c r="P207" i="8"/>
  <c r="P206" i="8"/>
  <c r="O206" i="8"/>
  <c r="N206" i="8"/>
  <c r="M206" i="8"/>
  <c r="L206" i="8"/>
  <c r="L204" i="8" s="1"/>
  <c r="K206" i="8"/>
  <c r="K204" i="8" s="1"/>
  <c r="J206" i="8"/>
  <c r="J204" i="8" s="1"/>
  <c r="I206" i="8"/>
  <c r="H206" i="8"/>
  <c r="G206" i="8"/>
  <c r="F206" i="8"/>
  <c r="E206" i="8"/>
  <c r="D206" i="8"/>
  <c r="D204" i="8" s="1"/>
  <c r="I204" i="8"/>
  <c r="G204" i="8"/>
  <c r="G193" i="8" s="1"/>
  <c r="F204" i="8"/>
  <c r="F193" i="8" s="1"/>
  <c r="E204" i="8"/>
  <c r="P202" i="8"/>
  <c r="P201" i="8"/>
  <c r="P200" i="8"/>
  <c r="O200" i="8"/>
  <c r="N200" i="8"/>
  <c r="N233" i="8" s="1"/>
  <c r="M200" i="8"/>
  <c r="M233" i="8" s="1"/>
  <c r="L200" i="8"/>
  <c r="L233" i="8" s="1"/>
  <c r="K200" i="8"/>
  <c r="J200" i="8"/>
  <c r="I200" i="8"/>
  <c r="I233" i="8" s="1"/>
  <c r="H200" i="8"/>
  <c r="H233" i="8" s="1"/>
  <c r="G200" i="8"/>
  <c r="F200" i="8"/>
  <c r="E200" i="8"/>
  <c r="D200" i="8"/>
  <c r="P198" i="8"/>
  <c r="P197" i="8"/>
  <c r="P196" i="8"/>
  <c r="P195" i="8"/>
  <c r="O195" i="8"/>
  <c r="N195" i="8"/>
  <c r="M195" i="8"/>
  <c r="L195" i="8"/>
  <c r="L193" i="8" s="1"/>
  <c r="K195" i="8"/>
  <c r="J195" i="8"/>
  <c r="I195" i="8"/>
  <c r="H195" i="8"/>
  <c r="G195" i="8"/>
  <c r="F195" i="8"/>
  <c r="E195" i="8"/>
  <c r="D195" i="8"/>
  <c r="D193" i="8" s="1"/>
  <c r="O193" i="8"/>
  <c r="N193" i="8"/>
  <c r="M193" i="8"/>
  <c r="I193" i="8"/>
  <c r="P191" i="8"/>
  <c r="P190" i="8"/>
  <c r="P189" i="8"/>
  <c r="P186" i="8" s="1"/>
  <c r="P188" i="8"/>
  <c r="P187" i="8"/>
  <c r="O186" i="8"/>
  <c r="N186" i="8"/>
  <c r="M186" i="8"/>
  <c r="L186" i="8"/>
  <c r="K186" i="8"/>
  <c r="J186" i="8"/>
  <c r="I186" i="8"/>
  <c r="H186" i="8"/>
  <c r="G186" i="8"/>
  <c r="F186" i="8"/>
  <c r="E186" i="8"/>
  <c r="D186" i="8"/>
  <c r="P184" i="8"/>
  <c r="P183" i="8"/>
  <c r="P182" i="8"/>
  <c r="O182" i="8"/>
  <c r="N182" i="8"/>
  <c r="M182" i="8"/>
  <c r="L182" i="8"/>
  <c r="K182" i="8"/>
  <c r="J182" i="8"/>
  <c r="I182" i="8"/>
  <c r="H182" i="8"/>
  <c r="G182" i="8"/>
  <c r="F182" i="8"/>
  <c r="E182" i="8"/>
  <c r="D182" i="8"/>
  <c r="D215" i="8" s="1"/>
  <c r="P180" i="8"/>
  <c r="P178" i="8"/>
  <c r="P176" i="8"/>
  <c r="P174" i="8"/>
  <c r="P173" i="8"/>
  <c r="P172" i="8"/>
  <c r="O172" i="8"/>
  <c r="N172" i="8"/>
  <c r="M172" i="8"/>
  <c r="L172" i="8"/>
  <c r="K172" i="8"/>
  <c r="J172" i="8"/>
  <c r="I172" i="8"/>
  <c r="H172" i="8"/>
  <c r="G172" i="8"/>
  <c r="F172" i="8"/>
  <c r="E172" i="8"/>
  <c r="D172" i="8"/>
  <c r="P170" i="8"/>
  <c r="P169" i="8"/>
  <c r="P168" i="8"/>
  <c r="P167" i="8"/>
  <c r="O167" i="8"/>
  <c r="N167" i="8"/>
  <c r="M167" i="8"/>
  <c r="M215" i="8" s="1"/>
  <c r="L167" i="8"/>
  <c r="L215" i="8" s="1"/>
  <c r="K167" i="8"/>
  <c r="J167" i="8"/>
  <c r="I167" i="8"/>
  <c r="H167" i="8"/>
  <c r="G167" i="8"/>
  <c r="F167" i="8"/>
  <c r="E167" i="8"/>
  <c r="D167" i="8"/>
  <c r="P159" i="8"/>
  <c r="P157" i="8" s="1"/>
  <c r="P158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P155" i="8"/>
  <c r="P154" i="8" s="1"/>
  <c r="O154" i="8"/>
  <c r="N154" i="8"/>
  <c r="M154" i="8"/>
  <c r="L154" i="8"/>
  <c r="K154" i="8"/>
  <c r="J154" i="8"/>
  <c r="I154" i="8"/>
  <c r="H154" i="8"/>
  <c r="G154" i="8"/>
  <c r="F154" i="8"/>
  <c r="E154" i="8"/>
  <c r="D154" i="8"/>
  <c r="P152" i="8"/>
  <c r="P150" i="8" s="1"/>
  <c r="P151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P148" i="8"/>
  <c r="P147" i="8"/>
  <c r="P146" i="8"/>
  <c r="O146" i="8"/>
  <c r="N146" i="8"/>
  <c r="M146" i="8"/>
  <c r="L146" i="8"/>
  <c r="L161" i="8" s="1"/>
  <c r="K146" i="8"/>
  <c r="K161" i="8" s="1"/>
  <c r="J146" i="8"/>
  <c r="I146" i="8"/>
  <c r="H146" i="8"/>
  <c r="G146" i="8"/>
  <c r="F146" i="8"/>
  <c r="E146" i="8"/>
  <c r="D146" i="8"/>
  <c r="P144" i="8"/>
  <c r="P143" i="8"/>
  <c r="P142" i="8"/>
  <c r="O142" i="8"/>
  <c r="O140" i="8" s="1"/>
  <c r="O161" i="8" s="1"/>
  <c r="N142" i="8"/>
  <c r="N140" i="8" s="1"/>
  <c r="N161" i="8" s="1"/>
  <c r="M142" i="8"/>
  <c r="M140" i="8" s="1"/>
  <c r="L142" i="8"/>
  <c r="L140" i="8" s="1"/>
  <c r="K142" i="8"/>
  <c r="J142" i="8"/>
  <c r="I142" i="8"/>
  <c r="H142" i="8"/>
  <c r="G142" i="8"/>
  <c r="F142" i="8"/>
  <c r="E142" i="8"/>
  <c r="D142" i="8"/>
  <c r="D140" i="8" s="1"/>
  <c r="D161" i="8" s="1"/>
  <c r="P141" i="8"/>
  <c r="P140" i="8" s="1"/>
  <c r="K140" i="8"/>
  <c r="J140" i="8"/>
  <c r="I140" i="8"/>
  <c r="H140" i="8"/>
  <c r="G140" i="8"/>
  <c r="F140" i="8"/>
  <c r="E140" i="8"/>
  <c r="P138" i="8"/>
  <c r="P137" i="8"/>
  <c r="P136" i="8" s="1"/>
  <c r="O136" i="8"/>
  <c r="N136" i="8"/>
  <c r="M136" i="8"/>
  <c r="L136" i="8"/>
  <c r="K136" i="8"/>
  <c r="J136" i="8"/>
  <c r="I136" i="8"/>
  <c r="H136" i="8"/>
  <c r="G136" i="8"/>
  <c r="F136" i="8"/>
  <c r="E136" i="8"/>
  <c r="E161" i="8" s="1"/>
  <c r="D136" i="8"/>
  <c r="P132" i="8"/>
  <c r="P131" i="8"/>
  <c r="P130" i="8"/>
  <c r="P231" i="8" s="1"/>
  <c r="O130" i="8"/>
  <c r="O231" i="8" s="1"/>
  <c r="N130" i="8"/>
  <c r="N231" i="8" s="1"/>
  <c r="M130" i="8"/>
  <c r="M231" i="8" s="1"/>
  <c r="L130" i="8"/>
  <c r="L231" i="8" s="1"/>
  <c r="K130" i="8"/>
  <c r="K231" i="8" s="1"/>
  <c r="J130" i="8"/>
  <c r="J231" i="8" s="1"/>
  <c r="I130" i="8"/>
  <c r="I231" i="8" s="1"/>
  <c r="H130" i="8"/>
  <c r="G130" i="8"/>
  <c r="F130" i="8"/>
  <c r="E130" i="8"/>
  <c r="E231" i="8" s="1"/>
  <c r="D130" i="8"/>
  <c r="D231" i="8" s="1"/>
  <c r="O128" i="8"/>
  <c r="N128" i="8"/>
  <c r="N230" i="8" s="1"/>
  <c r="M128" i="8"/>
  <c r="L128" i="8"/>
  <c r="P126" i="8"/>
  <c r="P125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J122" i="8"/>
  <c r="J128" i="8" s="1"/>
  <c r="F122" i="8"/>
  <c r="F128" i="8" s="1"/>
  <c r="E122" i="8"/>
  <c r="E128" i="8" s="1"/>
  <c r="D122" i="8"/>
  <c r="D128" i="8" s="1"/>
  <c r="P120" i="8"/>
  <c r="P119" i="8"/>
  <c r="P118" i="8"/>
  <c r="P117" i="8"/>
  <c r="O116" i="8"/>
  <c r="N116" i="8"/>
  <c r="M116" i="8"/>
  <c r="L116" i="8"/>
  <c r="K116" i="8"/>
  <c r="J116" i="8"/>
  <c r="I116" i="8"/>
  <c r="H116" i="8"/>
  <c r="H122" i="8" s="1"/>
  <c r="H128" i="8" s="1"/>
  <c r="G116" i="8"/>
  <c r="G122" i="8" s="1"/>
  <c r="G128" i="8" s="1"/>
  <c r="F116" i="8"/>
  <c r="E116" i="8"/>
  <c r="D116" i="8"/>
  <c r="P114" i="8"/>
  <c r="P113" i="8"/>
  <c r="P112" i="8"/>
  <c r="P111" i="8"/>
  <c r="P110" i="8"/>
  <c r="P109" i="8"/>
  <c r="P108" i="8"/>
  <c r="O108" i="8"/>
  <c r="O122" i="8" s="1"/>
  <c r="N108" i="8"/>
  <c r="N122" i="8" s="1"/>
  <c r="M108" i="8"/>
  <c r="M122" i="8" s="1"/>
  <c r="L108" i="8"/>
  <c r="L122" i="8" s="1"/>
  <c r="K108" i="8"/>
  <c r="K122" i="8" s="1"/>
  <c r="K128" i="8" s="1"/>
  <c r="K230" i="8" s="1"/>
  <c r="J108" i="8"/>
  <c r="I108" i="8"/>
  <c r="H108" i="8"/>
  <c r="G108" i="8"/>
  <c r="F108" i="8"/>
  <c r="E108" i="8"/>
  <c r="D108" i="8"/>
  <c r="P102" i="8"/>
  <c r="K100" i="8"/>
  <c r="J100" i="8"/>
  <c r="H100" i="8"/>
  <c r="P98" i="8"/>
  <c r="P96" i="8"/>
  <c r="P94" i="8"/>
  <c r="P93" i="8"/>
  <c r="P92" i="8"/>
  <c r="P91" i="8"/>
  <c r="O91" i="8"/>
  <c r="N91" i="8"/>
  <c r="N82" i="8" s="1"/>
  <c r="M91" i="8"/>
  <c r="M82" i="8" s="1"/>
  <c r="L91" i="8"/>
  <c r="L82" i="8" s="1"/>
  <c r="K91" i="8"/>
  <c r="J91" i="8"/>
  <c r="I91" i="8"/>
  <c r="H91" i="8"/>
  <c r="G91" i="8"/>
  <c r="F91" i="8"/>
  <c r="E91" i="8"/>
  <c r="D91" i="8"/>
  <c r="P89" i="8"/>
  <c r="P88" i="8"/>
  <c r="P87" i="8"/>
  <c r="P86" i="8"/>
  <c r="O86" i="8"/>
  <c r="N86" i="8"/>
  <c r="M86" i="8"/>
  <c r="L86" i="8"/>
  <c r="K86" i="8"/>
  <c r="K82" i="8" s="1"/>
  <c r="J86" i="8"/>
  <c r="J82" i="8" s="1"/>
  <c r="I86" i="8"/>
  <c r="I82" i="8" s="1"/>
  <c r="H86" i="8"/>
  <c r="H82" i="8" s="1"/>
  <c r="G86" i="8"/>
  <c r="G82" i="8" s="1"/>
  <c r="F86" i="8"/>
  <c r="F82" i="8" s="1"/>
  <c r="E86" i="8"/>
  <c r="E82" i="8" s="1"/>
  <c r="D86" i="8"/>
  <c r="D82" i="8" s="1"/>
  <c r="P84" i="8"/>
  <c r="N80" i="8"/>
  <c r="M80" i="8"/>
  <c r="M100" i="8" s="1"/>
  <c r="L80" i="8"/>
  <c r="L100" i="8" s="1"/>
  <c r="G80" i="8"/>
  <c r="F80" i="8"/>
  <c r="P78" i="8"/>
  <c r="P77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P74" i="8"/>
  <c r="P73" i="8"/>
  <c r="P72" i="8"/>
  <c r="P71" i="8" s="1"/>
  <c r="O71" i="8"/>
  <c r="N71" i="8"/>
  <c r="M71" i="8"/>
  <c r="L71" i="8"/>
  <c r="K71" i="8"/>
  <c r="J71" i="8"/>
  <c r="I71" i="8"/>
  <c r="H71" i="8"/>
  <c r="G71" i="8"/>
  <c r="F71" i="8"/>
  <c r="E71" i="8"/>
  <c r="D71" i="8"/>
  <c r="P69" i="8"/>
  <c r="P68" i="8"/>
  <c r="P67" i="8"/>
  <c r="O67" i="8"/>
  <c r="N67" i="8"/>
  <c r="M67" i="8"/>
  <c r="L67" i="8"/>
  <c r="K67" i="8"/>
  <c r="K80" i="8" s="1"/>
  <c r="J67" i="8"/>
  <c r="J80" i="8" s="1"/>
  <c r="I67" i="8"/>
  <c r="H67" i="8"/>
  <c r="H80" i="8" s="1"/>
  <c r="G67" i="8"/>
  <c r="F67" i="8"/>
  <c r="E67" i="8"/>
  <c r="D67" i="8"/>
  <c r="P65" i="8"/>
  <c r="P64" i="8"/>
  <c r="P63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P60" i="8"/>
  <c r="P58" i="8"/>
  <c r="P57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P54" i="8"/>
  <c r="P53" i="8"/>
  <c r="P52" i="8"/>
  <c r="P51" i="8"/>
  <c r="O51" i="8"/>
  <c r="N51" i="8"/>
  <c r="M51" i="8"/>
  <c r="L51" i="8"/>
  <c r="L45" i="8" s="1"/>
  <c r="K51" i="8"/>
  <c r="J51" i="8"/>
  <c r="J45" i="8" s="1"/>
  <c r="I51" i="8"/>
  <c r="I45" i="8" s="1"/>
  <c r="H51" i="8"/>
  <c r="H45" i="8" s="1"/>
  <c r="G51" i="8"/>
  <c r="F51" i="8"/>
  <c r="F45" i="8" s="1"/>
  <c r="E51" i="8"/>
  <c r="E45" i="8" s="1"/>
  <c r="D51" i="8"/>
  <c r="P49" i="8"/>
  <c r="P48" i="8"/>
  <c r="P47" i="8"/>
  <c r="O47" i="8"/>
  <c r="O45" i="8" s="1"/>
  <c r="N47" i="8"/>
  <c r="M47" i="8"/>
  <c r="L47" i="8"/>
  <c r="K47" i="8"/>
  <c r="K45" i="8" s="1"/>
  <c r="J47" i="8"/>
  <c r="I47" i="8"/>
  <c r="H47" i="8"/>
  <c r="G47" i="8"/>
  <c r="G45" i="8" s="1"/>
  <c r="F47" i="8"/>
  <c r="E47" i="8"/>
  <c r="D47" i="8"/>
  <c r="P45" i="8"/>
  <c r="N45" i="8"/>
  <c r="M45" i="8"/>
  <c r="D45" i="8"/>
  <c r="P43" i="8"/>
  <c r="P42" i="8"/>
  <c r="P41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P38" i="8"/>
  <c r="P37" i="8"/>
  <c r="P36" i="8"/>
  <c r="P35" i="8"/>
  <c r="P34" i="8"/>
  <c r="P33" i="8"/>
  <c r="P32" i="8"/>
  <c r="O31" i="8"/>
  <c r="N31" i="8"/>
  <c r="M31" i="8"/>
  <c r="L31" i="8"/>
  <c r="K31" i="8"/>
  <c r="J31" i="8"/>
  <c r="I31" i="8"/>
  <c r="H31" i="8"/>
  <c r="G31" i="8"/>
  <c r="F31" i="8"/>
  <c r="E31" i="8"/>
  <c r="D31" i="8"/>
  <c r="P29" i="8"/>
  <c r="P28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P25" i="8"/>
  <c r="P24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P21" i="8"/>
  <c r="P20" i="8"/>
  <c r="O18" i="8"/>
  <c r="N18" i="8"/>
  <c r="M18" i="8"/>
  <c r="L18" i="8"/>
  <c r="K18" i="8"/>
  <c r="J18" i="8"/>
  <c r="I18" i="8"/>
  <c r="H18" i="8"/>
  <c r="G18" i="8"/>
  <c r="F18" i="8"/>
  <c r="E18" i="8"/>
  <c r="D18" i="8"/>
  <c r="P16" i="8"/>
  <c r="P14" i="8"/>
  <c r="P18" i="8" s="1"/>
  <c r="B6" i="8"/>
  <c r="H240" i="7"/>
  <c r="H239" i="7"/>
  <c r="H238" i="7"/>
  <c r="H235" i="7"/>
  <c r="G235" i="7"/>
  <c r="F235" i="7"/>
  <c r="E235" i="7"/>
  <c r="D235" i="7"/>
  <c r="G233" i="7"/>
  <c r="F233" i="7"/>
  <c r="E233" i="7"/>
  <c r="D233" i="7"/>
  <c r="D231" i="7"/>
  <c r="H222" i="7"/>
  <c r="H221" i="7"/>
  <c r="H220" i="7"/>
  <c r="G220" i="7"/>
  <c r="F220" i="7"/>
  <c r="E220" i="7"/>
  <c r="D220" i="7"/>
  <c r="H219" i="7"/>
  <c r="E215" i="7"/>
  <c r="H213" i="7"/>
  <c r="H212" i="7"/>
  <c r="H211" i="7"/>
  <c r="H210" i="7"/>
  <c r="G210" i="7"/>
  <c r="F210" i="7"/>
  <c r="E210" i="7"/>
  <c r="D210" i="7"/>
  <c r="H208" i="7"/>
  <c r="H207" i="7"/>
  <c r="H206" i="7"/>
  <c r="H204" i="7" s="1"/>
  <c r="G206" i="7"/>
  <c r="F206" i="7"/>
  <c r="E206" i="7"/>
  <c r="D206" i="7"/>
  <c r="G204" i="7"/>
  <c r="F204" i="7"/>
  <c r="E204" i="7"/>
  <c r="D204" i="7"/>
  <c r="H202" i="7"/>
  <c r="H200" i="7" s="1"/>
  <c r="H233" i="7" s="1"/>
  <c r="H201" i="7"/>
  <c r="G200" i="7"/>
  <c r="F200" i="7"/>
  <c r="E200" i="7"/>
  <c r="D200" i="7"/>
  <c r="H198" i="7"/>
  <c r="H197" i="7"/>
  <c r="H196" i="7"/>
  <c r="H195" i="7"/>
  <c r="G195" i="7"/>
  <c r="G193" i="7" s="1"/>
  <c r="F195" i="7"/>
  <c r="F193" i="7" s="1"/>
  <c r="F215" i="7" s="1"/>
  <c r="E195" i="7"/>
  <c r="E193" i="7" s="1"/>
  <c r="D195" i="7"/>
  <c r="D193" i="7" s="1"/>
  <c r="H191" i="7"/>
  <c r="H190" i="7"/>
  <c r="H189" i="7"/>
  <c r="H188" i="7"/>
  <c r="H187" i="7"/>
  <c r="H186" i="7"/>
  <c r="G186" i="7"/>
  <c r="G215" i="7" s="1"/>
  <c r="F186" i="7"/>
  <c r="E186" i="7"/>
  <c r="D186" i="7"/>
  <c r="H184" i="7"/>
  <c r="H183" i="7"/>
  <c r="H182" i="7"/>
  <c r="G182" i="7"/>
  <c r="F182" i="7"/>
  <c r="E182" i="7"/>
  <c r="D182" i="7"/>
  <c r="H180" i="7"/>
  <c r="H178" i="7"/>
  <c r="H176" i="7"/>
  <c r="H174" i="7"/>
  <c r="H173" i="7"/>
  <c r="H172" i="7"/>
  <c r="G172" i="7"/>
  <c r="F172" i="7"/>
  <c r="E172" i="7"/>
  <c r="D172" i="7"/>
  <c r="H170" i="7"/>
  <c r="H169" i="7"/>
  <c r="H168" i="7"/>
  <c r="H167" i="7"/>
  <c r="G167" i="7"/>
  <c r="F167" i="7"/>
  <c r="E167" i="7"/>
  <c r="D167" i="7"/>
  <c r="H159" i="7"/>
  <c r="H158" i="7"/>
  <c r="H157" i="7"/>
  <c r="G157" i="7"/>
  <c r="F157" i="7"/>
  <c r="E157" i="7"/>
  <c r="D157" i="7"/>
  <c r="H155" i="7"/>
  <c r="H154" i="7" s="1"/>
  <c r="G154" i="7"/>
  <c r="F154" i="7"/>
  <c r="E154" i="7"/>
  <c r="D154" i="7"/>
  <c r="H152" i="7"/>
  <c r="H151" i="7"/>
  <c r="H150" i="7"/>
  <c r="G150" i="7"/>
  <c r="F150" i="7"/>
  <c r="E150" i="7"/>
  <c r="D150" i="7"/>
  <c r="H148" i="7"/>
  <c r="H147" i="7"/>
  <c r="H146" i="7" s="1"/>
  <c r="G146" i="7"/>
  <c r="F146" i="7"/>
  <c r="E146" i="7"/>
  <c r="D146" i="7"/>
  <c r="H144" i="7"/>
  <c r="H143" i="7"/>
  <c r="H142" i="7"/>
  <c r="H140" i="7" s="1"/>
  <c r="H161" i="7" s="1"/>
  <c r="G142" i="7"/>
  <c r="G140" i="7" s="1"/>
  <c r="F142" i="7"/>
  <c r="F140" i="7" s="1"/>
  <c r="E142" i="7"/>
  <c r="E140" i="7" s="1"/>
  <c r="D142" i="7"/>
  <c r="D140" i="7" s="1"/>
  <c r="H141" i="7"/>
  <c r="H138" i="7"/>
  <c r="H137" i="7"/>
  <c r="H136" i="7"/>
  <c r="G136" i="7"/>
  <c r="G161" i="7" s="1"/>
  <c r="F136" i="7"/>
  <c r="F161" i="7" s="1"/>
  <c r="E136" i="7"/>
  <c r="D136" i="7"/>
  <c r="H132" i="7"/>
  <c r="H131" i="7"/>
  <c r="H130" i="7"/>
  <c r="H231" i="7" s="1"/>
  <c r="G130" i="7"/>
  <c r="G231" i="7" s="1"/>
  <c r="F130" i="7"/>
  <c r="F231" i="7" s="1"/>
  <c r="E130" i="7"/>
  <c r="E231" i="7" s="1"/>
  <c r="D130" i="7"/>
  <c r="H126" i="7"/>
  <c r="H125" i="7"/>
  <c r="H124" i="7"/>
  <c r="G124" i="7"/>
  <c r="F124" i="7"/>
  <c r="E124" i="7"/>
  <c r="D124" i="7"/>
  <c r="E122" i="7"/>
  <c r="E128" i="7" s="1"/>
  <c r="D122" i="7"/>
  <c r="D128" i="7" s="1"/>
  <c r="H120" i="7"/>
  <c r="H119" i="7"/>
  <c r="H118" i="7"/>
  <c r="H117" i="7"/>
  <c r="H116" i="7"/>
  <c r="G116" i="7"/>
  <c r="F116" i="7"/>
  <c r="E116" i="7"/>
  <c r="D116" i="7"/>
  <c r="H114" i="7"/>
  <c r="H113" i="7"/>
  <c r="H112" i="7"/>
  <c r="H111" i="7"/>
  <c r="H110" i="7"/>
  <c r="H109" i="7"/>
  <c r="H108" i="7"/>
  <c r="G108" i="7"/>
  <c r="F108" i="7"/>
  <c r="F122" i="7" s="1"/>
  <c r="E108" i="7"/>
  <c r="D108" i="7"/>
  <c r="H102" i="7"/>
  <c r="G100" i="7"/>
  <c r="F100" i="7"/>
  <c r="H98" i="7"/>
  <c r="H96" i="7"/>
  <c r="H94" i="7"/>
  <c r="H93" i="7"/>
  <c r="H92" i="7"/>
  <c r="H91" i="7"/>
  <c r="G91" i="7"/>
  <c r="F91" i="7"/>
  <c r="E91" i="7"/>
  <c r="D91" i="7"/>
  <c r="H89" i="7"/>
  <c r="H86" i="7" s="1"/>
  <c r="H82" i="7" s="1"/>
  <c r="H88" i="7"/>
  <c r="H87" i="7"/>
  <c r="G86" i="7"/>
  <c r="F86" i="7"/>
  <c r="E86" i="7"/>
  <c r="D86" i="7"/>
  <c r="H84" i="7"/>
  <c r="G82" i="7"/>
  <c r="F82" i="7"/>
  <c r="E82" i="7"/>
  <c r="H78" i="7"/>
  <c r="H77" i="7"/>
  <c r="H76" i="7"/>
  <c r="G76" i="7"/>
  <c r="F76" i="7"/>
  <c r="E76" i="7"/>
  <c r="D76" i="7"/>
  <c r="H74" i="7"/>
  <c r="H73" i="7"/>
  <c r="H72" i="7"/>
  <c r="H71" i="7"/>
  <c r="G71" i="7"/>
  <c r="G80" i="7" s="1"/>
  <c r="F71" i="7"/>
  <c r="F80" i="7" s="1"/>
  <c r="E71" i="7"/>
  <c r="E80" i="7" s="1"/>
  <c r="E100" i="7" s="1"/>
  <c r="D71" i="7"/>
  <c r="D80" i="7" s="1"/>
  <c r="H69" i="7"/>
  <c r="H68" i="7"/>
  <c r="H67" i="7"/>
  <c r="H80" i="7" s="1"/>
  <c r="G67" i="7"/>
  <c r="F67" i="7"/>
  <c r="E67" i="7"/>
  <c r="D67" i="7"/>
  <c r="H65" i="7"/>
  <c r="H64" i="7"/>
  <c r="H63" i="7"/>
  <c r="H62" i="7"/>
  <c r="G62" i="7"/>
  <c r="F62" i="7"/>
  <c r="E62" i="7"/>
  <c r="D62" i="7"/>
  <c r="H60" i="7"/>
  <c r="H58" i="7"/>
  <c r="H57" i="7"/>
  <c r="H56" i="7"/>
  <c r="G56" i="7"/>
  <c r="F56" i="7"/>
  <c r="E56" i="7"/>
  <c r="D56" i="7"/>
  <c r="H54" i="7"/>
  <c r="H53" i="7"/>
  <c r="H52" i="7"/>
  <c r="H51" i="7"/>
  <c r="G51" i="7"/>
  <c r="F51" i="7"/>
  <c r="E51" i="7"/>
  <c r="D51" i="7"/>
  <c r="H49" i="7"/>
  <c r="H48" i="7"/>
  <c r="H47" i="7"/>
  <c r="G47" i="7"/>
  <c r="G45" i="7" s="1"/>
  <c r="F47" i="7"/>
  <c r="F45" i="7" s="1"/>
  <c r="E47" i="7"/>
  <c r="E45" i="7" s="1"/>
  <c r="D47" i="7"/>
  <c r="D45" i="7" s="1"/>
  <c r="H45" i="7"/>
  <c r="H43" i="7"/>
  <c r="H42" i="7"/>
  <c r="H41" i="7"/>
  <c r="H40" i="7"/>
  <c r="G40" i="7"/>
  <c r="F40" i="7"/>
  <c r="E40" i="7"/>
  <c r="D40" i="7"/>
  <c r="H38" i="7"/>
  <c r="H37" i="7"/>
  <c r="H36" i="7"/>
  <c r="H35" i="7"/>
  <c r="H34" i="7"/>
  <c r="H33" i="7"/>
  <c r="H32" i="7"/>
  <c r="H31" i="7"/>
  <c r="G31" i="7"/>
  <c r="F31" i="7"/>
  <c r="E31" i="7"/>
  <c r="D31" i="7"/>
  <c r="H29" i="7"/>
  <c r="H28" i="7"/>
  <c r="H27" i="7"/>
  <c r="G27" i="7"/>
  <c r="F27" i="7"/>
  <c r="E27" i="7"/>
  <c r="D27" i="7"/>
  <c r="H25" i="7"/>
  <c r="H24" i="7"/>
  <c r="H23" i="7"/>
  <c r="G23" i="7"/>
  <c r="F23" i="7"/>
  <c r="E23" i="7"/>
  <c r="D23" i="7"/>
  <c r="H21" i="7"/>
  <c r="H20" i="7"/>
  <c r="G18" i="7"/>
  <c r="F18" i="7"/>
  <c r="E18" i="7"/>
  <c r="D18" i="7"/>
  <c r="H16" i="7"/>
  <c r="H14" i="7"/>
  <c r="H18" i="7" s="1"/>
  <c r="B6" i="7"/>
  <c r="O235" i="6"/>
  <c r="N235" i="6"/>
  <c r="M235" i="6"/>
  <c r="L235" i="6"/>
  <c r="K235" i="6"/>
  <c r="J235" i="6"/>
  <c r="I235" i="6"/>
  <c r="H235" i="6"/>
  <c r="G235" i="6"/>
  <c r="F235" i="6"/>
  <c r="E235" i="6"/>
  <c r="D235" i="6"/>
  <c r="F233" i="6"/>
  <c r="E233" i="6"/>
  <c r="D233" i="6"/>
  <c r="O220" i="6"/>
  <c r="N220" i="6"/>
  <c r="M220" i="6"/>
  <c r="L220" i="6"/>
  <c r="K220" i="6"/>
  <c r="J220" i="6"/>
  <c r="I220" i="6"/>
  <c r="H220" i="6"/>
  <c r="G220" i="6"/>
  <c r="F220" i="6"/>
  <c r="E220" i="6"/>
  <c r="D220" i="6"/>
  <c r="O210" i="6"/>
  <c r="N210" i="6"/>
  <c r="M210" i="6"/>
  <c r="L210" i="6"/>
  <c r="K210" i="6"/>
  <c r="J210" i="6"/>
  <c r="I210" i="6"/>
  <c r="H210" i="6"/>
  <c r="G210" i="6"/>
  <c r="F210" i="6"/>
  <c r="E210" i="6"/>
  <c r="D210" i="6"/>
  <c r="O206" i="6"/>
  <c r="N206" i="6"/>
  <c r="M206" i="6"/>
  <c r="L206" i="6"/>
  <c r="K206" i="6"/>
  <c r="J206" i="6"/>
  <c r="I206" i="6"/>
  <c r="H206" i="6"/>
  <c r="G206" i="6"/>
  <c r="F206" i="6"/>
  <c r="E206" i="6"/>
  <c r="D206" i="6"/>
  <c r="O204" i="6"/>
  <c r="N204" i="6"/>
  <c r="M204" i="6"/>
  <c r="L204" i="6"/>
  <c r="K204" i="6"/>
  <c r="J204" i="6"/>
  <c r="I204" i="6"/>
  <c r="H204" i="6"/>
  <c r="G204" i="6"/>
  <c r="F204" i="6"/>
  <c r="E204" i="6"/>
  <c r="D204" i="6"/>
  <c r="O200" i="6"/>
  <c r="O233" i="6" s="1"/>
  <c r="N200" i="6"/>
  <c r="N233" i="6" s="1"/>
  <c r="M200" i="6"/>
  <c r="M233" i="6" s="1"/>
  <c r="L200" i="6"/>
  <c r="L233" i="6" s="1"/>
  <c r="K200" i="6"/>
  <c r="K233" i="6" s="1"/>
  <c r="J200" i="6"/>
  <c r="J233" i="6" s="1"/>
  <c r="I200" i="6"/>
  <c r="I233" i="6" s="1"/>
  <c r="H200" i="6"/>
  <c r="H233" i="6" s="1"/>
  <c r="G200" i="6"/>
  <c r="G233" i="6" s="1"/>
  <c r="F200" i="6"/>
  <c r="E200" i="6"/>
  <c r="D200" i="6"/>
  <c r="O195" i="6"/>
  <c r="N195" i="6"/>
  <c r="M195" i="6"/>
  <c r="L195" i="6"/>
  <c r="K195" i="6"/>
  <c r="J195" i="6"/>
  <c r="I195" i="6"/>
  <c r="H195" i="6"/>
  <c r="G195" i="6"/>
  <c r="F195" i="6"/>
  <c r="E195" i="6"/>
  <c r="D195" i="6"/>
  <c r="O193" i="6"/>
  <c r="N193" i="6"/>
  <c r="M193" i="6"/>
  <c r="L193" i="6"/>
  <c r="K193" i="6"/>
  <c r="J193" i="6"/>
  <c r="I193" i="6"/>
  <c r="H193" i="6"/>
  <c r="G193" i="6"/>
  <c r="F193" i="6"/>
  <c r="E193" i="6"/>
  <c r="D193" i="6"/>
  <c r="O186" i="6"/>
  <c r="N186" i="6"/>
  <c r="M186" i="6"/>
  <c r="L186" i="6"/>
  <c r="K186" i="6"/>
  <c r="J186" i="6"/>
  <c r="I186" i="6"/>
  <c r="H186" i="6"/>
  <c r="G186" i="6"/>
  <c r="F186" i="6"/>
  <c r="E186" i="6"/>
  <c r="D186" i="6"/>
  <c r="O182" i="6"/>
  <c r="N182" i="6"/>
  <c r="M182" i="6"/>
  <c r="L182" i="6"/>
  <c r="K182" i="6"/>
  <c r="J182" i="6"/>
  <c r="I182" i="6"/>
  <c r="H182" i="6"/>
  <c r="G182" i="6"/>
  <c r="F182" i="6"/>
  <c r="E182" i="6"/>
  <c r="D182" i="6"/>
  <c r="O172" i="6"/>
  <c r="N172" i="6"/>
  <c r="M172" i="6"/>
  <c r="L172" i="6"/>
  <c r="K172" i="6"/>
  <c r="J172" i="6"/>
  <c r="I172" i="6"/>
  <c r="H172" i="6"/>
  <c r="G172" i="6"/>
  <c r="F172" i="6"/>
  <c r="E172" i="6"/>
  <c r="D172" i="6"/>
  <c r="O167" i="6"/>
  <c r="O215" i="6" s="1"/>
  <c r="N167" i="6"/>
  <c r="N215" i="6" s="1"/>
  <c r="M167" i="6"/>
  <c r="M215" i="6" s="1"/>
  <c r="L167" i="6"/>
  <c r="L215" i="6" s="1"/>
  <c r="K167" i="6"/>
  <c r="K215" i="6" s="1"/>
  <c r="J167" i="6"/>
  <c r="J215" i="6" s="1"/>
  <c r="I167" i="6"/>
  <c r="I215" i="6" s="1"/>
  <c r="H167" i="6"/>
  <c r="H215" i="6" s="1"/>
  <c r="G167" i="6"/>
  <c r="G215" i="6" s="1"/>
  <c r="F167" i="6"/>
  <c r="F215" i="6" s="1"/>
  <c r="E167" i="6"/>
  <c r="E215" i="6" s="1"/>
  <c r="D167" i="6"/>
  <c r="D215" i="6" s="1"/>
  <c r="O157" i="6"/>
  <c r="N157" i="6"/>
  <c r="M157" i="6"/>
  <c r="L157" i="6"/>
  <c r="K157" i="6"/>
  <c r="J157" i="6"/>
  <c r="I157" i="6"/>
  <c r="H157" i="6"/>
  <c r="G157" i="6"/>
  <c r="F157" i="6"/>
  <c r="E157" i="6"/>
  <c r="D157" i="6"/>
  <c r="O154" i="6"/>
  <c r="N154" i="6"/>
  <c r="M154" i="6"/>
  <c r="L154" i="6"/>
  <c r="K154" i="6"/>
  <c r="J154" i="6"/>
  <c r="I154" i="6"/>
  <c r="H154" i="6"/>
  <c r="G154" i="6"/>
  <c r="F154" i="6"/>
  <c r="E154" i="6"/>
  <c r="D154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O136" i="6"/>
  <c r="O161" i="6" s="1"/>
  <c r="N136" i="6"/>
  <c r="N161" i="6" s="1"/>
  <c r="M136" i="6"/>
  <c r="M161" i="6" s="1"/>
  <c r="L136" i="6"/>
  <c r="L161" i="6" s="1"/>
  <c r="K136" i="6"/>
  <c r="K161" i="6" s="1"/>
  <c r="J136" i="6"/>
  <c r="J161" i="6" s="1"/>
  <c r="I136" i="6"/>
  <c r="I161" i="6" s="1"/>
  <c r="H136" i="6"/>
  <c r="H161" i="6" s="1"/>
  <c r="G136" i="6"/>
  <c r="G161" i="6" s="1"/>
  <c r="F136" i="6"/>
  <c r="F161" i="6" s="1"/>
  <c r="E136" i="6"/>
  <c r="E161" i="6" s="1"/>
  <c r="D136" i="6"/>
  <c r="D161" i="6" s="1"/>
  <c r="O130" i="6"/>
  <c r="O231" i="6" s="1"/>
  <c r="N130" i="6"/>
  <c r="N231" i="6" s="1"/>
  <c r="M130" i="6"/>
  <c r="M231" i="6" s="1"/>
  <c r="L130" i="6"/>
  <c r="L231" i="6" s="1"/>
  <c r="K130" i="6"/>
  <c r="K231" i="6" s="1"/>
  <c r="J130" i="6"/>
  <c r="J231" i="6" s="1"/>
  <c r="I130" i="6"/>
  <c r="I231" i="6" s="1"/>
  <c r="H130" i="6"/>
  <c r="H231" i="6" s="1"/>
  <c r="G130" i="6"/>
  <c r="G231" i="6" s="1"/>
  <c r="F130" i="6"/>
  <c r="F231" i="6" s="1"/>
  <c r="E130" i="6"/>
  <c r="E231" i="6" s="1"/>
  <c r="D130" i="6"/>
  <c r="D231" i="6" s="1"/>
  <c r="O124" i="6"/>
  <c r="N124" i="6"/>
  <c r="M124" i="6"/>
  <c r="L124" i="6"/>
  <c r="K124" i="6"/>
  <c r="J124" i="6"/>
  <c r="I124" i="6"/>
  <c r="H124" i="6"/>
  <c r="G124" i="6"/>
  <c r="F124" i="6"/>
  <c r="E124" i="6"/>
  <c r="D124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O108" i="6"/>
  <c r="O122" i="6" s="1"/>
  <c r="O128" i="6" s="1"/>
  <c r="N108" i="6"/>
  <c r="N122" i="6" s="1"/>
  <c r="N128" i="6" s="1"/>
  <c r="M108" i="6"/>
  <c r="M122" i="6" s="1"/>
  <c r="M128" i="6" s="1"/>
  <c r="L108" i="6"/>
  <c r="L122" i="6" s="1"/>
  <c r="L128" i="6" s="1"/>
  <c r="K108" i="6"/>
  <c r="K122" i="6" s="1"/>
  <c r="K128" i="6" s="1"/>
  <c r="J108" i="6"/>
  <c r="J122" i="6" s="1"/>
  <c r="J128" i="6" s="1"/>
  <c r="I108" i="6"/>
  <c r="I122" i="6" s="1"/>
  <c r="I128" i="6" s="1"/>
  <c r="H108" i="6"/>
  <c r="H122" i="6" s="1"/>
  <c r="H128" i="6" s="1"/>
  <c r="G108" i="6"/>
  <c r="G122" i="6" s="1"/>
  <c r="G128" i="6" s="1"/>
  <c r="F108" i="6"/>
  <c r="F122" i="6" s="1"/>
  <c r="F128" i="6" s="1"/>
  <c r="E108" i="6"/>
  <c r="E122" i="6" s="1"/>
  <c r="E128" i="6" s="1"/>
  <c r="D108" i="6"/>
  <c r="D122" i="6" s="1"/>
  <c r="D128" i="6" s="1"/>
  <c r="O91" i="6"/>
  <c r="N91" i="6"/>
  <c r="M91" i="6"/>
  <c r="L91" i="6"/>
  <c r="K91" i="6"/>
  <c r="J91" i="6"/>
  <c r="I91" i="6"/>
  <c r="H91" i="6"/>
  <c r="G91" i="6"/>
  <c r="F91" i="6"/>
  <c r="E91" i="6"/>
  <c r="D91" i="6"/>
  <c r="O86" i="6"/>
  <c r="N86" i="6"/>
  <c r="M86" i="6"/>
  <c r="L86" i="6"/>
  <c r="K86" i="6"/>
  <c r="J86" i="6"/>
  <c r="I86" i="6"/>
  <c r="H86" i="6"/>
  <c r="G86" i="6"/>
  <c r="F86" i="6"/>
  <c r="E86" i="6"/>
  <c r="D86" i="6"/>
  <c r="O82" i="6"/>
  <c r="N82" i="6"/>
  <c r="M82" i="6"/>
  <c r="L82" i="6"/>
  <c r="K82" i="6"/>
  <c r="J82" i="6"/>
  <c r="I82" i="6"/>
  <c r="H82" i="6"/>
  <c r="G82" i="6"/>
  <c r="F82" i="6"/>
  <c r="E82" i="6"/>
  <c r="D82" i="6"/>
  <c r="O76" i="6"/>
  <c r="N76" i="6"/>
  <c r="M76" i="6"/>
  <c r="L76" i="6"/>
  <c r="K76" i="6"/>
  <c r="J76" i="6"/>
  <c r="I76" i="6"/>
  <c r="H76" i="6"/>
  <c r="G76" i="6"/>
  <c r="F76" i="6"/>
  <c r="E76" i="6"/>
  <c r="D76" i="6"/>
  <c r="O71" i="6"/>
  <c r="N71" i="6"/>
  <c r="M71" i="6"/>
  <c r="L71" i="6"/>
  <c r="K71" i="6"/>
  <c r="J71" i="6"/>
  <c r="I71" i="6"/>
  <c r="H71" i="6"/>
  <c r="G71" i="6"/>
  <c r="F71" i="6"/>
  <c r="E71" i="6"/>
  <c r="D71" i="6"/>
  <c r="O67" i="6"/>
  <c r="O80" i="6" s="1"/>
  <c r="O100" i="6" s="1"/>
  <c r="N67" i="6"/>
  <c r="N80" i="6" s="1"/>
  <c r="N100" i="6" s="1"/>
  <c r="M67" i="6"/>
  <c r="M80" i="6" s="1"/>
  <c r="M100" i="6" s="1"/>
  <c r="L67" i="6"/>
  <c r="L80" i="6" s="1"/>
  <c r="L100" i="6" s="1"/>
  <c r="K67" i="6"/>
  <c r="K80" i="6" s="1"/>
  <c r="K100" i="6" s="1"/>
  <c r="J67" i="6"/>
  <c r="J80" i="6" s="1"/>
  <c r="J100" i="6" s="1"/>
  <c r="I67" i="6"/>
  <c r="I80" i="6" s="1"/>
  <c r="I100" i="6" s="1"/>
  <c r="H67" i="6"/>
  <c r="H80" i="6" s="1"/>
  <c r="H100" i="6" s="1"/>
  <c r="G67" i="6"/>
  <c r="G80" i="6" s="1"/>
  <c r="G100" i="6" s="1"/>
  <c r="F67" i="6"/>
  <c r="F80" i="6" s="1"/>
  <c r="F100" i="6" s="1"/>
  <c r="E67" i="6"/>
  <c r="E80" i="6" s="1"/>
  <c r="E100" i="6" s="1"/>
  <c r="D67" i="6"/>
  <c r="D80" i="6" s="1"/>
  <c r="D100" i="6" s="1"/>
  <c r="O62" i="6"/>
  <c r="N62" i="6"/>
  <c r="M62" i="6"/>
  <c r="L62" i="6"/>
  <c r="K62" i="6"/>
  <c r="J62" i="6"/>
  <c r="I62" i="6"/>
  <c r="H62" i="6"/>
  <c r="G62" i="6"/>
  <c r="F62" i="6"/>
  <c r="E62" i="6"/>
  <c r="D62" i="6"/>
  <c r="O56" i="6"/>
  <c r="N56" i="6"/>
  <c r="M56" i="6"/>
  <c r="L56" i="6"/>
  <c r="K56" i="6"/>
  <c r="J56" i="6"/>
  <c r="I56" i="6"/>
  <c r="H56" i="6"/>
  <c r="G56" i="6"/>
  <c r="F56" i="6"/>
  <c r="E56" i="6"/>
  <c r="D56" i="6"/>
  <c r="O51" i="6"/>
  <c r="N51" i="6"/>
  <c r="M51" i="6"/>
  <c r="L51" i="6"/>
  <c r="K51" i="6"/>
  <c r="J51" i="6"/>
  <c r="I51" i="6"/>
  <c r="H51" i="6"/>
  <c r="G51" i="6"/>
  <c r="F51" i="6"/>
  <c r="E51" i="6"/>
  <c r="D51" i="6"/>
  <c r="O47" i="6"/>
  <c r="N47" i="6"/>
  <c r="M47" i="6"/>
  <c r="L47" i="6"/>
  <c r="K47" i="6"/>
  <c r="J47" i="6"/>
  <c r="I47" i="6"/>
  <c r="H47" i="6"/>
  <c r="G47" i="6"/>
  <c r="F47" i="6"/>
  <c r="E47" i="6"/>
  <c r="D47" i="6"/>
  <c r="O45" i="6"/>
  <c r="N45" i="6"/>
  <c r="M45" i="6"/>
  <c r="L45" i="6"/>
  <c r="K45" i="6"/>
  <c r="J45" i="6"/>
  <c r="I45" i="6"/>
  <c r="H45" i="6"/>
  <c r="G45" i="6"/>
  <c r="F45" i="6"/>
  <c r="E45" i="6"/>
  <c r="D45" i="6"/>
  <c r="O40" i="6"/>
  <c r="N40" i="6"/>
  <c r="M40" i="6"/>
  <c r="L40" i="6"/>
  <c r="K40" i="6"/>
  <c r="J40" i="6"/>
  <c r="I40" i="6"/>
  <c r="H40" i="6"/>
  <c r="G40" i="6"/>
  <c r="F40" i="6"/>
  <c r="E40" i="6"/>
  <c r="D40" i="6"/>
  <c r="O31" i="6"/>
  <c r="N31" i="6"/>
  <c r="M31" i="6"/>
  <c r="L31" i="6"/>
  <c r="K31" i="6"/>
  <c r="J31" i="6"/>
  <c r="I31" i="6"/>
  <c r="H31" i="6"/>
  <c r="G31" i="6"/>
  <c r="F31" i="6"/>
  <c r="E31" i="6"/>
  <c r="D31" i="6"/>
  <c r="O27" i="6"/>
  <c r="N27" i="6"/>
  <c r="M27" i="6"/>
  <c r="L27" i="6"/>
  <c r="K27" i="6"/>
  <c r="J27" i="6"/>
  <c r="I27" i="6"/>
  <c r="H27" i="6"/>
  <c r="G27" i="6"/>
  <c r="F27" i="6"/>
  <c r="E27" i="6"/>
  <c r="D27" i="6"/>
  <c r="O23" i="6"/>
  <c r="N23" i="6"/>
  <c r="M23" i="6"/>
  <c r="L23" i="6"/>
  <c r="K23" i="6"/>
  <c r="J23" i="6"/>
  <c r="I23" i="6"/>
  <c r="H23" i="6"/>
  <c r="G23" i="6"/>
  <c r="F23" i="6"/>
  <c r="E23" i="6"/>
  <c r="D23" i="6"/>
  <c r="O18" i="6"/>
  <c r="O104" i="6" s="1"/>
  <c r="N18" i="6"/>
  <c r="N104" i="6" s="1"/>
  <c r="M18" i="6"/>
  <c r="M104" i="6" s="1"/>
  <c r="L18" i="6"/>
  <c r="L104" i="6" s="1"/>
  <c r="K18" i="6"/>
  <c r="K104" i="6" s="1"/>
  <c r="J18" i="6"/>
  <c r="J104" i="6" s="1"/>
  <c r="I18" i="6"/>
  <c r="I104" i="6" s="1"/>
  <c r="H18" i="6"/>
  <c r="H104" i="6" s="1"/>
  <c r="G18" i="6"/>
  <c r="G104" i="6" s="1"/>
  <c r="F18" i="6"/>
  <c r="F104" i="6" s="1"/>
  <c r="E18" i="6"/>
  <c r="E104" i="6" s="1"/>
  <c r="D18" i="6"/>
  <c r="D104" i="6" s="1"/>
  <c r="B6" i="6"/>
  <c r="J230" i="8" l="1"/>
  <c r="J134" i="8"/>
  <c r="J163" i="8" s="1"/>
  <c r="P161" i="8"/>
  <c r="D104" i="8"/>
  <c r="G104" i="8"/>
  <c r="F161" i="8"/>
  <c r="H104" i="8"/>
  <c r="N215" i="8"/>
  <c r="L230" i="8"/>
  <c r="L134" i="8"/>
  <c r="L163" i="8" s="1"/>
  <c r="O215" i="8"/>
  <c r="E215" i="8"/>
  <c r="J104" i="8"/>
  <c r="M230" i="8"/>
  <c r="M134" i="8"/>
  <c r="K104" i="8"/>
  <c r="O134" i="8"/>
  <c r="O163" i="8" s="1"/>
  <c r="O230" i="8"/>
  <c r="G134" i="8"/>
  <c r="G230" i="8"/>
  <c r="H134" i="8"/>
  <c r="H230" i="8"/>
  <c r="D134" i="8"/>
  <c r="D163" i="8" s="1"/>
  <c r="D230" i="8"/>
  <c r="F100" i="8"/>
  <c r="F104" i="8" s="1"/>
  <c r="E134" i="8"/>
  <c r="E163" i="8" s="1"/>
  <c r="E230" i="8"/>
  <c r="M161" i="8"/>
  <c r="P31" i="8"/>
  <c r="G100" i="8"/>
  <c r="F134" i="8"/>
  <c r="F230" i="8"/>
  <c r="N134" i="8"/>
  <c r="N163" i="8" s="1"/>
  <c r="H193" i="8"/>
  <c r="H215" i="8" s="1"/>
  <c r="J233" i="8"/>
  <c r="J193" i="8"/>
  <c r="N100" i="8"/>
  <c r="N104" i="8" s="1"/>
  <c r="K193" i="8"/>
  <c r="K233" i="8"/>
  <c r="P204" i="8"/>
  <c r="P193" i="8" s="1"/>
  <c r="P215" i="8" s="1"/>
  <c r="L104" i="8"/>
  <c r="I122" i="8"/>
  <c r="I128" i="8" s="1"/>
  <c r="J161" i="8"/>
  <c r="E193" i="8"/>
  <c r="I80" i="8"/>
  <c r="I100" i="8" s="1"/>
  <c r="I104" i="8" s="1"/>
  <c r="K134" i="8"/>
  <c r="K163" i="8" s="1"/>
  <c r="I215" i="8"/>
  <c r="J215" i="8"/>
  <c r="P82" i="8"/>
  <c r="O82" i="8"/>
  <c r="P116" i="8"/>
  <c r="P122" i="8" s="1"/>
  <c r="P128" i="8" s="1"/>
  <c r="K215" i="8"/>
  <c r="M104" i="8"/>
  <c r="D80" i="8"/>
  <c r="D100" i="8" s="1"/>
  <c r="P80" i="8"/>
  <c r="G161" i="8"/>
  <c r="E80" i="8"/>
  <c r="E100" i="8" s="1"/>
  <c r="E104" i="8" s="1"/>
  <c r="H161" i="8"/>
  <c r="O80" i="8"/>
  <c r="I161" i="8"/>
  <c r="F215" i="8"/>
  <c r="G215" i="8"/>
  <c r="E230" i="7"/>
  <c r="E134" i="7"/>
  <c r="H193" i="7"/>
  <c r="H215" i="7"/>
  <c r="E161" i="7"/>
  <c r="E104" i="7"/>
  <c r="F128" i="7"/>
  <c r="F104" i="7"/>
  <c r="D82" i="7"/>
  <c r="D100" i="7" s="1"/>
  <c r="D104" i="7" s="1"/>
  <c r="G122" i="7"/>
  <c r="G128" i="7" s="1"/>
  <c r="G104" i="7"/>
  <c r="H122" i="7"/>
  <c r="H128" i="7" s="1"/>
  <c r="H100" i="7"/>
  <c r="H104" i="7" s="1"/>
  <c r="D230" i="7"/>
  <c r="D134" i="7"/>
  <c r="D161" i="7"/>
  <c r="D215" i="7"/>
  <c r="G230" i="6"/>
  <c r="G232" i="6" s="1"/>
  <c r="G234" i="6" s="1"/>
  <c r="G236" i="6" s="1"/>
  <c r="G134" i="6"/>
  <c r="G163" i="6" s="1"/>
  <c r="G217" i="6" s="1"/>
  <c r="G225" i="6" s="1"/>
  <c r="H230" i="6"/>
  <c r="H232" i="6" s="1"/>
  <c r="H234" i="6" s="1"/>
  <c r="H236" i="6" s="1"/>
  <c r="H134" i="6"/>
  <c r="H163" i="6" s="1"/>
  <c r="H217" i="6" s="1"/>
  <c r="H225" i="6" s="1"/>
  <c r="I230" i="6"/>
  <c r="I232" i="6" s="1"/>
  <c r="I234" i="6" s="1"/>
  <c r="I236" i="6" s="1"/>
  <c r="I134" i="6"/>
  <c r="I163" i="6" s="1"/>
  <c r="I217" i="6" s="1"/>
  <c r="I225" i="6" s="1"/>
  <c r="J134" i="6"/>
  <c r="J163" i="6" s="1"/>
  <c r="J217" i="6" s="1"/>
  <c r="J225" i="6" s="1"/>
  <c r="J230" i="6"/>
  <c r="J232" i="6" s="1"/>
  <c r="J234" i="6" s="1"/>
  <c r="J236" i="6" s="1"/>
  <c r="D230" i="6"/>
  <c r="D232" i="6" s="1"/>
  <c r="D234" i="6" s="1"/>
  <c r="D236" i="6" s="1"/>
  <c r="D134" i="6"/>
  <c r="D163" i="6" s="1"/>
  <c r="D217" i="6" s="1"/>
  <c r="D225" i="6" s="1"/>
  <c r="E230" i="6"/>
  <c r="E232" i="6" s="1"/>
  <c r="E234" i="6" s="1"/>
  <c r="E236" i="6" s="1"/>
  <c r="E134" i="6"/>
  <c r="E163" i="6" s="1"/>
  <c r="E217" i="6" s="1"/>
  <c r="E225" i="6" s="1"/>
  <c r="F230" i="6"/>
  <c r="F232" i="6" s="1"/>
  <c r="F234" i="6" s="1"/>
  <c r="F236" i="6" s="1"/>
  <c r="F134" i="6"/>
  <c r="F163" i="6" s="1"/>
  <c r="F217" i="6" s="1"/>
  <c r="F225" i="6" s="1"/>
  <c r="K230" i="6"/>
  <c r="K232" i="6" s="1"/>
  <c r="K234" i="6" s="1"/>
  <c r="K236" i="6" s="1"/>
  <c r="K134" i="6"/>
  <c r="K163" i="6" s="1"/>
  <c r="K217" i="6" s="1"/>
  <c r="K225" i="6" s="1"/>
  <c r="L230" i="6"/>
  <c r="L232" i="6" s="1"/>
  <c r="L234" i="6" s="1"/>
  <c r="L236" i="6" s="1"/>
  <c r="L134" i="6"/>
  <c r="L163" i="6" s="1"/>
  <c r="L217" i="6" s="1"/>
  <c r="L225" i="6" s="1"/>
  <c r="M230" i="6"/>
  <c r="M232" i="6" s="1"/>
  <c r="M234" i="6" s="1"/>
  <c r="M236" i="6" s="1"/>
  <c r="M134" i="6"/>
  <c r="M163" i="6" s="1"/>
  <c r="M217" i="6" s="1"/>
  <c r="M225" i="6" s="1"/>
  <c r="N230" i="6"/>
  <c r="N134" i="6"/>
  <c r="N163" i="6" s="1"/>
  <c r="O230" i="6"/>
  <c r="O232" i="6" s="1"/>
  <c r="O234" i="6" s="1"/>
  <c r="O236" i="6" s="1"/>
  <c r="O134" i="6"/>
  <c r="O163" i="6" s="1"/>
  <c r="O217" i="6" s="1"/>
  <c r="O225" i="6" s="1"/>
  <c r="N232" i="6"/>
  <c r="N234" i="6" s="1"/>
  <c r="N236" i="6" s="1"/>
  <c r="N217" i="6"/>
  <c r="N225" i="6" s="1"/>
  <c r="E217" i="8" l="1"/>
  <c r="E225" i="8" s="1"/>
  <c r="E232" i="8"/>
  <c r="E234" i="8" s="1"/>
  <c r="E236" i="8" s="1"/>
  <c r="I217" i="8"/>
  <c r="I225" i="8" s="1"/>
  <c r="P134" i="8"/>
  <c r="P163" i="8" s="1"/>
  <c r="P230" i="8"/>
  <c r="N217" i="8"/>
  <c r="N225" i="8" s="1"/>
  <c r="N232" i="8"/>
  <c r="N234" i="8" s="1"/>
  <c r="N236" i="8" s="1"/>
  <c r="F217" i="8"/>
  <c r="F225" i="8" s="1"/>
  <c r="F232" i="8"/>
  <c r="F234" i="8" s="1"/>
  <c r="F236" i="8" s="1"/>
  <c r="H232" i="8"/>
  <c r="H234" i="8" s="1"/>
  <c r="H236" i="8" s="1"/>
  <c r="H217" i="8"/>
  <c r="H225" i="8" s="1"/>
  <c r="K232" i="8"/>
  <c r="K234" i="8" s="1"/>
  <c r="K236" i="8" s="1"/>
  <c r="K217" i="8"/>
  <c r="K225" i="8" s="1"/>
  <c r="G232" i="8"/>
  <c r="G234" i="8" s="1"/>
  <c r="G236" i="8" s="1"/>
  <c r="O100" i="8"/>
  <c r="O104" i="8" s="1"/>
  <c r="M163" i="8"/>
  <c r="M217" i="8" s="1"/>
  <c r="M225" i="8" s="1"/>
  <c r="D217" i="8"/>
  <c r="D225" i="8" s="1"/>
  <c r="D232" i="8"/>
  <c r="D234" i="8" s="1"/>
  <c r="D236" i="8" s="1"/>
  <c r="J232" i="8"/>
  <c r="J234" i="8" s="1"/>
  <c r="J236" i="8" s="1"/>
  <c r="J217" i="8"/>
  <c r="J225" i="8" s="1"/>
  <c r="H163" i="8"/>
  <c r="P100" i="8"/>
  <c r="P104" i="8" s="1"/>
  <c r="F163" i="8"/>
  <c r="I134" i="8"/>
  <c r="I163" i="8" s="1"/>
  <c r="I230" i="8"/>
  <c r="I232" i="8" s="1"/>
  <c r="I234" i="8" s="1"/>
  <c r="I236" i="8" s="1"/>
  <c r="G163" i="8"/>
  <c r="G217" i="8" s="1"/>
  <c r="G225" i="8" s="1"/>
  <c r="M232" i="8"/>
  <c r="M234" i="8" s="1"/>
  <c r="M236" i="8" s="1"/>
  <c r="L232" i="8"/>
  <c r="L234" i="8" s="1"/>
  <c r="L236" i="8" s="1"/>
  <c r="L217" i="8"/>
  <c r="L225" i="8" s="1"/>
  <c r="D232" i="7"/>
  <c r="D234" i="7" s="1"/>
  <c r="D236" i="7" s="1"/>
  <c r="D217" i="7"/>
  <c r="D225" i="7" s="1"/>
  <c r="H217" i="7"/>
  <c r="H225" i="7" s="1"/>
  <c r="H232" i="7"/>
  <c r="H234" i="7" s="1"/>
  <c r="H236" i="7" s="1"/>
  <c r="G134" i="7"/>
  <c r="G163" i="7" s="1"/>
  <c r="G230" i="7"/>
  <c r="G232" i="7" s="1"/>
  <c r="G234" i="7" s="1"/>
  <c r="G236" i="7" s="1"/>
  <c r="F134" i="7"/>
  <c r="F163" i="7" s="1"/>
  <c r="F217" i="7" s="1"/>
  <c r="F225" i="7" s="1"/>
  <c r="F230" i="7"/>
  <c r="F232" i="7" s="1"/>
  <c r="F234" i="7" s="1"/>
  <c r="F236" i="7" s="1"/>
  <c r="E232" i="7"/>
  <c r="E234" i="7" s="1"/>
  <c r="E236" i="7" s="1"/>
  <c r="E217" i="7"/>
  <c r="E225" i="7" s="1"/>
  <c r="D163" i="7"/>
  <c r="H134" i="7"/>
  <c r="H163" i="7" s="1"/>
  <c r="H230" i="7"/>
  <c r="E163" i="7"/>
  <c r="G217" i="7"/>
  <c r="G225" i="7" s="1"/>
  <c r="P217" i="8" l="1"/>
  <c r="P225" i="8" s="1"/>
  <c r="P232" i="8"/>
  <c r="P234" i="8" s="1"/>
  <c r="P236" i="8" s="1"/>
  <c r="O232" i="8"/>
  <c r="O234" i="8" s="1"/>
  <c r="O236" i="8" s="1"/>
  <c r="O217" i="8"/>
  <c r="O225" i="8" s="1"/>
  <c r="O264" i="5"/>
  <c r="O268" i="5" s="1"/>
  <c r="N264" i="5"/>
  <c r="N268" i="5" s="1"/>
  <c r="M264" i="5"/>
  <c r="M268" i="5" s="1"/>
  <c r="L264" i="5"/>
  <c r="L268" i="5" s="1"/>
  <c r="K264" i="5"/>
  <c r="K268" i="5" s="1"/>
  <c r="J264" i="5"/>
  <c r="J268" i="5" s="1"/>
  <c r="I264" i="5"/>
  <c r="I268" i="5" s="1"/>
  <c r="H264" i="5"/>
  <c r="H268" i="5" s="1"/>
  <c r="G264" i="5"/>
  <c r="G268" i="5" s="1"/>
  <c r="F264" i="5"/>
  <c r="F268" i="5" s="1"/>
  <c r="E264" i="5"/>
  <c r="E268" i="5" s="1"/>
  <c r="D264" i="5"/>
  <c r="D268" i="5" s="1"/>
  <c r="O218" i="5"/>
  <c r="O232" i="5" s="1"/>
  <c r="N218" i="5"/>
  <c r="N232" i="5" s="1"/>
  <c r="M218" i="5"/>
  <c r="M232" i="5" s="1"/>
  <c r="L218" i="5"/>
  <c r="L232" i="5" s="1"/>
  <c r="K218" i="5"/>
  <c r="K232" i="5" s="1"/>
  <c r="J218" i="5"/>
  <c r="J232" i="5" s="1"/>
  <c r="I218" i="5"/>
  <c r="I232" i="5" s="1"/>
  <c r="H218" i="5"/>
  <c r="H232" i="5" s="1"/>
  <c r="G218" i="5"/>
  <c r="G232" i="5" s="1"/>
  <c r="F218" i="5"/>
  <c r="F232" i="5" s="1"/>
  <c r="E218" i="5"/>
  <c r="E232" i="5" s="1"/>
  <c r="D218" i="5"/>
  <c r="D232" i="5" s="1"/>
  <c r="O204" i="5"/>
  <c r="N204" i="5"/>
  <c r="M204" i="5"/>
  <c r="L204" i="5"/>
  <c r="K204" i="5"/>
  <c r="J204" i="5"/>
  <c r="I204" i="5"/>
  <c r="H204" i="5"/>
  <c r="G204" i="5"/>
  <c r="F204" i="5"/>
  <c r="E204" i="5"/>
  <c r="D204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O170" i="5"/>
  <c r="O210" i="5" s="1"/>
  <c r="N170" i="5"/>
  <c r="N210" i="5" s="1"/>
  <c r="M170" i="5"/>
  <c r="M210" i="5" s="1"/>
  <c r="L170" i="5"/>
  <c r="L210" i="5" s="1"/>
  <c r="K170" i="5"/>
  <c r="K210" i="5" s="1"/>
  <c r="J170" i="5"/>
  <c r="J210" i="5" s="1"/>
  <c r="I170" i="5"/>
  <c r="I210" i="5" s="1"/>
  <c r="I234" i="5" s="1"/>
  <c r="I270" i="5" s="1"/>
  <c r="H170" i="5"/>
  <c r="H210" i="5" s="1"/>
  <c r="H234" i="5" s="1"/>
  <c r="H270" i="5" s="1"/>
  <c r="G170" i="5"/>
  <c r="G210" i="5" s="1"/>
  <c r="G234" i="5" s="1"/>
  <c r="G270" i="5" s="1"/>
  <c r="F170" i="5"/>
  <c r="F210" i="5" s="1"/>
  <c r="F234" i="5" s="1"/>
  <c r="F270" i="5" s="1"/>
  <c r="E170" i="5"/>
  <c r="E210" i="5" s="1"/>
  <c r="E234" i="5" s="1"/>
  <c r="E270" i="5" s="1"/>
  <c r="D170" i="5"/>
  <c r="D210" i="5" s="1"/>
  <c r="D234" i="5" s="1"/>
  <c r="D270" i="5" s="1"/>
  <c r="O156" i="5"/>
  <c r="N156" i="5"/>
  <c r="M156" i="5"/>
  <c r="L156" i="5"/>
  <c r="K156" i="5"/>
  <c r="J156" i="5"/>
  <c r="I156" i="5"/>
  <c r="H156" i="5"/>
  <c r="G156" i="5"/>
  <c r="F156" i="5"/>
  <c r="E156" i="5"/>
  <c r="D156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O122" i="5"/>
  <c r="O144" i="5" s="1"/>
  <c r="N122" i="5"/>
  <c r="N144" i="5" s="1"/>
  <c r="M122" i="5"/>
  <c r="M144" i="5" s="1"/>
  <c r="L122" i="5"/>
  <c r="L144" i="5" s="1"/>
  <c r="K122" i="5"/>
  <c r="K144" i="5" s="1"/>
  <c r="J122" i="5"/>
  <c r="J144" i="5" s="1"/>
  <c r="I122" i="5"/>
  <c r="I144" i="5" s="1"/>
  <c r="H122" i="5"/>
  <c r="H144" i="5" s="1"/>
  <c r="G122" i="5"/>
  <c r="G144" i="5" s="1"/>
  <c r="F122" i="5"/>
  <c r="F144" i="5" s="1"/>
  <c r="E122" i="5"/>
  <c r="E144" i="5" s="1"/>
  <c r="D122" i="5"/>
  <c r="D144" i="5" s="1"/>
  <c r="G116" i="5"/>
  <c r="F116" i="5"/>
  <c r="O113" i="5"/>
  <c r="N113" i="5"/>
  <c r="M113" i="5"/>
  <c r="L113" i="5"/>
  <c r="K113" i="5"/>
  <c r="J113" i="5"/>
  <c r="I113" i="5"/>
  <c r="H113" i="5"/>
  <c r="G113" i="5"/>
  <c r="G117" i="5" s="1"/>
  <c r="F113" i="5"/>
  <c r="F117" i="5" s="1"/>
  <c r="E113" i="5"/>
  <c r="E117" i="5" s="1"/>
  <c r="D113" i="5"/>
  <c r="D117" i="5" s="1"/>
  <c r="O112" i="5"/>
  <c r="N112" i="5"/>
  <c r="M112" i="5"/>
  <c r="L112" i="5"/>
  <c r="K112" i="5"/>
  <c r="J112" i="5"/>
  <c r="I112" i="5"/>
  <c r="H112" i="5"/>
  <c r="G112" i="5"/>
  <c r="F112" i="5"/>
  <c r="E112" i="5"/>
  <c r="D112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O98" i="5"/>
  <c r="O114" i="5" s="1"/>
  <c r="N98" i="5"/>
  <c r="N114" i="5" s="1"/>
  <c r="M98" i="5"/>
  <c r="M114" i="5" s="1"/>
  <c r="L98" i="5"/>
  <c r="L114" i="5" s="1"/>
  <c r="K98" i="5"/>
  <c r="K114" i="5" s="1"/>
  <c r="J98" i="5"/>
  <c r="J114" i="5" s="1"/>
  <c r="I98" i="5"/>
  <c r="I114" i="5" s="1"/>
  <c r="H98" i="5"/>
  <c r="H114" i="5" s="1"/>
  <c r="G98" i="5"/>
  <c r="G114" i="5" s="1"/>
  <c r="F98" i="5"/>
  <c r="F114" i="5" s="1"/>
  <c r="E98" i="5"/>
  <c r="E114" i="5" s="1"/>
  <c r="D98" i="5"/>
  <c r="D114" i="5" s="1"/>
  <c r="O93" i="5"/>
  <c r="O117" i="5" s="1"/>
  <c r="N93" i="5"/>
  <c r="N117" i="5" s="1"/>
  <c r="M93" i="5"/>
  <c r="M117" i="5" s="1"/>
  <c r="L93" i="5"/>
  <c r="L117" i="5" s="1"/>
  <c r="K93" i="5"/>
  <c r="K117" i="5" s="1"/>
  <c r="J93" i="5"/>
  <c r="J117" i="5" s="1"/>
  <c r="I93" i="5"/>
  <c r="I117" i="5" s="1"/>
  <c r="H93" i="5"/>
  <c r="H117" i="5" s="1"/>
  <c r="G93" i="5"/>
  <c r="F93" i="5"/>
  <c r="E93" i="5"/>
  <c r="D93" i="5"/>
  <c r="O92" i="5"/>
  <c r="O116" i="5" s="1"/>
  <c r="N92" i="5"/>
  <c r="N116" i="5" s="1"/>
  <c r="M92" i="5"/>
  <c r="M116" i="5" s="1"/>
  <c r="L92" i="5"/>
  <c r="L116" i="5" s="1"/>
  <c r="K92" i="5"/>
  <c r="K116" i="5" s="1"/>
  <c r="J92" i="5"/>
  <c r="J116" i="5" s="1"/>
  <c r="I92" i="5"/>
  <c r="I116" i="5" s="1"/>
  <c r="H92" i="5"/>
  <c r="H116" i="5" s="1"/>
  <c r="G92" i="5"/>
  <c r="F92" i="5"/>
  <c r="E92" i="5"/>
  <c r="E116" i="5" s="1"/>
  <c r="D92" i="5"/>
  <c r="D116" i="5" s="1"/>
  <c r="O90" i="5"/>
  <c r="N90" i="5"/>
  <c r="M90" i="5"/>
  <c r="L90" i="5"/>
  <c r="K90" i="5"/>
  <c r="J90" i="5"/>
  <c r="I90" i="5"/>
  <c r="H90" i="5"/>
  <c r="G90" i="5"/>
  <c r="F90" i="5"/>
  <c r="E90" i="5"/>
  <c r="D90" i="5"/>
  <c r="O87" i="5"/>
  <c r="N87" i="5"/>
  <c r="M87" i="5"/>
  <c r="L87" i="5"/>
  <c r="K87" i="5"/>
  <c r="J87" i="5"/>
  <c r="I87" i="5"/>
  <c r="H87" i="5"/>
  <c r="G87" i="5"/>
  <c r="F87" i="5"/>
  <c r="E87" i="5"/>
  <c r="D87" i="5"/>
  <c r="O84" i="5"/>
  <c r="N84" i="5"/>
  <c r="M84" i="5"/>
  <c r="L84" i="5"/>
  <c r="K84" i="5"/>
  <c r="J84" i="5"/>
  <c r="I84" i="5"/>
  <c r="H84" i="5"/>
  <c r="G84" i="5"/>
  <c r="F84" i="5"/>
  <c r="E84" i="5"/>
  <c r="D84" i="5"/>
  <c r="O81" i="5"/>
  <c r="N81" i="5"/>
  <c r="M81" i="5"/>
  <c r="L81" i="5"/>
  <c r="K81" i="5"/>
  <c r="J81" i="5"/>
  <c r="I81" i="5"/>
  <c r="H81" i="5"/>
  <c r="G81" i="5"/>
  <c r="F81" i="5"/>
  <c r="E81" i="5"/>
  <c r="D81" i="5"/>
  <c r="O78" i="5"/>
  <c r="O94" i="5" s="1"/>
  <c r="N78" i="5"/>
  <c r="N94" i="5" s="1"/>
  <c r="M78" i="5"/>
  <c r="M94" i="5" s="1"/>
  <c r="L78" i="5"/>
  <c r="L94" i="5" s="1"/>
  <c r="L118" i="5" s="1"/>
  <c r="K78" i="5"/>
  <c r="K94" i="5" s="1"/>
  <c r="K118" i="5" s="1"/>
  <c r="J78" i="5"/>
  <c r="J94" i="5" s="1"/>
  <c r="J118" i="5" s="1"/>
  <c r="I78" i="5"/>
  <c r="I94" i="5" s="1"/>
  <c r="I118" i="5" s="1"/>
  <c r="H78" i="5"/>
  <c r="H94" i="5" s="1"/>
  <c r="H118" i="5" s="1"/>
  <c r="G78" i="5"/>
  <c r="G94" i="5" s="1"/>
  <c r="G118" i="5" s="1"/>
  <c r="G162" i="5" s="1"/>
  <c r="F78" i="5"/>
  <c r="F94" i="5" s="1"/>
  <c r="F118" i="5" s="1"/>
  <c r="F162" i="5" s="1"/>
  <c r="E78" i="5"/>
  <c r="E94" i="5" s="1"/>
  <c r="E118" i="5" s="1"/>
  <c r="D78" i="5"/>
  <c r="D94" i="5" s="1"/>
  <c r="D118" i="5" s="1"/>
  <c r="O72" i="5"/>
  <c r="N72" i="5"/>
  <c r="M72" i="5"/>
  <c r="L72" i="5"/>
  <c r="K72" i="5"/>
  <c r="J72" i="5"/>
  <c r="I72" i="5"/>
  <c r="H72" i="5"/>
  <c r="G72" i="5"/>
  <c r="F72" i="5"/>
  <c r="E72" i="5"/>
  <c r="D72" i="5"/>
  <c r="O68" i="5"/>
  <c r="N68" i="5"/>
  <c r="M68" i="5"/>
  <c r="L68" i="5"/>
  <c r="K68" i="5"/>
  <c r="J68" i="5"/>
  <c r="I68" i="5"/>
  <c r="I162" i="5" s="1"/>
  <c r="H68" i="5"/>
  <c r="G68" i="5"/>
  <c r="F68" i="5"/>
  <c r="E68" i="5"/>
  <c r="D68" i="5"/>
  <c r="O55" i="5"/>
  <c r="N55" i="5"/>
  <c r="M55" i="5"/>
  <c r="L55" i="5"/>
  <c r="K55" i="5"/>
  <c r="J55" i="5"/>
  <c r="I55" i="5"/>
  <c r="H55" i="5"/>
  <c r="G55" i="5"/>
  <c r="F55" i="5"/>
  <c r="E55" i="5"/>
  <c r="D55" i="5"/>
  <c r="O42" i="5"/>
  <c r="N42" i="5"/>
  <c r="M42" i="5"/>
  <c r="L42" i="5"/>
  <c r="K42" i="5"/>
  <c r="J42" i="5"/>
  <c r="I42" i="5"/>
  <c r="H42" i="5"/>
  <c r="G42" i="5"/>
  <c r="F42" i="5"/>
  <c r="E42" i="5"/>
  <c r="D42" i="5"/>
  <c r="O34" i="5"/>
  <c r="N34" i="5"/>
  <c r="M34" i="5"/>
  <c r="L34" i="5"/>
  <c r="K34" i="5"/>
  <c r="J34" i="5"/>
  <c r="I34" i="5"/>
  <c r="H34" i="5"/>
  <c r="G34" i="5"/>
  <c r="F34" i="5"/>
  <c r="E34" i="5"/>
  <c r="D34" i="5"/>
  <c r="O24" i="5"/>
  <c r="N24" i="5"/>
  <c r="M24" i="5"/>
  <c r="L24" i="5"/>
  <c r="K24" i="5"/>
  <c r="J24" i="5"/>
  <c r="I24" i="5"/>
  <c r="H24" i="5"/>
  <c r="G24" i="5"/>
  <c r="F24" i="5"/>
  <c r="E24" i="5"/>
  <c r="D24" i="5"/>
  <c r="O17" i="5"/>
  <c r="N17" i="5"/>
  <c r="M17" i="5"/>
  <c r="L17" i="5"/>
  <c r="K17" i="5"/>
  <c r="J17" i="5"/>
  <c r="I17" i="5"/>
  <c r="H17" i="5"/>
  <c r="G17" i="5"/>
  <c r="F17" i="5"/>
  <c r="E17" i="5"/>
  <c r="D17" i="5"/>
  <c r="O13" i="5"/>
  <c r="O59" i="5" s="1"/>
  <c r="N13" i="5"/>
  <c r="N59" i="5" s="1"/>
  <c r="M13" i="5"/>
  <c r="M59" i="5" s="1"/>
  <c r="L13" i="5"/>
  <c r="L59" i="5" s="1"/>
  <c r="K13" i="5"/>
  <c r="K59" i="5" s="1"/>
  <c r="J13" i="5"/>
  <c r="J59" i="5" s="1"/>
  <c r="I13" i="5"/>
  <c r="I59" i="5" s="1"/>
  <c r="H13" i="5"/>
  <c r="H59" i="5" s="1"/>
  <c r="G13" i="5"/>
  <c r="G59" i="5" s="1"/>
  <c r="G164" i="5" s="1"/>
  <c r="G273" i="5" s="1"/>
  <c r="F13" i="5"/>
  <c r="F59" i="5" s="1"/>
  <c r="F164" i="5" s="1"/>
  <c r="F273" i="5" s="1"/>
  <c r="E13" i="5"/>
  <c r="E59" i="5" s="1"/>
  <c r="D13" i="5"/>
  <c r="D59" i="5" s="1"/>
  <c r="H162" i="5" l="1"/>
  <c r="I164" i="5"/>
  <c r="I273" i="5" s="1"/>
  <c r="D162" i="5"/>
  <c r="D164" i="5" s="1"/>
  <c r="D273" i="5" s="1"/>
  <c r="H164" i="5"/>
  <c r="H273" i="5" s="1"/>
  <c r="E162" i="5"/>
  <c r="E164" i="5" s="1"/>
  <c r="E273" i="5" s="1"/>
  <c r="J162" i="5"/>
  <c r="J164" i="5" s="1"/>
  <c r="J273" i="5" s="1"/>
  <c r="K162" i="5"/>
  <c r="K164" i="5" s="1"/>
  <c r="K273" i="5" s="1"/>
  <c r="L162" i="5"/>
  <c r="L164" i="5" s="1"/>
  <c r="L273" i="5" s="1"/>
  <c r="M118" i="5"/>
  <c r="M162" i="5" s="1"/>
  <c r="M164" i="5" s="1"/>
  <c r="M273" i="5" s="1"/>
  <c r="N118" i="5"/>
  <c r="N162" i="5" s="1"/>
  <c r="N164" i="5" s="1"/>
  <c r="N273" i="5" s="1"/>
  <c r="J234" i="5"/>
  <c r="J270" i="5" s="1"/>
  <c r="O118" i="5"/>
  <c r="O162" i="5" s="1"/>
  <c r="O164" i="5" s="1"/>
  <c r="O273" i="5" s="1"/>
  <c r="K234" i="5"/>
  <c r="K270" i="5" s="1"/>
  <c r="L234" i="5"/>
  <c r="L270" i="5" s="1"/>
  <c r="M234" i="5"/>
  <c r="M270" i="5" s="1"/>
  <c r="N234" i="5"/>
  <c r="N270" i="5" s="1"/>
  <c r="O234" i="5"/>
  <c r="O270" i="5" s="1"/>
  <c r="P153" i="4" l="1"/>
  <c r="P149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P146" i="4"/>
  <c r="P145" i="4"/>
  <c r="P147" i="4" s="1"/>
  <c r="O141" i="4"/>
  <c r="N141" i="4"/>
  <c r="M141" i="4"/>
  <c r="L141" i="4"/>
  <c r="K141" i="4"/>
  <c r="J141" i="4"/>
  <c r="I141" i="4"/>
  <c r="H141" i="4"/>
  <c r="G141" i="4"/>
  <c r="F141" i="4"/>
  <c r="E141" i="4"/>
  <c r="D141" i="4"/>
  <c r="P140" i="4"/>
  <c r="P139" i="4"/>
  <c r="P138" i="4"/>
  <c r="P141" i="4" s="1"/>
  <c r="P137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P130" i="4"/>
  <c r="P129" i="4"/>
  <c r="P128" i="4"/>
  <c r="P127" i="4"/>
  <c r="P126" i="4"/>
  <c r="P125" i="4"/>
  <c r="P124" i="4"/>
  <c r="P123" i="4"/>
  <c r="P131" i="4" s="1"/>
  <c r="F121" i="4"/>
  <c r="E121" i="4"/>
  <c r="O119" i="4"/>
  <c r="N119" i="4"/>
  <c r="M119" i="4"/>
  <c r="L119" i="4"/>
  <c r="K119" i="4"/>
  <c r="K121" i="4" s="1"/>
  <c r="K133" i="4" s="1"/>
  <c r="J119" i="4"/>
  <c r="J121" i="4" s="1"/>
  <c r="J133" i="4" s="1"/>
  <c r="I119" i="4"/>
  <c r="I121" i="4" s="1"/>
  <c r="H119" i="4"/>
  <c r="H121" i="4" s="1"/>
  <c r="H133" i="4" s="1"/>
  <c r="G119" i="4"/>
  <c r="G121" i="4" s="1"/>
  <c r="G133" i="4" s="1"/>
  <c r="F119" i="4"/>
  <c r="E119" i="4"/>
  <c r="D119" i="4"/>
  <c r="P118" i="4"/>
  <c r="P117" i="4"/>
  <c r="P116" i="4"/>
  <c r="P115" i="4"/>
  <c r="P114" i="4"/>
  <c r="P119" i="4" s="1"/>
  <c r="O112" i="4"/>
  <c r="O121" i="4" s="1"/>
  <c r="O133" i="4" s="1"/>
  <c r="N112" i="4"/>
  <c r="N121" i="4" s="1"/>
  <c r="N133" i="4" s="1"/>
  <c r="M112" i="4"/>
  <c r="M121" i="4" s="1"/>
  <c r="M133" i="4" s="1"/>
  <c r="L112" i="4"/>
  <c r="L121" i="4" s="1"/>
  <c r="L133" i="4" s="1"/>
  <c r="K112" i="4"/>
  <c r="J112" i="4"/>
  <c r="I112" i="4"/>
  <c r="H112" i="4"/>
  <c r="G112" i="4"/>
  <c r="F112" i="4"/>
  <c r="E112" i="4"/>
  <c r="D112" i="4"/>
  <c r="D121" i="4" s="1"/>
  <c r="D133" i="4" s="1"/>
  <c r="P111" i="4"/>
  <c r="P110" i="4"/>
  <c r="P109" i="4"/>
  <c r="P108" i="4"/>
  <c r="P112" i="4" s="1"/>
  <c r="P121" i="4" s="1"/>
  <c r="O106" i="4"/>
  <c r="N106" i="4"/>
  <c r="M106" i="4"/>
  <c r="L106" i="4"/>
  <c r="K106" i="4"/>
  <c r="J106" i="4"/>
  <c r="I106" i="4"/>
  <c r="H106" i="4"/>
  <c r="G106" i="4"/>
  <c r="F106" i="4"/>
  <c r="E106" i="4"/>
  <c r="E133" i="4" s="1"/>
  <c r="D106" i="4"/>
  <c r="P105" i="4"/>
  <c r="P104" i="4"/>
  <c r="P103" i="4"/>
  <c r="P102" i="4"/>
  <c r="P106" i="4" s="1"/>
  <c r="P98" i="4"/>
  <c r="O96" i="4"/>
  <c r="N96" i="4"/>
  <c r="M96" i="4"/>
  <c r="L96" i="4"/>
  <c r="K96" i="4"/>
  <c r="J96" i="4"/>
  <c r="I96" i="4"/>
  <c r="H96" i="4"/>
  <c r="G96" i="4"/>
  <c r="F96" i="4"/>
  <c r="E96" i="4"/>
  <c r="D96" i="4"/>
  <c r="P95" i="4"/>
  <c r="P94" i="4"/>
  <c r="P93" i="4"/>
  <c r="P92" i="4"/>
  <c r="P96" i="4" s="1"/>
  <c r="P91" i="4"/>
  <c r="O89" i="4"/>
  <c r="N89" i="4"/>
  <c r="M89" i="4"/>
  <c r="L89" i="4"/>
  <c r="K89" i="4"/>
  <c r="J89" i="4"/>
  <c r="I89" i="4"/>
  <c r="H89" i="4"/>
  <c r="G89" i="4"/>
  <c r="F89" i="4"/>
  <c r="E89" i="4"/>
  <c r="D89" i="4"/>
  <c r="P88" i="4"/>
  <c r="P87" i="4"/>
  <c r="P86" i="4"/>
  <c r="P85" i="4"/>
  <c r="P84" i="4"/>
  <c r="P89" i="4" s="1"/>
  <c r="P80" i="4"/>
  <c r="P79" i="4"/>
  <c r="P78" i="4"/>
  <c r="P77" i="4"/>
  <c r="P73" i="4"/>
  <c r="P72" i="4"/>
  <c r="P71" i="4"/>
  <c r="O67" i="4"/>
  <c r="N67" i="4"/>
  <c r="M67" i="4"/>
  <c r="L67" i="4"/>
  <c r="K67" i="4"/>
  <c r="J67" i="4"/>
  <c r="I67" i="4"/>
  <c r="H67" i="4"/>
  <c r="G67" i="4"/>
  <c r="F67" i="4"/>
  <c r="E67" i="4"/>
  <c r="D67" i="4"/>
  <c r="P66" i="4"/>
  <c r="P65" i="4"/>
  <c r="P67" i="4" s="1"/>
  <c r="M63" i="4"/>
  <c r="O61" i="4"/>
  <c r="O63" i="4" s="1"/>
  <c r="N61" i="4"/>
  <c r="N63" i="4" s="1"/>
  <c r="M61" i="4"/>
  <c r="L61" i="4"/>
  <c r="K61" i="4"/>
  <c r="J61" i="4"/>
  <c r="I61" i="4"/>
  <c r="H61" i="4"/>
  <c r="H63" i="4" s="1"/>
  <c r="G61" i="4"/>
  <c r="G63" i="4" s="1"/>
  <c r="F61" i="4"/>
  <c r="F63" i="4" s="1"/>
  <c r="E61" i="4"/>
  <c r="E63" i="4" s="1"/>
  <c r="D61" i="4"/>
  <c r="D63" i="4" s="1"/>
  <c r="P60" i="4"/>
  <c r="P59" i="4"/>
  <c r="P61" i="4" s="1"/>
  <c r="P58" i="4"/>
  <c r="P57" i="4"/>
  <c r="P56" i="4"/>
  <c r="P55" i="4"/>
  <c r="O53" i="4"/>
  <c r="N53" i="4"/>
  <c r="M53" i="4"/>
  <c r="L53" i="4"/>
  <c r="L63" i="4" s="1"/>
  <c r="K53" i="4"/>
  <c r="K63" i="4" s="1"/>
  <c r="J53" i="4"/>
  <c r="J63" i="4" s="1"/>
  <c r="I53" i="4"/>
  <c r="I63" i="4" s="1"/>
  <c r="H53" i="4"/>
  <c r="G53" i="4"/>
  <c r="F53" i="4"/>
  <c r="E53" i="4"/>
  <c r="D53" i="4"/>
  <c r="P52" i="4"/>
  <c r="P51" i="4"/>
  <c r="P50" i="4"/>
  <c r="P49" i="4"/>
  <c r="P48" i="4"/>
  <c r="P47" i="4"/>
  <c r="P46" i="4"/>
  <c r="P53" i="4" s="1"/>
  <c r="F44" i="4"/>
  <c r="F69" i="4" s="1"/>
  <c r="F75" i="4" s="1"/>
  <c r="F82" i="4" s="1"/>
  <c r="F100" i="4" s="1"/>
  <c r="E44" i="4"/>
  <c r="E69" i="4" s="1"/>
  <c r="E75" i="4" s="1"/>
  <c r="E82" i="4" s="1"/>
  <c r="E100" i="4" s="1"/>
  <c r="E135" i="4" s="1"/>
  <c r="E143" i="4" s="1"/>
  <c r="E151" i="4" s="1"/>
  <c r="E155" i="4" s="1"/>
  <c r="G42" i="4"/>
  <c r="F42" i="4"/>
  <c r="O40" i="4"/>
  <c r="N40" i="4"/>
  <c r="M40" i="4"/>
  <c r="L40" i="4"/>
  <c r="K40" i="4"/>
  <c r="J40" i="4"/>
  <c r="I40" i="4"/>
  <c r="I42" i="4" s="1"/>
  <c r="H40" i="4"/>
  <c r="H42" i="4" s="1"/>
  <c r="G40" i="4"/>
  <c r="F40" i="4"/>
  <c r="E40" i="4"/>
  <c r="D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O24" i="4"/>
  <c r="O42" i="4" s="1"/>
  <c r="N24" i="4"/>
  <c r="N42" i="4" s="1"/>
  <c r="M24" i="4"/>
  <c r="M42" i="4" s="1"/>
  <c r="L24" i="4"/>
  <c r="L42" i="4" s="1"/>
  <c r="K24" i="4"/>
  <c r="K42" i="4" s="1"/>
  <c r="J24" i="4"/>
  <c r="J42" i="4" s="1"/>
  <c r="I24" i="4"/>
  <c r="H24" i="4"/>
  <c r="G24" i="4"/>
  <c r="F24" i="4"/>
  <c r="E24" i="4"/>
  <c r="E42" i="4" s="1"/>
  <c r="D24" i="4"/>
  <c r="D42" i="4" s="1"/>
  <c r="P23" i="4"/>
  <c r="P22" i="4"/>
  <c r="P21" i="4"/>
  <c r="P20" i="4"/>
  <c r="P19" i="4"/>
  <c r="P18" i="4"/>
  <c r="P24" i="4" s="1"/>
  <c r="P17" i="4"/>
  <c r="P16" i="4"/>
  <c r="O14" i="4"/>
  <c r="O44" i="4" s="1"/>
  <c r="O69" i="4" s="1"/>
  <c r="O75" i="4" s="1"/>
  <c r="O82" i="4" s="1"/>
  <c r="O100" i="4" s="1"/>
  <c r="O135" i="4" s="1"/>
  <c r="O143" i="4" s="1"/>
  <c r="O151" i="4" s="1"/>
  <c r="O155" i="4" s="1"/>
  <c r="N14" i="4"/>
  <c r="M14" i="4"/>
  <c r="L14" i="4"/>
  <c r="K14" i="4"/>
  <c r="J14" i="4"/>
  <c r="I14" i="4"/>
  <c r="H14" i="4"/>
  <c r="G14" i="4"/>
  <c r="F14" i="4"/>
  <c r="E14" i="4"/>
  <c r="D14" i="4"/>
  <c r="D44" i="4" s="1"/>
  <c r="D69" i="4" s="1"/>
  <c r="D75" i="4" s="1"/>
  <c r="D82" i="4" s="1"/>
  <c r="D100" i="4" s="1"/>
  <c r="D135" i="4" s="1"/>
  <c r="D143" i="4" s="1"/>
  <c r="D151" i="4" s="1"/>
  <c r="D155" i="4" s="1"/>
  <c r="P13" i="4"/>
  <c r="P12" i="4"/>
  <c r="P11" i="4"/>
  <c r="P14" i="4" s="1"/>
  <c r="H153" i="3"/>
  <c r="H149" i="3"/>
  <c r="G147" i="3"/>
  <c r="F147" i="3"/>
  <c r="E147" i="3"/>
  <c r="D147" i="3"/>
  <c r="H146" i="3"/>
  <c r="H145" i="3"/>
  <c r="H147" i="3" s="1"/>
  <c r="G141" i="3"/>
  <c r="F141" i="3"/>
  <c r="E141" i="3"/>
  <c r="D141" i="3"/>
  <c r="H140" i="3"/>
  <c r="H139" i="3"/>
  <c r="H138" i="3"/>
  <c r="H137" i="3"/>
  <c r="H141" i="3" s="1"/>
  <c r="G131" i="3"/>
  <c r="F131" i="3"/>
  <c r="E131" i="3"/>
  <c r="D131" i="3"/>
  <c r="H130" i="3"/>
  <c r="H129" i="3"/>
  <c r="H128" i="3"/>
  <c r="H127" i="3"/>
  <c r="H126" i="3"/>
  <c r="H125" i="3"/>
  <c r="H124" i="3"/>
  <c r="H123" i="3"/>
  <c r="H131" i="3" s="1"/>
  <c r="G121" i="3"/>
  <c r="F121" i="3"/>
  <c r="E121" i="3"/>
  <c r="G119" i="3"/>
  <c r="F119" i="3"/>
  <c r="E119" i="3"/>
  <c r="D119" i="3"/>
  <c r="H118" i="3"/>
  <c r="H117" i="3"/>
  <c r="H116" i="3"/>
  <c r="H115" i="3"/>
  <c r="H114" i="3"/>
  <c r="H119" i="3" s="1"/>
  <c r="H112" i="3"/>
  <c r="H121" i="3" s="1"/>
  <c r="G112" i="3"/>
  <c r="F112" i="3"/>
  <c r="E112" i="3"/>
  <c r="D112" i="3"/>
  <c r="D121" i="3" s="1"/>
  <c r="D133" i="3" s="1"/>
  <c r="H111" i="3"/>
  <c r="H110" i="3"/>
  <c r="H109" i="3"/>
  <c r="H108" i="3"/>
  <c r="H106" i="3"/>
  <c r="G106" i="3"/>
  <c r="G133" i="3" s="1"/>
  <c r="F106" i="3"/>
  <c r="F133" i="3" s="1"/>
  <c r="E106" i="3"/>
  <c r="E133" i="3" s="1"/>
  <c r="D106" i="3"/>
  <c r="H105" i="3"/>
  <c r="H104" i="3"/>
  <c r="H103" i="3"/>
  <c r="H102" i="3"/>
  <c r="H98" i="3"/>
  <c r="H96" i="3"/>
  <c r="G96" i="3"/>
  <c r="F96" i="3"/>
  <c r="E96" i="3"/>
  <c r="D96" i="3"/>
  <c r="H95" i="3"/>
  <c r="H94" i="3"/>
  <c r="H93" i="3"/>
  <c r="H92" i="3"/>
  <c r="H91" i="3"/>
  <c r="H89" i="3"/>
  <c r="G89" i="3"/>
  <c r="F89" i="3"/>
  <c r="E89" i="3"/>
  <c r="D89" i="3"/>
  <c r="H88" i="3"/>
  <c r="H87" i="3"/>
  <c r="H86" i="3"/>
  <c r="H85" i="3"/>
  <c r="H84" i="3"/>
  <c r="H80" i="3"/>
  <c r="H79" i="3"/>
  <c r="H78" i="3"/>
  <c r="H77" i="3"/>
  <c r="H73" i="3"/>
  <c r="H72" i="3"/>
  <c r="H71" i="3"/>
  <c r="G67" i="3"/>
  <c r="F67" i="3"/>
  <c r="E67" i="3"/>
  <c r="D67" i="3"/>
  <c r="H66" i="3"/>
  <c r="H65" i="3"/>
  <c r="H67" i="3" s="1"/>
  <c r="G61" i="3"/>
  <c r="F61" i="3"/>
  <c r="E61" i="3"/>
  <c r="D61" i="3"/>
  <c r="H60" i="3"/>
  <c r="H59" i="3"/>
  <c r="H61" i="3" s="1"/>
  <c r="H58" i="3"/>
  <c r="H57" i="3"/>
  <c r="H56" i="3"/>
  <c r="H55" i="3"/>
  <c r="G53" i="3"/>
  <c r="G63" i="3" s="1"/>
  <c r="F53" i="3"/>
  <c r="F63" i="3" s="1"/>
  <c r="E53" i="3"/>
  <c r="E63" i="3" s="1"/>
  <c r="D53" i="3"/>
  <c r="D63" i="3" s="1"/>
  <c r="H52" i="3"/>
  <c r="H51" i="3"/>
  <c r="H53" i="3" s="1"/>
  <c r="H63" i="3" s="1"/>
  <c r="H50" i="3"/>
  <c r="H49" i="3"/>
  <c r="H48" i="3"/>
  <c r="H47" i="3"/>
  <c r="H46" i="3"/>
  <c r="G40" i="3"/>
  <c r="F40" i="3"/>
  <c r="E40" i="3"/>
  <c r="D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40" i="3" s="1"/>
  <c r="G24" i="3"/>
  <c r="G42" i="3" s="1"/>
  <c r="F24" i="3"/>
  <c r="F42" i="3" s="1"/>
  <c r="F44" i="3" s="1"/>
  <c r="E24" i="3"/>
  <c r="E42" i="3" s="1"/>
  <c r="E44" i="3" s="1"/>
  <c r="D24" i="3"/>
  <c r="D42" i="3" s="1"/>
  <c r="D44" i="3" s="1"/>
  <c r="H23" i="3"/>
  <c r="H22" i="3"/>
  <c r="H21" i="3"/>
  <c r="H20" i="3"/>
  <c r="H19" i="3"/>
  <c r="H18" i="3"/>
  <c r="H17" i="3"/>
  <c r="H16" i="3"/>
  <c r="H24" i="3" s="1"/>
  <c r="H42" i="3" s="1"/>
  <c r="H14" i="3"/>
  <c r="H44" i="3" s="1"/>
  <c r="H69" i="3" s="1"/>
  <c r="H75" i="3" s="1"/>
  <c r="H82" i="3" s="1"/>
  <c r="H100" i="3" s="1"/>
  <c r="G14" i="3"/>
  <c r="F14" i="3"/>
  <c r="E14" i="3"/>
  <c r="D14" i="3"/>
  <c r="H13" i="3"/>
  <c r="H12" i="3"/>
  <c r="H11" i="3"/>
  <c r="O147" i="2"/>
  <c r="N147" i="2"/>
  <c r="M147" i="2"/>
  <c r="L147" i="2"/>
  <c r="K147" i="2"/>
  <c r="J147" i="2"/>
  <c r="I147" i="2"/>
  <c r="H147" i="2"/>
  <c r="G147" i="2"/>
  <c r="F147" i="2"/>
  <c r="E147" i="2"/>
  <c r="D147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O112" i="2"/>
  <c r="O121" i="2" s="1"/>
  <c r="N112" i="2"/>
  <c r="N121" i="2" s="1"/>
  <c r="M112" i="2"/>
  <c r="M121" i="2" s="1"/>
  <c r="L112" i="2"/>
  <c r="L121" i="2" s="1"/>
  <c r="K112" i="2"/>
  <c r="K121" i="2" s="1"/>
  <c r="J112" i="2"/>
  <c r="J121" i="2" s="1"/>
  <c r="I112" i="2"/>
  <c r="I121" i="2" s="1"/>
  <c r="H112" i="2"/>
  <c r="H121" i="2" s="1"/>
  <c r="G112" i="2"/>
  <c r="G121" i="2" s="1"/>
  <c r="F112" i="2"/>
  <c r="F121" i="2" s="1"/>
  <c r="E112" i="2"/>
  <c r="E121" i="2" s="1"/>
  <c r="D112" i="2"/>
  <c r="D121" i="2" s="1"/>
  <c r="O106" i="2"/>
  <c r="O133" i="2" s="1"/>
  <c r="N106" i="2"/>
  <c r="N133" i="2" s="1"/>
  <c r="M106" i="2"/>
  <c r="M133" i="2" s="1"/>
  <c r="L106" i="2"/>
  <c r="L133" i="2" s="1"/>
  <c r="K106" i="2"/>
  <c r="K133" i="2" s="1"/>
  <c r="J106" i="2"/>
  <c r="J133" i="2" s="1"/>
  <c r="I106" i="2"/>
  <c r="I133" i="2" s="1"/>
  <c r="H106" i="2"/>
  <c r="H133" i="2" s="1"/>
  <c r="G106" i="2"/>
  <c r="G133" i="2" s="1"/>
  <c r="F106" i="2"/>
  <c r="F133" i="2" s="1"/>
  <c r="E106" i="2"/>
  <c r="E133" i="2" s="1"/>
  <c r="D106" i="2"/>
  <c r="D133" i="2" s="1"/>
  <c r="O96" i="2"/>
  <c r="N96" i="2"/>
  <c r="M96" i="2"/>
  <c r="L96" i="2"/>
  <c r="K96" i="2"/>
  <c r="J96" i="2"/>
  <c r="I96" i="2"/>
  <c r="H96" i="2"/>
  <c r="G96" i="2"/>
  <c r="F96" i="2"/>
  <c r="E96" i="2"/>
  <c r="D96" i="2"/>
  <c r="O89" i="2"/>
  <c r="N89" i="2"/>
  <c r="M89" i="2"/>
  <c r="L89" i="2"/>
  <c r="K89" i="2"/>
  <c r="J89" i="2"/>
  <c r="I89" i="2"/>
  <c r="H89" i="2"/>
  <c r="G89" i="2"/>
  <c r="F89" i="2"/>
  <c r="E89" i="2"/>
  <c r="D89" i="2"/>
  <c r="O67" i="2"/>
  <c r="N67" i="2"/>
  <c r="M67" i="2"/>
  <c r="L67" i="2"/>
  <c r="K67" i="2"/>
  <c r="J67" i="2"/>
  <c r="I67" i="2"/>
  <c r="H67" i="2"/>
  <c r="G67" i="2"/>
  <c r="F67" i="2"/>
  <c r="E67" i="2"/>
  <c r="D67" i="2"/>
  <c r="O61" i="2"/>
  <c r="N61" i="2"/>
  <c r="M61" i="2"/>
  <c r="L61" i="2"/>
  <c r="K61" i="2"/>
  <c r="J61" i="2"/>
  <c r="I61" i="2"/>
  <c r="H61" i="2"/>
  <c r="G61" i="2"/>
  <c r="F61" i="2"/>
  <c r="E61" i="2"/>
  <c r="D61" i="2"/>
  <c r="O53" i="2"/>
  <c r="O63" i="2" s="1"/>
  <c r="N53" i="2"/>
  <c r="N63" i="2" s="1"/>
  <c r="M53" i="2"/>
  <c r="M63" i="2" s="1"/>
  <c r="L53" i="2"/>
  <c r="L63" i="2" s="1"/>
  <c r="K53" i="2"/>
  <c r="K63" i="2" s="1"/>
  <c r="J53" i="2"/>
  <c r="J63" i="2" s="1"/>
  <c r="I53" i="2"/>
  <c r="I63" i="2" s="1"/>
  <c r="H53" i="2"/>
  <c r="H63" i="2" s="1"/>
  <c r="G53" i="2"/>
  <c r="G63" i="2" s="1"/>
  <c r="F53" i="2"/>
  <c r="F63" i="2" s="1"/>
  <c r="E53" i="2"/>
  <c r="E63" i="2" s="1"/>
  <c r="D53" i="2"/>
  <c r="D63" i="2" s="1"/>
  <c r="O40" i="2"/>
  <c r="N40" i="2"/>
  <c r="M40" i="2"/>
  <c r="L40" i="2"/>
  <c r="K40" i="2"/>
  <c r="J40" i="2"/>
  <c r="I40" i="2"/>
  <c r="H40" i="2"/>
  <c r="G40" i="2"/>
  <c r="F40" i="2"/>
  <c r="E40" i="2"/>
  <c r="D40" i="2"/>
  <c r="O24" i="2"/>
  <c r="O42" i="2" s="1"/>
  <c r="N24" i="2"/>
  <c r="N42" i="2" s="1"/>
  <c r="M24" i="2"/>
  <c r="M42" i="2" s="1"/>
  <c r="L24" i="2"/>
  <c r="L42" i="2" s="1"/>
  <c r="K24" i="2"/>
  <c r="K42" i="2" s="1"/>
  <c r="J24" i="2"/>
  <c r="J42" i="2" s="1"/>
  <c r="I24" i="2"/>
  <c r="I42" i="2" s="1"/>
  <c r="H24" i="2"/>
  <c r="H42" i="2" s="1"/>
  <c r="G24" i="2"/>
  <c r="G42" i="2" s="1"/>
  <c r="F24" i="2"/>
  <c r="F42" i="2" s="1"/>
  <c r="E24" i="2"/>
  <c r="E42" i="2" s="1"/>
  <c r="D24" i="2"/>
  <c r="D42" i="2" s="1"/>
  <c r="O14" i="2"/>
  <c r="O44" i="2" s="1"/>
  <c r="O69" i="2" s="1"/>
  <c r="O75" i="2" s="1"/>
  <c r="O82" i="2" s="1"/>
  <c r="O100" i="2" s="1"/>
  <c r="O135" i="2" s="1"/>
  <c r="O143" i="2" s="1"/>
  <c r="O151" i="2" s="1"/>
  <c r="O155" i="2" s="1"/>
  <c r="N14" i="2"/>
  <c r="N44" i="2" s="1"/>
  <c r="N69" i="2" s="1"/>
  <c r="N75" i="2" s="1"/>
  <c r="N82" i="2" s="1"/>
  <c r="N100" i="2" s="1"/>
  <c r="N135" i="2" s="1"/>
  <c r="N143" i="2" s="1"/>
  <c r="N151" i="2" s="1"/>
  <c r="N155" i="2" s="1"/>
  <c r="M14" i="2"/>
  <c r="M44" i="2" s="1"/>
  <c r="M69" i="2" s="1"/>
  <c r="M75" i="2" s="1"/>
  <c r="M82" i="2" s="1"/>
  <c r="M100" i="2" s="1"/>
  <c r="M135" i="2" s="1"/>
  <c r="M143" i="2" s="1"/>
  <c r="M151" i="2" s="1"/>
  <c r="M155" i="2" s="1"/>
  <c r="L14" i="2"/>
  <c r="L44" i="2" s="1"/>
  <c r="L69" i="2" s="1"/>
  <c r="L75" i="2" s="1"/>
  <c r="L82" i="2" s="1"/>
  <c r="L100" i="2" s="1"/>
  <c r="L135" i="2" s="1"/>
  <c r="L143" i="2" s="1"/>
  <c r="L151" i="2" s="1"/>
  <c r="L155" i="2" s="1"/>
  <c r="K14" i="2"/>
  <c r="K44" i="2" s="1"/>
  <c r="K69" i="2" s="1"/>
  <c r="K75" i="2" s="1"/>
  <c r="K82" i="2" s="1"/>
  <c r="K100" i="2" s="1"/>
  <c r="K135" i="2" s="1"/>
  <c r="K143" i="2" s="1"/>
  <c r="K151" i="2" s="1"/>
  <c r="K155" i="2" s="1"/>
  <c r="J14" i="2"/>
  <c r="J44" i="2" s="1"/>
  <c r="J69" i="2" s="1"/>
  <c r="J75" i="2" s="1"/>
  <c r="J82" i="2" s="1"/>
  <c r="J100" i="2" s="1"/>
  <c r="J135" i="2" s="1"/>
  <c r="J143" i="2" s="1"/>
  <c r="J151" i="2" s="1"/>
  <c r="J155" i="2" s="1"/>
  <c r="I14" i="2"/>
  <c r="I44" i="2" s="1"/>
  <c r="I69" i="2" s="1"/>
  <c r="I75" i="2" s="1"/>
  <c r="I82" i="2" s="1"/>
  <c r="I100" i="2" s="1"/>
  <c r="I135" i="2" s="1"/>
  <c r="I143" i="2" s="1"/>
  <c r="I151" i="2" s="1"/>
  <c r="I155" i="2" s="1"/>
  <c r="H14" i="2"/>
  <c r="H44" i="2" s="1"/>
  <c r="H69" i="2" s="1"/>
  <c r="H75" i="2" s="1"/>
  <c r="H82" i="2" s="1"/>
  <c r="H100" i="2" s="1"/>
  <c r="H135" i="2" s="1"/>
  <c r="H143" i="2" s="1"/>
  <c r="H151" i="2" s="1"/>
  <c r="H155" i="2" s="1"/>
  <c r="G14" i="2"/>
  <c r="G44" i="2" s="1"/>
  <c r="G69" i="2" s="1"/>
  <c r="G75" i="2" s="1"/>
  <c r="G82" i="2" s="1"/>
  <c r="G100" i="2" s="1"/>
  <c r="G135" i="2" s="1"/>
  <c r="G143" i="2" s="1"/>
  <c r="G151" i="2" s="1"/>
  <c r="G155" i="2" s="1"/>
  <c r="F14" i="2"/>
  <c r="F44" i="2" s="1"/>
  <c r="F69" i="2" s="1"/>
  <c r="F75" i="2" s="1"/>
  <c r="F82" i="2" s="1"/>
  <c r="F100" i="2" s="1"/>
  <c r="F135" i="2" s="1"/>
  <c r="F143" i="2" s="1"/>
  <c r="F151" i="2" s="1"/>
  <c r="F155" i="2" s="1"/>
  <c r="E14" i="2"/>
  <c r="E44" i="2" s="1"/>
  <c r="E69" i="2" s="1"/>
  <c r="E75" i="2" s="1"/>
  <c r="E82" i="2" s="1"/>
  <c r="E100" i="2" s="1"/>
  <c r="E135" i="2" s="1"/>
  <c r="E143" i="2" s="1"/>
  <c r="E151" i="2" s="1"/>
  <c r="E155" i="2" s="1"/>
  <c r="D14" i="2"/>
  <c r="D44" i="2" s="1"/>
  <c r="D69" i="2" s="1"/>
  <c r="D75" i="2" s="1"/>
  <c r="D82" i="2" s="1"/>
  <c r="D100" i="2" s="1"/>
  <c r="D135" i="2" s="1"/>
  <c r="D143" i="2" s="1"/>
  <c r="D151" i="2" s="1"/>
  <c r="D155" i="2" s="1"/>
  <c r="P63" i="4" l="1"/>
  <c r="G44" i="4"/>
  <c r="G69" i="4" s="1"/>
  <c r="G75" i="4" s="1"/>
  <c r="G82" i="4" s="1"/>
  <c r="G100" i="4" s="1"/>
  <c r="G135" i="4" s="1"/>
  <c r="G143" i="4" s="1"/>
  <c r="G151" i="4" s="1"/>
  <c r="G155" i="4" s="1"/>
  <c r="F133" i="4"/>
  <c r="F135" i="4" s="1"/>
  <c r="F143" i="4" s="1"/>
  <c r="F151" i="4" s="1"/>
  <c r="F155" i="4" s="1"/>
  <c r="I133" i="4"/>
  <c r="H44" i="4"/>
  <c r="H69" i="4" s="1"/>
  <c r="H75" i="4" s="1"/>
  <c r="H82" i="4" s="1"/>
  <c r="H100" i="4" s="1"/>
  <c r="H135" i="4" s="1"/>
  <c r="H143" i="4" s="1"/>
  <c r="H151" i="4" s="1"/>
  <c r="H155" i="4" s="1"/>
  <c r="I44" i="4"/>
  <c r="I69" i="4" s="1"/>
  <c r="I75" i="4" s="1"/>
  <c r="I82" i="4" s="1"/>
  <c r="I100" i="4" s="1"/>
  <c r="I135" i="4" s="1"/>
  <c r="I143" i="4" s="1"/>
  <c r="I151" i="4" s="1"/>
  <c r="I155" i="4" s="1"/>
  <c r="J44" i="4"/>
  <c r="J69" i="4" s="1"/>
  <c r="J75" i="4" s="1"/>
  <c r="J82" i="4" s="1"/>
  <c r="J100" i="4" s="1"/>
  <c r="J135" i="4" s="1"/>
  <c r="J143" i="4" s="1"/>
  <c r="J151" i="4" s="1"/>
  <c r="J155" i="4" s="1"/>
  <c r="K44" i="4"/>
  <c r="K69" i="4" s="1"/>
  <c r="K75" i="4" s="1"/>
  <c r="K82" i="4" s="1"/>
  <c r="K100" i="4" s="1"/>
  <c r="K135" i="4" s="1"/>
  <c r="K143" i="4" s="1"/>
  <c r="K151" i="4" s="1"/>
  <c r="K155" i="4" s="1"/>
  <c r="L44" i="4"/>
  <c r="L69" i="4" s="1"/>
  <c r="L75" i="4" s="1"/>
  <c r="L82" i="4" s="1"/>
  <c r="L100" i="4" s="1"/>
  <c r="L135" i="4" s="1"/>
  <c r="L143" i="4" s="1"/>
  <c r="L151" i="4" s="1"/>
  <c r="L155" i="4" s="1"/>
  <c r="P40" i="4"/>
  <c r="P42" i="4" s="1"/>
  <c r="P44" i="4" s="1"/>
  <c r="P69" i="4" s="1"/>
  <c r="P75" i="4" s="1"/>
  <c r="P82" i="4" s="1"/>
  <c r="P100" i="4" s="1"/>
  <c r="P135" i="4" s="1"/>
  <c r="P143" i="4" s="1"/>
  <c r="P151" i="4" s="1"/>
  <c r="P155" i="4" s="1"/>
  <c r="M44" i="4"/>
  <c r="M69" i="4" s="1"/>
  <c r="M75" i="4" s="1"/>
  <c r="M82" i="4" s="1"/>
  <c r="M100" i="4" s="1"/>
  <c r="M135" i="4" s="1"/>
  <c r="M143" i="4" s="1"/>
  <c r="M151" i="4" s="1"/>
  <c r="M155" i="4" s="1"/>
  <c r="P133" i="4"/>
  <c r="N44" i="4"/>
  <c r="N69" i="4" s="1"/>
  <c r="N75" i="4" s="1"/>
  <c r="N82" i="4" s="1"/>
  <c r="N100" i="4" s="1"/>
  <c r="N135" i="4" s="1"/>
  <c r="N143" i="4" s="1"/>
  <c r="N151" i="4" s="1"/>
  <c r="N155" i="4" s="1"/>
  <c r="D69" i="3"/>
  <c r="D75" i="3" s="1"/>
  <c r="D82" i="3" s="1"/>
  <c r="D100" i="3" s="1"/>
  <c r="D135" i="3" s="1"/>
  <c r="D143" i="3" s="1"/>
  <c r="D151" i="3" s="1"/>
  <c r="D155" i="3" s="1"/>
  <c r="E69" i="3"/>
  <c r="E75" i="3" s="1"/>
  <c r="E82" i="3" s="1"/>
  <c r="E100" i="3" s="1"/>
  <c r="E135" i="3" s="1"/>
  <c r="E143" i="3" s="1"/>
  <c r="E151" i="3" s="1"/>
  <c r="E155" i="3" s="1"/>
  <c r="H133" i="3"/>
  <c r="H135" i="3" s="1"/>
  <c r="H143" i="3" s="1"/>
  <c r="H151" i="3" s="1"/>
  <c r="H155" i="3" s="1"/>
  <c r="G44" i="3"/>
  <c r="G69" i="3" s="1"/>
  <c r="G75" i="3" s="1"/>
  <c r="G82" i="3" s="1"/>
  <c r="G100" i="3" s="1"/>
  <c r="G135" i="3" s="1"/>
  <c r="G143" i="3" s="1"/>
  <c r="G151" i="3" s="1"/>
  <c r="G155" i="3" s="1"/>
  <c r="F69" i="3"/>
  <c r="F75" i="3" s="1"/>
  <c r="F82" i="3" s="1"/>
  <c r="F100" i="3" s="1"/>
  <c r="F135" i="3" s="1"/>
  <c r="F143" i="3" s="1"/>
  <c r="F151" i="3" s="1"/>
  <c r="F155" i="3" s="1"/>
</calcChain>
</file>

<file path=xl/sharedStrings.xml><?xml version="1.0" encoding="utf-8"?>
<sst xmlns="http://schemas.openxmlformats.org/spreadsheetml/2006/main" count="8162" uniqueCount="1605">
  <si>
    <t>Income Statement - YTD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</si>
  <si>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</si>
  <si>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</si>
  <si>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</si>
  <si>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</si>
  <si>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</si>
  <si>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</si>
  <si>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</si>
  <si>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</si>
  <si>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</si>
  <si>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</si>
  <si>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</si>
  <si>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</si>
  <si>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311100</t>
  </si>
  <si>
    <t>Revenues - GR</t>
  </si>
  <si>
    <t>311200</t>
  </si>
  <si>
    <t>Revenues - JV/AS</t>
  </si>
  <si>
    <t>311300</t>
  </si>
  <si>
    <t>Revenues - TP</t>
  </si>
  <si>
    <t>311000</t>
  </si>
  <si>
    <t>Total revenues</t>
  </si>
  <si>
    <t>BR0000</t>
  </si>
  <si>
    <t xml:space="preserve"> </t>
  </si>
  <si>
    <t>IG312110</t>
  </si>
  <si>
    <t xml:space="preserve">Third party transportation </t>
  </si>
  <si>
    <t>IG312120</t>
  </si>
  <si>
    <t>Packing materials</t>
  </si>
  <si>
    <t>IG312130</t>
  </si>
  <si>
    <t>Personnel expenses</t>
  </si>
  <si>
    <t>IG312140</t>
  </si>
  <si>
    <t>Diesel/gasoline</t>
  </si>
  <si>
    <t>IG312150</t>
  </si>
  <si>
    <t>Other distribution expenses</t>
  </si>
  <si>
    <t>IG312161</t>
  </si>
  <si>
    <t xml:space="preserve">Allocation of corporate logistics </t>
  </si>
  <si>
    <t>IG312170</t>
  </si>
  <si>
    <t>Gain (losses) on disposal of PPE</t>
  </si>
  <si>
    <t>320998E</t>
  </si>
  <si>
    <t>Elimination of net revenues - GR (distribution)</t>
  </si>
  <si>
    <t>IG312100</t>
  </si>
  <si>
    <t>Total distribution costs</t>
  </si>
  <si>
    <t>BR0005</t>
  </si>
  <si>
    <t>IG312210</t>
  </si>
  <si>
    <t>Costs of finished goods purchased</t>
  </si>
  <si>
    <t>IG312220</t>
  </si>
  <si>
    <t>Third party raw material costs</t>
  </si>
  <si>
    <t>IG312230</t>
  </si>
  <si>
    <t>Production materials</t>
  </si>
  <si>
    <t>IG312240</t>
  </si>
  <si>
    <t>Fuel expenses</t>
  </si>
  <si>
    <t>IG312250</t>
  </si>
  <si>
    <t>Electricity expenses</t>
  </si>
  <si>
    <t>IG312260</t>
  </si>
  <si>
    <t>Personnel expenses (excl. maintenance)</t>
  </si>
  <si>
    <t>IG312270</t>
  </si>
  <si>
    <t>Maintenance expenses</t>
  </si>
  <si>
    <t>IG312280</t>
  </si>
  <si>
    <t>Other production expenses</t>
  </si>
  <si>
    <t>IG312290</t>
  </si>
  <si>
    <t>Changes in inventory</t>
  </si>
  <si>
    <t>IG312295</t>
  </si>
  <si>
    <t>Cost/revenues from CO2 emissions right</t>
  </si>
  <si>
    <t>IG312296</t>
  </si>
  <si>
    <t>IG312297</t>
  </si>
  <si>
    <t>Gains (losses) on reassesment and modification of leases</t>
  </si>
  <si>
    <t>IG312311</t>
  </si>
  <si>
    <t>Allocation of corporate manufacturing</t>
  </si>
  <si>
    <t>320999E</t>
  </si>
  <si>
    <t>Elimination of net revenues - GR (production)</t>
  </si>
  <si>
    <t>IG312200</t>
  </si>
  <si>
    <t>Total production costs</t>
  </si>
  <si>
    <t>BR0010</t>
  </si>
  <si>
    <t>IG312000</t>
  </si>
  <si>
    <t>Cost of revenues</t>
  </si>
  <si>
    <t>BR0015</t>
  </si>
  <si>
    <t>IG310000</t>
  </si>
  <si>
    <t>Gross profit</t>
  </si>
  <si>
    <t>BR0020</t>
  </si>
  <si>
    <t>IG321000</t>
  </si>
  <si>
    <t>IG322000</t>
  </si>
  <si>
    <t>Third party services</t>
  </si>
  <si>
    <t>IG323000</t>
  </si>
  <si>
    <t>Write-off and allowances for bad and doubtful debt</t>
  </si>
  <si>
    <t>IG324000</t>
  </si>
  <si>
    <t>Other marketing and sales expenses</t>
  </si>
  <si>
    <t>IG325100</t>
  </si>
  <si>
    <t>Total alloc of indirect marketing and sales expenses</t>
  </si>
  <si>
    <t>IG326000</t>
  </si>
  <si>
    <t>Gains (losses) on disposal of PPE</t>
  </si>
  <si>
    <t>320997E</t>
  </si>
  <si>
    <t>Elimination of net revenues - GR (marketing &amp; sales)</t>
  </si>
  <si>
    <t>IG320000</t>
  </si>
  <si>
    <t>Total marketing and sales expenses</t>
  </si>
  <si>
    <t>BR0025</t>
  </si>
  <si>
    <t>IG331000</t>
  </si>
  <si>
    <t>IG332000</t>
  </si>
  <si>
    <t>IG333000</t>
  </si>
  <si>
    <t>Other administration expenses</t>
  </si>
  <si>
    <t>IG334100</t>
  </si>
  <si>
    <t>Allocation of indirect administration expenses</t>
  </si>
  <si>
    <t>IG335000</t>
  </si>
  <si>
    <t>320996E</t>
  </si>
  <si>
    <t>Elimination of net revenues - GR (admin finance)</t>
  </si>
  <si>
    <t>IG330000</t>
  </si>
  <si>
    <t>Total administration expenses</t>
  </si>
  <si>
    <t>BR0030</t>
  </si>
  <si>
    <t>IG315000</t>
  </si>
  <si>
    <t>Mktg, sales, and administration expenses (SG&amp;A)</t>
  </si>
  <si>
    <t>BR0035</t>
  </si>
  <si>
    <t>312500</t>
  </si>
  <si>
    <t>Dividends earned - JV</t>
  </si>
  <si>
    <t>313100</t>
  </si>
  <si>
    <t>Undistributed earnings - JV</t>
  </si>
  <si>
    <t>IG316000</t>
  </si>
  <si>
    <t xml:space="preserve">Share of profit of joint ventures </t>
  </si>
  <si>
    <t>BR0040</t>
  </si>
  <si>
    <t>IG350000</t>
  </si>
  <si>
    <t>Adjusted EBITDA</t>
  </si>
  <si>
    <t>BR0045</t>
  </si>
  <si>
    <t>324510</t>
  </si>
  <si>
    <t>Right-of-Use Assets - depreciation</t>
  </si>
  <si>
    <t>324530</t>
  </si>
  <si>
    <t>393000</t>
  </si>
  <si>
    <t>Allocation of indirect of gain (loss) on lease reassesment + RoUA depr</t>
  </si>
  <si>
    <t>BR0050</t>
  </si>
  <si>
    <t>IG351000</t>
  </si>
  <si>
    <t>Adjusted EBITDA after lease depreciation</t>
  </si>
  <si>
    <t>BR0055</t>
  </si>
  <si>
    <t>324110</t>
  </si>
  <si>
    <t>Depreciation and amortization of PPE</t>
  </si>
  <si>
    <t>324210</t>
  </si>
  <si>
    <t>Depreciation and amortization of other LT assets</t>
  </si>
  <si>
    <t>324130</t>
  </si>
  <si>
    <t>Accretion expense (North America only)</t>
  </si>
  <si>
    <t>392000</t>
  </si>
  <si>
    <t>Allocation of indirect depreciation</t>
  </si>
  <si>
    <t>BR0060</t>
  </si>
  <si>
    <t>IG352000</t>
  </si>
  <si>
    <t>Adjusted EBIT</t>
  </si>
  <si>
    <t>BR0065</t>
  </si>
  <si>
    <t>323510</t>
  </si>
  <si>
    <t>Restructuring and other costs</t>
  </si>
  <si>
    <t>323520</t>
  </si>
  <si>
    <t>Litigation related costs</t>
  </si>
  <si>
    <t>323530</t>
  </si>
  <si>
    <t>Other non-recurring costs</t>
  </si>
  <si>
    <t>323540</t>
  </si>
  <si>
    <t>Acquisition and integration costs</t>
  </si>
  <si>
    <t>323550</t>
  </si>
  <si>
    <t>Spin-off and separation related costs</t>
  </si>
  <si>
    <t>323500</t>
  </si>
  <si>
    <t>Total restructuring, litigation and non-recurring costs</t>
  </si>
  <si>
    <t>BR0070</t>
  </si>
  <si>
    <t>324120</t>
  </si>
  <si>
    <t>Impairment of PPE</t>
  </si>
  <si>
    <t>324220</t>
  </si>
  <si>
    <t>Impairment of other intangible assets</t>
  </si>
  <si>
    <t>324300</t>
  </si>
  <si>
    <t>Impairment of goodwill - GR</t>
  </si>
  <si>
    <t>324400</t>
  </si>
  <si>
    <t>Impairment of investments</t>
  </si>
  <si>
    <t>324520</t>
  </si>
  <si>
    <t>Right-of-Use Assets (RoUA) - impairment</t>
  </si>
  <si>
    <t>324020</t>
  </si>
  <si>
    <t>Total impairment</t>
  </si>
  <si>
    <t>BR0075</t>
  </si>
  <si>
    <t>394000</t>
  </si>
  <si>
    <t>Allocation of indirect impairment</t>
  </si>
  <si>
    <t>BR0077</t>
  </si>
  <si>
    <t>IG360000</t>
  </si>
  <si>
    <t>Operating income</t>
  </si>
  <si>
    <t>BR0080</t>
  </si>
  <si>
    <t>312100</t>
  </si>
  <si>
    <t>Dividends earned - GR</t>
  </si>
  <si>
    <t>312400</t>
  </si>
  <si>
    <t>Dividends earned - AS</t>
  </si>
  <si>
    <t>312300</t>
  </si>
  <si>
    <t>Dividends earned - TP</t>
  </si>
  <si>
    <t>312999E</t>
  </si>
  <si>
    <t>Elim differences of dividends - GR</t>
  </si>
  <si>
    <t>312000</t>
  </si>
  <si>
    <t>Total dividends earned</t>
  </si>
  <si>
    <t>BR0085</t>
  </si>
  <si>
    <t>314100</t>
  </si>
  <si>
    <t>Financial income - GR</t>
  </si>
  <si>
    <t>314199</t>
  </si>
  <si>
    <t>Financial income - JV/AS</t>
  </si>
  <si>
    <t>314400</t>
  </si>
  <si>
    <t>Financial income - TP</t>
  </si>
  <si>
    <t>314999E</t>
  </si>
  <si>
    <t>Elim of financial income</t>
  </si>
  <si>
    <t>314000</t>
  </si>
  <si>
    <t>Total financial income</t>
  </si>
  <si>
    <t>BR0090</t>
  </si>
  <si>
    <t>325100</t>
  </si>
  <si>
    <t>Financial expenses - GR</t>
  </si>
  <si>
    <t>325200</t>
  </si>
  <si>
    <t>Financial expenses - JV/AS</t>
  </si>
  <si>
    <t>325300</t>
  </si>
  <si>
    <t>Financial expenses - TP</t>
  </si>
  <si>
    <t>325470</t>
  </si>
  <si>
    <t>Net interest inc (exp) on net pension liabilities (asset)</t>
  </si>
  <si>
    <t>325420</t>
  </si>
  <si>
    <t>Foreign exchange gains (losses)</t>
  </si>
  <si>
    <t>325000</t>
  </si>
  <si>
    <t>Total financial expenses and FX gains (losses)</t>
  </si>
  <si>
    <t>BR0095</t>
  </si>
  <si>
    <t>IG371000</t>
  </si>
  <si>
    <t>Total net financial income (expense)</t>
  </si>
  <si>
    <t>BR0100</t>
  </si>
  <si>
    <t>331100</t>
  </si>
  <si>
    <t>Income (expense) on non-operating assets - GR</t>
  </si>
  <si>
    <t>331200</t>
  </si>
  <si>
    <t>Income (expense) on non-operating assets - JV/AS</t>
  </si>
  <si>
    <t>331300</t>
  </si>
  <si>
    <t>Income (expense) on non-operating assets - TP</t>
  </si>
  <si>
    <t>313200</t>
  </si>
  <si>
    <t>Undistributed earnings - AS</t>
  </si>
  <si>
    <t>326110</t>
  </si>
  <si>
    <t>Impairment of investments - AS</t>
  </si>
  <si>
    <t>326200</t>
  </si>
  <si>
    <t>Ordinary depreciation of non-operating assets</t>
  </si>
  <si>
    <t>331995E</t>
  </si>
  <si>
    <t>Elim difference industrial franchise fee (IFF)</t>
  </si>
  <si>
    <t>331999E</t>
  </si>
  <si>
    <t>Elim of income (expenses) on non-operating assets</t>
  </si>
  <si>
    <t>IG372000</t>
  </si>
  <si>
    <t xml:space="preserve">Total income (expense) on non-operating assets </t>
  </si>
  <si>
    <t>BR0105</t>
  </si>
  <si>
    <t>IG370000</t>
  </si>
  <si>
    <t>Total additional ordinary income (expenses)</t>
  </si>
  <si>
    <t>BR0110</t>
  </si>
  <si>
    <t>IG301110</t>
  </si>
  <si>
    <t xml:space="preserve">Income (loss) before taxes and unusual items </t>
  </si>
  <si>
    <t>BR0115</t>
  </si>
  <si>
    <t>332120</t>
  </si>
  <si>
    <t>Gains (losses) on disposal of PPE - until 2023.12</t>
  </si>
  <si>
    <t>327000</t>
  </si>
  <si>
    <t>Unusual write-offs</t>
  </si>
  <si>
    <t>332200</t>
  </si>
  <si>
    <t>Other unusual income (expense) - cash-eff</t>
  </si>
  <si>
    <t>332210</t>
  </si>
  <si>
    <t>Other unusual income (expense) - non-cash</t>
  </si>
  <si>
    <t>IG301120</t>
  </si>
  <si>
    <t>Total unusual items</t>
  </si>
  <si>
    <t>BR0120</t>
  </si>
  <si>
    <t>IG301100</t>
  </si>
  <si>
    <t xml:space="preserve">Net income (loss) before income taxes </t>
  </si>
  <si>
    <t>BR0125</t>
  </si>
  <si>
    <t>328100</t>
  </si>
  <si>
    <t>Current taxation</t>
  </si>
  <si>
    <t>328200</t>
  </si>
  <si>
    <t>Deferred taxation</t>
  </si>
  <si>
    <t>328000</t>
  </si>
  <si>
    <t>Total income taxes</t>
  </si>
  <si>
    <t>BR0130</t>
  </si>
  <si>
    <t>329050</t>
  </si>
  <si>
    <t xml:space="preserve">Net income from discontinued operations (net of income tax) </t>
  </si>
  <si>
    <t>BR0135</t>
  </si>
  <si>
    <t>IG301000</t>
  </si>
  <si>
    <t xml:space="preserve">Net income (loss) before NC interest </t>
  </si>
  <si>
    <t>BR0140</t>
  </si>
  <si>
    <t>329100</t>
  </si>
  <si>
    <t xml:space="preserve">Interest of NC shareholders in net income </t>
  </si>
  <si>
    <t>BR0145</t>
  </si>
  <si>
    <t>IG300000</t>
  </si>
  <si>
    <t>Net income (loss) after NC interest</t>
  </si>
  <si>
    <t>Income Statement - QTD</t>
  </si>
  <si>
    <t>Total</t>
  </si>
  <si>
    <t>Income Statement - MTD</t>
  </si>
  <si>
    <t xml:space="preserve">Reporting unit: USAA - USA ACM	</t>
  </si>
  <si>
    <t>Scenario: 2026 Consolidated Actuals USD</t>
  </si>
  <si>
    <t xml:space="preserve">Currency: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</si>
  <si>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</si>
  <si>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</si>
  <si>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</si>
  <si>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</si>
  <si>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</si>
  <si>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</si>
  <si>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</si>
  <si>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</si>
  <si>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</si>
  <si>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</si>
  <si>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</si>
  <si>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Statement of Financial Position - YTD</t>
  </si>
  <si>
    <t>111110</t>
  </si>
  <si>
    <t>Cash and cash equivalents - Cash at bank, on hand</t>
  </si>
  <si>
    <t>111120</t>
  </si>
  <si>
    <t>Cash and cash equivalents - ST deposits</t>
  </si>
  <si>
    <t>111100</t>
  </si>
  <si>
    <t>Cash and cash equivalents</t>
  </si>
  <si>
    <t>111210</t>
  </si>
  <si>
    <t>Marketable securities - GR</t>
  </si>
  <si>
    <t>111219</t>
  </si>
  <si>
    <t>Marketable securities - JV/AS/TP</t>
  </si>
  <si>
    <t>111200</t>
  </si>
  <si>
    <t>Total marketable securities</t>
  </si>
  <si>
    <t>BR0002</t>
  </si>
  <si>
    <t>112110</t>
  </si>
  <si>
    <t>ST financial receivables - GR</t>
  </si>
  <si>
    <t>112119</t>
  </si>
  <si>
    <t>ST financial receivables - JV/AS</t>
  </si>
  <si>
    <t>112129</t>
  </si>
  <si>
    <t>ST financial receivables - TP</t>
  </si>
  <si>
    <t>112140</t>
  </si>
  <si>
    <t>Allowance for doubtful ST financial receivables - JV/AS</t>
  </si>
  <si>
    <t>112150</t>
  </si>
  <si>
    <t>Allowance for doubtful ST financial receivables - TP</t>
  </si>
  <si>
    <t>112100</t>
  </si>
  <si>
    <t>Total ST financial receivables</t>
  </si>
  <si>
    <t>BR0004</t>
  </si>
  <si>
    <t>112136</t>
  </si>
  <si>
    <t>ST derivative assets - TP</t>
  </si>
  <si>
    <t>BR0006</t>
  </si>
  <si>
    <t>112210</t>
  </si>
  <si>
    <t>Accounts receivables trade - GR</t>
  </si>
  <si>
    <t>112220</t>
  </si>
  <si>
    <t>Accounts receivables trade - JV/AS</t>
  </si>
  <si>
    <t>112270</t>
  </si>
  <si>
    <t>Accounts receivables trade - TP</t>
  </si>
  <si>
    <t>112240</t>
  </si>
  <si>
    <t>Allowance for doubtful accts trade - JV/AS</t>
  </si>
  <si>
    <t>112250</t>
  </si>
  <si>
    <t>Allowance for doubtful accts trade - TP</t>
  </si>
  <si>
    <t>112280</t>
  </si>
  <si>
    <t>Advance payments to trade suppliers - TP</t>
  </si>
  <si>
    <t>112300</t>
  </si>
  <si>
    <t>Total accounts receivables trade</t>
  </si>
  <si>
    <t>BR0008</t>
  </si>
  <si>
    <t>115100</t>
  </si>
  <si>
    <t>Raw materials</t>
  </si>
  <si>
    <t>115250</t>
  </si>
  <si>
    <t>CO2 emissions rights</t>
  </si>
  <si>
    <t>115200</t>
  </si>
  <si>
    <t>Semi-finished and finished products</t>
  </si>
  <si>
    <t>115300</t>
  </si>
  <si>
    <t>Fuels</t>
  </si>
  <si>
    <t>115400</t>
  </si>
  <si>
    <t>Parts and supplies</t>
  </si>
  <si>
    <t>115500</t>
  </si>
  <si>
    <t>Unbilled services</t>
  </si>
  <si>
    <t>115000</t>
  </si>
  <si>
    <t>Total inventories and unbilled services</t>
  </si>
  <si>
    <t>112212</t>
  </si>
  <si>
    <t>Accounts receivables other - GR</t>
  </si>
  <si>
    <t>112264</t>
  </si>
  <si>
    <t>Accounts receivables other - JV/AS</t>
  </si>
  <si>
    <t>112265</t>
  </si>
  <si>
    <t>Accounts receivables other - TP</t>
  </si>
  <si>
    <t>112266</t>
  </si>
  <si>
    <t>Accounts receivables other - From sold PPE -TP</t>
  </si>
  <si>
    <t>112267</t>
  </si>
  <si>
    <t>Accounts receivables other -  Disposal of Financial investments - TP</t>
  </si>
  <si>
    <t>119110</t>
  </si>
  <si>
    <t>Prepaid int, accrued int and dividends receivables - GR</t>
  </si>
  <si>
    <t>119120</t>
  </si>
  <si>
    <t>Prepaid int, accrued int and dividends receivables - JV/AS</t>
  </si>
  <si>
    <t>119130</t>
  </si>
  <si>
    <t>Prepaid int, accrued int and dividends receivables - TP</t>
  </si>
  <si>
    <t>119200</t>
  </si>
  <si>
    <t>Prepaid expenses</t>
  </si>
  <si>
    <t>119310</t>
  </si>
  <si>
    <t>Current income tax receivables (prepayments)</t>
  </si>
  <si>
    <t>119330</t>
  </si>
  <si>
    <t>Remaining other current assets</t>
  </si>
  <si>
    <t>119000</t>
  </si>
  <si>
    <t>Total prepaid expenses and other current assets</t>
  </si>
  <si>
    <t>BR0012</t>
  </si>
  <si>
    <t>119320</t>
  </si>
  <si>
    <t>Current assets held for sale</t>
  </si>
  <si>
    <t>BR0014</t>
  </si>
  <si>
    <t>110000</t>
  </si>
  <si>
    <t>Total current assets</t>
  </si>
  <si>
    <t>BR0016</t>
  </si>
  <si>
    <t>151110</t>
  </si>
  <si>
    <t>Financial investments - GR</t>
  </si>
  <si>
    <t>151129</t>
  </si>
  <si>
    <t>Financial investments - TP</t>
  </si>
  <si>
    <t>151510</t>
  </si>
  <si>
    <t>LT financial receivables - GR</t>
  </si>
  <si>
    <t>151519</t>
  </si>
  <si>
    <t>LT financial receivables - JV/AS</t>
  </si>
  <si>
    <t>151529</t>
  </si>
  <si>
    <t>LT financial receivables - TP</t>
  </si>
  <si>
    <t>155320</t>
  </si>
  <si>
    <t>Deferred charges</t>
  </si>
  <si>
    <t>155400</t>
  </si>
  <si>
    <t>Other LT assets</t>
  </si>
  <si>
    <t>152000</t>
  </si>
  <si>
    <t>Total financial investments and LT assets</t>
  </si>
  <si>
    <t>BR0018</t>
  </si>
  <si>
    <t>151119</t>
  </si>
  <si>
    <t>Financial investments - JV</t>
  </si>
  <si>
    <t>151120</t>
  </si>
  <si>
    <t>Financial investments - AS</t>
  </si>
  <si>
    <t>151121</t>
  </si>
  <si>
    <t>Financial investments - JV/AS</t>
  </si>
  <si>
    <t>151540</t>
  </si>
  <si>
    <t>LT derivative assets - TP</t>
  </si>
  <si>
    <t>BR0021</t>
  </si>
  <si>
    <t>153110</t>
  </si>
  <si>
    <t>Land and mineral reserves - Gross value</t>
  </si>
  <si>
    <t>153120</t>
  </si>
  <si>
    <t>Land and mineral reserves - Accumulated depletion</t>
  </si>
  <si>
    <t>153100</t>
  </si>
  <si>
    <t>Land and mineral reserves - Net</t>
  </si>
  <si>
    <t>153210</t>
  </si>
  <si>
    <t>Buildings and installations - Gross value</t>
  </si>
  <si>
    <t>153220</t>
  </si>
  <si>
    <t>Buildings and installations - Accumulated depreciation</t>
  </si>
  <si>
    <t>153200</t>
  </si>
  <si>
    <t>Buildings and installations - Net</t>
  </si>
  <si>
    <t>153310</t>
  </si>
  <si>
    <t>Machines - Gross value</t>
  </si>
  <si>
    <t>153320</t>
  </si>
  <si>
    <t>Machines - Accumulated depreciation</t>
  </si>
  <si>
    <t>153300</t>
  </si>
  <si>
    <t>Machines - Net</t>
  </si>
  <si>
    <t>153410</t>
  </si>
  <si>
    <t>Furniture, vehicles and tools - Gross value</t>
  </si>
  <si>
    <t>153420</t>
  </si>
  <si>
    <t>Furniture, vehicles and tools - Accumulated depreciation</t>
  </si>
  <si>
    <t>153400</t>
  </si>
  <si>
    <t>Furniture, vehicles and tools - Net</t>
  </si>
  <si>
    <t>153510</t>
  </si>
  <si>
    <t>Construction in progress (CIP) - Gross value</t>
  </si>
  <si>
    <t>153520</t>
  </si>
  <si>
    <t>Construction in progress (CIP) - Accumulated impairment</t>
  </si>
  <si>
    <t>153500</t>
  </si>
  <si>
    <t>Construction in progress - Net</t>
  </si>
  <si>
    <t>BR0022</t>
  </si>
  <si>
    <t>153010</t>
  </si>
  <si>
    <t>Fixed Asset - Gross value</t>
  </si>
  <si>
    <t>153020</t>
  </si>
  <si>
    <t>Fixed Asset - Accumulated depreciation, depletion &amp; impairment</t>
  </si>
  <si>
    <t>153030</t>
  </si>
  <si>
    <t>Fixed Asset - Net</t>
  </si>
  <si>
    <t>BR0023</t>
  </si>
  <si>
    <t>153160</t>
  </si>
  <si>
    <t>Finance Lease - Land and mineral reserves - Gross value</t>
  </si>
  <si>
    <t>153170</t>
  </si>
  <si>
    <t>Finance Lease - Land and mineral reserves - Accumulated depletion</t>
  </si>
  <si>
    <t>153150</t>
  </si>
  <si>
    <t>Finance Lease - Land and mineral reserves - Net</t>
  </si>
  <si>
    <t>153260</t>
  </si>
  <si>
    <t>Finance Lease - Buildings and installations - Gross value</t>
  </si>
  <si>
    <t>153270</t>
  </si>
  <si>
    <t>Finance Lease - Buildings and installations - Accumulated depreciation</t>
  </si>
  <si>
    <t>153250</t>
  </si>
  <si>
    <t>Finance Lease - Buildings and installations - Net</t>
  </si>
  <si>
    <t>153360</t>
  </si>
  <si>
    <t>Finance Lease  - Machines - Gross value</t>
  </si>
  <si>
    <t>153370</t>
  </si>
  <si>
    <t>Finance Lease - Machines - Accumulated depreciation</t>
  </si>
  <si>
    <t>153350</t>
  </si>
  <si>
    <t>Finance Lease - Machines - Net</t>
  </si>
  <si>
    <t>153460</t>
  </si>
  <si>
    <t>Finance Lease - Furniture, vehicles and tools - Gross value</t>
  </si>
  <si>
    <t>153470</t>
  </si>
  <si>
    <t>Finance Lease - Furniture, vehicles and tools - Accumulated depreciation</t>
  </si>
  <si>
    <t>153450</t>
  </si>
  <si>
    <t>Finance Lease - Furniture, vehicles and tools - Net</t>
  </si>
  <si>
    <t>153610</t>
  </si>
  <si>
    <t>Finance Lease - Prepaid expenses - Gross value</t>
  </si>
  <si>
    <t>153620</t>
  </si>
  <si>
    <t>Finance Lease - Prepaid expenses - Accumulated impairment</t>
  </si>
  <si>
    <t>153600</t>
  </si>
  <si>
    <t>Finance Lease - Prepaid expenses - Net</t>
  </si>
  <si>
    <t>BR0024</t>
  </si>
  <si>
    <t>153060</t>
  </si>
  <si>
    <t>Finance Leases Assets - Gross value</t>
  </si>
  <si>
    <t>153070</t>
  </si>
  <si>
    <t>Finance Leases Assets - Accumulated depreciation, depletion &amp; impairment</t>
  </si>
  <si>
    <t>153080</t>
  </si>
  <si>
    <t>Finance Leases Assets - Net</t>
  </si>
  <si>
    <t xml:space="preserve">   </t>
  </si>
  <si>
    <t>153001</t>
  </si>
  <si>
    <t xml:space="preserve"> Property, plant and equipment - Gross value</t>
  </si>
  <si>
    <t>153002</t>
  </si>
  <si>
    <t xml:space="preserve"> Property, plant and equipment - Accumulated depreciation, depletion &amp; impairment</t>
  </si>
  <si>
    <t>153000</t>
  </si>
  <si>
    <t xml:space="preserve"> Property, plant and equipment - Net</t>
  </si>
  <si>
    <t>BR0026</t>
  </si>
  <si>
    <t>155234</t>
  </si>
  <si>
    <t>Intangible Assets - Customer Relationships - Gross value</t>
  </si>
  <si>
    <t>155238</t>
  </si>
  <si>
    <t xml:space="preserve"> Intangible Assets - Customer Relationships - Accumulated amortization</t>
  </si>
  <si>
    <t>155230</t>
  </si>
  <si>
    <t>Intangible Assets - Customer Relationships - Net</t>
  </si>
  <si>
    <t>155244</t>
  </si>
  <si>
    <t>Intangible Assets - Mining Rights - Gross value</t>
  </si>
  <si>
    <t>155248</t>
  </si>
  <si>
    <t>Intangible Assets - Mining Rights - Accumulated amortization</t>
  </si>
  <si>
    <t>155240</t>
  </si>
  <si>
    <t>Intangible Assets - Mining Rights - Net</t>
  </si>
  <si>
    <t>155254</t>
  </si>
  <si>
    <t>Intangible Assets - Software - Gross value</t>
  </si>
  <si>
    <t>155258</t>
  </si>
  <si>
    <t>Intangible Assets - Software - Accumulated amortization</t>
  </si>
  <si>
    <t>155250</t>
  </si>
  <si>
    <t>Intangible Assets - Software - Net</t>
  </si>
  <si>
    <t>155264</t>
  </si>
  <si>
    <t>Intangible Assets - Developed Technology - Gross value</t>
  </si>
  <si>
    <t>155268</t>
  </si>
  <si>
    <t>Intangible Assets - Developed Technology - Accumulated amortization</t>
  </si>
  <si>
    <t>155260</t>
  </si>
  <si>
    <t>Intangible Assets - Developed Technology - Net</t>
  </si>
  <si>
    <t>155274</t>
  </si>
  <si>
    <t>Intangible Assets - Trademarks - Gross value</t>
  </si>
  <si>
    <t>155278</t>
  </si>
  <si>
    <t>Intangible Assets - Trademarks - Accumulated amortization</t>
  </si>
  <si>
    <t>155270</t>
  </si>
  <si>
    <t>Intangible Assets - Trademarks - Net</t>
  </si>
  <si>
    <t>155284</t>
  </si>
  <si>
    <t>Intangible Assets - Other - Gross value</t>
  </si>
  <si>
    <t>155288</t>
  </si>
  <si>
    <t>Intangible Assets - Other - Accumulated amortization</t>
  </si>
  <si>
    <t>155280</t>
  </si>
  <si>
    <t>Intangible Assets - Other - Net</t>
  </si>
  <si>
    <t>155210</t>
  </si>
  <si>
    <t>Total other intangible assets - Gross value (Until 2026.01)</t>
  </si>
  <si>
    <t>155220</t>
  </si>
  <si>
    <t>Total other intangible assets - Accumulated amortization (Until 2026.01)</t>
  </si>
  <si>
    <t>155290</t>
  </si>
  <si>
    <t>Total other intangible assets - Net (Until 2026.01)</t>
  </si>
  <si>
    <t>BR0027</t>
  </si>
  <si>
    <t>155204</t>
  </si>
  <si>
    <t>Total intangible assets - Gross value</t>
  </si>
  <si>
    <t>155208</t>
  </si>
  <si>
    <t>Total intangible assets - Accumulated amortization</t>
  </si>
  <si>
    <t>155200</t>
  </si>
  <si>
    <t>Total intangible assets - Net</t>
  </si>
  <si>
    <t>BR0028</t>
  </si>
  <si>
    <t>155130</t>
  </si>
  <si>
    <t>Local goodwill -  Gross value</t>
  </si>
  <si>
    <t>155150</t>
  </si>
  <si>
    <t>Local goodwill -  Accumulated impairment</t>
  </si>
  <si>
    <t>155140</t>
  </si>
  <si>
    <t>Corporate goodwill -  Gross value</t>
  </si>
  <si>
    <t>155160</t>
  </si>
  <si>
    <t>Corporate goodwill -  Accumulated impairment</t>
  </si>
  <si>
    <t>155100</t>
  </si>
  <si>
    <t>Goodwill - Net</t>
  </si>
  <si>
    <t>BR0029</t>
  </si>
  <si>
    <t>153169</t>
  </si>
  <si>
    <t>RoUA Op. Lease Land and Mineral reserve</t>
  </si>
  <si>
    <t>153269</t>
  </si>
  <si>
    <t>RoUA Op. Lease Buildings and install</t>
  </si>
  <si>
    <t>153369</t>
  </si>
  <si>
    <t>RoUA Op. Lease Machines</t>
  </si>
  <si>
    <t>153469</t>
  </si>
  <si>
    <t>RoUA Op. Lease Furniture., vehicles, tools</t>
  </si>
  <si>
    <t>153069</t>
  </si>
  <si>
    <t>Operating lease right-of-use assets</t>
  </si>
  <si>
    <t>155310</t>
  </si>
  <si>
    <t>Deferred tax assets</t>
  </si>
  <si>
    <t>BR0031</t>
  </si>
  <si>
    <t>155700</t>
  </si>
  <si>
    <t>Pension assets</t>
  </si>
  <si>
    <t>BR0032</t>
  </si>
  <si>
    <t>150000</t>
  </si>
  <si>
    <t>Total LT assets</t>
  </si>
  <si>
    <t>BR0034</t>
  </si>
  <si>
    <t>100000</t>
  </si>
  <si>
    <t>Total assets</t>
  </si>
  <si>
    <t>BR0036</t>
  </si>
  <si>
    <t>211942</t>
  </si>
  <si>
    <t>Accounts payables trade - GR</t>
  </si>
  <si>
    <t>211952</t>
  </si>
  <si>
    <t>Accounts payables trade - JV/AS</t>
  </si>
  <si>
    <t>211970</t>
  </si>
  <si>
    <t>Accounts payables trade - TP</t>
  </si>
  <si>
    <t>211960</t>
  </si>
  <si>
    <t>Advance payments from customers - TP</t>
  </si>
  <si>
    <t>211200</t>
  </si>
  <si>
    <t>Total trade accounts payables</t>
  </si>
  <si>
    <t>BR0038</t>
  </si>
  <si>
    <t>211110</t>
  </si>
  <si>
    <t>ST financial liabilities - GR</t>
  </si>
  <si>
    <t>211120</t>
  </si>
  <si>
    <t>ST financial liabilities - JV/AS</t>
  </si>
  <si>
    <t>211131</t>
  </si>
  <si>
    <t>ST financial liabilities - TP</t>
  </si>
  <si>
    <t>211132</t>
  </si>
  <si>
    <t>Bank overdrafts</t>
  </si>
  <si>
    <t>211140</t>
  </si>
  <si>
    <t>Current portion of LT financial liabilities - GR</t>
  </si>
  <si>
    <t>211150</t>
  </si>
  <si>
    <t>Current portion of LT financial liabilities - JV/AS</t>
  </si>
  <si>
    <t>211152</t>
  </si>
  <si>
    <t>Current portion of LT lease liabilities - JV/AS</t>
  </si>
  <si>
    <t>211160</t>
  </si>
  <si>
    <t>Current portion of LT financial liabilities - TP</t>
  </si>
  <si>
    <t>211162</t>
  </si>
  <si>
    <t>Current portion of LT lease liabilities - TP</t>
  </si>
  <si>
    <t>211199E</t>
  </si>
  <si>
    <t>Elimination ST financial receivables and liabilities</t>
  </si>
  <si>
    <t>211100</t>
  </si>
  <si>
    <t>Total current financial liabilities</t>
  </si>
  <si>
    <t>211133</t>
  </si>
  <si>
    <t>ST derivative liabilities - TP</t>
  </si>
  <si>
    <t>BR0042</t>
  </si>
  <si>
    <t>211990</t>
  </si>
  <si>
    <t>Current income tax payable</t>
  </si>
  <si>
    <t>211991</t>
  </si>
  <si>
    <t>ST uncertain income tax liabilities</t>
  </si>
  <si>
    <t>211992</t>
  </si>
  <si>
    <t>Current income tax liabilities</t>
  </si>
  <si>
    <t>BR0044</t>
  </si>
  <si>
    <t>211910</t>
  </si>
  <si>
    <t>Advance int received, accrued int, dividends payable - GR</t>
  </si>
  <si>
    <t>211920</t>
  </si>
  <si>
    <t>Advance int received, accrued int, dividends payable - JV/AS</t>
  </si>
  <si>
    <t>211930</t>
  </si>
  <si>
    <t>Advance int received, accrued int, dividends payable - TP</t>
  </si>
  <si>
    <t>211943</t>
  </si>
  <si>
    <t>Oth current liabilities - GR</t>
  </si>
  <si>
    <t>211953</t>
  </si>
  <si>
    <t>Oth current liabilities - JV/AS</t>
  </si>
  <si>
    <t>211981</t>
  </si>
  <si>
    <t>Oth current liabilities - TP - others</t>
  </si>
  <si>
    <t>211976</t>
  </si>
  <si>
    <t>Oth current liabilities - CAPEX payables - TP</t>
  </si>
  <si>
    <t>211977</t>
  </si>
  <si>
    <t>Oth current liabilities - Financial investment payables - TP</t>
  </si>
  <si>
    <t>211978</t>
  </si>
  <si>
    <t>Oth curr liab - Sev pymt + oth non pension empl benefit - TP</t>
  </si>
  <si>
    <t>211959</t>
  </si>
  <si>
    <t>Current portion of LT operating lease liabilities - TP</t>
  </si>
  <si>
    <t>211969</t>
  </si>
  <si>
    <t>ST operating lease liabilities - TP (US GAAP)</t>
  </si>
  <si>
    <t>211997E</t>
  </si>
  <si>
    <t>Elimination of interests</t>
  </si>
  <si>
    <t>211998E</t>
  </si>
  <si>
    <t>Elimination of dividends</t>
  </si>
  <si>
    <t>211999E</t>
  </si>
  <si>
    <t>Elimination of trade</t>
  </si>
  <si>
    <t>211900</t>
  </si>
  <si>
    <t>Total other current liabilities</t>
  </si>
  <si>
    <t>BR0046</t>
  </si>
  <si>
    <t>211982</t>
  </si>
  <si>
    <t>ST provisions from TP</t>
  </si>
  <si>
    <t>BR0048</t>
  </si>
  <si>
    <t>211975</t>
  </si>
  <si>
    <t>Liabilities directly associated with assets classified as held for sale</t>
  </si>
  <si>
    <t>211000</t>
  </si>
  <si>
    <t>Total current liabilities</t>
  </si>
  <si>
    <t>BR0052</t>
  </si>
  <si>
    <t>215110</t>
  </si>
  <si>
    <t>LT financial liabilities - GR</t>
  </si>
  <si>
    <t>215120</t>
  </si>
  <si>
    <t>LT financial liabilities - JV/AS</t>
  </si>
  <si>
    <t>215122</t>
  </si>
  <si>
    <t>LT lease liabilities - JV/AS</t>
  </si>
  <si>
    <t>215130</t>
  </si>
  <si>
    <t>LT financial liabilities- TP</t>
  </si>
  <si>
    <t>215132</t>
  </si>
  <si>
    <t>LT lease liabilities - TP</t>
  </si>
  <si>
    <t>215999E</t>
  </si>
  <si>
    <t>Elimination of LT financial liabilities</t>
  </si>
  <si>
    <t>215100</t>
  </si>
  <si>
    <t>Total LT financial liabilities</t>
  </si>
  <si>
    <t>BR0054</t>
  </si>
  <si>
    <t>215134</t>
  </si>
  <si>
    <t>LT Derivative liabilities - TP</t>
  </si>
  <si>
    <t>BR0056</t>
  </si>
  <si>
    <t>215530</t>
  </si>
  <si>
    <t>Provision for pensions &amp; oth post-employment benefit plans</t>
  </si>
  <si>
    <t>BR0058</t>
  </si>
  <si>
    <t>215510</t>
  </si>
  <si>
    <t>Deferred income taxes</t>
  </si>
  <si>
    <t>215520</t>
  </si>
  <si>
    <t>LT provisions</t>
  </si>
  <si>
    <t>BR0062</t>
  </si>
  <si>
    <t>215569</t>
  </si>
  <si>
    <t>LT operating lease liability - TP (US GAAP)</t>
  </si>
  <si>
    <t>BR0063</t>
  </si>
  <si>
    <t>215610</t>
  </si>
  <si>
    <t>LT income tax liabilities</t>
  </si>
  <si>
    <t>BR0064</t>
  </si>
  <si>
    <t>215000</t>
  </si>
  <si>
    <t>Total LT liabilities</t>
  </si>
  <si>
    <t>BR0066</t>
  </si>
  <si>
    <t>210000</t>
  </si>
  <si>
    <t>Total liabilities</t>
  </si>
  <si>
    <t>BR0068</t>
  </si>
  <si>
    <t>231099</t>
  </si>
  <si>
    <t>Issued capital</t>
  </si>
  <si>
    <t>231300</t>
  </si>
  <si>
    <t>Capital surplus (discount)</t>
  </si>
  <si>
    <t>BR0072</t>
  </si>
  <si>
    <t>233000</t>
  </si>
  <si>
    <t>Treasury shares Amrize Ltd.</t>
  </si>
  <si>
    <t>BR0074</t>
  </si>
  <si>
    <t>235100</t>
  </si>
  <si>
    <t>Reserves</t>
  </si>
  <si>
    <t>235200</t>
  </si>
  <si>
    <t>Prior years retained earnings</t>
  </si>
  <si>
    <t>235201</t>
  </si>
  <si>
    <t>CY retained earnings (Net income)</t>
  </si>
  <si>
    <t>235210</t>
  </si>
  <si>
    <t>Retained earnings - corporate goodwill impact</t>
  </si>
  <si>
    <t>235300</t>
  </si>
  <si>
    <t>Currency translation adjustments</t>
  </si>
  <si>
    <t>235301</t>
  </si>
  <si>
    <t>Tax effect on currency translation adjustments</t>
  </si>
  <si>
    <t>235302</t>
  </si>
  <si>
    <t>Currency translation adjustments - corporate goodwill</t>
  </si>
  <si>
    <t>235305</t>
  </si>
  <si>
    <t>Net investment hedge</t>
  </si>
  <si>
    <t>235310</t>
  </si>
  <si>
    <t>Tax effect on net investment hedge</t>
  </si>
  <si>
    <t>235405</t>
  </si>
  <si>
    <t>Deferred cost of hedging equity reserve</t>
  </si>
  <si>
    <t>235505</t>
  </si>
  <si>
    <t>Perpetual bond</t>
  </si>
  <si>
    <t>235606</t>
  </si>
  <si>
    <t>Fair value through OCE equity reserve</t>
  </si>
  <si>
    <t>235611</t>
  </si>
  <si>
    <t>Tax effect on strategic equity inv at fair value through OCE</t>
  </si>
  <si>
    <t>235705</t>
  </si>
  <si>
    <t>Cash flow hedges</t>
  </si>
  <si>
    <t>235710</t>
  </si>
  <si>
    <t>Tax effect on cash flow hedges</t>
  </si>
  <si>
    <t>235805</t>
  </si>
  <si>
    <t>Actual (gain) loss on prov pensions &amp; oth post-employment benef plans</t>
  </si>
  <si>
    <t>235810</t>
  </si>
  <si>
    <t>Return on plan assets excl int income</t>
  </si>
  <si>
    <t>235815</t>
  </si>
  <si>
    <t>Change in the eff of the asset ceiling excl int income</t>
  </si>
  <si>
    <t>235820</t>
  </si>
  <si>
    <t>Tax eff on prov pensions &amp; oth post-employment benef plans</t>
  </si>
  <si>
    <t>235905</t>
  </si>
  <si>
    <t>Amounts recognized in equity rel to AHFS</t>
  </si>
  <si>
    <t>235910</t>
  </si>
  <si>
    <t>Tax effect on amounts recognized in equity rel to AHFS</t>
  </si>
  <si>
    <t>235920</t>
  </si>
  <si>
    <t>Charges (credit) arising on transactions with NC int</t>
  </si>
  <si>
    <t>235000</t>
  </si>
  <si>
    <t>Total reserves and retained earnings</t>
  </si>
  <si>
    <t>BR0076</t>
  </si>
  <si>
    <t>250000</t>
  </si>
  <si>
    <t>Interest of NC shareholders in equity</t>
  </si>
  <si>
    <t>BR0078</t>
  </si>
  <si>
    <t>220000</t>
  </si>
  <si>
    <t>Total shareholders equity (including NCI)</t>
  </si>
  <si>
    <t>200000</t>
  </si>
  <si>
    <t>Total liabilities and shareholders equity</t>
  </si>
  <si>
    <t>BR0082</t>
  </si>
  <si>
    <t>BR0084</t>
  </si>
  <si>
    <t>CH0000</t>
  </si>
  <si>
    <t>Check (s/b zero)</t>
  </si>
  <si>
    <t>Statement of Cash Flow - YTD</t>
  </si>
  <si>
    <t>Period length: Cumulated</t>
  </si>
  <si>
    <t>CASH FLOW FROM OPERATING ACTIVITIES</t>
  </si>
  <si>
    <t>601</t>
  </si>
  <si>
    <t>602</t>
  </si>
  <si>
    <t>Depreciation of PPE and LT assets</t>
  </si>
  <si>
    <t>603</t>
  </si>
  <si>
    <t>604</t>
  </si>
  <si>
    <t>Depreciation of RoUA</t>
  </si>
  <si>
    <t>604A</t>
  </si>
  <si>
    <t>Right-of-Use Assets - Operating Expense (US GAAP)</t>
  </si>
  <si>
    <t>Share of profits of joint ventures</t>
  </si>
  <si>
    <t>605</t>
  </si>
  <si>
    <t>606</t>
  </si>
  <si>
    <t>Restructuring, litigations and other non-recurring costs</t>
  </si>
  <si>
    <t>607</t>
  </si>
  <si>
    <t>Restructuring, litigation and other one-offs</t>
  </si>
  <si>
    <t>608</t>
  </si>
  <si>
    <t>Non cash effective litigation and restructuring ST and LT provisions</t>
  </si>
  <si>
    <t>Employee benefits and other operating items</t>
  </si>
  <si>
    <t>609</t>
  </si>
  <si>
    <t>610</t>
  </si>
  <si>
    <t>Gain (losses) on reassesment and modification of leases</t>
  </si>
  <si>
    <t>611</t>
  </si>
  <si>
    <t>Cash effective litigation of ST and LT provisions</t>
  </si>
  <si>
    <t>612</t>
  </si>
  <si>
    <t>Cash effective pensions provisions</t>
  </si>
  <si>
    <t>613</t>
  </si>
  <si>
    <t>Non cash effective pensions provIsions</t>
  </si>
  <si>
    <t>614</t>
  </si>
  <si>
    <t>Non cash effective site restoration and other provisions</t>
  </si>
  <si>
    <t>614_01</t>
  </si>
  <si>
    <t>Share-based compensation</t>
  </si>
  <si>
    <t>Dividends received</t>
  </si>
  <si>
    <t>615</t>
  </si>
  <si>
    <t>Dividends received - GR</t>
  </si>
  <si>
    <t>616</t>
  </si>
  <si>
    <t>Dividends received - JV</t>
  </si>
  <si>
    <t>617</t>
  </si>
  <si>
    <t>Dividends received - AS/TP</t>
  </si>
  <si>
    <t>Net financial expenses paid</t>
  </si>
  <si>
    <t>Financial income received</t>
  </si>
  <si>
    <t>619</t>
  </si>
  <si>
    <t>Financial income received - GR</t>
  </si>
  <si>
    <t>620</t>
  </si>
  <si>
    <t>Financial income received - JV/AS/TP</t>
  </si>
  <si>
    <t>Financial expenses paid</t>
  </si>
  <si>
    <t>621</t>
  </si>
  <si>
    <t>Financial expenses paid - GR</t>
  </si>
  <si>
    <t>622</t>
  </si>
  <si>
    <t>Financial expenses paid - JV/AS/TP</t>
  </si>
  <si>
    <t>623</t>
  </si>
  <si>
    <t>Financial expenses paid - Interests on leases - JV/AS/TP</t>
  </si>
  <si>
    <t>Cash effective exchange gains (losses)</t>
  </si>
  <si>
    <t>624</t>
  </si>
  <si>
    <t>625</t>
  </si>
  <si>
    <t>Elim of cash effective exchange gains (losses)</t>
  </si>
  <si>
    <t>626</t>
  </si>
  <si>
    <t>Income taxes (paid)</t>
  </si>
  <si>
    <t>Cash impact of other non operating inc (exp)</t>
  </si>
  <si>
    <t>627</t>
  </si>
  <si>
    <t>Cash effective inc (exp) on non-oper assets - GR</t>
  </si>
  <si>
    <t>628</t>
  </si>
  <si>
    <t>Cash effective inc (exp) on non-oper assets - JV/AS/TP</t>
  </si>
  <si>
    <t>629</t>
  </si>
  <si>
    <t>Unusual items</t>
  </si>
  <si>
    <t>630</t>
  </si>
  <si>
    <t>Change in inventories</t>
  </si>
  <si>
    <t>630_01</t>
  </si>
  <si>
    <t>Inventories</t>
  </si>
  <si>
    <t>630_02</t>
  </si>
  <si>
    <t>Inventory value adjustments</t>
  </si>
  <si>
    <t>Change in accounts receivable trade</t>
  </si>
  <si>
    <t>631</t>
  </si>
  <si>
    <t>De(In)crease accounts receivable trade - GR</t>
  </si>
  <si>
    <t>632</t>
  </si>
  <si>
    <t>De(In)crease accounts receivable trade - JV/AS/TP</t>
  </si>
  <si>
    <t>633</t>
  </si>
  <si>
    <t>Other provisions, write-offs and non-cash items - AR</t>
  </si>
  <si>
    <t>Change in accounts payable trade</t>
  </si>
  <si>
    <t>634</t>
  </si>
  <si>
    <t>In(De)crease accounts payable trade - GR</t>
  </si>
  <si>
    <t>635</t>
  </si>
  <si>
    <t>In(De)crease accounts payable trade - JV/AS/TP</t>
  </si>
  <si>
    <t>Change in net working capital</t>
  </si>
  <si>
    <t>Change in other receivables and liabilities</t>
  </si>
  <si>
    <t>636</t>
  </si>
  <si>
    <t>Cash effective restructuring of ST and LT provisions</t>
  </si>
  <si>
    <t>De(In)crease other current receivables</t>
  </si>
  <si>
    <t>637</t>
  </si>
  <si>
    <t>De(In)crease accounts receivable other - JV/AS/TP</t>
  </si>
  <si>
    <t>638</t>
  </si>
  <si>
    <t>De(In)crease accounts receivable other - GR</t>
  </si>
  <si>
    <t>639</t>
  </si>
  <si>
    <t>De(In)crease prepaid exp and other current assets</t>
  </si>
  <si>
    <t>In(De)crease other current liabilities</t>
  </si>
  <si>
    <t>640</t>
  </si>
  <si>
    <t>In(De)crease other current liabilities - GR</t>
  </si>
  <si>
    <t>641</t>
  </si>
  <si>
    <t>642</t>
  </si>
  <si>
    <t>In(De)crease other current liabilities - JV/AS/TP</t>
  </si>
  <si>
    <t>643</t>
  </si>
  <si>
    <t>Site restoration provision cash out</t>
  </si>
  <si>
    <t>644</t>
  </si>
  <si>
    <t>Cash effective other provisions</t>
  </si>
  <si>
    <t>Total change in working capital</t>
  </si>
  <si>
    <t>698</t>
  </si>
  <si>
    <t>Operating lease liabilities - US GAAP</t>
  </si>
  <si>
    <t>Cash flow from operating activities</t>
  </si>
  <si>
    <t>CASH FLOW FROM INVESTING ACTIVITIES</t>
  </si>
  <si>
    <t>Investment to maintain production capacity and competition</t>
  </si>
  <si>
    <t>645</t>
  </si>
  <si>
    <t>Addit to PPE strict maintenance - Maintain</t>
  </si>
  <si>
    <t>646</t>
  </si>
  <si>
    <t>Addit to PPE compliance - Sustain</t>
  </si>
  <si>
    <t>647</t>
  </si>
  <si>
    <t>Addit to PPE safety - Sustain</t>
  </si>
  <si>
    <t>648</t>
  </si>
  <si>
    <t>Addit to PPE land and mineral reserves - Replace</t>
  </si>
  <si>
    <t>649</t>
  </si>
  <si>
    <t>Addit to PPE revamping - Replace</t>
  </si>
  <si>
    <t>650</t>
  </si>
  <si>
    <t>Addit to PPE GR infra - Replace</t>
  </si>
  <si>
    <t>Investment to develop</t>
  </si>
  <si>
    <t>651</t>
  </si>
  <si>
    <t>Addit to PPE Efficiency - CAPEX to improv cost and perf</t>
  </si>
  <si>
    <t>652</t>
  </si>
  <si>
    <t>Addit to PPE Productivity - CAPEX to improv cost and perf</t>
  </si>
  <si>
    <t>653</t>
  </si>
  <si>
    <t>Addit to PPE GR infra -Transf and innov - CAPEX to innovate</t>
  </si>
  <si>
    <t>654</t>
  </si>
  <si>
    <t>Addit to PPE capacity expansion - CAPEX to grow organic</t>
  </si>
  <si>
    <t>Purchase of PPE (before grants)</t>
  </si>
  <si>
    <t>Grants</t>
  </si>
  <si>
    <t>691</t>
  </si>
  <si>
    <t>Grants - Investment to maintain production capacity and competitiveness</t>
  </si>
  <si>
    <t>693</t>
  </si>
  <si>
    <t>Grants - Investment to develop</t>
  </si>
  <si>
    <t>Purchase of PPE (net of grants)</t>
  </si>
  <si>
    <t>655</t>
  </si>
  <si>
    <t>Proceeds from sale of PPE</t>
  </si>
  <si>
    <t>655_01</t>
  </si>
  <si>
    <t>Disposal of PPE - A/R</t>
  </si>
  <si>
    <t>655_02</t>
  </si>
  <si>
    <t>Cash effective proceeds from sale of PPE</t>
  </si>
  <si>
    <t>Net (additions) proceeds from PPE</t>
  </si>
  <si>
    <t>Disp (Acq) of GR/Subsidiaries</t>
  </si>
  <si>
    <t>656</t>
  </si>
  <si>
    <t>Disp (Acq) of GR/Subsidiaries - Sold to (Acq from) - GR</t>
  </si>
  <si>
    <t>657</t>
  </si>
  <si>
    <t>Disp (Acq) of GR/Subsidiaries - Sold to (Acq from) - JV/AS/TP</t>
  </si>
  <si>
    <t>De(In)crease in partic in JV/AS/TP</t>
  </si>
  <si>
    <t>658</t>
  </si>
  <si>
    <t>De(In)crease in partic in JV/AS/TP - Sold to (Acq from) GR</t>
  </si>
  <si>
    <t>659</t>
  </si>
  <si>
    <t>De(In)crease in partic in JV/AS/TP - Sold (Acq) JV/AS/TP</t>
  </si>
  <si>
    <t>659_01</t>
  </si>
  <si>
    <t>Fin investment - TP - acq cost increase/purchase</t>
  </si>
  <si>
    <t>659_02</t>
  </si>
  <si>
    <t>Fin investment - JV/AS/TP - cash effective sale/purchase price</t>
  </si>
  <si>
    <t>De(In)crease ST financial receivables</t>
  </si>
  <si>
    <t>660</t>
  </si>
  <si>
    <t>De(In)crease ST financial receivables - GR</t>
  </si>
  <si>
    <t>661</t>
  </si>
  <si>
    <t>De(In)crease ST financial receivables - JV/AS/TP</t>
  </si>
  <si>
    <t>De(In)crease LT financial receivables</t>
  </si>
  <si>
    <t>662</t>
  </si>
  <si>
    <t>De(In)crease LT financial receivables - GR</t>
  </si>
  <si>
    <t>663</t>
  </si>
  <si>
    <t>De(In)crease LT financial receivables - JV/AS/TP</t>
  </si>
  <si>
    <t>De(In)crease intangible assets</t>
  </si>
  <si>
    <t>664</t>
  </si>
  <si>
    <t>De(In)crease intg assets, other LT, non-current assets HFS</t>
  </si>
  <si>
    <t>De(In)crease marketable securities</t>
  </si>
  <si>
    <t>665</t>
  </si>
  <si>
    <t>De(In)crease marketable securities - GR</t>
  </si>
  <si>
    <t>666</t>
  </si>
  <si>
    <t>De(In)crease marketable securities - JV/AS/TP</t>
  </si>
  <si>
    <t>Net financial (in)divestments</t>
  </si>
  <si>
    <t>Cash flow from investing activities</t>
  </si>
  <si>
    <t>CASH FLOW FROM FINANCING ACTIVITIES</t>
  </si>
  <si>
    <t>Dividends paid</t>
  </si>
  <si>
    <t>667</t>
  </si>
  <si>
    <t>Dividends paid - GR</t>
  </si>
  <si>
    <t>668</t>
  </si>
  <si>
    <t>Dividends paid - JV/AS/TP</t>
  </si>
  <si>
    <t>669</t>
  </si>
  <si>
    <t>Elimination diff dividends (paid) - GR</t>
  </si>
  <si>
    <t>Equity capital paid in (repaid)</t>
  </si>
  <si>
    <t>670</t>
  </si>
  <si>
    <t>Equity capital paid in (repaid) - GR</t>
  </si>
  <si>
    <t>671</t>
  </si>
  <si>
    <t>Equity capital paid in (repaid) - JV/AS/TP</t>
  </si>
  <si>
    <t>672</t>
  </si>
  <si>
    <t>Proceeds from (repayments of) perpetual bond</t>
  </si>
  <si>
    <t>673</t>
  </si>
  <si>
    <t>Coupon paid on perpetual bond</t>
  </si>
  <si>
    <t>674</t>
  </si>
  <si>
    <t>Cash flow from treasury shares Amrize Ltd.</t>
  </si>
  <si>
    <t>De(In)crease in partic in GR and Subsidiary</t>
  </si>
  <si>
    <t>675</t>
  </si>
  <si>
    <t>De(In)crease in partic in GR/Subsidiary - Sold (Acq) GR</t>
  </si>
  <si>
    <t>676</t>
  </si>
  <si>
    <t>De(In)crease in partic in GR/Subsid - Sold (Acq) JV/AS/TP</t>
  </si>
  <si>
    <t>In(De)crease ST financial liabilities</t>
  </si>
  <si>
    <t>677</t>
  </si>
  <si>
    <t>Increase ST financial liabilities - GR</t>
  </si>
  <si>
    <t>678</t>
  </si>
  <si>
    <t>Increase ST financial liabilities - JV/AS/TP</t>
  </si>
  <si>
    <t>679</t>
  </si>
  <si>
    <t>Decrease ST financial liabilities - GR</t>
  </si>
  <si>
    <t>680</t>
  </si>
  <si>
    <t>Decrease ST financial liabilities - JV/AS/TP</t>
  </si>
  <si>
    <t>681</t>
  </si>
  <si>
    <t>Elim diff in ST financial receivables + liabilities - GR</t>
  </si>
  <si>
    <t>Change in LT financial liabilities</t>
  </si>
  <si>
    <t>Proceeds from LT financial liabilities (incl. ST portion)</t>
  </si>
  <si>
    <t>682</t>
  </si>
  <si>
    <t>Proceeds from LT financial liab - GR</t>
  </si>
  <si>
    <t>683</t>
  </si>
  <si>
    <t>Proceeds from LT financial liab - JV/AS/TP</t>
  </si>
  <si>
    <t>684</t>
  </si>
  <si>
    <t>Elim diff in LT financial receivable and liab - GR</t>
  </si>
  <si>
    <t>685</t>
  </si>
  <si>
    <t>Repayment of LT leases JV/AS/TP</t>
  </si>
  <si>
    <t>685_01</t>
  </si>
  <si>
    <t>Lease liability decrease/disposal</t>
  </si>
  <si>
    <t>685_02</t>
  </si>
  <si>
    <t>Fin exp - interest on lease liabilities</t>
  </si>
  <si>
    <t>Repayment of LT financial liabilities</t>
  </si>
  <si>
    <t>Repayment of LT financial liabilities (incl ST portion)</t>
  </si>
  <si>
    <t>686</t>
  </si>
  <si>
    <t>Repayment of LT financial liab - GR</t>
  </si>
  <si>
    <t>687</t>
  </si>
  <si>
    <t>Repayment of LT financial liab JV/AS/TP</t>
  </si>
  <si>
    <t>Repayment of LT financial liabilities (incl LT portion)</t>
  </si>
  <si>
    <t>688</t>
  </si>
  <si>
    <t>Repayment of LT financing liab - GR</t>
  </si>
  <si>
    <t>689</t>
  </si>
  <si>
    <t>Repayment of LT financing liab - JV/AS/TP</t>
  </si>
  <si>
    <t>690</t>
  </si>
  <si>
    <t>Elim diff in LT financial receivables and liabilities - GR</t>
  </si>
  <si>
    <t>Cash flow from financing activities</t>
  </si>
  <si>
    <t>692</t>
  </si>
  <si>
    <t>In(De)crease in cash and cash equivalents</t>
  </si>
  <si>
    <t>600</t>
  </si>
  <si>
    <t>Cash and cash equivalents at the start of the year</t>
  </si>
  <si>
    <t>697</t>
  </si>
  <si>
    <t>694</t>
  </si>
  <si>
    <t>Effects of exchange rate changes on cash and cash equivalents</t>
  </si>
  <si>
    <t>696</t>
  </si>
  <si>
    <t>Cash and cash equivalents at the end of the period</t>
  </si>
  <si>
    <t>FREE CASH FLOW</t>
  </si>
  <si>
    <t>Free cash flow</t>
  </si>
  <si>
    <t>Free cash flow after leases</t>
  </si>
  <si>
    <t>Free cash flow after leases (before group fees)</t>
  </si>
  <si>
    <t>Cash conversion ratio after lease (before group fees)</t>
  </si>
  <si>
    <t>Cash conversion ratio (new)</t>
  </si>
  <si>
    <t>Free cash flow margin</t>
  </si>
  <si>
    <t>Statement of Cash Flow - QTD</t>
  </si>
  <si>
    <t>Period length: Quarter to date</t>
  </si>
  <si>
    <t>Statement of Cash Flow - MTD</t>
  </si>
  <si>
    <t>Period length: Monthly</t>
  </si>
  <si>
    <t>Income Statement By Segment - YTD</t>
  </si>
  <si>
    <t>Reporting period: May  2026</t>
  </si>
  <si>
    <t>TOTAL</t>
  </si>
  <si>
    <t>CLC</t>
  </si>
  <si>
    <t>MIC</t>
  </si>
  <si>
    <t>TRD</t>
  </si>
  <si>
    <t>CEM Elim</t>
  </si>
  <si>
    <t>Total CEM</t>
  </si>
  <si>
    <t>AGG</t>
  </si>
  <si>
    <t>RMX</t>
  </si>
  <si>
    <t>CEM/AGG/RMX Elim</t>
  </si>
  <si>
    <t>Building Materials</t>
  </si>
  <si>
    <t>CPR</t>
  </si>
  <si>
    <t>ASP</t>
  </si>
  <si>
    <t>COP</t>
  </si>
  <si>
    <t>RFG</t>
  </si>
  <si>
    <t>WPR</t>
  </si>
  <si>
    <t>DRM</t>
  </si>
  <si>
    <t>OSP</t>
  </si>
  <si>
    <t>S&amp;P Elim</t>
  </si>
  <si>
    <t>S&amp;P</t>
  </si>
  <si>
    <t>BM/S&amp;P Elim</t>
  </si>
  <si>
    <t>NOP</t>
  </si>
  <si>
    <t>NOP/OPS Elim</t>
  </si>
  <si>
    <t>Total NOP</t>
  </si>
  <si>
    <t>CEM</t>
  </si>
  <si>
    <t>205 - Statement of Cash Flows By Segment</t>
  </si>
  <si>
    <t>NOC</t>
  </si>
  <si>
    <t>Balance Sheet by Segment - YTD</t>
  </si>
  <si>
    <t>Reporting Period: May</t>
  </si>
  <si>
    <t>210B - Income Statement By Entity - Component</t>
  </si>
  <si>
    <t>Scenario: 2026 Actuals</t>
  </si>
  <si>
    <t>JM03(PARENT SEGM.)</t>
  </si>
  <si>
    <t>US94(PARENT SEGM.)</t>
  </si>
  <si>
    <t>US93(PARENT SEGM.)</t>
  </si>
  <si>
    <t>US92(PARENT SEGM.)</t>
  </si>
  <si>
    <t>US91(PARENT SEGM.)</t>
  </si>
  <si>
    <t>US84(PARENT SEGM.)</t>
  </si>
  <si>
    <t>US83(PARENT SEGM.)</t>
  </si>
  <si>
    <t>US82(PARENT SEGM.)</t>
  </si>
  <si>
    <t>US81(PARENT SEGM.)</t>
  </si>
  <si>
    <t>US78(PARENT SEGM.)</t>
  </si>
  <si>
    <t>US74(PARENT SEGM.)</t>
  </si>
  <si>
    <t>US73(PARENT SEGM.)</t>
  </si>
  <si>
    <t>US72(PARENT SEGM.)</t>
  </si>
  <si>
    <t>US71(PARENT SEGM.)</t>
  </si>
  <si>
    <t>US68(PARENT SEGM.)</t>
  </si>
  <si>
    <t>US67(PARENT SEGM.)</t>
  </si>
  <si>
    <t>US66(PARENT SEGM.)</t>
  </si>
  <si>
    <t>US65(PARENT SEGM.)</t>
  </si>
  <si>
    <t>US64(PARENT SEGM.)</t>
  </si>
  <si>
    <t>US63(PARENT SEGM.)</t>
  </si>
  <si>
    <t>US61(PARENT SEGM.)</t>
  </si>
  <si>
    <t>US59(PARENT SEGM.)</t>
  </si>
  <si>
    <t>US58(PARENT SEGM.)</t>
  </si>
  <si>
    <t>US57(PARENT SEGM.)</t>
  </si>
  <si>
    <t>US55(PARENT SEGM.)</t>
  </si>
  <si>
    <t>US52(PARENT SEGM.)</t>
  </si>
  <si>
    <t>US51(PARENT SEGM.)</t>
  </si>
  <si>
    <t>CA65(PARENT SEGM.)</t>
  </si>
  <si>
    <t>CA61(PARENT SEGM.)</t>
  </si>
  <si>
    <t>US95(PARENT SEGM.)</t>
  </si>
  <si>
    <t>321100</t>
  </si>
  <si>
    <t>321150</t>
  </si>
  <si>
    <t>Fuels/thermal energy (kiln)</t>
  </si>
  <si>
    <t>321160</t>
  </si>
  <si>
    <t>CO2 Emissions Costs (Cash)</t>
  </si>
  <si>
    <t>321170</t>
  </si>
  <si>
    <t>CO2 Emissions Costs (Non-Cash)</t>
  </si>
  <si>
    <t>321180</t>
  </si>
  <si>
    <t>CO2 Emissions Allowances Granted</t>
  </si>
  <si>
    <t>321200</t>
  </si>
  <si>
    <t>321250</t>
  </si>
  <si>
    <t>Electrical energy variable</t>
  </si>
  <si>
    <t>321300</t>
  </si>
  <si>
    <t>Production and distribution material</t>
  </si>
  <si>
    <t>321350</t>
  </si>
  <si>
    <t>Packing material</t>
  </si>
  <si>
    <t>321400</t>
  </si>
  <si>
    <t>Wear parts</t>
  </si>
  <si>
    <t>321490</t>
  </si>
  <si>
    <t>Labor expenses own variable</t>
  </si>
  <si>
    <t>321500</t>
  </si>
  <si>
    <t>Labor expenses subcontracted variable</t>
  </si>
  <si>
    <t>321540</t>
  </si>
  <si>
    <t>Labor expenses maintenance own variable</t>
  </si>
  <si>
    <t>321550</t>
  </si>
  <si>
    <t>Labor expenses maintenance subcontracted variable</t>
  </si>
  <si>
    <t>321600</t>
  </si>
  <si>
    <t>Third party transportation</t>
  </si>
  <si>
    <t>321650</t>
  </si>
  <si>
    <t>Outsourced activities</t>
  </si>
  <si>
    <t>321700</t>
  </si>
  <si>
    <t>Mining concessions and royalities</t>
  </si>
  <si>
    <t>323400</t>
  </si>
  <si>
    <t>Write-offs and allow. for bad and doubtful debts</t>
  </si>
  <si>
    <t>322100</t>
  </si>
  <si>
    <t>Electrical energy fixed</t>
  </si>
  <si>
    <t>322150</t>
  </si>
  <si>
    <t>Maintenance material</t>
  </si>
  <si>
    <t>322200</t>
  </si>
  <si>
    <t>Labor expenses own fixed</t>
  </si>
  <si>
    <t>322250</t>
  </si>
  <si>
    <t>Labor expenses subcontracted fixed</t>
  </si>
  <si>
    <t>322300</t>
  </si>
  <si>
    <t>Labor expenses maintenance own fixed</t>
  </si>
  <si>
    <t>322350</t>
  </si>
  <si>
    <t xml:space="preserve">Labor expenses maintenance subcontracted fixed	</t>
  </si>
  <si>
    <t>322400</t>
  </si>
  <si>
    <t>Other personnel expenses</t>
  </si>
  <si>
    <t>322450</t>
  </si>
  <si>
    <t>322459</t>
  </si>
  <si>
    <t>322500</t>
  </si>
  <si>
    <t>Third party services  maintenance</t>
  </si>
  <si>
    <t>322550</t>
  </si>
  <si>
    <t>Other cost center expenses</t>
  </si>
  <si>
    <t>322600</t>
  </si>
  <si>
    <t>By-products and other revenues</t>
  </si>
  <si>
    <t>322700</t>
  </si>
  <si>
    <t>Other provisions and write-offs</t>
  </si>
  <si>
    <t>322710</t>
  </si>
  <si>
    <t xml:space="preserve">Provision for inventory obsolescence </t>
  </si>
  <si>
    <t>322800</t>
  </si>
  <si>
    <t>322810</t>
  </si>
  <si>
    <t>323100</t>
  </si>
  <si>
    <t>323150</t>
  </si>
  <si>
    <t>Inter-unit production freight</t>
  </si>
  <si>
    <t>323200</t>
  </si>
  <si>
    <t>323300</t>
  </si>
  <si>
    <t>Inventory movements finished products</t>
  </si>
  <si>
    <t>323600</t>
  </si>
  <si>
    <t>Cost/revenues of CO2 emissions rights</t>
  </si>
  <si>
    <t xml:space="preserve">Other non-recurring costs </t>
  </si>
  <si>
    <t>Impairment of investment</t>
  </si>
  <si>
    <t>Impairment of right of use assets</t>
  </si>
  <si>
    <t>Accretion of asset retirement obligation (ARO) (NA only)</t>
  </si>
  <si>
    <t>Depreciation and amortization of RoUA</t>
  </si>
  <si>
    <t>391000</t>
  </si>
  <si>
    <t>Allocation of indirect costs before depreciation</t>
  </si>
  <si>
    <t>Allocation of indirect gains (losses) on reassesment, modification of leases and RoUA depreciation</t>
  </si>
  <si>
    <t>Elimination of net sales - GR (admin finance)</t>
  </si>
  <si>
    <t>Elimination of net sales - GR (marketing &amp; sales)</t>
  </si>
  <si>
    <t>Elimination of net sales - GR (distribution)</t>
  </si>
  <si>
    <t>Elimination of revenues - GR (production)</t>
  </si>
  <si>
    <t>Other unusual income (expenses) - Cash effective</t>
  </si>
  <si>
    <t>Other unusual income (expenses) - Non cash effective</t>
  </si>
  <si>
    <t>332220</t>
  </si>
  <si>
    <t>Other unusual income (expenses)</t>
  </si>
  <si>
    <t>Dividends earned - JV/AS</t>
  </si>
  <si>
    <t>314210</t>
  </si>
  <si>
    <t>Fin inc - JV/AS - Int earned on cash, cash equivalents</t>
  </si>
  <si>
    <t>314212</t>
  </si>
  <si>
    <t>Fin inc - JV/AS - Int earned on marketable securities</t>
  </si>
  <si>
    <t>314220</t>
  </si>
  <si>
    <t>Fin inc - JV/AS - Other fin inc</t>
  </si>
  <si>
    <t>314231</t>
  </si>
  <si>
    <t>Fin inc - JV/AS - Amortization</t>
  </si>
  <si>
    <t>314232</t>
  </si>
  <si>
    <t>Fin inc - JV/AS - Fair value change</t>
  </si>
  <si>
    <t>314240</t>
  </si>
  <si>
    <t>Fin inc - JV/AS - Int earned on fin assets</t>
  </si>
  <si>
    <t>314411</t>
  </si>
  <si>
    <t>Fin inc - TP - Int earned on cash, cash equivalents</t>
  </si>
  <si>
    <t>314412</t>
  </si>
  <si>
    <t>Fin inc - TP - Int earned on marketable securities</t>
  </si>
  <si>
    <t>314420</t>
  </si>
  <si>
    <t>Fin inc - TP - Other fin inc</t>
  </si>
  <si>
    <t>314431</t>
  </si>
  <si>
    <t>Fin inc - TP - Amortization</t>
  </si>
  <si>
    <t>314432</t>
  </si>
  <si>
    <t>Fin inc - TP - Fair value change</t>
  </si>
  <si>
    <t>314440</t>
  </si>
  <si>
    <t>Fin inc - TP - Int earned on other fin assets</t>
  </si>
  <si>
    <t>Elimination of financial income</t>
  </si>
  <si>
    <t>325210</t>
  </si>
  <si>
    <t>Fin exp - JV/AS - Int on fin liab</t>
  </si>
  <si>
    <t>325220</t>
  </si>
  <si>
    <t>Fin exp - JV/AS - Int on other liab</t>
  </si>
  <si>
    <t>325230</t>
  </si>
  <si>
    <t>Fin exp - JV/AS - Amortization</t>
  </si>
  <si>
    <t>325240</t>
  </si>
  <si>
    <t>Fin exp - JV/AS - Fair value change</t>
  </si>
  <si>
    <t>325250</t>
  </si>
  <si>
    <t>Fin exp - JV/AS - Other direct rel to a fin trans</t>
  </si>
  <si>
    <t>325260</t>
  </si>
  <si>
    <t>Fin exp - JV/AS - Other not direct rel to a fin trans</t>
  </si>
  <si>
    <t>325270</t>
  </si>
  <si>
    <t>Fin exp - JV/AS - Impairment</t>
  </si>
  <si>
    <t>325295</t>
  </si>
  <si>
    <t>Fin exp - JV/AS - Interest expense on lease liabilities - cash eff</t>
  </si>
  <si>
    <t>325296</t>
  </si>
  <si>
    <t>Fin exp - JV/AS - Interest expense on lease liabilities -non-cash eff</t>
  </si>
  <si>
    <t>325310</t>
  </si>
  <si>
    <t>Fin exp - TP - Int on fin liab</t>
  </si>
  <si>
    <t>325320</t>
  </si>
  <si>
    <t>Fin exp - TP - Int on other liab</t>
  </si>
  <si>
    <t>325330</t>
  </si>
  <si>
    <t>Fin exp - TP - Amortization</t>
  </si>
  <si>
    <t>325340</t>
  </si>
  <si>
    <t>Fin exp - TP - Fair value change</t>
  </si>
  <si>
    <t>325350</t>
  </si>
  <si>
    <t>Fin exp - TP - Other directly rel to a fin trans</t>
  </si>
  <si>
    <t>325360</t>
  </si>
  <si>
    <t>Fin expenses - TP - Other not direct rel to fin trans -cash eff</t>
  </si>
  <si>
    <t>325361</t>
  </si>
  <si>
    <t>Fin exp - TP -Other not direct rel to fin trans non-cash eff</t>
  </si>
  <si>
    <t>325362</t>
  </si>
  <si>
    <t>Fin. Expenses - TP - Unwinding of provisions cash eff</t>
  </si>
  <si>
    <t>325371</t>
  </si>
  <si>
    <t>Fin exp - TP - Impairment</t>
  </si>
  <si>
    <t>325390</t>
  </si>
  <si>
    <t>Capitalized financial expenses</t>
  </si>
  <si>
    <t>325395</t>
  </si>
  <si>
    <t>Fin exp - TP - Interest expense on lease liabilities - cash eff</t>
  </si>
  <si>
    <t>325396</t>
  </si>
  <si>
    <t>Fin exp - TP - Interest expense on lease liabilities -non-cash eff</t>
  </si>
  <si>
    <t>325400</t>
  </si>
  <si>
    <t>Foreign exchange gains (losses) - Realised</t>
  </si>
  <si>
    <t>325410</t>
  </si>
  <si>
    <t>Foreign exchange gains (losses) - Unrealised</t>
  </si>
  <si>
    <t>325451</t>
  </si>
  <si>
    <t>Net int inc (exp) on net pension liab/asset</t>
  </si>
  <si>
    <t>Undistributed earnings - JV/AS</t>
  </si>
  <si>
    <t>331180</t>
  </si>
  <si>
    <t>Other fees - GR</t>
  </si>
  <si>
    <t>331190</t>
  </si>
  <si>
    <t>Industrial Franchise Fee (IFF) - GR</t>
  </si>
  <si>
    <t>331210</t>
  </si>
  <si>
    <t>Rental income related to investment property - JV/AS</t>
  </si>
  <si>
    <t>331220</t>
  </si>
  <si>
    <t>Direct expenses related to invest property - JV/AS</t>
  </si>
  <si>
    <t>331230</t>
  </si>
  <si>
    <t>Oth inc (exp) on non-operating assets - JV/AS - Cash eff</t>
  </si>
  <si>
    <t>331231</t>
  </si>
  <si>
    <t>Oth inc (exp) on non-operating assets - JV/AS - Non-cash eff</t>
  </si>
  <si>
    <t>331310</t>
  </si>
  <si>
    <t>Rental income related to investment property - TP</t>
  </si>
  <si>
    <t>331320</t>
  </si>
  <si>
    <t>Direct expenses related to invest property - TP</t>
  </si>
  <si>
    <t>331330</t>
  </si>
  <si>
    <t>Oth inc (exp) on non-operating assets - TP - Cash eff</t>
  </si>
  <si>
    <t>331331</t>
  </si>
  <si>
    <t>Oth inc (exp) on non-operating assets - TP - Non-cash eff</t>
  </si>
  <si>
    <t>331332</t>
  </si>
  <si>
    <t>Cost of finished goods purchased - Elim Trading - TP</t>
  </si>
  <si>
    <t>Impairment of investment - AS</t>
  </si>
  <si>
    <t>Net income from discontinued operations (net of income tax)</t>
  </si>
  <si>
    <t>Int of NC shareholders in net income</t>
  </si>
  <si>
    <t>399999</t>
  </si>
  <si>
    <t>Net income (loss)</t>
  </si>
  <si>
    <t>211B - Balance Sheet By Entity - Component</t>
  </si>
  <si>
    <t>US56(PARENT SEGM.)</t>
  </si>
  <si>
    <t>A-GU51(PARENT SEGM.)</t>
  </si>
  <si>
    <t>111220</t>
  </si>
  <si>
    <t>Market securities - JV/AS/TP - Acq cost</t>
  </si>
  <si>
    <t>111225</t>
  </si>
  <si>
    <t>Market securities - JV/AS/TP - Impairment</t>
  </si>
  <si>
    <t>112120</t>
  </si>
  <si>
    <t>ST financial receiv - JV/AS - Acq cost</t>
  </si>
  <si>
    <t>112125</t>
  </si>
  <si>
    <t>ST financial receiv - JV/AS - Impairment</t>
  </si>
  <si>
    <t>112130</t>
  </si>
  <si>
    <t>ST financial receiv - TP - Acq cost</t>
  </si>
  <si>
    <t>112135</t>
  </si>
  <si>
    <t>ST financial receiv - TP - Impairment</t>
  </si>
  <si>
    <t>Allowances for doubtful financial receivables - JV/AS</t>
  </si>
  <si>
    <t>Allowances for doubtful financial receivables - TP</t>
  </si>
  <si>
    <t>Accounts receivable trade - GR</t>
  </si>
  <si>
    <t>Accounts receivable trade - JV/AS</t>
  </si>
  <si>
    <t xml:space="preserve">Allowances for doubtful accounts trade - JV/AS </t>
  </si>
  <si>
    <t>Allowances for doubtful accounts trade - TP</t>
  </si>
  <si>
    <t>Accounts receivable trade - TP</t>
  </si>
  <si>
    <t>Accounts receivable other – GR</t>
  </si>
  <si>
    <t>Accounts receivable other – JV/AS</t>
  </si>
  <si>
    <t>Accounts receivable other – TP</t>
  </si>
  <si>
    <t>Accounts receivable other – Disposal of PPE - TP</t>
  </si>
  <si>
    <t>Accounts receivable other – Disposal of Financial investments - TP</t>
  </si>
  <si>
    <t>119111</t>
  </si>
  <si>
    <t>Accrued dividends receivable - GR</t>
  </si>
  <si>
    <t>119112</t>
  </si>
  <si>
    <t>Prepaid int and accrued int receiv - GR</t>
  </si>
  <si>
    <t>119121</t>
  </si>
  <si>
    <t>Accrued dividends receivable - JV/AS</t>
  </si>
  <si>
    <t>119122</t>
  </si>
  <si>
    <t>Prepaid int and accrued int receiv - JV/AS</t>
  </si>
  <si>
    <t>119131</t>
  </si>
  <si>
    <t>Accrued dividends receivable - TP</t>
  </si>
  <si>
    <t>119132</t>
  </si>
  <si>
    <t>Prepaid int and accrued int receiv - TP</t>
  </si>
  <si>
    <t>119205</t>
  </si>
  <si>
    <t>Prepaid property taxes</t>
  </si>
  <si>
    <t>119210</t>
  </si>
  <si>
    <t>Prepaid indirect taxes</t>
  </si>
  <si>
    <t>119215</t>
  </si>
  <si>
    <t>Prepaid insurance</t>
  </si>
  <si>
    <t>119220</t>
  </si>
  <si>
    <t>Prepaid IT</t>
  </si>
  <si>
    <t>119225</t>
  </si>
  <si>
    <t>Prepaid rent</t>
  </si>
  <si>
    <t>119230</t>
  </si>
  <si>
    <t>Prepaid Royalties</t>
  </si>
  <si>
    <t>119235</t>
  </si>
  <si>
    <t>Pre-paid manufacturing - preventative maintenance costs</t>
  </si>
  <si>
    <t>Current income tax receivable/prepayment</t>
  </si>
  <si>
    <t>LT derivative assets – TP</t>
  </si>
  <si>
    <t>151111</t>
  </si>
  <si>
    <t>151111A</t>
  </si>
  <si>
    <t>Fin investments - GR - Adjust</t>
  </si>
  <si>
    <t>151111C</t>
  </si>
  <si>
    <t>Fin investment - GR - Elimination - Company</t>
  </si>
  <si>
    <t>151111H</t>
  </si>
  <si>
    <t>Fin investment - GR - Elimination - Holding</t>
  </si>
  <si>
    <t>151130</t>
  </si>
  <si>
    <t>Financial investments - TP - Acq cost</t>
  </si>
  <si>
    <t>151135</t>
  </si>
  <si>
    <t>Financial investments - TP - Impairment</t>
  </si>
  <si>
    <t>151520</t>
  </si>
  <si>
    <t>LT financial receiv - JV/AS - Acq cost</t>
  </si>
  <si>
    <t>151525</t>
  </si>
  <si>
    <t>LT financial receiv - JV/AS - Impairment</t>
  </si>
  <si>
    <t>151526</t>
  </si>
  <si>
    <t>Allow for doubtful LT fin receiv - JV/AS</t>
  </si>
  <si>
    <t>151530</t>
  </si>
  <si>
    <t>LT financial receiv - TP - Acq cost</t>
  </si>
  <si>
    <t>151535</t>
  </si>
  <si>
    <t>LT financial receiv - TP - Impairment</t>
  </si>
  <si>
    <t>151536</t>
  </si>
  <si>
    <t>Allow for doubtful LT financial receiv - TP</t>
  </si>
  <si>
    <t>Land and mineral reserves - Accumulated depreciation</t>
  </si>
  <si>
    <t>RoUA - Land and Mineral reserve - Gross value</t>
  </si>
  <si>
    <t>RoUA - Operating  Lease Land and Mineral reserve - Gross value - US GAAP</t>
  </si>
  <si>
    <t>RoUA - Land and mineral reserves - Accumulated depreciation</t>
  </si>
  <si>
    <t>RoUA - Buildings and installations - Gross value</t>
  </si>
  <si>
    <t>RoUA - Operating  Lease Buildings and installations - Gross value  - US GAAP</t>
  </si>
  <si>
    <t>RoUA - Buildings and installations - Accumulated depreciation</t>
  </si>
  <si>
    <t>RoUA - Machines - Gross value</t>
  </si>
  <si>
    <t>RoUA - Operating Lease Machines - Gross value - US GAAP</t>
  </si>
  <si>
    <t>RoUA - Machines - Accumulated depreciation</t>
  </si>
  <si>
    <t>RoUA - Furniture, vehicles and tools - Gross value</t>
  </si>
  <si>
    <t>RoUA - Operating  Lease Furniture, vehicles and tools - Gross value - US GAAP</t>
  </si>
  <si>
    <t>RoUA - Furniture, vehicles and tools - Accumulated depreciation</t>
  </si>
  <si>
    <t>Construction in progress - Gross value</t>
  </si>
  <si>
    <t>Construction in progress - Accumulated impairment</t>
  </si>
  <si>
    <t>RoUA - Prepaid Expenses - Gross value</t>
  </si>
  <si>
    <t>RoUA - Prepaid Expenses - Accumulated impairment</t>
  </si>
  <si>
    <t>Local goodwill - Gross value</t>
  </si>
  <si>
    <t>Corporate goodwill - Gross value</t>
  </si>
  <si>
    <t>Local goodwill - Acct impairment</t>
  </si>
  <si>
    <t>Corporate goodwill - Acct impairment</t>
  </si>
  <si>
    <t>Other intangible assets - Gross value</t>
  </si>
  <si>
    <t>Other intangible assets - Accumulated amortization</t>
  </si>
  <si>
    <t>Intangible Assets - Customer Relationships - Gross</t>
  </si>
  <si>
    <t>Intangible Assets - Customer Relationships - Acc Am</t>
  </si>
  <si>
    <t>Intangible Assets -  Mining Rights - Gross</t>
  </si>
  <si>
    <t>Intangible Assets -  Mining Rights - Acc Am</t>
  </si>
  <si>
    <t>Intangible Assets -  Software - Gross</t>
  </si>
  <si>
    <t>Intangible Assets -  Software - Acc Am</t>
  </si>
  <si>
    <t>Intangible Assets -  Developed Technology - Gross</t>
  </si>
  <si>
    <t>Intangible Assets -  Developed Technology - Acc Am</t>
  </si>
  <si>
    <t>Intangible Assets -  Trademarks - Gross</t>
  </si>
  <si>
    <t>Intangible Assets -  Trademarks - Acc Am</t>
  </si>
  <si>
    <t>Intangible Assets -  Other - Gross</t>
  </si>
  <si>
    <t>Intangible Assets -  Other - Acc Am</t>
  </si>
  <si>
    <t>Assets</t>
  </si>
  <si>
    <t>Liabilities from ST financing - JV/AS</t>
  </si>
  <si>
    <t>Liabilities from ST financing - TP</t>
  </si>
  <si>
    <t>Current portion of LT financing - JV/AS</t>
  </si>
  <si>
    <t>Current portion of LT lease liability - JV/AS</t>
  </si>
  <si>
    <t>Current portion of LT financing - TP</t>
  </si>
  <si>
    <t>Current portion of LT finance lease liability - TP</t>
  </si>
  <si>
    <t>Liabilities from ST financing - GR</t>
  </si>
  <si>
    <t>Current portion of LT financing - GR</t>
  </si>
  <si>
    <t>Elimination ST financial liabilities</t>
  </si>
  <si>
    <t>ST Derivative liabilities - TP</t>
  </si>
  <si>
    <t>Accounts payable trade - GR</t>
  </si>
  <si>
    <t>Accounts payable trade -  JV/AS</t>
  </si>
  <si>
    <t>ST operating lease liabilities TP - US GAAP</t>
  </si>
  <si>
    <t>Accounts payable trade - TP</t>
  </si>
  <si>
    <t>211911</t>
  </si>
  <si>
    <t>Dividends payable - GR</t>
  </si>
  <si>
    <t>211912</t>
  </si>
  <si>
    <t>Adv int rcvd, accrued int payable - GR</t>
  </si>
  <si>
    <t>211921</t>
  </si>
  <si>
    <t>Dividends payable - JV/AS</t>
  </si>
  <si>
    <t>211922</t>
  </si>
  <si>
    <t>Adv int rcvd and accrued int payable - JV/AS</t>
  </si>
  <si>
    <t>211931</t>
  </si>
  <si>
    <t>Dividends payable - TP</t>
  </si>
  <si>
    <t>211932</t>
  </si>
  <si>
    <t>Adv int rcvd and accrued int payable - TP</t>
  </si>
  <si>
    <t>Other current liabilities – CAPEX Payables – TP</t>
  </si>
  <si>
    <t>Other current liabilities – Financial investment Payables - TP</t>
  </si>
  <si>
    <t>Oth current liab - Severance payment and other employee benefit other than pension - TP</t>
  </si>
  <si>
    <t>Oth current liab - TP - others</t>
  </si>
  <si>
    <t>Other current liabilities - GR</t>
  </si>
  <si>
    <t>Oth current liab - JV/AS</t>
  </si>
  <si>
    <t>Current portion of LT operating lease liability - TP - US GAAP</t>
  </si>
  <si>
    <t>Liab classified as held for sale</t>
  </si>
  <si>
    <t>211983</t>
  </si>
  <si>
    <t>ST prov - Contingent liab arising from bus comb</t>
  </si>
  <si>
    <t>211984</t>
  </si>
  <si>
    <t>ST prov - Site restoration and other environ liab</t>
  </si>
  <si>
    <t>211985</t>
  </si>
  <si>
    <t>ST prov - Others</t>
  </si>
  <si>
    <t>211986</t>
  </si>
  <si>
    <t>ST prov - Litigation</t>
  </si>
  <si>
    <t>211987</t>
  </si>
  <si>
    <t>ST prov - Prov for restructuring</t>
  </si>
  <si>
    <t>211989</t>
  </si>
  <si>
    <t>ST prov - Liab arising from share-based payment trans</t>
  </si>
  <si>
    <t>211994</t>
  </si>
  <si>
    <t>ST prov - Prod and services warranties</t>
  </si>
  <si>
    <t>Current income taxes payable</t>
  </si>
  <si>
    <t>Short term uncertain income tax liabilities</t>
  </si>
  <si>
    <t>LT financing liabilities - JV/AS</t>
  </si>
  <si>
    <t>LT lease liability - JV/AS</t>
  </si>
  <si>
    <t>LT financing liabilities - TP</t>
  </si>
  <si>
    <t>LT lease liability - TP</t>
  </si>
  <si>
    <t>LT financing liabilities - GR</t>
  </si>
  <si>
    <t>215522</t>
  </si>
  <si>
    <t>LT prov - Site restoration and other environ liabilities</t>
  </si>
  <si>
    <t>215523</t>
  </si>
  <si>
    <t>LT prov - Litigation</t>
  </si>
  <si>
    <t>215524</t>
  </si>
  <si>
    <t>LT prov - Provisions for restructuring</t>
  </si>
  <si>
    <t>215525</t>
  </si>
  <si>
    <t>LT prov - Severance pay oth employee ben oth than pension</t>
  </si>
  <si>
    <t>215526</t>
  </si>
  <si>
    <t>LT prov - Others</t>
  </si>
  <si>
    <t>215527</t>
  </si>
  <si>
    <t>LT prov - Liabilities from share-based payment trans</t>
  </si>
  <si>
    <t>215528</t>
  </si>
  <si>
    <t>LT prov - Contingent liabilities arise from business comb</t>
  </si>
  <si>
    <t>215531</t>
  </si>
  <si>
    <t>LT prov - Prod and services warranties</t>
  </si>
  <si>
    <t>215521</t>
  </si>
  <si>
    <t>LT prov - Pensions and similar retirement plans</t>
  </si>
  <si>
    <t>LT operating lease liability - TP - US GAAP</t>
  </si>
  <si>
    <t>231100</t>
  </si>
  <si>
    <t>Authorized capital</t>
  </si>
  <si>
    <t>231200</t>
  </si>
  <si>
    <t>Uncalled capital</t>
  </si>
  <si>
    <t>Capital surplus/(discount)</t>
  </si>
  <si>
    <t>Retained earnings</t>
  </si>
  <si>
    <t>CY retained earnings - Net income (loss)</t>
  </si>
  <si>
    <t>Retained earnings - Corporate goodwill impact</t>
  </si>
  <si>
    <t>Currency translation adj (CTA)</t>
  </si>
  <si>
    <t>Currency translation adj - corporate goodwill</t>
  </si>
  <si>
    <t>Net parent investment</t>
  </si>
  <si>
    <t>Fair Value through OCE equity reserve</t>
  </si>
  <si>
    <t>Tax effect on strategic equity investment  at Fair Value through OCE</t>
  </si>
  <si>
    <t>Actuarial (gains) losses on defined benefit obligations</t>
  </si>
  <si>
    <t>Change in the eff of the asset ceiling excl int inc</t>
  </si>
  <si>
    <t>Tax effect on defined benefit plans</t>
  </si>
  <si>
    <t>Amounts recognized in equity rel to assets classif as HFS</t>
  </si>
  <si>
    <t>Tax effect on amt recognized  in eq rel to assets HFS</t>
  </si>
  <si>
    <t>Charges/credit arising on trans with NC int</t>
  </si>
  <si>
    <t>250010</t>
  </si>
  <si>
    <t>Int of NC shareholders in equity - Reserves</t>
  </si>
  <si>
    <t>250011</t>
  </si>
  <si>
    <t>Int of NC shareholders in equity - CY reserves</t>
  </si>
  <si>
    <t>250020</t>
  </si>
  <si>
    <t>Int of NC shareholders in equity - CTA</t>
  </si>
  <si>
    <t>250030</t>
  </si>
  <si>
    <t>Int of NC shareholders in equity - Treasury shares</t>
  </si>
  <si>
    <t>250040</t>
  </si>
  <si>
    <t>Int of NC shareholders in equity - Other OCI</t>
  </si>
  <si>
    <t>250041</t>
  </si>
  <si>
    <t>Int of NC shareholders in equity - Act gains/loss on Pension</t>
  </si>
  <si>
    <t>250045</t>
  </si>
  <si>
    <t>Int of NC shareholders in equity - Tax on Act gains/losses</t>
  </si>
  <si>
    <t>250050</t>
  </si>
  <si>
    <t>Int of NC shareholders in equity - GR</t>
  </si>
  <si>
    <t>Liabilities and equity</t>
  </si>
  <si>
    <t>Income Statement: CY &amp; PY Comparison - YTD</t>
  </si>
  <si>
    <t>Comparison period: May</t>
  </si>
  <si>
    <t>2026ACT_CONSUSD</t>
  </si>
  <si>
    <t>2025ACT_CONSUSD</t>
  </si>
  <si>
    <t>Current Year</t>
  </si>
  <si>
    <t>% of Revenues</t>
  </si>
  <si>
    <t>Prior Year</t>
  </si>
  <si>
    <t>Variance $</t>
  </si>
  <si>
    <t>Variance %</t>
  </si>
  <si>
    <t>Income Statement: CY &amp; PY Comparison - QTD</t>
  </si>
  <si>
    <t>Income Statement: CY &amp; PY Comparison - MTD</t>
  </si>
  <si>
    <t>316 - Balance Sheet - CY vs PY Comp</t>
  </si>
  <si>
    <t>2026 Consolidated Actuals USD</t>
  </si>
  <si>
    <t>2025 Consolidated Actuals USD</t>
  </si>
  <si>
    <t>Variance to prior year ($)</t>
  </si>
  <si>
    <t>Variance to prior year (%)</t>
  </si>
  <si>
    <t>317 - Statement of Cash Flow - CY vs PY Comp</t>
  </si>
  <si>
    <t xml:space="preserve">Flow Balance </t>
  </si>
  <si>
    <t xml:space="preserve">Segment:  - </t>
  </si>
  <si>
    <t>Ending balance</t>
  </si>
  <si>
    <t>Sum of Flows</t>
  </si>
  <si>
    <t>Opening</t>
  </si>
  <si>
    <t>Opening Balance Reclassification</t>
  </si>
  <si>
    <t>Incoming units</t>
  </si>
  <si>
    <t>Change in consolidation rate</t>
  </si>
  <si>
    <t>Result transfer</t>
  </si>
  <si>
    <t>Change in accounting policies</t>
  </si>
  <si>
    <t>Net profit (loss) for the period</t>
  </si>
  <si>
    <t>Net variation, Net variation - CAPEX</t>
  </si>
  <si>
    <t>Increase / Purchase, Increase / Purchase - CAPEX, Increase / Purchase - JV/AS/TP</t>
  </si>
  <si>
    <t>Capitalization of LT leases</t>
  </si>
  <si>
    <t>Capex to Develop - Grants</t>
  </si>
  <si>
    <t>Capex to Maintain - Grants</t>
  </si>
  <si>
    <t>Increase in depreciation and provision</t>
  </si>
  <si>
    <t>Decrease/ Disposal, Decrease/ Disposal - JV/AS/TP</t>
  </si>
  <si>
    <t>Decrease used</t>
  </si>
  <si>
    <t>Unwind discount</t>
  </si>
  <si>
    <t>W-D net realizable value</t>
  </si>
  <si>
    <t>Reclassification</t>
  </si>
  <si>
    <t>Value adjustment</t>
  </si>
  <si>
    <t>Fair value recycling</t>
  </si>
  <si>
    <t>Currency translation adjustment</t>
  </si>
  <si>
    <t>Outgoing units</t>
  </si>
  <si>
    <t>$EB</t>
  </si>
  <si>
    <t>F00</t>
  </si>
  <si>
    <t>F00A</t>
  </si>
  <si>
    <t>F01</t>
  </si>
  <si>
    <t>F04</t>
  </si>
  <si>
    <t>F07</t>
  </si>
  <si>
    <t>F09</t>
  </si>
  <si>
    <t>F10</t>
  </si>
  <si>
    <t>F15, F15A</t>
  </si>
  <si>
    <t>F20, F20A, F20-TP</t>
  </si>
  <si>
    <t>F21</t>
  </si>
  <si>
    <t>F23-DE</t>
  </si>
  <si>
    <t>F23-MA</t>
  </si>
  <si>
    <t>F25</t>
  </si>
  <si>
    <t>F30, F30-TP</t>
  </si>
  <si>
    <t>F36</t>
  </si>
  <si>
    <t>F37</t>
  </si>
  <si>
    <t>F38</t>
  </si>
  <si>
    <t>F50</t>
  </si>
  <si>
    <t>F55</t>
  </si>
  <si>
    <t>F57</t>
  </si>
  <si>
    <t>F80</t>
  </si>
  <si>
    <t>F98</t>
  </si>
  <si>
    <t>ST fin receiv - JV/AS - Acq cost</t>
  </si>
  <si>
    <t>ST fin receiv - JV/AS - Impairment</t>
  </si>
  <si>
    <t>ST fin receiv - TP - Acq cost</t>
  </si>
  <si>
    <t>ST fin receiv - TP - Impairment</t>
  </si>
  <si>
    <t xml:space="preserve">Semi-finished and finished products   </t>
  </si>
  <si>
    <t xml:space="preserve">Prepaid expenses   </t>
  </si>
  <si>
    <t>Current assets held for revenue</t>
  </si>
  <si>
    <t>Fin investment - TP - Acq cost</t>
  </si>
  <si>
    <t>Fin investment - TP - Impairment</t>
  </si>
  <si>
    <t>LT fin receiv - JV/AS - Acq cost</t>
  </si>
  <si>
    <t>LT fin receiv - JV/AS - Impairment</t>
  </si>
  <si>
    <t>LT fin receiv - TP - Acq cost</t>
  </si>
  <si>
    <t>LT fin receiv - TP - Impairment</t>
  </si>
  <si>
    <t>Allow for doubtful LT fin receiv - TP</t>
  </si>
  <si>
    <t>Long-term derivative assets – TP</t>
  </si>
  <si>
    <t>ST Operating Lease Liabilities TP - US GAAP</t>
  </si>
  <si>
    <t>Liab classified as held for revenue</t>
  </si>
  <si>
    <t xml:space="preserve">Other current liabilities – CAPEX Payables – TP  </t>
  </si>
  <si>
    <t xml:space="preserve">LT financing liabilities - JV/AS   </t>
  </si>
  <si>
    <t xml:space="preserve">LT lease liability - JV/AS  </t>
  </si>
  <si>
    <t>LT derivative liabilities - TP</t>
  </si>
  <si>
    <t>Treasury shares LafargeHolcim Ltd</t>
  </si>
  <si>
    <t>Net parent investment (Perpetual bond)</t>
  </si>
  <si>
    <t>Liabilities and Equity</t>
  </si>
  <si>
    <t>Dividends - Third party</t>
  </si>
  <si>
    <t>F05</t>
  </si>
  <si>
    <t>404 - Cost By Functional Area</t>
  </si>
  <si>
    <t>Distribution</t>
  </si>
  <si>
    <t>Corporate logistics</t>
  </si>
  <si>
    <t>Production</t>
  </si>
  <si>
    <t>Corporate manufacturing</t>
  </si>
  <si>
    <t>Marketing and sales</t>
  </si>
  <si>
    <t>Admin: General management</t>
  </si>
  <si>
    <t>Admin: Finance and controlling</t>
  </si>
  <si>
    <t>Admin: Human resources</t>
  </si>
  <si>
    <t>Admin: Information services</t>
  </si>
  <si>
    <t>Admin: Purchasing</t>
  </si>
  <si>
    <t>DICO</t>
  </si>
  <si>
    <t>CRPL</t>
  </si>
  <si>
    <t>PRCO</t>
  </si>
  <si>
    <t>CRPM</t>
  </si>
  <si>
    <t>MASE</t>
  </si>
  <si>
    <t>ADGM</t>
  </si>
  <si>
    <t>ADFC</t>
  </si>
  <si>
    <t>ADHR</t>
  </si>
  <si>
    <t>ADIT</t>
  </si>
  <si>
    <t>ADPU</t>
  </si>
  <si>
    <t>Total variable costs</t>
  </si>
  <si>
    <t>Total fixed costs</t>
  </si>
  <si>
    <t>Total actual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</si>
</sst>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Timestamp: &quot;\ [$-409]m/d/yy\ h:mm\ AM/PM;@"/>
    <numFmt numFmtId="165" formatCode="#,##0.00%"/>
    <numFmt numFmtId="166" formatCode="m/d/yyyy\ \ \ h:mm\ AM/PM"/>
    <numFmt numFmtId="167" formatCode="&quot;Timestamp: &quot;[$-409]m/d/yy\ h:mm\ AM/PM;@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Roboto"/>
    </font>
    <font>
      <b/>
      <sz val="12"/>
      <color theme="1"/>
      <name val="Roboto"/>
    </font>
    <font>
      <sz val="10"/>
      <color rgb="FFC00000"/>
      <name val="Roboto"/>
    </font>
    <font>
      <sz val="10"/>
      <color theme="0"/>
      <name val="Roboto"/>
    </font>
    <font>
      <sz val="8"/>
      <color rgb="FFC00000"/>
      <name val="Roboto"/>
    </font>
    <font>
      <b/>
      <sz val="10"/>
      <color theme="1"/>
      <name val="Roboto"/>
    </font>
    <font>
      <sz val="8"/>
      <color theme="0"/>
      <name val="Roboto"/>
    </font>
    <font>
      <sz val="9"/>
      <color rgb="FFC00000"/>
      <name val="Roboto"/>
    </font>
    <font>
      <b/>
      <sz val="10"/>
      <color rgb="FF000000"/>
      <name val="Roboto"/>
    </font>
    <font>
      <sz val="9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tted">
        <color theme="0" tint="-0.149967955565050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rgb="FFC00000"/>
      </top>
      <bottom style="medium">
        <color rgb="FFC00000"/>
      </bottom>
      <diagonal/>
    </border>
  </borders>
  <cellStyleXfs count="13">
    <xf numFmtId="0" fontId="0" fillId="0" borderId="0"/>
    <xf numFmtId="0" fontId="1" fillId="0" borderId="0"/>
    <xf numFmtId="0" fontId="2" fillId="0" borderId="0" applyNumberFormat="0" applyFill="0" applyBorder="0">
      <alignment vertical="center"/>
    </xf>
    <xf numFmtId="0" fontId="7" fillId="0" borderId="1" applyNumberFormat="0" applyFill="0">
      <alignment horizontal="center" vertical="center" wrapText="1"/>
    </xf>
    <xf numFmtId="0" fontId="5" fillId="2" borderId="0" applyNumberFormat="0" applyAlignment="0"/>
    <xf numFmtId="0" fontId="1" fillId="0" borderId="2" applyNumberFormat="0" applyFont="0" applyFill="0" applyAlignment="0"/>
    <xf numFmtId="0" fontId="1" fillId="0" borderId="3" applyNumberFormat="0" applyFont="0" applyFill="0" applyAlignment="0"/>
    <xf numFmtId="0" fontId="1" fillId="0" borderId="4" applyNumberFormat="0" applyFont="0" applyFill="0" applyAlignment="0"/>
    <xf numFmtId="9" fontId="1" fillId="3" borderId="0" applyNumberFormat="0" applyFont="0" applyBorder="0" applyAlignment="0"/>
    <xf numFmtId="0" fontId="7" fillId="0" borderId="0" applyNumberFormat="0" applyFill="0" applyAlignment="0" applyProtection="0">
      <alignment vertical="center"/>
    </xf>
    <xf numFmtId="9" fontId="6" fillId="0" borderId="0" applyNumberFormat="0" applyFill="0" applyAlignment="0" applyProtection="0"/>
    <xf numFmtId="165" fontId="1" fillId="0" borderId="0" applyFont="0" applyFill="0" applyBorder="0" applyAlignment="0" applyProtection="0"/>
    <xf numFmtId="9" fontId="6" fillId="0" borderId="0" applyNumberFormat="0" applyFill="0" applyAlignment="0" applyProtection="0"/>
  </cellStyleXfs>
  <cellXfs count="10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quotePrefix="1" applyFont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quotePrefix="1" applyFont="1" applyAlignment="1">
      <alignment vertical="center"/>
    </xf>
    <xf numFmtId="0" fontId="5" fillId="0" borderId="0" xfId="1" quotePrefix="1" applyFont="1" applyAlignment="1">
      <alignment horizontal="left" vertical="center"/>
    </xf>
    <xf numFmtId="164" fontId="6" fillId="0" borderId="0" xfId="1" quotePrefix="1" applyNumberFormat="1" applyFont="1" applyAlignment="1">
      <alignment horizontal="left" vertical="center"/>
    </xf>
    <xf numFmtId="0" fontId="2" fillId="0" borderId="0" xfId="2" applyFill="1" applyBorder="1">
      <alignment vertical="center"/>
    </xf>
    <xf numFmtId="0" fontId="7" fillId="0" borderId="1" xfId="3" quotePrefix="1" applyFill="1">
      <alignment horizontal="center" vertical="center" wrapText="1"/>
    </xf>
    <xf numFmtId="0" fontId="1" fillId="0" borderId="0" xfId="1" quotePrefix="1"/>
    <xf numFmtId="0" fontId="5" fillId="2" borderId="0" xfId="4" applyAlignment="1">
      <alignment vertical="center"/>
    </xf>
    <xf numFmtId="0" fontId="5" fillId="2" borderId="0" xfId="4" quotePrefix="1" applyAlignment="1">
      <alignment vertical="center"/>
    </xf>
    <xf numFmtId="4" fontId="5" fillId="2" borderId="0" xfId="4" applyNumberFormat="1" applyAlignment="1">
      <alignment vertical="center"/>
    </xf>
    <xf numFmtId="0" fontId="1" fillId="0" borderId="0" xfId="1"/>
    <xf numFmtId="0" fontId="2" fillId="0" borderId="2" xfId="5" quotePrefix="1" applyFont="1" applyFill="1" applyAlignment="1">
      <alignment vertical="center"/>
    </xf>
    <xf numFmtId="4" fontId="2" fillId="0" borderId="2" xfId="5" applyNumberFormat="1" applyFont="1" applyFill="1" applyAlignment="1">
      <alignment vertical="center"/>
    </xf>
    <xf numFmtId="0" fontId="7" fillId="0" borderId="3" xfId="6" quotePrefix="1" applyFont="1" applyFill="1" applyAlignment="1">
      <alignment vertical="center"/>
    </xf>
    <xf numFmtId="4" fontId="7" fillId="0" borderId="3" xfId="6" applyNumberFormat="1" applyFont="1" applyFill="1" applyAlignment="1">
      <alignment vertical="center"/>
    </xf>
    <xf numFmtId="0" fontId="7" fillId="0" borderId="4" xfId="7" quotePrefix="1" applyFont="1" applyFill="1" applyAlignment="1">
      <alignment vertical="center"/>
    </xf>
    <xf numFmtId="4" fontId="7" fillId="0" borderId="4" xfId="7" applyNumberFormat="1" applyFont="1" applyFill="1" applyAlignment="1">
      <alignment vertical="center"/>
    </xf>
    <xf numFmtId="0" fontId="8" fillId="0" borderId="0" xfId="1" quotePrefix="1" applyFont="1" applyAlignment="1">
      <alignment horizontal="left" vertical="center"/>
    </xf>
    <xf numFmtId="0" fontId="7" fillId="3" borderId="1" xfId="8" quotePrefix="1" applyNumberFormat="1" applyFont="1" applyBorder="1" applyAlignment="1">
      <alignment horizontal="center" vertical="center" wrapText="1"/>
    </xf>
    <xf numFmtId="4" fontId="5" fillId="3" borderId="0" xfId="8" applyNumberFormat="1" applyFont="1" applyAlignment="1">
      <alignment vertical="center"/>
    </xf>
    <xf numFmtId="4" fontId="2" fillId="3" borderId="2" xfId="8" applyNumberFormat="1" applyFont="1" applyBorder="1" applyAlignment="1">
      <alignment vertical="center"/>
    </xf>
    <xf numFmtId="4" fontId="7" fillId="3" borderId="3" xfId="8" applyNumberFormat="1" applyFont="1" applyBorder="1" applyAlignment="1">
      <alignment vertical="center"/>
    </xf>
    <xf numFmtId="4" fontId="7" fillId="3" borderId="4" xfId="8" applyNumberFormat="1" applyFont="1" applyBorder="1" applyAlignment="1">
      <alignment vertical="center"/>
    </xf>
    <xf numFmtId="0" fontId="2" fillId="0" borderId="0" xfId="1" quotePrefix="1" applyFont="1" applyAlignment="1">
      <alignment vertical="center" wrapText="1"/>
    </xf>
    <xf numFmtId="0" fontId="5" fillId="0" borderId="0" xfId="1" quotePrefix="1" applyFont="1" applyAlignment="1">
      <alignment vertical="center"/>
    </xf>
    <xf numFmtId="0" fontId="2" fillId="0" borderId="0" xfId="2" quotePrefix="1" applyFill="1" applyBorder="1">
      <alignment vertical="center"/>
    </xf>
    <xf numFmtId="4" fontId="5" fillId="2" borderId="0" xfId="4" quotePrefix="1" applyNumberFormat="1" applyAlignment="1">
      <alignment vertical="center"/>
    </xf>
    <xf numFmtId="4" fontId="2" fillId="0" borderId="2" xfId="5" quotePrefix="1" applyNumberFormat="1" applyFont="1" applyFill="1" applyAlignment="1">
      <alignment vertical="center"/>
    </xf>
    <xf numFmtId="4" fontId="7" fillId="0" borderId="3" xfId="6" quotePrefix="1" applyNumberFormat="1" applyFont="1" applyFill="1" applyAlignment="1">
      <alignment vertical="center"/>
    </xf>
    <xf numFmtId="4" fontId="7" fillId="0" borderId="4" xfId="7" quotePrefix="1" applyNumberFormat="1" applyFont="1" applyFill="1" applyAlignment="1">
      <alignment vertical="center"/>
    </xf>
    <xf numFmtId="0" fontId="2" fillId="0" borderId="0" xfId="1" quotePrefix="1" applyFont="1" applyAlignment="1">
      <alignment horizontal="left" vertical="center" wrapText="1"/>
    </xf>
    <xf numFmtId="0" fontId="7" fillId="0" borderId="0" xfId="9" quotePrefix="1" applyFill="1" applyAlignment="1">
      <alignment vertical="center"/>
    </xf>
    <xf numFmtId="4" fontId="7" fillId="0" borderId="0" xfId="9" applyNumberFormat="1" applyFill="1" applyAlignment="1">
      <alignment vertical="center"/>
    </xf>
    <xf numFmtId="0" fontId="6" fillId="0" borderId="0" xfId="10" quotePrefix="1" applyNumberFormat="1" applyFill="1" applyAlignment="1">
      <alignment vertical="center"/>
    </xf>
    <xf numFmtId="4" fontId="6" fillId="0" borderId="0" xfId="10" applyNumberFormat="1" applyFill="1" applyAlignment="1">
      <alignment vertical="center"/>
    </xf>
    <xf numFmtId="0" fontId="7" fillId="0" borderId="0" xfId="9" applyFill="1" applyAlignment="1">
      <alignment vertical="center"/>
    </xf>
    <xf numFmtId="0" fontId="7" fillId="3" borderId="3" xfId="8" applyNumberFormat="1" applyFont="1" applyBorder="1" applyAlignment="1">
      <alignment vertical="center"/>
    </xf>
    <xf numFmtId="0" fontId="7" fillId="3" borderId="3" xfId="8" quotePrefix="1" applyNumberFormat="1" applyFont="1" applyBorder="1" applyAlignment="1">
      <alignment vertical="center"/>
    </xf>
    <xf numFmtId="0" fontId="6" fillId="0" borderId="0" xfId="10" applyNumberFormat="1" applyFill="1" applyAlignment="1">
      <alignment vertical="center"/>
    </xf>
    <xf numFmtId="0" fontId="2" fillId="0" borderId="2" xfId="5" applyFont="1" applyFill="1" applyAlignment="1">
      <alignment vertical="center"/>
    </xf>
    <xf numFmtId="0" fontId="7" fillId="0" borderId="2" xfId="5" applyFont="1" applyFill="1" applyAlignment="1">
      <alignment vertical="center"/>
    </xf>
    <xf numFmtId="0" fontId="7" fillId="0" borderId="2" xfId="5" quotePrefix="1" applyFont="1" applyFill="1" applyAlignment="1">
      <alignment vertical="center"/>
    </xf>
    <xf numFmtId="165" fontId="2" fillId="0" borderId="2" xfId="11" applyFont="1" applyFill="1" applyBorder="1" applyAlignment="1">
      <alignment vertical="center"/>
    </xf>
    <xf numFmtId="4" fontId="7" fillId="3" borderId="0" xfId="8" applyNumberFormat="1" applyFont="1" applyAlignment="1">
      <alignment vertical="center"/>
    </xf>
    <xf numFmtId="4" fontId="6" fillId="3" borderId="0" xfId="8" applyNumberFormat="1" applyFont="1" applyAlignment="1">
      <alignment vertical="center"/>
    </xf>
    <xf numFmtId="165" fontId="2" fillId="3" borderId="2" xfId="8" applyNumberFormat="1" applyFont="1" applyBorder="1" applyAlignment="1">
      <alignment vertical="center"/>
    </xf>
    <xf numFmtId="166" fontId="4" fillId="0" borderId="0" xfId="1" applyNumberFormat="1" applyFont="1" applyAlignment="1">
      <alignment horizontal="centerContinuous" vertical="center"/>
    </xf>
    <xf numFmtId="0" fontId="2" fillId="0" borderId="0" xfId="1" applyFont="1" applyAlignment="1">
      <alignment horizontal="centerContinuous" vertical="center"/>
    </xf>
    <xf numFmtId="166" fontId="4" fillId="0" borderId="0" xfId="1" quotePrefix="1" applyNumberFormat="1" applyFont="1" applyAlignment="1">
      <alignment horizontal="left" vertical="center"/>
    </xf>
    <xf numFmtId="4" fontId="7" fillId="0" borderId="0" xfId="9" quotePrefix="1" applyNumberFormat="1" applyFill="1" applyAlignment="1">
      <alignment vertical="center"/>
    </xf>
    <xf numFmtId="4" fontId="7" fillId="3" borderId="3" xfId="8" quotePrefix="1" applyNumberFormat="1" applyFont="1" applyBorder="1" applyAlignment="1">
      <alignment vertical="center"/>
    </xf>
    <xf numFmtId="4" fontId="6" fillId="0" borderId="0" xfId="10" quotePrefix="1" applyNumberFormat="1" applyFill="1" applyAlignment="1">
      <alignment vertical="center"/>
    </xf>
    <xf numFmtId="165" fontId="2" fillId="0" borderId="2" xfId="11" quotePrefix="1" applyFont="1" applyFill="1" applyBorder="1" applyAlignment="1">
      <alignment vertical="center"/>
    </xf>
    <xf numFmtId="164" fontId="9" fillId="0" borderId="0" xfId="1" quotePrefix="1" applyNumberFormat="1" applyFont="1" applyAlignment="1">
      <alignment horizontal="left" vertical="center"/>
    </xf>
    <xf numFmtId="0" fontId="4" fillId="0" borderId="0" xfId="1" applyFont="1" applyAlignment="1">
      <alignment horizontal="center" vertical="center" wrapText="1"/>
    </xf>
    <xf numFmtId="0" fontId="7" fillId="0" borderId="1" xfId="3" quotePrefix="1">
      <alignment horizontal="center" vertical="center" wrapText="1"/>
    </xf>
    <xf numFmtId="0" fontId="5" fillId="2" borderId="0" xfId="4" quotePrefix="1" applyAlignment="1">
      <alignment horizontal="center" vertical="center" wrapText="1"/>
    </xf>
    <xf numFmtId="4" fontId="5" fillId="3" borderId="0" xfId="8" quotePrefix="1" applyNumberFormat="1" applyFont="1" applyAlignment="1">
      <alignment vertical="center"/>
    </xf>
    <xf numFmtId="4" fontId="5" fillId="2" borderId="2" xfId="5" quotePrefix="1" applyNumberFormat="1" applyFont="1" applyFill="1" applyAlignment="1">
      <alignment vertical="center"/>
    </xf>
    <xf numFmtId="4" fontId="2" fillId="3" borderId="2" xfId="8" quotePrefix="1" applyNumberFormat="1" applyFont="1" applyBorder="1" applyAlignment="1">
      <alignment vertical="center"/>
    </xf>
    <xf numFmtId="4" fontId="5" fillId="2" borderId="2" xfId="5" applyNumberFormat="1" applyFont="1" applyFill="1" applyAlignment="1">
      <alignment vertical="center"/>
    </xf>
    <xf numFmtId="4" fontId="7" fillId="2" borderId="3" xfId="6" quotePrefix="1" applyNumberFormat="1" applyFont="1" applyFill="1" applyAlignment="1">
      <alignment vertical="center"/>
    </xf>
    <xf numFmtId="4" fontId="7" fillId="2" borderId="3" xfId="6" applyNumberFormat="1" applyFont="1" applyFill="1" applyAlignment="1">
      <alignment vertical="center"/>
    </xf>
    <xf numFmtId="4" fontId="7" fillId="2" borderId="4" xfId="7" quotePrefix="1" applyNumberFormat="1" applyFont="1" applyFill="1" applyAlignment="1">
      <alignment vertical="center"/>
    </xf>
    <xf numFmtId="4" fontId="7" fillId="3" borderId="4" xfId="8" quotePrefix="1" applyNumberFormat="1" applyFont="1" applyBorder="1" applyAlignment="1">
      <alignment vertical="center"/>
    </xf>
    <xf numFmtId="4" fontId="7" fillId="2" borderId="4" xfId="7" applyNumberFormat="1" applyFont="1" applyFill="1" applyAlignment="1">
      <alignment vertical="center"/>
    </xf>
    <xf numFmtId="4" fontId="7" fillId="2" borderId="0" xfId="9" quotePrefix="1" applyNumberFormat="1" applyFill="1" applyAlignment="1">
      <alignment vertical="center"/>
    </xf>
    <xf numFmtId="4" fontId="7" fillId="3" borderId="0" xfId="8" quotePrefix="1" applyNumberFormat="1" applyFont="1" applyAlignment="1">
      <alignment vertical="center"/>
    </xf>
    <xf numFmtId="4" fontId="6" fillId="2" borderId="0" xfId="10" quotePrefix="1" applyNumberFormat="1" applyFill="1" applyAlignment="1">
      <alignment vertical="center"/>
    </xf>
    <xf numFmtId="4" fontId="6" fillId="3" borderId="0" xfId="8" quotePrefix="1" applyNumberFormat="1" applyFont="1" applyAlignment="1">
      <alignment vertical="center"/>
    </xf>
    <xf numFmtId="165" fontId="5" fillId="2" borderId="2" xfId="11" quotePrefix="1" applyFont="1" applyFill="1" applyBorder="1" applyAlignment="1">
      <alignment vertical="center"/>
    </xf>
    <xf numFmtId="165" fontId="2" fillId="3" borderId="2" xfId="8" quotePrefix="1" applyNumberFormat="1" applyFont="1" applyBorder="1" applyAlignment="1">
      <alignment vertical="center"/>
    </xf>
    <xf numFmtId="0" fontId="2" fillId="0" borderId="0" xfId="1" applyFont="1" applyAlignment="1">
      <alignment horizontal="right" vertical="center"/>
    </xf>
    <xf numFmtId="0" fontId="2" fillId="0" borderId="0" xfId="1" quotePrefix="1" applyFont="1" applyAlignment="1">
      <alignment horizontal="right" vertical="center"/>
    </xf>
    <xf numFmtId="4" fontId="7" fillId="3" borderId="0" xfId="9" applyNumberFormat="1" applyFill="1" applyAlignment="1">
      <alignment vertical="center"/>
    </xf>
    <xf numFmtId="4" fontId="7" fillId="2" borderId="0" xfId="9" applyNumberFormat="1" applyFill="1" applyAlignment="1">
      <alignment vertical="center"/>
    </xf>
    <xf numFmtId="0" fontId="8" fillId="0" borderId="0" xfId="1" quotePrefix="1" applyFont="1" applyAlignment="1">
      <alignment vertical="center"/>
    </xf>
    <xf numFmtId="0" fontId="7" fillId="0" borderId="0" xfId="1" quotePrefix="1" applyFont="1" applyAlignment="1">
      <alignment horizontal="right" vertical="center"/>
    </xf>
    <xf numFmtId="0" fontId="7" fillId="0" borderId="0" xfId="1" applyFont="1" applyAlignment="1">
      <alignment horizontal="right" vertical="center"/>
    </xf>
    <xf numFmtId="0" fontId="10" fillId="0" borderId="1" xfId="1" applyFont="1" applyBorder="1" applyAlignment="1">
      <alignment horizontal="right" vertical="center"/>
    </xf>
    <xf numFmtId="0" fontId="7" fillId="0" borderId="1" xfId="1" applyFont="1" applyBorder="1" applyAlignment="1">
      <alignment horizontal="right" vertical="center"/>
    </xf>
    <xf numFmtId="165" fontId="7" fillId="0" borderId="3" xfId="11" applyFont="1" applyFill="1" applyBorder="1" applyAlignment="1">
      <alignment vertical="center"/>
    </xf>
    <xf numFmtId="165" fontId="5" fillId="2" borderId="0" xfId="11" applyFont="1" applyFill="1" applyAlignment="1">
      <alignment vertical="center"/>
    </xf>
    <xf numFmtId="165" fontId="7" fillId="0" borderId="4" xfId="11" applyFont="1" applyFill="1" applyBorder="1" applyAlignment="1">
      <alignment vertical="center"/>
    </xf>
    <xf numFmtId="164" fontId="9" fillId="0" borderId="0" xfId="1" quotePrefix="1" applyNumberFormat="1" applyFont="1" applyAlignment="1">
      <alignment horizontal="left" vertical="center"/>
    </xf>
    <xf numFmtId="0" fontId="11" fillId="0" borderId="0" xfId="1" quotePrefix="1" applyFont="1" applyAlignment="1">
      <alignment horizontal="left" vertical="center" wrapText="1"/>
    </xf>
    <xf numFmtId="0" fontId="11" fillId="0" borderId="0" xfId="1" quotePrefix="1" applyFont="1" applyAlignment="1">
      <alignment vertical="center"/>
    </xf>
    <xf numFmtId="165" fontId="7" fillId="0" borderId="0" xfId="11" applyFont="1" applyFill="1" applyAlignment="1">
      <alignment vertical="center"/>
    </xf>
    <xf numFmtId="4" fontId="6" fillId="2" borderId="0" xfId="10" applyNumberFormat="1" applyFill="1" applyAlignment="1">
      <alignment vertical="center"/>
    </xf>
    <xf numFmtId="165" fontId="6" fillId="0" borderId="0" xfId="11" applyFont="1" applyFill="1" applyAlignment="1">
      <alignment vertical="center"/>
    </xf>
    <xf numFmtId="165" fontId="5" fillId="2" borderId="0" xfId="11" quotePrefix="1" applyFont="1" applyFill="1" applyAlignment="1">
      <alignment vertical="center"/>
    </xf>
    <xf numFmtId="165" fontId="7" fillId="0" borderId="0" xfId="11" quotePrefix="1" applyFont="1" applyFill="1" applyAlignment="1">
      <alignment vertical="center"/>
    </xf>
    <xf numFmtId="165" fontId="7" fillId="3" borderId="3" xfId="11" quotePrefix="1" applyFont="1" applyFill="1" applyBorder="1" applyAlignment="1">
      <alignment vertical="center"/>
    </xf>
    <xf numFmtId="165" fontId="6" fillId="0" borderId="0" xfId="11" quotePrefix="1" applyFont="1" applyFill="1" applyAlignment="1">
      <alignment vertical="center"/>
    </xf>
    <xf numFmtId="0" fontId="2" fillId="0" borderId="0" xfId="1" quotePrefix="1" applyFont="1"/>
    <xf numFmtId="0" fontId="2" fillId="0" borderId="0" xfId="1" applyFont="1"/>
    <xf numFmtId="0" fontId="6" fillId="0" borderId="0" xfId="12" quotePrefix="1" applyNumberFormat="1" applyFill="1" applyAlignment="1">
      <alignment vertical="center"/>
    </xf>
    <xf numFmtId="4" fontId="6" fillId="2" borderId="0" xfId="12" quotePrefix="1" applyNumberFormat="1" applyFill="1" applyAlignment="1">
      <alignment vertical="center"/>
    </xf>
    <xf numFmtId="4" fontId="6" fillId="0" borderId="0" xfId="12" quotePrefix="1" applyNumberFormat="1" applyFill="1" applyAlignment="1">
      <alignment vertical="center"/>
    </xf>
    <xf numFmtId="4" fontId="6" fillId="2" borderId="0" xfId="12" applyNumberFormat="1" applyFill="1" applyAlignment="1">
      <alignment vertical="center"/>
    </xf>
    <xf numFmtId="4" fontId="6" fillId="0" borderId="0" xfId="12" applyNumberFormat="1" applyFill="1" applyAlignment="1">
      <alignment vertical="center"/>
    </xf>
    <xf numFmtId="167" fontId="9" fillId="0" borderId="0" xfId="1" quotePrefix="1" applyNumberFormat="1" applyFont="1" applyAlignment="1">
      <alignment horizontal="left" vertical="center"/>
    </xf>
    <xf numFmtId="0" fontId="7" fillId="0" borderId="3" xfId="6" applyFont="1" applyFill="1" applyAlignment="1">
      <alignment vertical="center"/>
    </xf>
  </cellXfs>
  <cellStyles count="13">
    <cellStyle name="0.00%" xfId="11" xr:uid="{33BC27CC-9444-4E3E-9CB1-1F2B45548632}"/>
    <cellStyle name="Border_dotted bottom (grey)" xfId="5" xr:uid="{84A205B5-97F5-4C07-82AA-6E352CEADE4E}"/>
    <cellStyle name="Border_top and bottom" xfId="6" xr:uid="{1823C6D8-F166-4061-8337-E8C87826FE52}"/>
    <cellStyle name="Border_top and bottom II (red)" xfId="7" xr:uid="{64ABC826-8091-40B9-A938-0B44CB6AA8AC}"/>
    <cellStyle name="Fill_grey" xfId="8" xr:uid="{8EFEAC61-2171-4CA3-B6B1-54336181D9B7}"/>
    <cellStyle name="Font_Roboto 10" xfId="2" xr:uid="{793DF92B-E8EF-40BA-932A-55194EE1C4AE}"/>
    <cellStyle name="Font_Roboto 10 bold" xfId="9" xr:uid="{6EB7D580-750A-433B-89DF-FD1A507A5AA4}"/>
    <cellStyle name="Font_Roboto 8 dark red" xfId="12" xr:uid="{BC00DEDC-4B36-4B74-9DB8-A0C165C74F49}"/>
    <cellStyle name="Font_Roboto 8 italic dark red" xfId="10" xr:uid="{B6E9E2C0-1935-4DB3-BC3F-F251C5D54B18}"/>
    <cellStyle name="Headers_column" xfId="3" xr:uid="{8DCF1C7D-1D08-4929-B874-2D8C9CAE6A0C}"/>
    <cellStyle name="Normal" xfId="0" builtinId="0"/>
    <cellStyle name="Normal 2" xfId="1" xr:uid="{A00C1F6D-40D1-4B3B-9D12-E9AA6B83BC32}"/>
    <cellStyle name="Placeholder (white font)" xfId="4" xr:uid="{F72E2C6F-88EA-421C-82B9-FD41C8233C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0</xdr:row>
      <xdr:rowOff>0</xdr:rowOff>
    </xdr:from>
    <xdr:to>
      <xdr:col>2</xdr:col>
      <xdr:colOff>744307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80CA33-B7F7-4BF5-9C85-9A02629DA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799" y="0"/>
          <a:ext cx="1493608" cy="384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707841</xdr:colOff>
      <xdr:row>1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302BF-AAB4-4325-907F-9F51AB283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0"/>
          <a:ext cx="1457141" cy="3746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495299</xdr:colOff>
      <xdr:row>0</xdr:row>
      <xdr:rowOff>0</xdr:rowOff>
    </xdr:from>
    <xdr:to>
      <xdr:col>2</xdr:col>
      <xdr:colOff>744307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4B8D92-381A-4039-9F93-919E617D8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49" y="0"/>
          <a:ext cx="1493608" cy="3841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744308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2A7300-5FB8-4053-9930-EFE7E4A33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0"/>
          <a:ext cx="1493608" cy="3841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744308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764BDF-6D05-4E1A-83F5-B770F1F3E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0"/>
          <a:ext cx="1493608" cy="3841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830033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1D3B52-9AE5-4AD5-A3DC-4BA1C4B89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250" y="0"/>
          <a:ext cx="1579333" cy="3841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744308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99298F-729B-40F5-9D34-1788ABAD4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0"/>
          <a:ext cx="1493608" cy="3841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747483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49031D-4D92-4F56-B0FC-3698A6D82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0"/>
          <a:ext cx="1496783" cy="3841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741133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4B430-4437-4FC5-B6DF-E8B28DD53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0"/>
          <a:ext cx="1490433" cy="3841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744308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5EE3AC-39ED-4F6C-844C-94A41A604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0"/>
          <a:ext cx="1493608" cy="3841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744308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6516C3-4D2F-45EE-83B6-D2CA14687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" y="0"/>
          <a:ext cx="1493608" cy="3841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744308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D15241-6346-42BA-BE68-F75DEF2DD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0"/>
          <a:ext cx="1493608" cy="3841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746425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1354CE-FA49-4DDB-9825-A86F0020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50" y="0"/>
          <a:ext cx="1495725" cy="3841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744308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815DEB-79BE-43C5-8518-514CF1027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1493608" cy="3841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744308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05E425-BF7A-4F8B-8547-7D425D63F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50" y="0"/>
          <a:ext cx="1493608" cy="3841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744308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CBFCF2-2B6E-4C13-966A-216C4039D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0" y="0"/>
          <a:ext cx="1493608" cy="3841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744308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0D08C5-71E3-4B1D-B826-A36488D48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0"/>
          <a:ext cx="1493608" cy="3714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744308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5B911A-4AEE-45CB-BD52-9F360B799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0"/>
          <a:ext cx="1493608" cy="3714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2</xdr:col>
      <xdr:colOff>613835</xdr:colOff>
      <xdr:row>1</xdr:row>
      <xdr:rowOff>147544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EB40A8-F1E8-47E9-B59D-2FA7B419F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51" y="0"/>
          <a:ext cx="1363134" cy="35074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2</xdr:col>
      <xdr:colOff>613835</xdr:colOff>
      <xdr:row>1</xdr:row>
      <xdr:rowOff>147544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C51EB6-4BC1-4202-89A6-2872089CB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51" y="0"/>
          <a:ext cx="1363134" cy="35074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2</xdr:col>
      <xdr:colOff>613835</xdr:colOff>
      <xdr:row>1</xdr:row>
      <xdr:rowOff>147544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6E2B8-4931-41DB-BC2E-4A8B12B00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651" y="0"/>
          <a:ext cx="1363134" cy="35074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613833</xdr:colOff>
      <xdr:row>1</xdr:row>
      <xdr:rowOff>147544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32D742-03F8-4647-994C-DB81B6BB7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0"/>
          <a:ext cx="1363133" cy="35074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613834</xdr:colOff>
      <xdr:row>1</xdr:row>
      <xdr:rowOff>147544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E9FE86-B603-47F9-9BFE-CC470FF59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1363134" cy="3507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251E-9106-4BD7-A54B-AB1FB8E1EA22}">
  <dimension ref="A2:Q155"/>
  <sheetViews>
    <sheetView showGridLines="0" workbookViewId="0">
      <pane xSplit="3" ySplit="9" topLeftCell="D10" activePane="bottomRight" state="frozen"/>
      <selection pane="topRight" activeCell="D1" sqref="D1"/>
      <selection pane="bottomLeft" activeCell="A7" sqref="A7"/>
      <selection pane="bottomRight" activeCell="B4" sqref="B4"/>
    </sheetView>
  </sheetViews>
  <sheetFormatPr defaultColWidth="9.1796875" defaultRowHeight="16" customHeight="1" x14ac:dyDescent="0.35"/>
  <cols>
    <col min="1" max="1" width="2.54296875" style="1" customWidth="1"/>
    <col min="2" max="2" width="10.7265625" style="1" customWidth="1"/>
    <col min="3" max="3" width="55.7265625" style="1" customWidth="1"/>
    <col min="4" max="26" width="14.7265625" style="1" customWidth="1"/>
    <col min="27" max="16384" width="9.1796875" style="1"/>
  </cols>
  <sheetData>
    <row r="2" spans="1:17" ht="15" customHeight="1" x14ac:dyDescent="0.35"/>
    <row r="3" spans="1:17" ht="16" customHeight="1" x14ac:dyDescent="0.35">
      <c r="B3" s="2" t="s">
        <v>0</v>
      </c>
      <c r="G3" s="3"/>
    </row>
    <row r="4" spans="1:17" ht="16" customHeight="1" x14ac:dyDescent="0.35">
      <c r="B4" s="4" t="s">
        <v>270</v>
      </c>
    </row>
    <row r="5" spans="1:17" ht="16" customHeight="1" x14ac:dyDescent="0.35">
      <c r="B5" s="4" t="s">
        <v>271</v>
      </c>
    </row>
    <row r="6" spans="1:17" ht="16" customHeight="1" x14ac:dyDescent="0.35">
      <c r="A6" s="5"/>
      <c r="B6" s="1" t="s">
        <v>272</v>
      </c>
    </row>
    <row r="7" spans="1:17" ht="16" customHeight="1" x14ac:dyDescent="0.35">
      <c r="A7" s="5"/>
      <c r="B7" s="6">
        <v>46194.595579490742</v>
      </c>
      <c r="C7" s="6"/>
    </row>
    <row r="9" spans="1:17" ht="16" customHeight="1" thickBot="1" x14ac:dyDescent="0.5">
      <c r="B9" s="7"/>
      <c r="C9" s="7"/>
      <c r="D9" s="8" t="s">
        <v>1</v>
      </c>
      <c r="E9" s="8" t="s">
        <v>2</v>
      </c>
      <c r="F9" s="8" t="s">
        <v>3</v>
      </c>
      <c r="G9" s="8" t="s">
        <v>4</v>
      </c>
      <c r="H9" s="8" t="s">
        <v>5</v>
      </c>
      <c r="I9" s="8" t="s">
        <v>6</v>
      </c>
      <c r="J9" s="8" t="s">
        <v>7</v>
      </c>
      <c r="K9" s="8" t="s">
        <v>8</v>
      </c>
      <c r="L9" s="8" t="s">
        <v>9</v>
      </c>
      <c r="M9" s="8" t="s">
        <v>10</v>
      </c>
      <c r="N9" s="8" t="s">
        <v>11</v>
      </c>
      <c r="O9" s="8" t="s">
        <v>12</v>
      </c>
      <c r="P9" s="9"/>
      <c r="Q9" s="9"/>
    </row>
    <row r="10" spans="1:17" ht="16" customHeight="1" x14ac:dyDescent="0.45">
      <c r="B10" s="10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</row>
    <row r="11" spans="1:17" ht="16" customHeight="1" x14ac:dyDescent="0.45">
      <c r="B11" s="14" t="s">
        <v>13</v>
      </c>
      <c r="C11" s="14" t="s">
        <v>14</v>
      </c>
      <c r="D11" s="15">
        <v>819.86679000000004</v>
      </c>
      <c r="E11" s="15">
        <v>1494.10679</v>
      </c>
      <c r="F11" s="15">
        <v>2065.5688599999999</v>
      </c>
      <c r="G11" s="15">
        <v>4015.67614</v>
      </c>
      <c r="H11" s="15">
        <v>6182.1798399999998</v>
      </c>
      <c r="I11" s="15">
        <v>8151.4921299999996</v>
      </c>
      <c r="J11" s="15"/>
      <c r="K11" s="15"/>
      <c r="L11" s="15"/>
      <c r="M11" s="15"/>
      <c r="N11" s="15"/>
      <c r="O11" s="15"/>
      <c r="P11" s="13"/>
    </row>
    <row r="12" spans="1:17" ht="16" customHeight="1" x14ac:dyDescent="0.35">
      <c r="B12" s="14" t="s">
        <v>15</v>
      </c>
      <c r="C12" s="14" t="s">
        <v>16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7" ht="16" customHeight="1" x14ac:dyDescent="0.35">
      <c r="B13" s="14" t="s">
        <v>17</v>
      </c>
      <c r="C13" s="14" t="s">
        <v>18</v>
      </c>
      <c r="D13" s="15">
        <v>116637.36152999999</v>
      </c>
      <c r="E13" s="15">
        <v>256882.43085</v>
      </c>
      <c r="F13" s="15">
        <v>448555.60934999998</v>
      </c>
      <c r="G13" s="15">
        <v>668194.15566000005</v>
      </c>
      <c r="H13" s="15">
        <v>904414.16772000003</v>
      </c>
      <c r="I13" s="15">
        <v>1016143.76352</v>
      </c>
      <c r="J13" s="15"/>
      <c r="K13" s="15"/>
      <c r="L13" s="15"/>
      <c r="M13" s="15"/>
      <c r="N13" s="15"/>
      <c r="O13" s="15"/>
    </row>
    <row r="14" spans="1:17" ht="16" customHeight="1" x14ac:dyDescent="0.35">
      <c r="B14" s="16" t="s">
        <v>19</v>
      </c>
      <c r="C14" s="16" t="s">
        <v>20</v>
      </c>
      <c r="D14" s="17">
        <f t="shared" ref="D14:O14" si="0">-(-(D11+D12)-D13)</f>
        <v>117457.22831999999</v>
      </c>
      <c r="E14" s="17">
        <f t="shared" si="0"/>
        <v>258376.53764</v>
      </c>
      <c r="F14" s="17">
        <f t="shared" si="0"/>
        <v>450621.17820999998</v>
      </c>
      <c r="G14" s="17">
        <f t="shared" si="0"/>
        <v>672209.83180000004</v>
      </c>
      <c r="H14" s="17">
        <f t="shared" si="0"/>
        <v>910596.34756000002</v>
      </c>
      <c r="I14" s="17">
        <f t="shared" si="0"/>
        <v>1024295.2556500001</v>
      </c>
      <c r="J14" s="17">
        <f t="shared" si="0"/>
        <v>0</v>
      </c>
      <c r="K14" s="17">
        <f t="shared" si="0"/>
        <v>0</v>
      </c>
      <c r="L14" s="17">
        <f t="shared" si="0"/>
        <v>0</v>
      </c>
      <c r="M14" s="17">
        <f t="shared" si="0"/>
        <v>0</v>
      </c>
      <c r="N14" s="17">
        <f t="shared" si="0"/>
        <v>0</v>
      </c>
      <c r="O14" s="17">
        <f t="shared" si="0"/>
        <v>0</v>
      </c>
    </row>
    <row r="15" spans="1:17" ht="16" customHeight="1" x14ac:dyDescent="0.35">
      <c r="B15" s="11" t="s">
        <v>21</v>
      </c>
      <c r="C15" s="11" t="s">
        <v>22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7" ht="16" customHeight="1" x14ac:dyDescent="0.35">
      <c r="B16" s="14" t="s">
        <v>23</v>
      </c>
      <c r="C16" s="14" t="s">
        <v>24</v>
      </c>
      <c r="D16" s="15">
        <v>-15274.70039</v>
      </c>
      <c r="E16" s="15">
        <v>-30816.393619999999</v>
      </c>
      <c r="F16" s="15">
        <v>-51342.324820000002</v>
      </c>
      <c r="G16" s="15">
        <v>-77003.310060000003</v>
      </c>
      <c r="H16" s="15">
        <v>-104774.26089999999</v>
      </c>
      <c r="I16" s="15">
        <v>-113941.2925</v>
      </c>
      <c r="J16" s="15"/>
      <c r="K16" s="15"/>
      <c r="L16" s="15"/>
      <c r="M16" s="15"/>
      <c r="N16" s="15"/>
      <c r="O16" s="15"/>
    </row>
    <row r="17" spans="2:15" ht="16" customHeight="1" x14ac:dyDescent="0.35">
      <c r="B17" s="14" t="s">
        <v>25</v>
      </c>
      <c r="C17" s="14" t="s">
        <v>26</v>
      </c>
      <c r="D17" s="15"/>
      <c r="E17" s="15">
        <v>-7.8468</v>
      </c>
      <c r="F17" s="15">
        <v>-7.16106</v>
      </c>
      <c r="G17" s="15">
        <v>-7.16106</v>
      </c>
      <c r="H17" s="15">
        <v>-7.16106</v>
      </c>
      <c r="I17" s="15">
        <v>-7.16106</v>
      </c>
      <c r="J17" s="15"/>
      <c r="K17" s="15"/>
      <c r="L17" s="15"/>
      <c r="M17" s="15"/>
      <c r="N17" s="15"/>
      <c r="O17" s="15"/>
    </row>
    <row r="18" spans="2:15" ht="16" customHeight="1" x14ac:dyDescent="0.35">
      <c r="B18" s="14" t="s">
        <v>27</v>
      </c>
      <c r="C18" s="14" t="s">
        <v>28</v>
      </c>
      <c r="D18" s="15">
        <v>-10482.21141</v>
      </c>
      <c r="E18" s="15">
        <v>-21466.79493</v>
      </c>
      <c r="F18" s="15">
        <v>-34023.681199999999</v>
      </c>
      <c r="G18" s="15">
        <v>-48805.626819999998</v>
      </c>
      <c r="H18" s="15">
        <v>-64426.889560000003</v>
      </c>
      <c r="I18" s="15">
        <v>-72376.490439999994</v>
      </c>
      <c r="J18" s="15"/>
      <c r="K18" s="15"/>
      <c r="L18" s="15"/>
      <c r="M18" s="15"/>
      <c r="N18" s="15"/>
      <c r="O18" s="15"/>
    </row>
    <row r="19" spans="2:15" ht="16" customHeight="1" x14ac:dyDescent="0.35">
      <c r="B19" s="14" t="s">
        <v>29</v>
      </c>
      <c r="C19" s="14" t="s">
        <v>30</v>
      </c>
      <c r="D19" s="15">
        <v>-1204.5732800000001</v>
      </c>
      <c r="E19" s="15">
        <v>-2604.07267</v>
      </c>
      <c r="F19" s="15">
        <v>-4621.4768400000003</v>
      </c>
      <c r="G19" s="15">
        <v>-7461.4833900000003</v>
      </c>
      <c r="H19" s="15">
        <v>-9894.1890700000004</v>
      </c>
      <c r="I19" s="15">
        <v>-10658.51622</v>
      </c>
      <c r="J19" s="15"/>
      <c r="K19" s="15"/>
      <c r="L19" s="15"/>
      <c r="M19" s="15"/>
      <c r="N19" s="15"/>
      <c r="O19" s="15"/>
    </row>
    <row r="20" spans="2:15" ht="16" customHeight="1" x14ac:dyDescent="0.35">
      <c r="B20" s="14" t="s">
        <v>31</v>
      </c>
      <c r="C20" s="14" t="s">
        <v>32</v>
      </c>
      <c r="D20" s="15">
        <v>-8297.3350499999997</v>
      </c>
      <c r="E20" s="15">
        <v>-16540.154470000001</v>
      </c>
      <c r="F20" s="15">
        <v>-28215.551149999999</v>
      </c>
      <c r="G20" s="15">
        <v>-36452.646569999997</v>
      </c>
      <c r="H20" s="15">
        <v>-46273.43477</v>
      </c>
      <c r="I20" s="15">
        <v>-50238.450530000002</v>
      </c>
      <c r="J20" s="15"/>
      <c r="K20" s="15"/>
      <c r="L20" s="15"/>
      <c r="M20" s="15"/>
      <c r="N20" s="15"/>
      <c r="O20" s="15"/>
    </row>
    <row r="21" spans="2:15" ht="16" customHeight="1" x14ac:dyDescent="0.35">
      <c r="B21" s="14" t="s">
        <v>33</v>
      </c>
      <c r="C21" s="14" t="s">
        <v>34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</row>
    <row r="22" spans="2:15" ht="16" customHeight="1" x14ac:dyDescent="0.35">
      <c r="B22" s="14" t="s">
        <v>35</v>
      </c>
      <c r="C22" s="14" t="s">
        <v>36</v>
      </c>
      <c r="D22" s="15">
        <v>115.28442</v>
      </c>
      <c r="E22" s="15">
        <v>135.63016999999999</v>
      </c>
      <c r="F22" s="15">
        <v>244.02316999999999</v>
      </c>
      <c r="G22" s="15">
        <v>246.72269</v>
      </c>
      <c r="H22" s="15">
        <v>285.94369</v>
      </c>
      <c r="I22" s="15">
        <v>285.94369</v>
      </c>
      <c r="J22" s="15"/>
      <c r="K22" s="15"/>
      <c r="L22" s="15"/>
      <c r="M22" s="15"/>
      <c r="N22" s="15"/>
      <c r="O22" s="15"/>
    </row>
    <row r="23" spans="2:15" ht="16" customHeight="1" x14ac:dyDescent="0.35">
      <c r="B23" s="14" t="s">
        <v>37</v>
      </c>
      <c r="C23" s="14" t="s">
        <v>38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2:15" ht="16" customHeight="1" x14ac:dyDescent="0.35">
      <c r="B24" s="16" t="s">
        <v>39</v>
      </c>
      <c r="C24" s="16" t="s">
        <v>40</v>
      </c>
      <c r="D24" s="17">
        <f t="shared" ref="D24:O24" si="1">-(-(D16+D17)-D18-D19-D20-D22-D21)</f>
        <v>-35143.535709999996</v>
      </c>
      <c r="E24" s="17">
        <f t="shared" si="1"/>
        <v>-71299.63231999999</v>
      </c>
      <c r="F24" s="17">
        <f t="shared" si="1"/>
        <v>-117966.1719</v>
      </c>
      <c r="G24" s="17">
        <f t="shared" si="1"/>
        <v>-169483.50521</v>
      </c>
      <c r="H24" s="17">
        <f t="shared" si="1"/>
        <v>-225089.99166999999</v>
      </c>
      <c r="I24" s="17">
        <f t="shared" si="1"/>
        <v>-246935.96706</v>
      </c>
      <c r="J24" s="17">
        <f t="shared" si="1"/>
        <v>0</v>
      </c>
      <c r="K24" s="17">
        <f t="shared" si="1"/>
        <v>0</v>
      </c>
      <c r="L24" s="17">
        <f t="shared" si="1"/>
        <v>0</v>
      </c>
      <c r="M24" s="17">
        <f t="shared" si="1"/>
        <v>0</v>
      </c>
      <c r="N24" s="17">
        <f t="shared" si="1"/>
        <v>0</v>
      </c>
      <c r="O24" s="17">
        <f t="shared" si="1"/>
        <v>0</v>
      </c>
    </row>
    <row r="25" spans="2:15" ht="16" customHeight="1" x14ac:dyDescent="0.35">
      <c r="B25" s="11" t="s">
        <v>41</v>
      </c>
      <c r="C25" s="11" t="s">
        <v>22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2:15" ht="16" customHeight="1" x14ac:dyDescent="0.35">
      <c r="B26" s="14" t="s">
        <v>42</v>
      </c>
      <c r="C26" s="14" t="s">
        <v>43</v>
      </c>
      <c r="D26" s="15">
        <v>-502.85079999999999</v>
      </c>
      <c r="E26" s="15">
        <v>-1151.90607</v>
      </c>
      <c r="F26" s="15">
        <v>-9523.6269699999993</v>
      </c>
      <c r="G26" s="15">
        <v>-14218.868570000001</v>
      </c>
      <c r="H26" s="15">
        <v>-3574.8331199999998</v>
      </c>
      <c r="I26" s="15">
        <v>-4421.9945600000001</v>
      </c>
      <c r="J26" s="15"/>
      <c r="K26" s="15"/>
      <c r="L26" s="15"/>
      <c r="M26" s="15"/>
      <c r="N26" s="15"/>
      <c r="O26" s="15"/>
    </row>
    <row r="27" spans="2:15" ht="16" customHeight="1" x14ac:dyDescent="0.35">
      <c r="B27" s="14" t="s">
        <v>44</v>
      </c>
      <c r="C27" s="14" t="s">
        <v>45</v>
      </c>
      <c r="D27" s="15">
        <v>-41286.188439999998</v>
      </c>
      <c r="E27" s="15">
        <v>-95117.796870000006</v>
      </c>
      <c r="F27" s="15">
        <v>-158422.09030000001</v>
      </c>
      <c r="G27" s="15">
        <v>-231600.58429999999</v>
      </c>
      <c r="H27" s="15">
        <v>-324001.46051</v>
      </c>
      <c r="I27" s="15">
        <v>-372478.70863000001</v>
      </c>
      <c r="J27" s="15"/>
      <c r="K27" s="15"/>
      <c r="L27" s="15"/>
      <c r="M27" s="15"/>
      <c r="N27" s="15"/>
      <c r="O27" s="15"/>
    </row>
    <row r="28" spans="2:15" ht="16" customHeight="1" x14ac:dyDescent="0.35">
      <c r="B28" s="14" t="s">
        <v>46</v>
      </c>
      <c r="C28" s="14" t="s">
        <v>47</v>
      </c>
      <c r="D28" s="15">
        <v>-1823.4143799999999</v>
      </c>
      <c r="E28" s="15">
        <v>-3970.8592899999999</v>
      </c>
      <c r="F28" s="15">
        <v>-7283.1467499999999</v>
      </c>
      <c r="G28" s="15">
        <v>-10822.04874</v>
      </c>
      <c r="H28" s="15">
        <v>-14510.7989</v>
      </c>
      <c r="I28" s="15">
        <v>-15670.878489999999</v>
      </c>
      <c r="J28" s="15"/>
      <c r="K28" s="15"/>
      <c r="L28" s="15"/>
      <c r="M28" s="15"/>
      <c r="N28" s="15"/>
      <c r="O28" s="15"/>
    </row>
    <row r="29" spans="2:15" ht="16" customHeight="1" x14ac:dyDescent="0.35">
      <c r="B29" s="14" t="s">
        <v>48</v>
      </c>
      <c r="C29" s="14" t="s">
        <v>49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2:15" ht="16" customHeight="1" x14ac:dyDescent="0.35">
      <c r="B30" s="14" t="s">
        <v>50</v>
      </c>
      <c r="C30" s="14" t="s">
        <v>51</v>
      </c>
      <c r="D30" s="15">
        <v>-2336.1685200000002</v>
      </c>
      <c r="E30" s="15">
        <v>-4938.9867299999996</v>
      </c>
      <c r="F30" s="15">
        <v>-7770.6669400000001</v>
      </c>
      <c r="G30" s="15">
        <v>-10684.85209</v>
      </c>
      <c r="H30" s="15">
        <v>-13888.88961</v>
      </c>
      <c r="I30" s="15">
        <v>-14025.882019999999</v>
      </c>
      <c r="J30" s="15"/>
      <c r="K30" s="15"/>
      <c r="L30" s="15"/>
      <c r="M30" s="15"/>
      <c r="N30" s="15"/>
      <c r="O30" s="15"/>
    </row>
    <row r="31" spans="2:15" ht="16" customHeight="1" x14ac:dyDescent="0.35">
      <c r="B31" s="14" t="s">
        <v>52</v>
      </c>
      <c r="C31" s="14" t="s">
        <v>53</v>
      </c>
      <c r="D31" s="15">
        <v>-21438.486789999999</v>
      </c>
      <c r="E31" s="15">
        <v>-43145.664270000001</v>
      </c>
      <c r="F31" s="15">
        <v>-71000.276490000004</v>
      </c>
      <c r="G31" s="15">
        <v>-102071.07943</v>
      </c>
      <c r="H31" s="15">
        <v>-131763.94818000001</v>
      </c>
      <c r="I31" s="15">
        <v>-150094.75493</v>
      </c>
      <c r="J31" s="15"/>
      <c r="K31" s="15"/>
      <c r="L31" s="15"/>
      <c r="M31" s="15"/>
      <c r="N31" s="15"/>
      <c r="O31" s="15"/>
    </row>
    <row r="32" spans="2:15" ht="16" customHeight="1" x14ac:dyDescent="0.35">
      <c r="B32" s="14" t="s">
        <v>54</v>
      </c>
      <c r="C32" s="14" t="s">
        <v>55</v>
      </c>
      <c r="D32" s="15">
        <v>-11658.21155</v>
      </c>
      <c r="E32" s="15">
        <v>-24096.685750000001</v>
      </c>
      <c r="F32" s="15">
        <v>-36315.710780000001</v>
      </c>
      <c r="G32" s="15">
        <v>-52372.043270000002</v>
      </c>
      <c r="H32" s="15">
        <v>-65327.998970000001</v>
      </c>
      <c r="I32" s="15">
        <v>-68788.465549999994</v>
      </c>
      <c r="J32" s="15"/>
      <c r="K32" s="15"/>
      <c r="L32" s="15"/>
      <c r="M32" s="15"/>
      <c r="N32" s="15"/>
      <c r="O32" s="15"/>
    </row>
    <row r="33" spans="2:15" ht="16" customHeight="1" x14ac:dyDescent="0.35">
      <c r="B33" s="14" t="s">
        <v>56</v>
      </c>
      <c r="C33" s="14" t="s">
        <v>57</v>
      </c>
      <c r="D33" s="15">
        <v>-15134.188889999999</v>
      </c>
      <c r="E33" s="15">
        <v>-29769.314979999999</v>
      </c>
      <c r="F33" s="15">
        <v>-50623.015379999997</v>
      </c>
      <c r="G33" s="15">
        <v>-71522.874160000007</v>
      </c>
      <c r="H33" s="15">
        <v>-91352.464430000007</v>
      </c>
      <c r="I33" s="15">
        <v>-101405.35498</v>
      </c>
      <c r="J33" s="15"/>
      <c r="K33" s="15"/>
      <c r="L33" s="15"/>
      <c r="M33" s="15"/>
      <c r="N33" s="15"/>
      <c r="O33" s="15"/>
    </row>
    <row r="34" spans="2:15" ht="16" customHeight="1" x14ac:dyDescent="0.35">
      <c r="B34" s="14" t="s">
        <v>58</v>
      </c>
      <c r="C34" s="14" t="s">
        <v>59</v>
      </c>
      <c r="D34" s="15">
        <v>-2776.7302599999998</v>
      </c>
      <c r="E34" s="15">
        <v>-6231.9845299999997</v>
      </c>
      <c r="F34" s="15">
        <v>827.51652000000001</v>
      </c>
      <c r="G34" s="15">
        <v>1934.7971299999999</v>
      </c>
      <c r="H34" s="15">
        <v>11126.2104</v>
      </c>
      <c r="I34" s="15">
        <v>16413.236219999999</v>
      </c>
      <c r="J34" s="15"/>
      <c r="K34" s="15"/>
      <c r="L34" s="15"/>
      <c r="M34" s="15"/>
      <c r="N34" s="15"/>
      <c r="O34" s="15"/>
    </row>
    <row r="35" spans="2:15" ht="16" customHeight="1" x14ac:dyDescent="0.35">
      <c r="B35" s="14" t="s">
        <v>60</v>
      </c>
      <c r="C35" s="14" t="s">
        <v>61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2:15" ht="16" customHeight="1" x14ac:dyDescent="0.35">
      <c r="B36" s="14" t="s">
        <v>62</v>
      </c>
      <c r="C36" s="14" t="s">
        <v>36</v>
      </c>
      <c r="D36" s="15">
        <v>277.46525000000003</v>
      </c>
      <c r="E36" s="15">
        <v>392.42750000000001</v>
      </c>
      <c r="F36" s="15">
        <v>2074.6567500000001</v>
      </c>
      <c r="G36" s="15">
        <v>2113.9967499999998</v>
      </c>
      <c r="H36" s="15">
        <v>2160.0612500000002</v>
      </c>
      <c r="I36" s="15">
        <v>2230.6862500000002</v>
      </c>
      <c r="J36" s="15"/>
      <c r="K36" s="15"/>
      <c r="L36" s="15"/>
      <c r="M36" s="15"/>
      <c r="N36" s="15"/>
      <c r="O36" s="15"/>
    </row>
    <row r="37" spans="2:15" ht="16" customHeight="1" x14ac:dyDescent="0.35">
      <c r="B37" s="14" t="s">
        <v>63</v>
      </c>
      <c r="C37" s="14" t="s">
        <v>64</v>
      </c>
      <c r="D37" s="15">
        <v>3.7576100000000001</v>
      </c>
      <c r="E37" s="15">
        <v>3.0933700000000002</v>
      </c>
      <c r="F37" s="15">
        <v>-13.050739999999999</v>
      </c>
      <c r="G37" s="15">
        <v>-156.40074000000001</v>
      </c>
      <c r="H37" s="15">
        <v>-154.20959999999999</v>
      </c>
      <c r="I37" s="15">
        <v>-155.73650000000001</v>
      </c>
      <c r="J37" s="15"/>
      <c r="K37" s="15"/>
      <c r="L37" s="15"/>
      <c r="M37" s="15"/>
      <c r="N37" s="15"/>
      <c r="O37" s="15"/>
    </row>
    <row r="38" spans="2:15" ht="16" customHeight="1" x14ac:dyDescent="0.35">
      <c r="B38" s="14" t="s">
        <v>65</v>
      </c>
      <c r="C38" s="14" t="s">
        <v>66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2:15" ht="16" customHeight="1" x14ac:dyDescent="0.35">
      <c r="B39" s="14" t="s">
        <v>67</v>
      </c>
      <c r="C39" s="14" t="s">
        <v>68</v>
      </c>
      <c r="D39" s="15">
        <v>11289.084999999999</v>
      </c>
      <c r="E39" s="15">
        <v>23579.986000000001</v>
      </c>
      <c r="F39" s="15">
        <v>42107.417000000001</v>
      </c>
      <c r="G39" s="15">
        <v>64210.302000000003</v>
      </c>
      <c r="H39" s="15">
        <v>87595.273000000001</v>
      </c>
      <c r="I39" s="15">
        <v>103235.253</v>
      </c>
      <c r="J39" s="15"/>
      <c r="K39" s="15"/>
      <c r="L39" s="15"/>
      <c r="M39" s="15"/>
      <c r="N39" s="15"/>
      <c r="O39" s="15"/>
    </row>
    <row r="40" spans="2:15" ht="16" customHeight="1" x14ac:dyDescent="0.35">
      <c r="B40" s="16" t="s">
        <v>69</v>
      </c>
      <c r="C40" s="16" t="s">
        <v>70</v>
      </c>
      <c r="D40" s="17">
        <f t="shared" ref="D40:O40" si="2">-(-(D26+D27)-D28-D29-D30-D31-D32-D33-D34-D35-D36-D37-D38-D39)</f>
        <v>-85385.931769999996</v>
      </c>
      <c r="E40" s="17">
        <f t="shared" si="2"/>
        <v>-184447.69162</v>
      </c>
      <c r="F40" s="17">
        <f t="shared" si="2"/>
        <v>-295941.99407999997</v>
      </c>
      <c r="G40" s="17">
        <f t="shared" si="2"/>
        <v>-425189.65541999997</v>
      </c>
      <c r="H40" s="17">
        <f t="shared" si="2"/>
        <v>-543693.05866999994</v>
      </c>
      <c r="I40" s="17">
        <f t="shared" si="2"/>
        <v>-605162.60018999991</v>
      </c>
      <c r="J40" s="17">
        <f t="shared" si="2"/>
        <v>0</v>
      </c>
      <c r="K40" s="17">
        <f t="shared" si="2"/>
        <v>0</v>
      </c>
      <c r="L40" s="17">
        <f t="shared" si="2"/>
        <v>0</v>
      </c>
      <c r="M40" s="17">
        <f t="shared" si="2"/>
        <v>0</v>
      </c>
      <c r="N40" s="17">
        <f t="shared" si="2"/>
        <v>0</v>
      </c>
      <c r="O40" s="17">
        <f t="shared" si="2"/>
        <v>0</v>
      </c>
    </row>
    <row r="41" spans="2:15" ht="16" customHeight="1" x14ac:dyDescent="0.35">
      <c r="B41" s="11" t="s">
        <v>71</v>
      </c>
      <c r="C41" s="11" t="s">
        <v>22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</row>
    <row r="42" spans="2:15" ht="16" customHeight="1" x14ac:dyDescent="0.35">
      <c r="B42" s="16" t="s">
        <v>72</v>
      </c>
      <c r="C42" s="16" t="s">
        <v>73</v>
      </c>
      <c r="D42" s="17">
        <f t="shared" ref="D42:O42" si="3">D24+D40</f>
        <v>-120529.46747999999</v>
      </c>
      <c r="E42" s="17">
        <f t="shared" si="3"/>
        <v>-255747.32393999997</v>
      </c>
      <c r="F42" s="17">
        <f t="shared" si="3"/>
        <v>-413908.16597999999</v>
      </c>
      <c r="G42" s="17">
        <f t="shared" si="3"/>
        <v>-594673.16062999994</v>
      </c>
      <c r="H42" s="17">
        <f t="shared" si="3"/>
        <v>-768783.05033999996</v>
      </c>
      <c r="I42" s="17">
        <f t="shared" si="3"/>
        <v>-852098.56724999985</v>
      </c>
      <c r="J42" s="17">
        <f t="shared" si="3"/>
        <v>0</v>
      </c>
      <c r="K42" s="17">
        <f t="shared" si="3"/>
        <v>0</v>
      </c>
      <c r="L42" s="17">
        <f t="shared" si="3"/>
        <v>0</v>
      </c>
      <c r="M42" s="17">
        <f t="shared" si="3"/>
        <v>0</v>
      </c>
      <c r="N42" s="17">
        <f t="shared" si="3"/>
        <v>0</v>
      </c>
      <c r="O42" s="17">
        <f t="shared" si="3"/>
        <v>0</v>
      </c>
    </row>
    <row r="43" spans="2:15" ht="16" customHeight="1" thickBot="1" x14ac:dyDescent="0.4">
      <c r="B43" s="11" t="s">
        <v>74</v>
      </c>
      <c r="C43" s="11" t="s">
        <v>22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2:15" ht="16" customHeight="1" thickBot="1" x14ac:dyDescent="0.4">
      <c r="B44" s="18" t="s">
        <v>75</v>
      </c>
      <c r="C44" s="18" t="s">
        <v>76</v>
      </c>
      <c r="D44" s="19">
        <f t="shared" ref="D44:O44" si="4">D14+D42</f>
        <v>-3072.2391599999974</v>
      </c>
      <c r="E44" s="19">
        <f t="shared" si="4"/>
        <v>2629.2137000000221</v>
      </c>
      <c r="F44" s="19">
        <f t="shared" si="4"/>
        <v>36713.012229999993</v>
      </c>
      <c r="G44" s="19">
        <f t="shared" si="4"/>
        <v>77536.671170000103</v>
      </c>
      <c r="H44" s="19">
        <f t="shared" si="4"/>
        <v>141813.29722000007</v>
      </c>
      <c r="I44" s="19">
        <f t="shared" si="4"/>
        <v>172196.68840000022</v>
      </c>
      <c r="J44" s="19">
        <f t="shared" si="4"/>
        <v>0</v>
      </c>
      <c r="K44" s="19">
        <f t="shared" si="4"/>
        <v>0</v>
      </c>
      <c r="L44" s="19">
        <f t="shared" si="4"/>
        <v>0</v>
      </c>
      <c r="M44" s="19">
        <f t="shared" si="4"/>
        <v>0</v>
      </c>
      <c r="N44" s="19">
        <f t="shared" si="4"/>
        <v>0</v>
      </c>
      <c r="O44" s="19">
        <f t="shared" si="4"/>
        <v>0</v>
      </c>
    </row>
    <row r="45" spans="2:15" ht="16" customHeight="1" x14ac:dyDescent="0.35">
      <c r="B45" s="11" t="s">
        <v>77</v>
      </c>
      <c r="C45" s="11" t="s">
        <v>22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2:15" ht="16" customHeight="1" x14ac:dyDescent="0.35">
      <c r="B46" s="14" t="s">
        <v>78</v>
      </c>
      <c r="C46" s="14" t="s">
        <v>28</v>
      </c>
      <c r="D46" s="15">
        <v>-2696.7664799999998</v>
      </c>
      <c r="E46" s="15">
        <v>-5116.0722900000001</v>
      </c>
      <c r="F46" s="15">
        <v>-8744.6940300000006</v>
      </c>
      <c r="G46" s="15">
        <v>-10639.596869999999</v>
      </c>
      <c r="H46" s="15">
        <v>-13187.210580000001</v>
      </c>
      <c r="I46" s="15">
        <v>-15508.57605</v>
      </c>
      <c r="J46" s="15"/>
      <c r="K46" s="15"/>
      <c r="L46" s="15"/>
      <c r="M46" s="15"/>
      <c r="N46" s="15"/>
      <c r="O46" s="15"/>
    </row>
    <row r="47" spans="2:15" ht="16" customHeight="1" x14ac:dyDescent="0.35">
      <c r="B47" s="14" t="s">
        <v>79</v>
      </c>
      <c r="C47" s="14" t="s">
        <v>80</v>
      </c>
      <c r="D47" s="15">
        <v>-227.99182999999999</v>
      </c>
      <c r="E47" s="15">
        <v>-382.17126999999999</v>
      </c>
      <c r="F47" s="15">
        <v>-999.11438999999996</v>
      </c>
      <c r="G47" s="15">
        <v>-437.53953000000001</v>
      </c>
      <c r="H47" s="15">
        <v>-483.78607</v>
      </c>
      <c r="I47" s="15">
        <v>-503.37801999999999</v>
      </c>
      <c r="J47" s="15"/>
      <c r="K47" s="15"/>
      <c r="L47" s="15"/>
      <c r="M47" s="15"/>
      <c r="N47" s="15"/>
      <c r="O47" s="15"/>
    </row>
    <row r="48" spans="2:15" ht="16" customHeight="1" x14ac:dyDescent="0.35">
      <c r="B48" s="14" t="s">
        <v>81</v>
      </c>
      <c r="C48" s="14" t="s">
        <v>82</v>
      </c>
      <c r="D48" s="15"/>
      <c r="E48" s="15"/>
      <c r="F48" s="15">
        <v>-460.56831</v>
      </c>
      <c r="G48" s="15">
        <v>-897.41196000000002</v>
      </c>
      <c r="H48" s="15">
        <v>-1332.93453</v>
      </c>
      <c r="I48" s="15">
        <v>-1332.93453</v>
      </c>
      <c r="J48" s="15"/>
      <c r="K48" s="15"/>
      <c r="L48" s="15"/>
      <c r="M48" s="15"/>
      <c r="N48" s="15"/>
      <c r="O48" s="15"/>
    </row>
    <row r="49" spans="2:15" ht="16" customHeight="1" x14ac:dyDescent="0.35">
      <c r="B49" s="14" t="s">
        <v>83</v>
      </c>
      <c r="C49" s="14" t="s">
        <v>84</v>
      </c>
      <c r="D49" s="15">
        <v>-362.18322999999998</v>
      </c>
      <c r="E49" s="15">
        <v>-716.07641000000001</v>
      </c>
      <c r="F49" s="15">
        <v>458.56648000000001</v>
      </c>
      <c r="G49" s="15">
        <v>-1857.2865400000001</v>
      </c>
      <c r="H49" s="15">
        <v>-2447.6442999999999</v>
      </c>
      <c r="I49" s="15">
        <v>-2381.18235</v>
      </c>
      <c r="J49" s="15"/>
      <c r="K49" s="15"/>
      <c r="L49" s="15"/>
      <c r="M49" s="15"/>
      <c r="N49" s="15"/>
      <c r="O49" s="15"/>
    </row>
    <row r="50" spans="2:15" ht="16" customHeight="1" x14ac:dyDescent="0.35">
      <c r="B50" s="14" t="s">
        <v>85</v>
      </c>
      <c r="C50" s="14" t="s">
        <v>86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2:15" ht="16" customHeight="1" x14ac:dyDescent="0.35">
      <c r="B51" s="14" t="s">
        <v>87</v>
      </c>
      <c r="C51" s="14" t="s">
        <v>88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2:15" ht="16" customHeight="1" x14ac:dyDescent="0.35">
      <c r="B52" s="14" t="s">
        <v>89</v>
      </c>
      <c r="C52" s="14" t="s">
        <v>90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2:15" ht="16" customHeight="1" x14ac:dyDescent="0.35">
      <c r="B53" s="16" t="s">
        <v>91</v>
      </c>
      <c r="C53" s="16" t="s">
        <v>92</v>
      </c>
      <c r="D53" s="17">
        <f t="shared" ref="D53:O53" si="5">-(-(D46+D47)-D48-D49-D51-D50)</f>
        <v>-3286.9415399999998</v>
      </c>
      <c r="E53" s="17">
        <f t="shared" si="5"/>
        <v>-6214.3199699999996</v>
      </c>
      <c r="F53" s="17">
        <f t="shared" si="5"/>
        <v>-9745.8102500000023</v>
      </c>
      <c r="G53" s="17">
        <f t="shared" si="5"/>
        <v>-13831.834899999998</v>
      </c>
      <c r="H53" s="17">
        <f t="shared" si="5"/>
        <v>-17451.57548</v>
      </c>
      <c r="I53" s="17">
        <f t="shared" si="5"/>
        <v>-19726.070949999998</v>
      </c>
      <c r="J53" s="17">
        <f t="shared" si="5"/>
        <v>0</v>
      </c>
      <c r="K53" s="17">
        <f t="shared" si="5"/>
        <v>0</v>
      </c>
      <c r="L53" s="17">
        <f t="shared" si="5"/>
        <v>0</v>
      </c>
      <c r="M53" s="17">
        <f t="shared" si="5"/>
        <v>0</v>
      </c>
      <c r="N53" s="17">
        <f t="shared" si="5"/>
        <v>0</v>
      </c>
      <c r="O53" s="17">
        <f t="shared" si="5"/>
        <v>0</v>
      </c>
    </row>
    <row r="54" spans="2:15" ht="16" customHeight="1" x14ac:dyDescent="0.35">
      <c r="B54" s="11" t="s">
        <v>93</v>
      </c>
      <c r="C54" s="11" t="s">
        <v>22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2:15" ht="16" customHeight="1" x14ac:dyDescent="0.35">
      <c r="B55" s="14" t="s">
        <v>94</v>
      </c>
      <c r="C55" s="14" t="s">
        <v>28</v>
      </c>
      <c r="D55" s="15">
        <v>-2802.4047300000002</v>
      </c>
      <c r="E55" s="15">
        <v>-6059.9623499999998</v>
      </c>
      <c r="F55" s="15">
        <v>-14325.696190000001</v>
      </c>
      <c r="G55" s="15">
        <v>-17146.878919999999</v>
      </c>
      <c r="H55" s="15">
        <v>-21719.43046</v>
      </c>
      <c r="I55" s="15">
        <v>-24294.736110000002</v>
      </c>
      <c r="J55" s="15"/>
      <c r="K55" s="15"/>
      <c r="L55" s="15"/>
      <c r="M55" s="15"/>
      <c r="N55" s="15"/>
      <c r="O55" s="15"/>
    </row>
    <row r="56" spans="2:15" ht="16" customHeight="1" x14ac:dyDescent="0.35">
      <c r="B56" s="14" t="s">
        <v>95</v>
      </c>
      <c r="C56" s="14" t="s">
        <v>80</v>
      </c>
      <c r="D56" s="15">
        <v>-737.44348000000002</v>
      </c>
      <c r="E56" s="15">
        <v>-1425.0469599999999</v>
      </c>
      <c r="F56" s="15">
        <v>-810.63558</v>
      </c>
      <c r="G56" s="15">
        <v>-1288.86733</v>
      </c>
      <c r="H56" s="15">
        <v>-2449.4548100000002</v>
      </c>
      <c r="I56" s="15">
        <v>-2312.2231200000001</v>
      </c>
      <c r="J56" s="15"/>
      <c r="K56" s="15"/>
      <c r="L56" s="15"/>
      <c r="M56" s="15"/>
      <c r="N56" s="15"/>
      <c r="O56" s="15"/>
    </row>
    <row r="57" spans="2:15" ht="16" customHeight="1" x14ac:dyDescent="0.35">
      <c r="B57" s="14" t="s">
        <v>96</v>
      </c>
      <c r="C57" s="14" t="s">
        <v>97</v>
      </c>
      <c r="D57" s="15">
        <v>-4621.4732700000004</v>
      </c>
      <c r="E57" s="15">
        <v>-8084.1949400000003</v>
      </c>
      <c r="F57" s="15">
        <v>-10573.500959999999</v>
      </c>
      <c r="G57" s="15">
        <v>-14285.018690000001</v>
      </c>
      <c r="H57" s="15">
        <v>-17879.99927</v>
      </c>
      <c r="I57" s="15">
        <v>-11351.584199999999</v>
      </c>
      <c r="J57" s="15"/>
      <c r="K57" s="15"/>
      <c r="L57" s="15"/>
      <c r="M57" s="15"/>
      <c r="N57" s="15"/>
      <c r="O57" s="15"/>
    </row>
    <row r="58" spans="2:15" ht="16" customHeight="1" x14ac:dyDescent="0.35">
      <c r="B58" s="14" t="s">
        <v>98</v>
      </c>
      <c r="C58" s="14" t="s">
        <v>99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2:15" ht="16" customHeight="1" x14ac:dyDescent="0.35">
      <c r="B59" s="14" t="s">
        <v>100</v>
      </c>
      <c r="C59" s="14" t="s">
        <v>88</v>
      </c>
      <c r="D59" s="15"/>
      <c r="E59" s="15"/>
      <c r="F59" s="15">
        <v>-20.92708</v>
      </c>
      <c r="G59" s="15">
        <v>-100.79131</v>
      </c>
      <c r="H59" s="15">
        <v>-95.397540000000006</v>
      </c>
      <c r="I59" s="15">
        <v>-95.397540000000006</v>
      </c>
      <c r="J59" s="15"/>
      <c r="K59" s="15"/>
      <c r="L59" s="15"/>
      <c r="M59" s="15"/>
      <c r="N59" s="15"/>
      <c r="O59" s="15"/>
    </row>
    <row r="60" spans="2:15" ht="16" customHeight="1" x14ac:dyDescent="0.35">
      <c r="B60" s="14" t="s">
        <v>101</v>
      </c>
      <c r="C60" s="14" t="s">
        <v>102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2:15" ht="16" customHeight="1" x14ac:dyDescent="0.35">
      <c r="B61" s="16" t="s">
        <v>103</v>
      </c>
      <c r="C61" s="16" t="s">
        <v>104</v>
      </c>
      <c r="D61" s="17">
        <f t="shared" ref="D61:O61" si="6">-(-(D55+D56)-D57-D59-D58)</f>
        <v>-8161.3214800000005</v>
      </c>
      <c r="E61" s="17">
        <f t="shared" si="6"/>
        <v>-15569.204249999999</v>
      </c>
      <c r="F61" s="17">
        <f t="shared" si="6"/>
        <v>-25730.759810000003</v>
      </c>
      <c r="G61" s="17">
        <f t="shared" si="6"/>
        <v>-32821.556250000001</v>
      </c>
      <c r="H61" s="17">
        <f t="shared" si="6"/>
        <v>-42144.282079999997</v>
      </c>
      <c r="I61" s="17">
        <f t="shared" si="6"/>
        <v>-38053.940969999996</v>
      </c>
      <c r="J61" s="17">
        <f t="shared" si="6"/>
        <v>0</v>
      </c>
      <c r="K61" s="17">
        <f t="shared" si="6"/>
        <v>0</v>
      </c>
      <c r="L61" s="17">
        <f t="shared" si="6"/>
        <v>0</v>
      </c>
      <c r="M61" s="17">
        <f t="shared" si="6"/>
        <v>0</v>
      </c>
      <c r="N61" s="17">
        <f t="shared" si="6"/>
        <v>0</v>
      </c>
      <c r="O61" s="17">
        <f t="shared" si="6"/>
        <v>0</v>
      </c>
    </row>
    <row r="62" spans="2:15" ht="16" customHeight="1" thickBot="1" x14ac:dyDescent="0.4">
      <c r="B62" s="11" t="s">
        <v>105</v>
      </c>
      <c r="C62" s="11" t="s">
        <v>22</v>
      </c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</row>
    <row r="63" spans="2:15" ht="16" customHeight="1" thickBot="1" x14ac:dyDescent="0.4">
      <c r="B63" s="18" t="s">
        <v>106</v>
      </c>
      <c r="C63" s="18" t="s">
        <v>107</v>
      </c>
      <c r="D63" s="19">
        <f t="shared" ref="D63:O63" si="7">D53+D61</f>
        <v>-11448.26302</v>
      </c>
      <c r="E63" s="19">
        <f t="shared" si="7"/>
        <v>-21783.524219999999</v>
      </c>
      <c r="F63" s="19">
        <f t="shared" si="7"/>
        <v>-35476.570060000005</v>
      </c>
      <c r="G63" s="19">
        <f t="shared" si="7"/>
        <v>-46653.391149999996</v>
      </c>
      <c r="H63" s="19">
        <f t="shared" si="7"/>
        <v>-59595.857559999997</v>
      </c>
      <c r="I63" s="19">
        <f t="shared" si="7"/>
        <v>-57780.01191999999</v>
      </c>
      <c r="J63" s="19">
        <f t="shared" si="7"/>
        <v>0</v>
      </c>
      <c r="K63" s="19">
        <f t="shared" si="7"/>
        <v>0</v>
      </c>
      <c r="L63" s="19">
        <f t="shared" si="7"/>
        <v>0</v>
      </c>
      <c r="M63" s="19">
        <f t="shared" si="7"/>
        <v>0</v>
      </c>
      <c r="N63" s="19">
        <f t="shared" si="7"/>
        <v>0</v>
      </c>
      <c r="O63" s="19">
        <f t="shared" si="7"/>
        <v>0</v>
      </c>
    </row>
    <row r="64" spans="2:15" ht="16" customHeight="1" x14ac:dyDescent="0.35">
      <c r="B64" s="11" t="s">
        <v>108</v>
      </c>
      <c r="C64" s="11" t="s">
        <v>22</v>
      </c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</row>
    <row r="65" spans="2:15" ht="16" customHeight="1" x14ac:dyDescent="0.35">
      <c r="B65" s="14" t="s">
        <v>109</v>
      </c>
      <c r="C65" s="14" t="s">
        <v>110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2:15" ht="16" customHeight="1" x14ac:dyDescent="0.35">
      <c r="B66" s="14" t="s">
        <v>111</v>
      </c>
      <c r="C66" s="14" t="s">
        <v>112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2:15" ht="16" customHeight="1" x14ac:dyDescent="0.35">
      <c r="B67" s="16" t="s">
        <v>113</v>
      </c>
      <c r="C67" s="16" t="s">
        <v>114</v>
      </c>
      <c r="D67" s="17">
        <f t="shared" ref="D67:O67" si="8">D65+D66</f>
        <v>0</v>
      </c>
      <c r="E67" s="17">
        <f t="shared" si="8"/>
        <v>0</v>
      </c>
      <c r="F67" s="17">
        <f t="shared" si="8"/>
        <v>0</v>
      </c>
      <c r="G67" s="17">
        <f t="shared" si="8"/>
        <v>0</v>
      </c>
      <c r="H67" s="17">
        <f t="shared" si="8"/>
        <v>0</v>
      </c>
      <c r="I67" s="17">
        <f t="shared" si="8"/>
        <v>0</v>
      </c>
      <c r="J67" s="17">
        <f t="shared" si="8"/>
        <v>0</v>
      </c>
      <c r="K67" s="17">
        <f t="shared" si="8"/>
        <v>0</v>
      </c>
      <c r="L67" s="17">
        <f t="shared" si="8"/>
        <v>0</v>
      </c>
      <c r="M67" s="17">
        <f t="shared" si="8"/>
        <v>0</v>
      </c>
      <c r="N67" s="17">
        <f t="shared" si="8"/>
        <v>0</v>
      </c>
      <c r="O67" s="17">
        <f t="shared" si="8"/>
        <v>0</v>
      </c>
    </row>
    <row r="68" spans="2:15" ht="16" customHeight="1" thickBot="1" x14ac:dyDescent="0.4">
      <c r="B68" s="11" t="s">
        <v>115</v>
      </c>
      <c r="C68" s="11" t="s">
        <v>22</v>
      </c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</row>
    <row r="69" spans="2:15" ht="16" customHeight="1" thickBot="1" x14ac:dyDescent="0.4">
      <c r="B69" s="18" t="s">
        <v>116</v>
      </c>
      <c r="C69" s="18" t="s">
        <v>117</v>
      </c>
      <c r="D69" s="19">
        <f t="shared" ref="D69:O69" si="9">-(-(D44+D63)-D67)</f>
        <v>-14520.502179999998</v>
      </c>
      <c r="E69" s="19">
        <f t="shared" si="9"/>
        <v>-19154.310519999977</v>
      </c>
      <c r="F69" s="19">
        <f t="shared" si="9"/>
        <v>1236.4421699999875</v>
      </c>
      <c r="G69" s="19">
        <f t="shared" si="9"/>
        <v>30883.280020000107</v>
      </c>
      <c r="H69" s="19">
        <f t="shared" si="9"/>
        <v>82217.439660000062</v>
      </c>
      <c r="I69" s="19">
        <f t="shared" si="9"/>
        <v>114416.67648000023</v>
      </c>
      <c r="J69" s="19">
        <f t="shared" si="9"/>
        <v>0</v>
      </c>
      <c r="K69" s="19">
        <f t="shared" si="9"/>
        <v>0</v>
      </c>
      <c r="L69" s="19">
        <f t="shared" si="9"/>
        <v>0</v>
      </c>
      <c r="M69" s="19">
        <f t="shared" si="9"/>
        <v>0</v>
      </c>
      <c r="N69" s="19">
        <f t="shared" si="9"/>
        <v>0</v>
      </c>
      <c r="O69" s="19">
        <f t="shared" si="9"/>
        <v>0</v>
      </c>
    </row>
    <row r="70" spans="2:15" ht="16" customHeight="1" x14ac:dyDescent="0.35">
      <c r="B70" s="11" t="s">
        <v>118</v>
      </c>
      <c r="C70" s="11" t="s">
        <v>22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2:15" ht="16" customHeight="1" x14ac:dyDescent="0.35">
      <c r="B71" s="14" t="s">
        <v>119</v>
      </c>
      <c r="C71" s="14" t="s">
        <v>120</v>
      </c>
      <c r="D71" s="15">
        <v>-4146.2315799999997</v>
      </c>
      <c r="E71" s="15">
        <v>-8312.5279200000004</v>
      </c>
      <c r="F71" s="15">
        <v>-12731.96443</v>
      </c>
      <c r="G71" s="15">
        <v>-17178.694060000002</v>
      </c>
      <c r="H71" s="15">
        <v>-22084.158899999999</v>
      </c>
      <c r="I71" s="15">
        <v>-22084.158899999999</v>
      </c>
      <c r="J71" s="15"/>
      <c r="K71" s="15"/>
      <c r="L71" s="15"/>
      <c r="M71" s="15"/>
      <c r="N71" s="15"/>
      <c r="O71" s="15"/>
    </row>
    <row r="72" spans="2:15" ht="16" customHeight="1" x14ac:dyDescent="0.35">
      <c r="B72" s="14" t="s">
        <v>121</v>
      </c>
      <c r="C72" s="14" t="s">
        <v>64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2:15" ht="16" customHeight="1" x14ac:dyDescent="0.35">
      <c r="B73" s="14" t="s">
        <v>122</v>
      </c>
      <c r="C73" s="14" t="s">
        <v>123</v>
      </c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2:15" ht="16" customHeight="1" thickBot="1" x14ac:dyDescent="0.4">
      <c r="B74" s="11" t="s">
        <v>124</v>
      </c>
      <c r="C74" s="11" t="s">
        <v>22</v>
      </c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2:15" ht="16" customHeight="1" thickBot="1" x14ac:dyDescent="0.4">
      <c r="B75" s="18" t="s">
        <v>125</v>
      </c>
      <c r="C75" s="18" t="s">
        <v>126</v>
      </c>
      <c r="D75" s="19">
        <f t="shared" ref="D75:O75" si="10">-(-(D69+D72)-D71-D73)</f>
        <v>-18666.733759999996</v>
      </c>
      <c r="E75" s="19">
        <f t="shared" si="10"/>
        <v>-27466.838439999978</v>
      </c>
      <c r="F75" s="19">
        <f t="shared" si="10"/>
        <v>-11495.522260000012</v>
      </c>
      <c r="G75" s="19">
        <f t="shared" si="10"/>
        <v>13704.585960000106</v>
      </c>
      <c r="H75" s="19">
        <f t="shared" si="10"/>
        <v>60133.280760000067</v>
      </c>
      <c r="I75" s="19">
        <f t="shared" si="10"/>
        <v>92332.517580000233</v>
      </c>
      <c r="J75" s="19">
        <f t="shared" si="10"/>
        <v>0</v>
      </c>
      <c r="K75" s="19">
        <f t="shared" si="10"/>
        <v>0</v>
      </c>
      <c r="L75" s="19">
        <f t="shared" si="10"/>
        <v>0</v>
      </c>
      <c r="M75" s="19">
        <f t="shared" si="10"/>
        <v>0</v>
      </c>
      <c r="N75" s="19">
        <f t="shared" si="10"/>
        <v>0</v>
      </c>
      <c r="O75" s="19">
        <f t="shared" si="10"/>
        <v>0</v>
      </c>
    </row>
    <row r="76" spans="2:15" ht="16" customHeight="1" x14ac:dyDescent="0.35">
      <c r="B76" s="11" t="s">
        <v>127</v>
      </c>
      <c r="C76" s="11" t="s">
        <v>22</v>
      </c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2:15" ht="16" customHeight="1" x14ac:dyDescent="0.35">
      <c r="B77" s="14" t="s">
        <v>128</v>
      </c>
      <c r="C77" s="14" t="s">
        <v>129</v>
      </c>
      <c r="D77" s="15">
        <v>-8900.3599099999992</v>
      </c>
      <c r="E77" s="15">
        <v>-18909.251479999999</v>
      </c>
      <c r="F77" s="15">
        <v>-30008.424230000001</v>
      </c>
      <c r="G77" s="15">
        <v>-40479.49955</v>
      </c>
      <c r="H77" s="15">
        <v>-54721.094689999998</v>
      </c>
      <c r="I77" s="15">
        <v>-54721.094689999998</v>
      </c>
      <c r="J77" s="15"/>
      <c r="K77" s="15"/>
      <c r="L77" s="15"/>
      <c r="M77" s="15"/>
      <c r="N77" s="15"/>
      <c r="O77" s="15"/>
    </row>
    <row r="78" spans="2:15" ht="16" customHeight="1" x14ac:dyDescent="0.35">
      <c r="B78" s="14" t="s">
        <v>130</v>
      </c>
      <c r="C78" s="14" t="s">
        <v>131</v>
      </c>
      <c r="D78" s="15">
        <v>-181.87100000000001</v>
      </c>
      <c r="E78" s="15">
        <v>-480.23700000000002</v>
      </c>
      <c r="F78" s="15">
        <v>-736.05</v>
      </c>
      <c r="G78" s="15">
        <v>-1095.6320000000001</v>
      </c>
      <c r="H78" s="15">
        <v>-1463.2139999999999</v>
      </c>
      <c r="I78" s="15">
        <v>-1463.2139999999999</v>
      </c>
      <c r="J78" s="15"/>
      <c r="K78" s="15"/>
      <c r="L78" s="15"/>
      <c r="M78" s="15"/>
      <c r="N78" s="15"/>
      <c r="O78" s="15"/>
    </row>
    <row r="79" spans="2:15" ht="16" customHeight="1" x14ac:dyDescent="0.35">
      <c r="B79" s="14" t="s">
        <v>132</v>
      </c>
      <c r="C79" s="14" t="s">
        <v>133</v>
      </c>
      <c r="D79" s="15">
        <v>-622.50729999999999</v>
      </c>
      <c r="E79" s="15">
        <v>-1268.4829999999999</v>
      </c>
      <c r="F79" s="15">
        <v>-1919.61382</v>
      </c>
      <c r="G79" s="15">
        <v>-2568.13771</v>
      </c>
      <c r="H79" s="15">
        <v>-3218.6956500000001</v>
      </c>
      <c r="I79" s="15">
        <v>-3218.6956500000001</v>
      </c>
      <c r="J79" s="15"/>
      <c r="K79" s="15"/>
      <c r="L79" s="15"/>
      <c r="M79" s="15"/>
      <c r="N79" s="15"/>
      <c r="O79" s="15"/>
    </row>
    <row r="80" spans="2:15" ht="16" customHeight="1" x14ac:dyDescent="0.35">
      <c r="B80" s="14" t="s">
        <v>134</v>
      </c>
      <c r="C80" s="14" t="s">
        <v>135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2:15" ht="16" customHeight="1" thickBot="1" x14ac:dyDescent="0.4">
      <c r="B81" s="11" t="s">
        <v>136</v>
      </c>
      <c r="C81" s="11" t="s">
        <v>22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2:15" ht="16" customHeight="1" thickBot="1" x14ac:dyDescent="0.4">
      <c r="B82" s="18" t="s">
        <v>137</v>
      </c>
      <c r="C82" s="18" t="s">
        <v>138</v>
      </c>
      <c r="D82" s="19">
        <f t="shared" ref="D82:O82" si="11">-(-(D75+D77)-D78-D79-D80)</f>
        <v>-28371.471969999995</v>
      </c>
      <c r="E82" s="19">
        <f t="shared" si="11"/>
        <v>-48124.809919999978</v>
      </c>
      <c r="F82" s="19">
        <f t="shared" si="11"/>
        <v>-44159.610310000018</v>
      </c>
      <c r="G82" s="19">
        <f t="shared" si="11"/>
        <v>-30438.683299999895</v>
      </c>
      <c r="H82" s="19">
        <f t="shared" si="11"/>
        <v>730.27642000006881</v>
      </c>
      <c r="I82" s="19">
        <f t="shared" si="11"/>
        <v>32929.513240000233</v>
      </c>
      <c r="J82" s="19">
        <f t="shared" si="11"/>
        <v>0</v>
      </c>
      <c r="K82" s="19">
        <f t="shared" si="11"/>
        <v>0</v>
      </c>
      <c r="L82" s="19">
        <f t="shared" si="11"/>
        <v>0</v>
      </c>
      <c r="M82" s="19">
        <f t="shared" si="11"/>
        <v>0</v>
      </c>
      <c r="N82" s="19">
        <f t="shared" si="11"/>
        <v>0</v>
      </c>
      <c r="O82" s="19">
        <f t="shared" si="11"/>
        <v>0</v>
      </c>
    </row>
    <row r="83" spans="2:15" ht="16" customHeight="1" x14ac:dyDescent="0.35">
      <c r="B83" s="11" t="s">
        <v>139</v>
      </c>
      <c r="C83" s="11" t="s">
        <v>22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2:15" ht="16" customHeight="1" x14ac:dyDescent="0.35">
      <c r="B84" s="14" t="s">
        <v>140</v>
      </c>
      <c r="C84" s="14" t="s">
        <v>141</v>
      </c>
      <c r="D84" s="15">
        <v>-913.14860999999996</v>
      </c>
      <c r="E84" s="15">
        <v>-1042.45021</v>
      </c>
      <c r="F84" s="15">
        <v>-1196.5968499999999</v>
      </c>
      <c r="G84" s="15">
        <v>-1314.10385</v>
      </c>
      <c r="H84" s="15">
        <v>-2531.78622</v>
      </c>
      <c r="I84" s="15">
        <v>-2531.78622</v>
      </c>
      <c r="J84" s="15"/>
      <c r="K84" s="15"/>
      <c r="L84" s="15"/>
      <c r="M84" s="15"/>
      <c r="N84" s="15"/>
      <c r="O84" s="15"/>
    </row>
    <row r="85" spans="2:15" ht="16" customHeight="1" x14ac:dyDescent="0.35">
      <c r="B85" s="14" t="s">
        <v>142</v>
      </c>
      <c r="C85" s="14" t="s">
        <v>143</v>
      </c>
      <c r="D85" s="15">
        <v>-645.30913999999996</v>
      </c>
      <c r="E85" s="15">
        <v>-1675.8263400000001</v>
      </c>
      <c r="F85" s="15">
        <v>-1675.8263400000001</v>
      </c>
      <c r="G85" s="15">
        <v>-2304.8542200000002</v>
      </c>
      <c r="H85" s="15">
        <v>-2304.8542200000002</v>
      </c>
      <c r="I85" s="15">
        <v>-2304.8542200000002</v>
      </c>
      <c r="J85" s="15"/>
      <c r="K85" s="15"/>
      <c r="L85" s="15"/>
      <c r="M85" s="15"/>
      <c r="N85" s="15"/>
      <c r="O85" s="15"/>
    </row>
    <row r="86" spans="2:15" ht="16" customHeight="1" x14ac:dyDescent="0.35">
      <c r="B86" s="14" t="s">
        <v>144</v>
      </c>
      <c r="C86" s="14" t="s">
        <v>145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2:15" ht="16" customHeight="1" x14ac:dyDescent="0.35">
      <c r="B87" s="14" t="s">
        <v>146</v>
      </c>
      <c r="C87" s="14" t="s">
        <v>147</v>
      </c>
      <c r="D87" s="15"/>
      <c r="E87" s="15"/>
      <c r="F87" s="15">
        <v>-1457.4298899999999</v>
      </c>
      <c r="G87" s="15">
        <v>-2420.0607</v>
      </c>
      <c r="H87" s="15">
        <v>-3453.2849099999999</v>
      </c>
      <c r="I87" s="15">
        <v>-3453.2849099999999</v>
      </c>
      <c r="J87" s="15"/>
      <c r="K87" s="15"/>
      <c r="L87" s="15"/>
      <c r="M87" s="15"/>
      <c r="N87" s="15"/>
      <c r="O87" s="15"/>
    </row>
    <row r="88" spans="2:15" ht="16" customHeight="1" x14ac:dyDescent="0.35">
      <c r="B88" s="14" t="s">
        <v>148</v>
      </c>
      <c r="C88" s="14" t="s">
        <v>149</v>
      </c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</row>
    <row r="89" spans="2:15" ht="16" customHeight="1" x14ac:dyDescent="0.35">
      <c r="B89" s="16" t="s">
        <v>150</v>
      </c>
      <c r="C89" s="16" t="s">
        <v>151</v>
      </c>
      <c r="D89" s="17">
        <f t="shared" ref="D89:O89" si="12">-(-(D84+D85)-D86-D87-D88)</f>
        <v>-1558.45775</v>
      </c>
      <c r="E89" s="17">
        <f t="shared" si="12"/>
        <v>-2718.27655</v>
      </c>
      <c r="F89" s="17">
        <f t="shared" si="12"/>
        <v>-4329.8530799999999</v>
      </c>
      <c r="G89" s="17">
        <f t="shared" si="12"/>
        <v>-6039.0187700000006</v>
      </c>
      <c r="H89" s="17">
        <f t="shared" si="12"/>
        <v>-8289.9253499999995</v>
      </c>
      <c r="I89" s="17">
        <f t="shared" si="12"/>
        <v>-8289.9253499999995</v>
      </c>
      <c r="J89" s="17">
        <f t="shared" si="12"/>
        <v>0</v>
      </c>
      <c r="K89" s="17">
        <f t="shared" si="12"/>
        <v>0</v>
      </c>
      <c r="L89" s="17">
        <f t="shared" si="12"/>
        <v>0</v>
      </c>
      <c r="M89" s="17">
        <f t="shared" si="12"/>
        <v>0</v>
      </c>
      <c r="N89" s="17">
        <f t="shared" si="12"/>
        <v>0</v>
      </c>
      <c r="O89" s="17">
        <f t="shared" si="12"/>
        <v>0</v>
      </c>
    </row>
    <row r="90" spans="2:15" ht="16" customHeight="1" x14ac:dyDescent="0.35">
      <c r="B90" s="11" t="s">
        <v>152</v>
      </c>
      <c r="C90" s="11" t="s">
        <v>22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spans="2:15" ht="16" customHeight="1" x14ac:dyDescent="0.35">
      <c r="B91" s="14" t="s">
        <v>153</v>
      </c>
      <c r="C91" s="14" t="s">
        <v>154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2:15" ht="16" customHeight="1" x14ac:dyDescent="0.35">
      <c r="B92" s="14" t="s">
        <v>155</v>
      </c>
      <c r="C92" s="14" t="s">
        <v>156</v>
      </c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2:15" ht="16" customHeight="1" x14ac:dyDescent="0.35">
      <c r="B93" s="14" t="s">
        <v>157</v>
      </c>
      <c r="C93" s="14" t="s">
        <v>158</v>
      </c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2:15" ht="16" customHeight="1" x14ac:dyDescent="0.35">
      <c r="B94" s="14" t="s">
        <v>159</v>
      </c>
      <c r="C94" s="14" t="s">
        <v>160</v>
      </c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2:15" ht="16" customHeight="1" x14ac:dyDescent="0.35">
      <c r="B95" s="14" t="s">
        <v>161</v>
      </c>
      <c r="C95" s="14" t="s">
        <v>162</v>
      </c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2:15" ht="16" customHeight="1" x14ac:dyDescent="0.35">
      <c r="B96" s="16" t="s">
        <v>163</v>
      </c>
      <c r="C96" s="16" t="s">
        <v>164</v>
      </c>
      <c r="D96" s="17">
        <f t="shared" ref="D96:O96" si="13">-(-(D91+D92)-D93-D94-D95)</f>
        <v>0</v>
      </c>
      <c r="E96" s="17">
        <f t="shared" si="13"/>
        <v>0</v>
      </c>
      <c r="F96" s="17">
        <f t="shared" si="13"/>
        <v>0</v>
      </c>
      <c r="G96" s="17">
        <f t="shared" si="13"/>
        <v>0</v>
      </c>
      <c r="H96" s="17">
        <f t="shared" si="13"/>
        <v>0</v>
      </c>
      <c r="I96" s="17">
        <f t="shared" si="13"/>
        <v>0</v>
      </c>
      <c r="J96" s="17">
        <f t="shared" si="13"/>
        <v>0</v>
      </c>
      <c r="K96" s="17">
        <f t="shared" si="13"/>
        <v>0</v>
      </c>
      <c r="L96" s="17">
        <f t="shared" si="13"/>
        <v>0</v>
      </c>
      <c r="M96" s="17">
        <f t="shared" si="13"/>
        <v>0</v>
      </c>
      <c r="N96" s="17">
        <f t="shared" si="13"/>
        <v>0</v>
      </c>
      <c r="O96" s="17">
        <f t="shared" si="13"/>
        <v>0</v>
      </c>
    </row>
    <row r="97" spans="2:15" ht="16" customHeight="1" x14ac:dyDescent="0.35">
      <c r="B97" s="11" t="s">
        <v>165</v>
      </c>
      <c r="C97" s="11" t="s">
        <v>22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2:15" ht="16" customHeight="1" x14ac:dyDescent="0.35">
      <c r="B98" s="14" t="s">
        <v>166</v>
      </c>
      <c r="C98" s="14" t="s">
        <v>167</v>
      </c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2:15" ht="16" customHeight="1" thickBot="1" x14ac:dyDescent="0.4">
      <c r="B99" s="11" t="s">
        <v>168</v>
      </c>
      <c r="C99" s="11" t="s">
        <v>22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2:15" ht="16" customHeight="1" thickBot="1" x14ac:dyDescent="0.4">
      <c r="B100" s="18" t="s">
        <v>169</v>
      </c>
      <c r="C100" s="18" t="s">
        <v>170</v>
      </c>
      <c r="D100" s="19">
        <f t="shared" ref="D100:O100" si="14">-(-(D82+D89)-D96-D98)</f>
        <v>-29929.929719999996</v>
      </c>
      <c r="E100" s="19">
        <f t="shared" si="14"/>
        <v>-50843.08646999998</v>
      </c>
      <c r="F100" s="19">
        <f t="shared" si="14"/>
        <v>-48489.463390000019</v>
      </c>
      <c r="G100" s="19">
        <f t="shared" si="14"/>
        <v>-36477.702069999898</v>
      </c>
      <c r="H100" s="19">
        <f t="shared" si="14"/>
        <v>-7559.6489299999303</v>
      </c>
      <c r="I100" s="19">
        <f t="shared" si="14"/>
        <v>24639.587890000235</v>
      </c>
      <c r="J100" s="19">
        <f t="shared" si="14"/>
        <v>0</v>
      </c>
      <c r="K100" s="19">
        <f t="shared" si="14"/>
        <v>0</v>
      </c>
      <c r="L100" s="19">
        <f t="shared" si="14"/>
        <v>0</v>
      </c>
      <c r="M100" s="19">
        <f t="shared" si="14"/>
        <v>0</v>
      </c>
      <c r="N100" s="19">
        <f t="shared" si="14"/>
        <v>0</v>
      </c>
      <c r="O100" s="19">
        <f t="shared" si="14"/>
        <v>0</v>
      </c>
    </row>
    <row r="101" spans="2:15" ht="16" customHeight="1" x14ac:dyDescent="0.35">
      <c r="B101" s="11" t="s">
        <v>171</v>
      </c>
      <c r="C101" s="11" t="s">
        <v>22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2:15" ht="16" customHeight="1" x14ac:dyDescent="0.35">
      <c r="B102" s="14" t="s">
        <v>172</v>
      </c>
      <c r="C102" s="14" t="s">
        <v>173</v>
      </c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</row>
    <row r="103" spans="2:15" ht="16" customHeight="1" x14ac:dyDescent="0.35">
      <c r="B103" s="14" t="s">
        <v>174</v>
      </c>
      <c r="C103" s="14" t="s">
        <v>175</v>
      </c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</row>
    <row r="104" spans="2:15" ht="16" customHeight="1" x14ac:dyDescent="0.35">
      <c r="B104" s="14" t="s">
        <v>176</v>
      </c>
      <c r="C104" s="14" t="s">
        <v>177</v>
      </c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</row>
    <row r="105" spans="2:15" ht="16" customHeight="1" x14ac:dyDescent="0.35">
      <c r="B105" s="14" t="s">
        <v>178</v>
      </c>
      <c r="C105" s="14" t="s">
        <v>179</v>
      </c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</row>
    <row r="106" spans="2:15" ht="16" customHeight="1" x14ac:dyDescent="0.35">
      <c r="B106" s="16" t="s">
        <v>180</v>
      </c>
      <c r="C106" s="16" t="s">
        <v>181</v>
      </c>
      <c r="D106" s="17">
        <f t="shared" ref="D106:O106" si="15">-(-(D102+D103)-D104-D105)</f>
        <v>0</v>
      </c>
      <c r="E106" s="17">
        <f t="shared" si="15"/>
        <v>0</v>
      </c>
      <c r="F106" s="17">
        <f t="shared" si="15"/>
        <v>0</v>
      </c>
      <c r="G106" s="17">
        <f t="shared" si="15"/>
        <v>0</v>
      </c>
      <c r="H106" s="17">
        <f t="shared" si="15"/>
        <v>0</v>
      </c>
      <c r="I106" s="17">
        <f t="shared" si="15"/>
        <v>0</v>
      </c>
      <c r="J106" s="17">
        <f t="shared" si="15"/>
        <v>0</v>
      </c>
      <c r="K106" s="17">
        <f t="shared" si="15"/>
        <v>0</v>
      </c>
      <c r="L106" s="17">
        <f t="shared" si="15"/>
        <v>0</v>
      </c>
      <c r="M106" s="17">
        <f t="shared" si="15"/>
        <v>0</v>
      </c>
      <c r="N106" s="17">
        <f t="shared" si="15"/>
        <v>0</v>
      </c>
      <c r="O106" s="17">
        <f t="shared" si="15"/>
        <v>0</v>
      </c>
    </row>
    <row r="107" spans="2:15" ht="16" customHeight="1" x14ac:dyDescent="0.35">
      <c r="B107" s="11" t="s">
        <v>182</v>
      </c>
      <c r="C107" s="11" t="s">
        <v>22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2:15" ht="16" customHeight="1" x14ac:dyDescent="0.35">
      <c r="B108" s="14" t="s">
        <v>183</v>
      </c>
      <c r="C108" s="14" t="s">
        <v>184</v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2:15" ht="16" customHeight="1" x14ac:dyDescent="0.35">
      <c r="B109" s="14" t="s">
        <v>185</v>
      </c>
      <c r="C109" s="14" t="s">
        <v>186</v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2:15" ht="16" customHeight="1" x14ac:dyDescent="0.35">
      <c r="B110" s="14" t="s">
        <v>187</v>
      </c>
      <c r="C110" s="14" t="s">
        <v>188</v>
      </c>
      <c r="D110" s="15">
        <v>0.28559000000000001</v>
      </c>
      <c r="E110" s="15">
        <v>0.33821000000000001</v>
      </c>
      <c r="F110" s="15">
        <v>0.91951000000000005</v>
      </c>
      <c r="G110" s="15">
        <v>2.3837700000000002</v>
      </c>
      <c r="H110" s="15">
        <v>3.88246</v>
      </c>
      <c r="I110" s="15">
        <v>3.88246</v>
      </c>
      <c r="J110" s="15"/>
      <c r="K110" s="15"/>
      <c r="L110" s="15"/>
      <c r="M110" s="15"/>
      <c r="N110" s="15"/>
      <c r="O110" s="15"/>
    </row>
    <row r="111" spans="2:15" ht="16" customHeight="1" x14ac:dyDescent="0.35">
      <c r="B111" s="14" t="s">
        <v>189</v>
      </c>
      <c r="C111" s="14" t="s">
        <v>190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</row>
    <row r="112" spans="2:15" ht="16" customHeight="1" x14ac:dyDescent="0.35">
      <c r="B112" s="16" t="s">
        <v>191</v>
      </c>
      <c r="C112" s="16" t="s">
        <v>192</v>
      </c>
      <c r="D112" s="17">
        <f t="shared" ref="D112:O112" si="16">-(-(D108+D109)-D110-D111)</f>
        <v>0.28559000000000001</v>
      </c>
      <c r="E112" s="17">
        <f t="shared" si="16"/>
        <v>0.33821000000000001</v>
      </c>
      <c r="F112" s="17">
        <f t="shared" si="16"/>
        <v>0.91951000000000005</v>
      </c>
      <c r="G112" s="17">
        <f t="shared" si="16"/>
        <v>2.3837700000000002</v>
      </c>
      <c r="H112" s="17">
        <f t="shared" si="16"/>
        <v>3.88246</v>
      </c>
      <c r="I112" s="17">
        <f t="shared" si="16"/>
        <v>3.88246</v>
      </c>
      <c r="J112" s="17">
        <f t="shared" si="16"/>
        <v>0</v>
      </c>
      <c r="K112" s="17">
        <f t="shared" si="16"/>
        <v>0</v>
      </c>
      <c r="L112" s="17">
        <f t="shared" si="16"/>
        <v>0</v>
      </c>
      <c r="M112" s="17">
        <f t="shared" si="16"/>
        <v>0</v>
      </c>
      <c r="N112" s="17">
        <f t="shared" si="16"/>
        <v>0</v>
      </c>
      <c r="O112" s="17">
        <f t="shared" si="16"/>
        <v>0</v>
      </c>
    </row>
    <row r="113" spans="2:15" ht="16" customHeight="1" x14ac:dyDescent="0.35">
      <c r="B113" s="11" t="s">
        <v>193</v>
      </c>
      <c r="C113" s="11" t="s">
        <v>22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</row>
    <row r="114" spans="2:15" ht="16" customHeight="1" x14ac:dyDescent="0.35">
      <c r="B114" s="14" t="s">
        <v>194</v>
      </c>
      <c r="C114" s="14" t="s">
        <v>195</v>
      </c>
      <c r="D114" s="15">
        <v>-1639.6327100000001</v>
      </c>
      <c r="E114" s="15">
        <v>-3113.7550999999999</v>
      </c>
      <c r="F114" s="15">
        <v>-4748.3420400000005</v>
      </c>
      <c r="G114" s="15">
        <v>-6322.8758900000003</v>
      </c>
      <c r="H114" s="15">
        <v>-7948.6327700000002</v>
      </c>
      <c r="I114" s="15">
        <v>-4364.96756</v>
      </c>
      <c r="J114" s="15"/>
      <c r="K114" s="15"/>
      <c r="L114" s="15"/>
      <c r="M114" s="15"/>
      <c r="N114" s="15"/>
      <c r="O114" s="15"/>
    </row>
    <row r="115" spans="2:15" ht="16" customHeight="1" x14ac:dyDescent="0.35">
      <c r="B115" s="14" t="s">
        <v>196</v>
      </c>
      <c r="C115" s="14" t="s">
        <v>197</v>
      </c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2:15" ht="16" customHeight="1" x14ac:dyDescent="0.35">
      <c r="B116" s="14" t="s">
        <v>198</v>
      </c>
      <c r="C116" s="14" t="s">
        <v>199</v>
      </c>
      <c r="D116" s="15">
        <v>-1307.1199799999999</v>
      </c>
      <c r="E116" s="15">
        <v>-2397.4597100000001</v>
      </c>
      <c r="F116" s="15">
        <v>-3591.8939799999998</v>
      </c>
      <c r="G116" s="15">
        <v>-4471.1560099999997</v>
      </c>
      <c r="H116" s="15">
        <v>-5721.3490599999996</v>
      </c>
      <c r="I116" s="15">
        <v>-5920.2365900000004</v>
      </c>
      <c r="J116" s="15"/>
      <c r="K116" s="15"/>
      <c r="L116" s="15"/>
      <c r="M116" s="15"/>
      <c r="N116" s="15"/>
      <c r="O116" s="15"/>
    </row>
    <row r="117" spans="2:15" ht="16" customHeight="1" x14ac:dyDescent="0.35">
      <c r="B117" s="14" t="s">
        <v>200</v>
      </c>
      <c r="C117" s="14" t="s">
        <v>201</v>
      </c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</row>
    <row r="118" spans="2:15" ht="16" customHeight="1" x14ac:dyDescent="0.35">
      <c r="B118" s="14" t="s">
        <v>202</v>
      </c>
      <c r="C118" s="14" t="s">
        <v>203</v>
      </c>
      <c r="D118" s="15">
        <v>-29.721019999999999</v>
      </c>
      <c r="E118" s="15">
        <v>-103.60927</v>
      </c>
      <c r="F118" s="15">
        <v>-73.163200000000003</v>
      </c>
      <c r="G118" s="15">
        <v>-90.132930000000002</v>
      </c>
      <c r="H118" s="15">
        <v>-57.556350000000002</v>
      </c>
      <c r="I118" s="15">
        <v>-74.99803</v>
      </c>
      <c r="J118" s="15"/>
      <c r="K118" s="15"/>
      <c r="L118" s="15"/>
      <c r="M118" s="15"/>
      <c r="N118" s="15"/>
      <c r="O118" s="15"/>
    </row>
    <row r="119" spans="2:15" ht="16" customHeight="1" x14ac:dyDescent="0.35">
      <c r="B119" s="16" t="s">
        <v>204</v>
      </c>
      <c r="C119" s="16" t="s">
        <v>205</v>
      </c>
      <c r="D119" s="17">
        <f t="shared" ref="D119:O119" si="17">-(-(D114+D115)-D116-D117-D118)</f>
        <v>-2976.4737100000002</v>
      </c>
      <c r="E119" s="17">
        <f t="shared" si="17"/>
        <v>-5614.8240799999994</v>
      </c>
      <c r="F119" s="17">
        <f t="shared" si="17"/>
        <v>-8413.3992200000012</v>
      </c>
      <c r="G119" s="17">
        <f t="shared" si="17"/>
        <v>-10884.16483</v>
      </c>
      <c r="H119" s="17">
        <f t="shared" si="17"/>
        <v>-13727.538180000001</v>
      </c>
      <c r="I119" s="17">
        <f t="shared" si="17"/>
        <v>-10360.202180000002</v>
      </c>
      <c r="J119" s="17">
        <f t="shared" si="17"/>
        <v>0</v>
      </c>
      <c r="K119" s="17">
        <f t="shared" si="17"/>
        <v>0</v>
      </c>
      <c r="L119" s="17">
        <f t="shared" si="17"/>
        <v>0</v>
      </c>
      <c r="M119" s="17">
        <f t="shared" si="17"/>
        <v>0</v>
      </c>
      <c r="N119" s="17">
        <f t="shared" si="17"/>
        <v>0</v>
      </c>
      <c r="O119" s="17">
        <f t="shared" si="17"/>
        <v>0</v>
      </c>
    </row>
    <row r="120" spans="2:15" ht="16" customHeight="1" thickBot="1" x14ac:dyDescent="0.4">
      <c r="B120" s="11" t="s">
        <v>206</v>
      </c>
      <c r="C120" s="11" t="s">
        <v>22</v>
      </c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</row>
    <row r="121" spans="2:15" ht="16" customHeight="1" thickBot="1" x14ac:dyDescent="0.4">
      <c r="B121" s="18" t="s">
        <v>207</v>
      </c>
      <c r="C121" s="18" t="s">
        <v>208</v>
      </c>
      <c r="D121" s="19">
        <f t="shared" ref="D121:O121" si="18">D112+D119</f>
        <v>-2976.1881200000003</v>
      </c>
      <c r="E121" s="19">
        <f t="shared" si="18"/>
        <v>-5614.4858699999995</v>
      </c>
      <c r="F121" s="19">
        <f t="shared" si="18"/>
        <v>-8412.4797100000014</v>
      </c>
      <c r="G121" s="19">
        <f t="shared" si="18"/>
        <v>-10881.781059999999</v>
      </c>
      <c r="H121" s="19">
        <f t="shared" si="18"/>
        <v>-13723.655720000001</v>
      </c>
      <c r="I121" s="19">
        <f t="shared" si="18"/>
        <v>-10356.319720000001</v>
      </c>
      <c r="J121" s="19">
        <f t="shared" si="18"/>
        <v>0</v>
      </c>
      <c r="K121" s="19">
        <f t="shared" si="18"/>
        <v>0</v>
      </c>
      <c r="L121" s="19">
        <f t="shared" si="18"/>
        <v>0</v>
      </c>
      <c r="M121" s="19">
        <f t="shared" si="18"/>
        <v>0</v>
      </c>
      <c r="N121" s="19">
        <f t="shared" si="18"/>
        <v>0</v>
      </c>
      <c r="O121" s="19">
        <f t="shared" si="18"/>
        <v>0</v>
      </c>
    </row>
    <row r="122" spans="2:15" ht="16" customHeight="1" x14ac:dyDescent="0.35">
      <c r="B122" s="11" t="s">
        <v>209</v>
      </c>
      <c r="C122" s="11" t="s">
        <v>22</v>
      </c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</row>
    <row r="123" spans="2:15" ht="16" customHeight="1" x14ac:dyDescent="0.35">
      <c r="B123" s="14" t="s">
        <v>210</v>
      </c>
      <c r="C123" s="14" t="s">
        <v>211</v>
      </c>
      <c r="D123" s="15"/>
      <c r="E123" s="15">
        <v>-5671.9005299999999</v>
      </c>
      <c r="F123" s="15">
        <v>-24232.031139999999</v>
      </c>
      <c r="G123" s="15">
        <v>-24809.36476</v>
      </c>
      <c r="H123" s="15">
        <v>-24809.41908</v>
      </c>
      <c r="I123" s="15">
        <v>-24787.832600000002</v>
      </c>
      <c r="J123" s="15"/>
      <c r="K123" s="15"/>
      <c r="L123" s="15"/>
      <c r="M123" s="15"/>
      <c r="N123" s="15"/>
      <c r="O123" s="15"/>
    </row>
    <row r="124" spans="2:15" ht="16" customHeight="1" x14ac:dyDescent="0.35">
      <c r="B124" s="14" t="s">
        <v>212</v>
      </c>
      <c r="C124" s="14" t="s">
        <v>213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2:15" ht="16" customHeight="1" x14ac:dyDescent="0.35">
      <c r="B125" s="14" t="s">
        <v>214</v>
      </c>
      <c r="C125" s="14" t="s">
        <v>215</v>
      </c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2:15" ht="16" customHeight="1" x14ac:dyDescent="0.35">
      <c r="B126" s="14" t="s">
        <v>216</v>
      </c>
      <c r="C126" s="14" t="s">
        <v>217</v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2:15" ht="16" customHeight="1" x14ac:dyDescent="0.35">
      <c r="B127" s="14" t="s">
        <v>218</v>
      </c>
      <c r="C127" s="14" t="s">
        <v>219</v>
      </c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</row>
    <row r="128" spans="2:15" ht="16" customHeight="1" x14ac:dyDescent="0.35">
      <c r="B128" s="14" t="s">
        <v>220</v>
      </c>
      <c r="C128" s="14" t="s">
        <v>221</v>
      </c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</row>
    <row r="129" spans="2:15" ht="16" customHeight="1" x14ac:dyDescent="0.35">
      <c r="B129" s="14" t="s">
        <v>222</v>
      </c>
      <c r="C129" s="14" t="s">
        <v>223</v>
      </c>
      <c r="D129" s="15"/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/>
      <c r="K129" s="15"/>
      <c r="L129" s="15"/>
      <c r="M129" s="15"/>
      <c r="N129" s="15"/>
      <c r="O129" s="15"/>
    </row>
    <row r="130" spans="2:15" ht="16" customHeight="1" x14ac:dyDescent="0.35">
      <c r="B130" s="14" t="s">
        <v>224</v>
      </c>
      <c r="C130" s="14" t="s">
        <v>225</v>
      </c>
      <c r="D130" s="15"/>
      <c r="E130" s="15"/>
      <c r="F130" s="15">
        <v>0</v>
      </c>
      <c r="G130" s="15">
        <v>0</v>
      </c>
      <c r="H130" s="15">
        <v>0</v>
      </c>
      <c r="I130" s="15">
        <v>0</v>
      </c>
      <c r="J130" s="15"/>
      <c r="K130" s="15"/>
      <c r="L130" s="15"/>
      <c r="M130" s="15"/>
      <c r="N130" s="15"/>
      <c r="O130" s="15"/>
    </row>
    <row r="131" spans="2:15" ht="16" customHeight="1" x14ac:dyDescent="0.35">
      <c r="B131" s="16" t="s">
        <v>226</v>
      </c>
      <c r="C131" s="16" t="s">
        <v>227</v>
      </c>
      <c r="D131" s="17">
        <f t="shared" ref="D131:O131" si="19">-(-(D123+D124)-D125-D126-D127-D128-D129-D130)</f>
        <v>0</v>
      </c>
      <c r="E131" s="17">
        <f t="shared" si="19"/>
        <v>-5671.9005299999999</v>
      </c>
      <c r="F131" s="17">
        <f t="shared" si="19"/>
        <v>-24232.031139999999</v>
      </c>
      <c r="G131" s="17">
        <f t="shared" si="19"/>
        <v>-24809.36476</v>
      </c>
      <c r="H131" s="17">
        <f t="shared" si="19"/>
        <v>-24809.41908</v>
      </c>
      <c r="I131" s="17">
        <f t="shared" si="19"/>
        <v>-24787.832600000002</v>
      </c>
      <c r="J131" s="17">
        <f t="shared" si="19"/>
        <v>0</v>
      </c>
      <c r="K131" s="17">
        <f t="shared" si="19"/>
        <v>0</v>
      </c>
      <c r="L131" s="17">
        <f t="shared" si="19"/>
        <v>0</v>
      </c>
      <c r="M131" s="17">
        <f t="shared" si="19"/>
        <v>0</v>
      </c>
      <c r="N131" s="17">
        <f t="shared" si="19"/>
        <v>0</v>
      </c>
      <c r="O131" s="17">
        <f t="shared" si="19"/>
        <v>0</v>
      </c>
    </row>
    <row r="132" spans="2:15" ht="16" customHeight="1" thickBot="1" x14ac:dyDescent="0.4">
      <c r="B132" s="11" t="s">
        <v>228</v>
      </c>
      <c r="C132" s="11" t="s">
        <v>22</v>
      </c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</row>
    <row r="133" spans="2:15" ht="16" customHeight="1" thickBot="1" x14ac:dyDescent="0.4">
      <c r="B133" s="18" t="s">
        <v>229</v>
      </c>
      <c r="C133" s="18" t="s">
        <v>230</v>
      </c>
      <c r="D133" s="19">
        <f t="shared" ref="D133:O133" si="20">-(-(D106+D121)-D131)</f>
        <v>-2976.1881200000003</v>
      </c>
      <c r="E133" s="19">
        <f t="shared" si="20"/>
        <v>-11286.386399999999</v>
      </c>
      <c r="F133" s="19">
        <f t="shared" si="20"/>
        <v>-32644.510849999999</v>
      </c>
      <c r="G133" s="19">
        <f t="shared" si="20"/>
        <v>-35691.145819999998</v>
      </c>
      <c r="H133" s="19">
        <f t="shared" si="20"/>
        <v>-38533.074800000002</v>
      </c>
      <c r="I133" s="19">
        <f t="shared" si="20"/>
        <v>-35144.152320000001</v>
      </c>
      <c r="J133" s="19">
        <f t="shared" si="20"/>
        <v>0</v>
      </c>
      <c r="K133" s="19">
        <f t="shared" si="20"/>
        <v>0</v>
      </c>
      <c r="L133" s="19">
        <f t="shared" si="20"/>
        <v>0</v>
      </c>
      <c r="M133" s="19">
        <f t="shared" si="20"/>
        <v>0</v>
      </c>
      <c r="N133" s="19">
        <f t="shared" si="20"/>
        <v>0</v>
      </c>
      <c r="O133" s="19">
        <f t="shared" si="20"/>
        <v>0</v>
      </c>
    </row>
    <row r="134" spans="2:15" ht="16" customHeight="1" thickBot="1" x14ac:dyDescent="0.4">
      <c r="B134" s="11" t="s">
        <v>231</v>
      </c>
      <c r="C134" s="11" t="s">
        <v>22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</row>
    <row r="135" spans="2:15" ht="16" customHeight="1" thickBot="1" x14ac:dyDescent="0.4">
      <c r="B135" s="18" t="s">
        <v>232</v>
      </c>
      <c r="C135" s="18" t="s">
        <v>233</v>
      </c>
      <c r="D135" s="19">
        <f t="shared" ref="D135:O135" si="21">D100+D133</f>
        <v>-32906.117839999999</v>
      </c>
      <c r="E135" s="19">
        <f t="shared" si="21"/>
        <v>-62129.472869999983</v>
      </c>
      <c r="F135" s="19">
        <f t="shared" si="21"/>
        <v>-81133.97424000001</v>
      </c>
      <c r="G135" s="19">
        <f t="shared" si="21"/>
        <v>-72168.847889999888</v>
      </c>
      <c r="H135" s="19">
        <f t="shared" si="21"/>
        <v>-46092.723729999932</v>
      </c>
      <c r="I135" s="19">
        <f t="shared" si="21"/>
        <v>-10504.564429999766</v>
      </c>
      <c r="J135" s="19">
        <f t="shared" si="21"/>
        <v>0</v>
      </c>
      <c r="K135" s="19">
        <f t="shared" si="21"/>
        <v>0</v>
      </c>
      <c r="L135" s="19">
        <f t="shared" si="21"/>
        <v>0</v>
      </c>
      <c r="M135" s="19">
        <f t="shared" si="21"/>
        <v>0</v>
      </c>
      <c r="N135" s="19">
        <f t="shared" si="21"/>
        <v>0</v>
      </c>
      <c r="O135" s="19">
        <f t="shared" si="21"/>
        <v>0</v>
      </c>
    </row>
    <row r="136" spans="2:15" ht="16" customHeight="1" x14ac:dyDescent="0.35">
      <c r="B136" s="11" t="s">
        <v>234</v>
      </c>
      <c r="C136" s="11" t="s">
        <v>22</v>
      </c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</row>
    <row r="137" spans="2:15" ht="16" customHeight="1" x14ac:dyDescent="0.35">
      <c r="B137" s="14" t="s">
        <v>235</v>
      </c>
      <c r="C137" s="14" t="s">
        <v>236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2:15" ht="16" customHeight="1" x14ac:dyDescent="0.35">
      <c r="B138" s="14" t="s">
        <v>237</v>
      </c>
      <c r="C138" s="14" t="s">
        <v>238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2:15" ht="16" customHeight="1" x14ac:dyDescent="0.35">
      <c r="B139" s="14" t="s">
        <v>239</v>
      </c>
      <c r="C139" s="14" t="s">
        <v>240</v>
      </c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2:15" ht="16" customHeight="1" x14ac:dyDescent="0.35">
      <c r="B140" s="14" t="s">
        <v>241</v>
      </c>
      <c r="C140" s="14" t="s">
        <v>242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2:15" ht="16" customHeight="1" x14ac:dyDescent="0.35">
      <c r="B141" s="16" t="s">
        <v>243</v>
      </c>
      <c r="C141" s="16" t="s">
        <v>244</v>
      </c>
      <c r="D141" s="17">
        <f t="shared" ref="D141:O141" si="22">-(-(D137+D138)-D139-D140)</f>
        <v>0</v>
      </c>
      <c r="E141" s="17">
        <f t="shared" si="22"/>
        <v>0</v>
      </c>
      <c r="F141" s="17">
        <f t="shared" si="22"/>
        <v>0</v>
      </c>
      <c r="G141" s="17">
        <f t="shared" si="22"/>
        <v>0</v>
      </c>
      <c r="H141" s="17">
        <f t="shared" si="22"/>
        <v>0</v>
      </c>
      <c r="I141" s="17">
        <f t="shared" si="22"/>
        <v>0</v>
      </c>
      <c r="J141" s="17">
        <f t="shared" si="22"/>
        <v>0</v>
      </c>
      <c r="K141" s="17">
        <f t="shared" si="22"/>
        <v>0</v>
      </c>
      <c r="L141" s="17">
        <f t="shared" si="22"/>
        <v>0</v>
      </c>
      <c r="M141" s="17">
        <f t="shared" si="22"/>
        <v>0</v>
      </c>
      <c r="N141" s="17">
        <f t="shared" si="22"/>
        <v>0</v>
      </c>
      <c r="O141" s="17">
        <f t="shared" si="22"/>
        <v>0</v>
      </c>
    </row>
    <row r="142" spans="2:15" ht="16" customHeight="1" thickBot="1" x14ac:dyDescent="0.4">
      <c r="B142" s="11" t="s">
        <v>245</v>
      </c>
      <c r="C142" s="11" t="s">
        <v>22</v>
      </c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</row>
    <row r="143" spans="2:15" ht="16" customHeight="1" thickBot="1" x14ac:dyDescent="0.4">
      <c r="B143" s="18" t="s">
        <v>246</v>
      </c>
      <c r="C143" s="18" t="s">
        <v>247</v>
      </c>
      <c r="D143" s="19">
        <f t="shared" ref="D143:O143" si="23">D135+D141</f>
        <v>-32906.117839999999</v>
      </c>
      <c r="E143" s="19">
        <f t="shared" si="23"/>
        <v>-62129.472869999983</v>
      </c>
      <c r="F143" s="19">
        <f t="shared" si="23"/>
        <v>-81133.97424000001</v>
      </c>
      <c r="G143" s="19">
        <f t="shared" si="23"/>
        <v>-72168.847889999888</v>
      </c>
      <c r="H143" s="19">
        <f t="shared" si="23"/>
        <v>-46092.723729999932</v>
      </c>
      <c r="I143" s="19">
        <f t="shared" si="23"/>
        <v>-10504.564429999766</v>
      </c>
      <c r="J143" s="19">
        <f t="shared" si="23"/>
        <v>0</v>
      </c>
      <c r="K143" s="19">
        <f t="shared" si="23"/>
        <v>0</v>
      </c>
      <c r="L143" s="19">
        <f t="shared" si="23"/>
        <v>0</v>
      </c>
      <c r="M143" s="19">
        <f t="shared" si="23"/>
        <v>0</v>
      </c>
      <c r="N143" s="19">
        <f t="shared" si="23"/>
        <v>0</v>
      </c>
      <c r="O143" s="19">
        <f t="shared" si="23"/>
        <v>0</v>
      </c>
    </row>
    <row r="144" spans="2:15" ht="16" customHeight="1" x14ac:dyDescent="0.35">
      <c r="B144" s="11" t="s">
        <v>248</v>
      </c>
      <c r="C144" s="11" t="s">
        <v>22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</row>
    <row r="145" spans="2:15" ht="16" customHeight="1" x14ac:dyDescent="0.35">
      <c r="B145" s="14" t="s">
        <v>249</v>
      </c>
      <c r="C145" s="14" t="s">
        <v>250</v>
      </c>
      <c r="D145" s="15">
        <v>7230.6156600000004</v>
      </c>
      <c r="E145" s="15">
        <v>13398.257589999999</v>
      </c>
      <c r="F145" s="15">
        <v>16527.744999999999</v>
      </c>
      <c r="G145" s="15">
        <v>12925.07402</v>
      </c>
      <c r="H145" s="15">
        <v>12848.267669999999</v>
      </c>
      <c r="I145" s="15">
        <v>12848.267669999999</v>
      </c>
      <c r="J145" s="15"/>
      <c r="K145" s="15"/>
      <c r="L145" s="15"/>
      <c r="M145" s="15"/>
      <c r="N145" s="15"/>
      <c r="O145" s="15"/>
    </row>
    <row r="146" spans="2:15" ht="16" customHeight="1" x14ac:dyDescent="0.35">
      <c r="B146" s="14" t="s">
        <v>251</v>
      </c>
      <c r="C146" s="14" t="s">
        <v>252</v>
      </c>
      <c r="D146" s="15"/>
      <c r="E146" s="15"/>
      <c r="F146" s="15">
        <v>4674.3220000000001</v>
      </c>
      <c r="G146" s="15">
        <v>8436.5139999999992</v>
      </c>
      <c r="H146" s="15">
        <v>8436.5139999999992</v>
      </c>
      <c r="I146" s="15">
        <v>8436.5139999999992</v>
      </c>
      <c r="J146" s="15"/>
      <c r="K146" s="15"/>
      <c r="L146" s="15"/>
      <c r="M146" s="15"/>
      <c r="N146" s="15"/>
      <c r="O146" s="15"/>
    </row>
    <row r="147" spans="2:15" ht="16" customHeight="1" x14ac:dyDescent="0.35">
      <c r="B147" s="16" t="s">
        <v>253</v>
      </c>
      <c r="C147" s="16" t="s">
        <v>254</v>
      </c>
      <c r="D147" s="17">
        <f t="shared" ref="D147:O147" si="24">D145+D146</f>
        <v>7230.6156600000004</v>
      </c>
      <c r="E147" s="17">
        <f t="shared" si="24"/>
        <v>13398.257589999999</v>
      </c>
      <c r="F147" s="17">
        <f t="shared" si="24"/>
        <v>21202.066999999999</v>
      </c>
      <c r="G147" s="17">
        <f t="shared" si="24"/>
        <v>21361.588019999999</v>
      </c>
      <c r="H147" s="17">
        <f t="shared" si="24"/>
        <v>21284.781669999997</v>
      </c>
      <c r="I147" s="17">
        <f t="shared" si="24"/>
        <v>21284.781669999997</v>
      </c>
      <c r="J147" s="17">
        <f t="shared" si="24"/>
        <v>0</v>
      </c>
      <c r="K147" s="17">
        <f t="shared" si="24"/>
        <v>0</v>
      </c>
      <c r="L147" s="17">
        <f t="shared" si="24"/>
        <v>0</v>
      </c>
      <c r="M147" s="17">
        <f t="shared" si="24"/>
        <v>0</v>
      </c>
      <c r="N147" s="17">
        <f t="shared" si="24"/>
        <v>0</v>
      </c>
      <c r="O147" s="17">
        <f t="shared" si="24"/>
        <v>0</v>
      </c>
    </row>
    <row r="148" spans="2:15" ht="16" customHeight="1" x14ac:dyDescent="0.35">
      <c r="B148" s="11" t="s">
        <v>255</v>
      </c>
      <c r="C148" s="11" t="s">
        <v>22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</row>
    <row r="149" spans="2:15" ht="16" customHeight="1" x14ac:dyDescent="0.35">
      <c r="B149" s="14" t="s">
        <v>256</v>
      </c>
      <c r="C149" s="14" t="s">
        <v>257</v>
      </c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2:15" ht="16" customHeight="1" thickBot="1" x14ac:dyDescent="0.4">
      <c r="B150" s="11" t="s">
        <v>258</v>
      </c>
      <c r="C150" s="11" t="s">
        <v>22</v>
      </c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</row>
    <row r="151" spans="2:15" ht="16" customHeight="1" thickBot="1" x14ac:dyDescent="0.4">
      <c r="B151" s="18" t="s">
        <v>259</v>
      </c>
      <c r="C151" s="18" t="s">
        <v>260</v>
      </c>
      <c r="D151" s="19">
        <f t="shared" ref="D151:O151" si="25">-(-(D143+D147)-D149)</f>
        <v>-25675.502179999999</v>
      </c>
      <c r="E151" s="19">
        <f t="shared" si="25"/>
        <v>-48731.215279999982</v>
      </c>
      <c r="F151" s="19">
        <f t="shared" si="25"/>
        <v>-59931.907240000015</v>
      </c>
      <c r="G151" s="19">
        <f t="shared" si="25"/>
        <v>-50807.259869999893</v>
      </c>
      <c r="H151" s="19">
        <f t="shared" si="25"/>
        <v>-24807.942059999936</v>
      </c>
      <c r="I151" s="19">
        <f t="shared" si="25"/>
        <v>10780.217240000231</v>
      </c>
      <c r="J151" s="19">
        <f t="shared" si="25"/>
        <v>0</v>
      </c>
      <c r="K151" s="19">
        <f t="shared" si="25"/>
        <v>0</v>
      </c>
      <c r="L151" s="19">
        <f t="shared" si="25"/>
        <v>0</v>
      </c>
      <c r="M151" s="19">
        <f t="shared" si="25"/>
        <v>0</v>
      </c>
      <c r="N151" s="19">
        <f t="shared" si="25"/>
        <v>0</v>
      </c>
      <c r="O151" s="19">
        <f t="shared" si="25"/>
        <v>0</v>
      </c>
    </row>
    <row r="152" spans="2:15" ht="16" customHeight="1" x14ac:dyDescent="0.35">
      <c r="B152" s="11" t="s">
        <v>261</v>
      </c>
      <c r="C152" s="11" t="s">
        <v>22</v>
      </c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</row>
    <row r="153" spans="2:15" ht="16" customHeight="1" x14ac:dyDescent="0.35">
      <c r="B153" s="14" t="s">
        <v>262</v>
      </c>
      <c r="C153" s="14" t="s">
        <v>263</v>
      </c>
      <c r="D153" s="15">
        <v>-12.57</v>
      </c>
      <c r="E153" s="15">
        <v>-32.14</v>
      </c>
      <c r="F153" s="15">
        <v>-43</v>
      </c>
      <c r="G153" s="15">
        <v>-69.072000000000003</v>
      </c>
      <c r="H153" s="15">
        <v>-88.084999999999994</v>
      </c>
      <c r="I153" s="15">
        <v>-88.084999999999994</v>
      </c>
      <c r="J153" s="15"/>
      <c r="K153" s="15"/>
      <c r="L153" s="15"/>
      <c r="M153" s="15"/>
      <c r="N153" s="15"/>
      <c r="O153" s="15"/>
    </row>
    <row r="154" spans="2:15" ht="16" customHeight="1" thickBot="1" x14ac:dyDescent="0.4">
      <c r="B154" s="11" t="s">
        <v>264</v>
      </c>
      <c r="C154" s="11" t="s">
        <v>22</v>
      </c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</row>
    <row r="155" spans="2:15" ht="16" customHeight="1" thickBot="1" x14ac:dyDescent="0.4">
      <c r="B155" s="18" t="s">
        <v>265</v>
      </c>
      <c r="C155" s="18" t="s">
        <v>266</v>
      </c>
      <c r="D155" s="19">
        <f t="shared" ref="D155:O155" si="26">D151+D153</f>
        <v>-25688.072179999999</v>
      </c>
      <c r="E155" s="19">
        <f t="shared" si="26"/>
        <v>-48763.355279999982</v>
      </c>
      <c r="F155" s="19">
        <f t="shared" si="26"/>
        <v>-59974.907240000015</v>
      </c>
      <c r="G155" s="19">
        <f t="shared" si="26"/>
        <v>-50876.331869999893</v>
      </c>
      <c r="H155" s="19">
        <f t="shared" si="26"/>
        <v>-24896.027059999935</v>
      </c>
      <c r="I155" s="19">
        <f t="shared" si="26"/>
        <v>10692.132240000232</v>
      </c>
      <c r="J155" s="19">
        <f t="shared" si="26"/>
        <v>0</v>
      </c>
      <c r="K155" s="19">
        <f t="shared" si="26"/>
        <v>0</v>
      </c>
      <c r="L155" s="19">
        <f t="shared" si="26"/>
        <v>0</v>
      </c>
      <c r="M155" s="19">
        <f t="shared" si="26"/>
        <v>0</v>
      </c>
      <c r="N155" s="19">
        <f t="shared" si="26"/>
        <v>0</v>
      </c>
      <c r="O155" s="19">
        <f t="shared" si="26"/>
        <v>0</v>
      </c>
    </row>
  </sheetData>
  <mergeCells count="1">
    <mergeCell ref="B7:C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AE17-BAD7-4F74-ACA0-188534A55C00}">
  <dimension ref="A3:Q155"/>
  <sheetViews>
    <sheetView showGridLines="0" workbookViewId="0">
      <pane ySplit="9" topLeftCell="A10" activePane="bottomLeft" state="frozen"/>
      <selection pane="bottomLeft" activeCell="B4" sqref="B4"/>
    </sheetView>
  </sheetViews>
  <sheetFormatPr defaultColWidth="9.1796875" defaultRowHeight="16" customHeight="1" x14ac:dyDescent="0.35"/>
  <cols>
    <col min="1" max="1" width="2.54296875" style="1" customWidth="1"/>
    <col min="2" max="2" width="10.7265625" style="1" customWidth="1"/>
    <col min="3" max="3" width="55.7265625" style="1" customWidth="1"/>
    <col min="4" max="26" width="15.7265625" style="1" customWidth="1"/>
    <col min="27" max="16384" width="9.1796875" style="1"/>
  </cols>
  <sheetData>
    <row r="3" spans="1:17" ht="16" customHeight="1" x14ac:dyDescent="0.35">
      <c r="B3" s="2" t="s">
        <v>267</v>
      </c>
    </row>
    <row r="4" spans="1:17" ht="16" customHeight="1" x14ac:dyDescent="0.35">
      <c r="B4" s="4" t="s">
        <v>270</v>
      </c>
    </row>
    <row r="5" spans="1:17" ht="16" customHeight="1" x14ac:dyDescent="0.35">
      <c r="B5" s="4" t="s">
        <v>271</v>
      </c>
    </row>
    <row r="6" spans="1:17" ht="16" customHeight="1" x14ac:dyDescent="0.35">
      <c r="A6" s="20"/>
      <c r="B6" s="1" t="s">
        <v>272</v>
      </c>
    </row>
    <row r="7" spans="1:17" ht="16" customHeight="1" x14ac:dyDescent="0.35">
      <c r="A7" s="20"/>
      <c r="B7" s="6">
        <v>46194.595579490742</v>
      </c>
      <c r="C7" s="6"/>
    </row>
    <row r="9" spans="1:17" ht="16" customHeight="1" thickBot="1" x14ac:dyDescent="0.5">
      <c r="B9" s="7"/>
      <c r="C9" s="7"/>
      <c r="D9" s="8" t="s">
        <v>3</v>
      </c>
      <c r="E9" s="8" t="s">
        <v>6</v>
      </c>
      <c r="F9" s="8" t="s">
        <v>9</v>
      </c>
      <c r="G9" s="8" t="s">
        <v>12</v>
      </c>
      <c r="H9" s="21" t="s">
        <v>268</v>
      </c>
      <c r="I9" s="9"/>
      <c r="J9" s="9"/>
      <c r="K9" s="9"/>
      <c r="L9" s="9"/>
      <c r="M9" s="9"/>
      <c r="N9" s="9"/>
      <c r="O9" s="9"/>
      <c r="P9" s="13"/>
      <c r="Q9" s="9"/>
    </row>
    <row r="10" spans="1:17" ht="16" customHeight="1" x14ac:dyDescent="0.45">
      <c r="B10" s="10"/>
      <c r="C10" s="11"/>
      <c r="D10" s="12"/>
      <c r="E10" s="12"/>
      <c r="F10" s="12"/>
      <c r="G10" s="12"/>
      <c r="H10" s="22"/>
      <c r="I10" s="13"/>
      <c r="J10" s="13"/>
      <c r="K10" s="13"/>
      <c r="L10" s="13"/>
      <c r="M10" s="13"/>
      <c r="N10" s="13"/>
      <c r="O10" s="13"/>
      <c r="P10" s="13"/>
      <c r="Q10" s="13"/>
    </row>
    <row r="11" spans="1:17" ht="16" customHeight="1" x14ac:dyDescent="0.35">
      <c r="B11" s="14" t="s">
        <v>13</v>
      </c>
      <c r="C11" s="14" t="s">
        <v>14</v>
      </c>
      <c r="D11" s="15">
        <v>2065.5688599999999</v>
      </c>
      <c r="E11" s="15">
        <v>6085.9232700000002</v>
      </c>
      <c r="F11" s="15">
        <v>-8151.4921299999996</v>
      </c>
      <c r="G11" s="15"/>
      <c r="H11" s="23">
        <f>SUM(D11:G11)</f>
        <v>0</v>
      </c>
    </row>
    <row r="12" spans="1:17" ht="16" customHeight="1" x14ac:dyDescent="0.35">
      <c r="B12" s="14" t="s">
        <v>15</v>
      </c>
      <c r="C12" s="14" t="s">
        <v>16</v>
      </c>
      <c r="D12" s="15"/>
      <c r="E12" s="15"/>
      <c r="F12" s="15"/>
      <c r="G12" s="15"/>
      <c r="H12" s="23">
        <f>SUM(D12:G12)</f>
        <v>0</v>
      </c>
    </row>
    <row r="13" spans="1:17" ht="16" customHeight="1" x14ac:dyDescent="0.35">
      <c r="B13" s="14" t="s">
        <v>17</v>
      </c>
      <c r="C13" s="14" t="s">
        <v>18</v>
      </c>
      <c r="D13" s="15">
        <v>448555.60934999998</v>
      </c>
      <c r="E13" s="15">
        <v>567588.15416999999</v>
      </c>
      <c r="F13" s="15">
        <v>-1016143.76352</v>
      </c>
      <c r="G13" s="15"/>
      <c r="H13" s="23">
        <f>SUM(D13:G13)</f>
        <v>0</v>
      </c>
    </row>
    <row r="14" spans="1:17" ht="16" customHeight="1" x14ac:dyDescent="0.35">
      <c r="B14" s="16" t="s">
        <v>19</v>
      </c>
      <c r="C14" s="16" t="s">
        <v>20</v>
      </c>
      <c r="D14" s="17">
        <f>-(-(D11+D12)-D13)</f>
        <v>450621.17820999998</v>
      </c>
      <c r="E14" s="17">
        <f>-(-(E11+E12)-E13)</f>
        <v>573674.07744000002</v>
      </c>
      <c r="F14" s="17">
        <f>-(-(F11+F12)-F13)</f>
        <v>-1024295.2556500001</v>
      </c>
      <c r="G14" s="17">
        <f>-(-(G11+G12)-G13)</f>
        <v>0</v>
      </c>
      <c r="H14" s="24">
        <f>-(-(H11+H12)-H13)</f>
        <v>0</v>
      </c>
    </row>
    <row r="15" spans="1:17" ht="16" customHeight="1" x14ac:dyDescent="0.35">
      <c r="B15" s="11" t="s">
        <v>21</v>
      </c>
      <c r="C15" s="11" t="s">
        <v>22</v>
      </c>
      <c r="D15" s="12"/>
      <c r="E15" s="12"/>
      <c r="F15" s="12"/>
      <c r="G15" s="12"/>
      <c r="H15" s="22"/>
    </row>
    <row r="16" spans="1:17" ht="16" customHeight="1" x14ac:dyDescent="0.35">
      <c r="B16" s="14" t="s">
        <v>23</v>
      </c>
      <c r="C16" s="14" t="s">
        <v>24</v>
      </c>
      <c r="D16" s="15">
        <v>-51342.324820000002</v>
      </c>
      <c r="E16" s="15">
        <v>-62598.967680000002</v>
      </c>
      <c r="F16" s="15">
        <v>113941.2925</v>
      </c>
      <c r="G16" s="15"/>
      <c r="H16" s="23">
        <f t="shared" ref="H16:H23" si="0">SUM(D16:G16)</f>
        <v>0</v>
      </c>
    </row>
    <row r="17" spans="2:8" ht="16" customHeight="1" x14ac:dyDescent="0.35">
      <c r="B17" s="14" t="s">
        <v>25</v>
      </c>
      <c r="C17" s="14" t="s">
        <v>26</v>
      </c>
      <c r="D17" s="15">
        <v>-7.16106</v>
      </c>
      <c r="E17" s="15">
        <v>0</v>
      </c>
      <c r="F17" s="15">
        <v>7.16106</v>
      </c>
      <c r="G17" s="15"/>
      <c r="H17" s="23">
        <f t="shared" si="0"/>
        <v>0</v>
      </c>
    </row>
    <row r="18" spans="2:8" ht="16" customHeight="1" x14ac:dyDescent="0.35">
      <c r="B18" s="14" t="s">
        <v>27</v>
      </c>
      <c r="C18" s="14" t="s">
        <v>28</v>
      </c>
      <c r="D18" s="15">
        <v>-34023.681199999999</v>
      </c>
      <c r="E18" s="15">
        <v>-38352.809240000002</v>
      </c>
      <c r="F18" s="15">
        <v>72376.490439999994</v>
      </c>
      <c r="G18" s="15"/>
      <c r="H18" s="23">
        <f t="shared" si="0"/>
        <v>0</v>
      </c>
    </row>
    <row r="19" spans="2:8" ht="16" customHeight="1" x14ac:dyDescent="0.35">
      <c r="B19" s="14" t="s">
        <v>29</v>
      </c>
      <c r="C19" s="14" t="s">
        <v>30</v>
      </c>
      <c r="D19" s="15">
        <v>-4621.4768400000003</v>
      </c>
      <c r="E19" s="15">
        <v>-6037.0393800000002</v>
      </c>
      <c r="F19" s="15">
        <v>10658.51622</v>
      </c>
      <c r="G19" s="15"/>
      <c r="H19" s="23">
        <f t="shared" si="0"/>
        <v>0</v>
      </c>
    </row>
    <row r="20" spans="2:8" ht="16" customHeight="1" x14ac:dyDescent="0.35">
      <c r="B20" s="14" t="s">
        <v>31</v>
      </c>
      <c r="C20" s="14" t="s">
        <v>32</v>
      </c>
      <c r="D20" s="15">
        <v>-28215.551149999999</v>
      </c>
      <c r="E20" s="15">
        <v>-22022.899379999999</v>
      </c>
      <c r="F20" s="15">
        <v>50238.450530000002</v>
      </c>
      <c r="G20" s="15"/>
      <c r="H20" s="23">
        <f t="shared" si="0"/>
        <v>0</v>
      </c>
    </row>
    <row r="21" spans="2:8" ht="16" customHeight="1" x14ac:dyDescent="0.35">
      <c r="B21" s="14" t="s">
        <v>33</v>
      </c>
      <c r="C21" s="14" t="s">
        <v>34</v>
      </c>
      <c r="D21" s="15"/>
      <c r="E21" s="15"/>
      <c r="F21" s="15"/>
      <c r="G21" s="15"/>
      <c r="H21" s="23">
        <f t="shared" si="0"/>
        <v>0</v>
      </c>
    </row>
    <row r="22" spans="2:8" ht="16" customHeight="1" x14ac:dyDescent="0.35">
      <c r="B22" s="14" t="s">
        <v>35</v>
      </c>
      <c r="C22" s="14" t="s">
        <v>36</v>
      </c>
      <c r="D22" s="15">
        <v>244.02316999999999</v>
      </c>
      <c r="E22" s="15">
        <v>41.920520000000003</v>
      </c>
      <c r="F22" s="15">
        <v>-285.94369</v>
      </c>
      <c r="G22" s="15"/>
      <c r="H22" s="23">
        <f t="shared" si="0"/>
        <v>0</v>
      </c>
    </row>
    <row r="23" spans="2:8" ht="16" customHeight="1" x14ac:dyDescent="0.35">
      <c r="B23" s="14" t="s">
        <v>37</v>
      </c>
      <c r="C23" s="14" t="s">
        <v>38</v>
      </c>
      <c r="D23" s="15"/>
      <c r="E23" s="15"/>
      <c r="F23" s="15"/>
      <c r="G23" s="15"/>
      <c r="H23" s="23">
        <f t="shared" si="0"/>
        <v>0</v>
      </c>
    </row>
    <row r="24" spans="2:8" ht="16" customHeight="1" x14ac:dyDescent="0.35">
      <c r="B24" s="16" t="s">
        <v>39</v>
      </c>
      <c r="C24" s="16" t="s">
        <v>40</v>
      </c>
      <c r="D24" s="17">
        <f>-(-(D16+D17)-D18-D19-D20-D22-D21)</f>
        <v>-117966.1719</v>
      </c>
      <c r="E24" s="17">
        <f>-(-(E16+E17)-E18-E19-E20-E22-E21)</f>
        <v>-128969.79516000001</v>
      </c>
      <c r="F24" s="17">
        <f>-(-(F16+F17)-F18-F19-F20-F22-F21)</f>
        <v>246935.96706</v>
      </c>
      <c r="G24" s="17">
        <f>-(-(G16+G17)-G18-G19-G20-G22-G21)</f>
        <v>0</v>
      </c>
      <c r="H24" s="24">
        <f>-(-(H16+H17)-H18-H19-H20-H22-H21)</f>
        <v>0</v>
      </c>
    </row>
    <row r="25" spans="2:8" ht="16" customHeight="1" x14ac:dyDescent="0.35">
      <c r="B25" s="11" t="s">
        <v>41</v>
      </c>
      <c r="C25" s="11" t="s">
        <v>22</v>
      </c>
      <c r="D25" s="12"/>
      <c r="E25" s="12"/>
      <c r="F25" s="12"/>
      <c r="G25" s="12"/>
      <c r="H25" s="22"/>
    </row>
    <row r="26" spans="2:8" ht="16" customHeight="1" x14ac:dyDescent="0.35">
      <c r="B26" s="14" t="s">
        <v>42</v>
      </c>
      <c r="C26" s="14" t="s">
        <v>43</v>
      </c>
      <c r="D26" s="15">
        <v>-9523.6269699999993</v>
      </c>
      <c r="E26" s="15">
        <v>5101.6324100000002</v>
      </c>
      <c r="F26" s="15">
        <v>4421.9945600000001</v>
      </c>
      <c r="G26" s="15"/>
      <c r="H26" s="23">
        <f t="shared" ref="H26:H39" si="1">SUM(D26:G26)</f>
        <v>0</v>
      </c>
    </row>
    <row r="27" spans="2:8" ht="16" customHeight="1" x14ac:dyDescent="0.35">
      <c r="B27" s="14" t="s">
        <v>44</v>
      </c>
      <c r="C27" s="14" t="s">
        <v>45</v>
      </c>
      <c r="D27" s="15">
        <v>-158422.09030000001</v>
      </c>
      <c r="E27" s="15">
        <v>-214056.61833</v>
      </c>
      <c r="F27" s="15">
        <v>372478.70863000001</v>
      </c>
      <c r="G27" s="15"/>
      <c r="H27" s="23">
        <f t="shared" si="1"/>
        <v>0</v>
      </c>
    </row>
    <row r="28" spans="2:8" ht="16" customHeight="1" x14ac:dyDescent="0.35">
      <c r="B28" s="14" t="s">
        <v>46</v>
      </c>
      <c r="C28" s="14" t="s">
        <v>47</v>
      </c>
      <c r="D28" s="15">
        <v>-7283.1467499999999</v>
      </c>
      <c r="E28" s="15">
        <v>-8387.7317399999993</v>
      </c>
      <c r="F28" s="15">
        <v>15670.878489999999</v>
      </c>
      <c r="G28" s="15"/>
      <c r="H28" s="23">
        <f t="shared" si="1"/>
        <v>0</v>
      </c>
    </row>
    <row r="29" spans="2:8" ht="16" customHeight="1" x14ac:dyDescent="0.35">
      <c r="B29" s="14" t="s">
        <v>48</v>
      </c>
      <c r="C29" s="14" t="s">
        <v>49</v>
      </c>
      <c r="D29" s="15"/>
      <c r="E29" s="15"/>
      <c r="F29" s="15"/>
      <c r="G29" s="15"/>
      <c r="H29" s="23">
        <f t="shared" si="1"/>
        <v>0</v>
      </c>
    </row>
    <row r="30" spans="2:8" ht="16" customHeight="1" x14ac:dyDescent="0.35">
      <c r="B30" s="14" t="s">
        <v>50</v>
      </c>
      <c r="C30" s="14" t="s">
        <v>51</v>
      </c>
      <c r="D30" s="15">
        <v>-7770.6669400000001</v>
      </c>
      <c r="E30" s="15">
        <v>-6255.2150799999999</v>
      </c>
      <c r="F30" s="15">
        <v>14025.882019999999</v>
      </c>
      <c r="G30" s="15"/>
      <c r="H30" s="23">
        <f t="shared" si="1"/>
        <v>0</v>
      </c>
    </row>
    <row r="31" spans="2:8" ht="16" customHeight="1" x14ac:dyDescent="0.35">
      <c r="B31" s="14" t="s">
        <v>52</v>
      </c>
      <c r="C31" s="14" t="s">
        <v>53</v>
      </c>
      <c r="D31" s="15">
        <v>-71000.276490000004</v>
      </c>
      <c r="E31" s="15">
        <v>-79094.478440000006</v>
      </c>
      <c r="F31" s="15">
        <v>150094.75493</v>
      </c>
      <c r="G31" s="15"/>
      <c r="H31" s="23">
        <f t="shared" si="1"/>
        <v>0</v>
      </c>
    </row>
    <row r="32" spans="2:8" ht="16" customHeight="1" x14ac:dyDescent="0.35">
      <c r="B32" s="14" t="s">
        <v>54</v>
      </c>
      <c r="C32" s="14" t="s">
        <v>55</v>
      </c>
      <c r="D32" s="15">
        <v>-36315.710780000001</v>
      </c>
      <c r="E32" s="15">
        <v>-32472.75477</v>
      </c>
      <c r="F32" s="15">
        <v>68788.465549999994</v>
      </c>
      <c r="G32" s="15"/>
      <c r="H32" s="23">
        <f t="shared" si="1"/>
        <v>0</v>
      </c>
    </row>
    <row r="33" spans="2:8" ht="16" customHeight="1" x14ac:dyDescent="0.35">
      <c r="B33" s="14" t="s">
        <v>56</v>
      </c>
      <c r="C33" s="14" t="s">
        <v>57</v>
      </c>
      <c r="D33" s="15">
        <v>-50623.015379999997</v>
      </c>
      <c r="E33" s="15">
        <v>-50782.339599999999</v>
      </c>
      <c r="F33" s="15">
        <v>101405.35498</v>
      </c>
      <c r="G33" s="15"/>
      <c r="H33" s="23">
        <f t="shared" si="1"/>
        <v>0</v>
      </c>
    </row>
    <row r="34" spans="2:8" ht="16" customHeight="1" x14ac:dyDescent="0.35">
      <c r="B34" s="14" t="s">
        <v>58</v>
      </c>
      <c r="C34" s="14" t="s">
        <v>59</v>
      </c>
      <c r="D34" s="15">
        <v>827.51652000000001</v>
      </c>
      <c r="E34" s="15">
        <v>15585.7197</v>
      </c>
      <c r="F34" s="15">
        <v>-16413.236219999999</v>
      </c>
      <c r="G34" s="15"/>
      <c r="H34" s="23">
        <f t="shared" si="1"/>
        <v>0</v>
      </c>
    </row>
    <row r="35" spans="2:8" ht="16" customHeight="1" x14ac:dyDescent="0.35">
      <c r="B35" s="14" t="s">
        <v>60</v>
      </c>
      <c r="C35" s="14" t="s">
        <v>61</v>
      </c>
      <c r="D35" s="15"/>
      <c r="E35" s="15"/>
      <c r="F35" s="15"/>
      <c r="G35" s="15"/>
      <c r="H35" s="23">
        <f t="shared" si="1"/>
        <v>0</v>
      </c>
    </row>
    <row r="36" spans="2:8" ht="16" customHeight="1" x14ac:dyDescent="0.35">
      <c r="B36" s="14" t="s">
        <v>62</v>
      </c>
      <c r="C36" s="14" t="s">
        <v>36</v>
      </c>
      <c r="D36" s="15">
        <v>2074.6567500000001</v>
      </c>
      <c r="E36" s="15">
        <v>156.02950000000001</v>
      </c>
      <c r="F36" s="15">
        <v>-2230.6862500000002</v>
      </c>
      <c r="G36" s="15"/>
      <c r="H36" s="23">
        <f t="shared" si="1"/>
        <v>0</v>
      </c>
    </row>
    <row r="37" spans="2:8" ht="16" customHeight="1" x14ac:dyDescent="0.35">
      <c r="B37" s="14" t="s">
        <v>63</v>
      </c>
      <c r="C37" s="14" t="s">
        <v>64</v>
      </c>
      <c r="D37" s="15">
        <v>-13.050739999999999</v>
      </c>
      <c r="E37" s="15">
        <v>-142.68575999999999</v>
      </c>
      <c r="F37" s="15">
        <v>155.73650000000001</v>
      </c>
      <c r="G37" s="15"/>
      <c r="H37" s="23">
        <f t="shared" si="1"/>
        <v>0</v>
      </c>
    </row>
    <row r="38" spans="2:8" ht="16" customHeight="1" x14ac:dyDescent="0.35">
      <c r="B38" s="14" t="s">
        <v>65</v>
      </c>
      <c r="C38" s="14" t="s">
        <v>66</v>
      </c>
      <c r="D38" s="15"/>
      <c r="E38" s="15"/>
      <c r="F38" s="15"/>
      <c r="G38" s="15"/>
      <c r="H38" s="23">
        <f t="shared" si="1"/>
        <v>0</v>
      </c>
    </row>
    <row r="39" spans="2:8" ht="16" customHeight="1" x14ac:dyDescent="0.35">
      <c r="B39" s="14" t="s">
        <v>67</v>
      </c>
      <c r="C39" s="14" t="s">
        <v>68</v>
      </c>
      <c r="D39" s="15">
        <v>42107.417000000001</v>
      </c>
      <c r="E39" s="15">
        <v>61127.836000000003</v>
      </c>
      <c r="F39" s="15">
        <v>-103235.253</v>
      </c>
      <c r="G39" s="15"/>
      <c r="H39" s="23">
        <f t="shared" si="1"/>
        <v>0</v>
      </c>
    </row>
    <row r="40" spans="2:8" ht="16" customHeight="1" x14ac:dyDescent="0.35">
      <c r="B40" s="16" t="s">
        <v>69</v>
      </c>
      <c r="C40" s="16" t="s">
        <v>70</v>
      </c>
      <c r="D40" s="17">
        <f>-(-(D26+D27)-D28-D29-D30-D31-D32-D33-D34-D35-D36-D37-D38-D39)</f>
        <v>-295941.99407999997</v>
      </c>
      <c r="E40" s="17">
        <f>-(-(E26+E27)-E28-E29-E30-E31-E32-E33-E34-E35-E36-E37-E38-E39)</f>
        <v>-309220.60610999999</v>
      </c>
      <c r="F40" s="17">
        <f>-(-(F26+F27)-F28-F29-F30-F31-F32-F33-F34-F35-F36-F37-F38-F39)</f>
        <v>605162.60018999991</v>
      </c>
      <c r="G40" s="17">
        <f>-(-(G26+G27)-G28-G29-G30-G31-G32-G33-G34-G35-G36-G37-G38-G39)</f>
        <v>0</v>
      </c>
      <c r="H40" s="24">
        <f>-(-(H26+H27)-H28-H29-H30-H31-H32-H33-H34-H35-H36-H37-H38-H39)</f>
        <v>0</v>
      </c>
    </row>
    <row r="41" spans="2:8" ht="16" customHeight="1" x14ac:dyDescent="0.35">
      <c r="B41" s="11" t="s">
        <v>71</v>
      </c>
      <c r="C41" s="11" t="s">
        <v>22</v>
      </c>
      <c r="D41" s="12"/>
      <c r="E41" s="12"/>
      <c r="F41" s="12"/>
      <c r="G41" s="12"/>
      <c r="H41" s="22"/>
    </row>
    <row r="42" spans="2:8" ht="16" customHeight="1" x14ac:dyDescent="0.35">
      <c r="B42" s="16" t="s">
        <v>72</v>
      </c>
      <c r="C42" s="16" t="s">
        <v>73</v>
      </c>
      <c r="D42" s="17">
        <f>D24+D40</f>
        <v>-413908.16597999999</v>
      </c>
      <c r="E42" s="17">
        <f>E24+E40</f>
        <v>-438190.40127000003</v>
      </c>
      <c r="F42" s="17">
        <f>F24+F40</f>
        <v>852098.56724999985</v>
      </c>
      <c r="G42" s="17">
        <f>G24+G40</f>
        <v>0</v>
      </c>
      <c r="H42" s="24">
        <f>H24+H40</f>
        <v>0</v>
      </c>
    </row>
    <row r="43" spans="2:8" ht="16" customHeight="1" thickBot="1" x14ac:dyDescent="0.4">
      <c r="B43" s="11" t="s">
        <v>74</v>
      </c>
      <c r="C43" s="11" t="s">
        <v>22</v>
      </c>
      <c r="D43" s="12"/>
      <c r="E43" s="12"/>
      <c r="F43" s="12"/>
      <c r="G43" s="12"/>
      <c r="H43" s="22"/>
    </row>
    <row r="44" spans="2:8" ht="16" customHeight="1" thickBot="1" x14ac:dyDescent="0.4">
      <c r="B44" s="18" t="s">
        <v>75</v>
      </c>
      <c r="C44" s="18" t="s">
        <v>76</v>
      </c>
      <c r="D44" s="19">
        <f>D14+D42</f>
        <v>36713.012229999993</v>
      </c>
      <c r="E44" s="19">
        <f>E14+E42</f>
        <v>135483.67616999999</v>
      </c>
      <c r="F44" s="19">
        <f>F14+F42</f>
        <v>-172196.68840000022</v>
      </c>
      <c r="G44" s="19">
        <f>G14+G42</f>
        <v>0</v>
      </c>
      <c r="H44" s="25">
        <f>H14+H42</f>
        <v>0</v>
      </c>
    </row>
    <row r="45" spans="2:8" ht="16" customHeight="1" x14ac:dyDescent="0.35">
      <c r="B45" s="11" t="s">
        <v>77</v>
      </c>
      <c r="C45" s="11" t="s">
        <v>22</v>
      </c>
      <c r="D45" s="12"/>
      <c r="E45" s="12"/>
      <c r="F45" s="12"/>
      <c r="G45" s="12"/>
      <c r="H45" s="22"/>
    </row>
    <row r="46" spans="2:8" ht="16" customHeight="1" x14ac:dyDescent="0.35">
      <c r="B46" s="14" t="s">
        <v>78</v>
      </c>
      <c r="C46" s="14" t="s">
        <v>28</v>
      </c>
      <c r="D46" s="15">
        <v>-8744.6940300000006</v>
      </c>
      <c r="E46" s="15">
        <v>-6763.88202</v>
      </c>
      <c r="F46" s="15">
        <v>15508.57605</v>
      </c>
      <c r="G46" s="15"/>
      <c r="H46" s="23">
        <f t="shared" ref="H46:H52" si="2">SUM(D46:G46)</f>
        <v>0</v>
      </c>
    </row>
    <row r="47" spans="2:8" ht="16" customHeight="1" x14ac:dyDescent="0.35">
      <c r="B47" s="14" t="s">
        <v>79</v>
      </c>
      <c r="C47" s="14" t="s">
        <v>80</v>
      </c>
      <c r="D47" s="15">
        <v>-999.11438999999996</v>
      </c>
      <c r="E47" s="15">
        <v>495.73637000000002</v>
      </c>
      <c r="F47" s="15">
        <v>503.37801999999999</v>
      </c>
      <c r="G47" s="15"/>
      <c r="H47" s="23">
        <f t="shared" si="2"/>
        <v>0</v>
      </c>
    </row>
    <row r="48" spans="2:8" ht="16" customHeight="1" x14ac:dyDescent="0.35">
      <c r="B48" s="14" t="s">
        <v>81</v>
      </c>
      <c r="C48" s="14" t="s">
        <v>82</v>
      </c>
      <c r="D48" s="15">
        <v>-460.56831</v>
      </c>
      <c r="E48" s="15">
        <v>-872.36622</v>
      </c>
      <c r="F48" s="15">
        <v>1332.93453</v>
      </c>
      <c r="G48" s="15"/>
      <c r="H48" s="23">
        <f t="shared" si="2"/>
        <v>0</v>
      </c>
    </row>
    <row r="49" spans="2:8" ht="16" customHeight="1" x14ac:dyDescent="0.35">
      <c r="B49" s="14" t="s">
        <v>83</v>
      </c>
      <c r="C49" s="14" t="s">
        <v>84</v>
      </c>
      <c r="D49" s="15">
        <v>458.56648000000001</v>
      </c>
      <c r="E49" s="15">
        <v>-2839.74883</v>
      </c>
      <c r="F49" s="15">
        <v>2381.18235</v>
      </c>
      <c r="G49" s="15"/>
      <c r="H49" s="23">
        <f t="shared" si="2"/>
        <v>0</v>
      </c>
    </row>
    <row r="50" spans="2:8" ht="16" customHeight="1" x14ac:dyDescent="0.35">
      <c r="B50" s="14" t="s">
        <v>85</v>
      </c>
      <c r="C50" s="14" t="s">
        <v>86</v>
      </c>
      <c r="D50" s="15"/>
      <c r="E50" s="15"/>
      <c r="F50" s="15"/>
      <c r="G50" s="15"/>
      <c r="H50" s="23">
        <f t="shared" si="2"/>
        <v>0</v>
      </c>
    </row>
    <row r="51" spans="2:8" ht="16" customHeight="1" x14ac:dyDescent="0.35">
      <c r="B51" s="14" t="s">
        <v>87</v>
      </c>
      <c r="C51" s="14" t="s">
        <v>88</v>
      </c>
      <c r="D51" s="15"/>
      <c r="E51" s="15"/>
      <c r="F51" s="15"/>
      <c r="G51" s="15"/>
      <c r="H51" s="23">
        <f t="shared" si="2"/>
        <v>0</v>
      </c>
    </row>
    <row r="52" spans="2:8" ht="16" customHeight="1" x14ac:dyDescent="0.35">
      <c r="B52" s="14" t="s">
        <v>89</v>
      </c>
      <c r="C52" s="14" t="s">
        <v>90</v>
      </c>
      <c r="D52" s="15"/>
      <c r="E52" s="15"/>
      <c r="F52" s="15"/>
      <c r="G52" s="15"/>
      <c r="H52" s="23">
        <f t="shared" si="2"/>
        <v>0</v>
      </c>
    </row>
    <row r="53" spans="2:8" ht="16" customHeight="1" x14ac:dyDescent="0.35">
      <c r="B53" s="16" t="s">
        <v>91</v>
      </c>
      <c r="C53" s="16" t="s">
        <v>92</v>
      </c>
      <c r="D53" s="17">
        <f>-(-(D46+D47)-D48-D49-D51-D50)</f>
        <v>-9745.8102500000023</v>
      </c>
      <c r="E53" s="17">
        <f>-(-(E46+E47)-E48-E49-E51-E50)</f>
        <v>-9980.2607000000007</v>
      </c>
      <c r="F53" s="17">
        <f>-(-(F46+F47)-F48-F49-F51-F50)</f>
        <v>19726.070949999998</v>
      </c>
      <c r="G53" s="17">
        <f>-(-(G46+G47)-G48-G49-G51-G50)</f>
        <v>0</v>
      </c>
      <c r="H53" s="24">
        <f>-(-(H46+H47)-H48-H49-H51-H50)</f>
        <v>0</v>
      </c>
    </row>
    <row r="54" spans="2:8" ht="16" customHeight="1" x14ac:dyDescent="0.35">
      <c r="B54" s="11" t="s">
        <v>93</v>
      </c>
      <c r="C54" s="11" t="s">
        <v>22</v>
      </c>
      <c r="D54" s="12"/>
      <c r="E54" s="12"/>
      <c r="F54" s="12"/>
      <c r="G54" s="12"/>
      <c r="H54" s="22"/>
    </row>
    <row r="55" spans="2:8" ht="16" customHeight="1" x14ac:dyDescent="0.35">
      <c r="B55" s="14" t="s">
        <v>94</v>
      </c>
      <c r="C55" s="14" t="s">
        <v>28</v>
      </c>
      <c r="D55" s="15">
        <v>-14325.696190000001</v>
      </c>
      <c r="E55" s="15">
        <v>-9969.0399199999993</v>
      </c>
      <c r="F55" s="15">
        <v>24294.736110000002</v>
      </c>
      <c r="G55" s="15"/>
      <c r="H55" s="23">
        <f t="shared" ref="H55:H60" si="3">SUM(D55:G55)</f>
        <v>0</v>
      </c>
    </row>
    <row r="56" spans="2:8" ht="16" customHeight="1" x14ac:dyDescent="0.35">
      <c r="B56" s="14" t="s">
        <v>95</v>
      </c>
      <c r="C56" s="14" t="s">
        <v>80</v>
      </c>
      <c r="D56" s="15">
        <v>-810.63558</v>
      </c>
      <c r="E56" s="15">
        <v>-1501.58754</v>
      </c>
      <c r="F56" s="15">
        <v>2312.2231200000001</v>
      </c>
      <c r="G56" s="15"/>
      <c r="H56" s="23">
        <f t="shared" si="3"/>
        <v>0</v>
      </c>
    </row>
    <row r="57" spans="2:8" ht="16" customHeight="1" x14ac:dyDescent="0.35">
      <c r="B57" s="14" t="s">
        <v>96</v>
      </c>
      <c r="C57" s="14" t="s">
        <v>97</v>
      </c>
      <c r="D57" s="15">
        <v>-10573.500959999999</v>
      </c>
      <c r="E57" s="15">
        <v>-778.08324000000005</v>
      </c>
      <c r="F57" s="15">
        <v>11351.584199999999</v>
      </c>
      <c r="G57" s="15"/>
      <c r="H57" s="23">
        <f t="shared" si="3"/>
        <v>0</v>
      </c>
    </row>
    <row r="58" spans="2:8" ht="16" customHeight="1" x14ac:dyDescent="0.35">
      <c r="B58" s="14" t="s">
        <v>98</v>
      </c>
      <c r="C58" s="14" t="s">
        <v>99</v>
      </c>
      <c r="D58" s="15"/>
      <c r="E58" s="15"/>
      <c r="F58" s="15"/>
      <c r="G58" s="15"/>
      <c r="H58" s="23">
        <f t="shared" si="3"/>
        <v>0</v>
      </c>
    </row>
    <row r="59" spans="2:8" ht="16" customHeight="1" x14ac:dyDescent="0.35">
      <c r="B59" s="14" t="s">
        <v>100</v>
      </c>
      <c r="C59" s="14" t="s">
        <v>88</v>
      </c>
      <c r="D59" s="15">
        <v>-20.92708</v>
      </c>
      <c r="E59" s="15">
        <v>-74.470460000000003</v>
      </c>
      <c r="F59" s="15">
        <v>95.397540000000006</v>
      </c>
      <c r="G59" s="15"/>
      <c r="H59" s="23">
        <f t="shared" si="3"/>
        <v>0</v>
      </c>
    </row>
    <row r="60" spans="2:8" ht="16" customHeight="1" x14ac:dyDescent="0.35">
      <c r="B60" s="14" t="s">
        <v>101</v>
      </c>
      <c r="C60" s="14" t="s">
        <v>102</v>
      </c>
      <c r="D60" s="15"/>
      <c r="E60" s="15"/>
      <c r="F60" s="15"/>
      <c r="G60" s="15"/>
      <c r="H60" s="23">
        <f t="shared" si="3"/>
        <v>0</v>
      </c>
    </row>
    <row r="61" spans="2:8" ht="16" customHeight="1" x14ac:dyDescent="0.35">
      <c r="B61" s="16" t="s">
        <v>103</v>
      </c>
      <c r="C61" s="16" t="s">
        <v>104</v>
      </c>
      <c r="D61" s="17">
        <f>-(-(D55+D56)-D57-D59-D58)</f>
        <v>-25730.759810000003</v>
      </c>
      <c r="E61" s="17">
        <f>-(-(E55+E56)-E57-E59-E58)</f>
        <v>-12323.18116</v>
      </c>
      <c r="F61" s="17">
        <f>-(-(F55+F56)-F57-F59-F58)</f>
        <v>38053.940969999996</v>
      </c>
      <c r="G61" s="17">
        <f>-(-(G55+G56)-G57-G59-G58)</f>
        <v>0</v>
      </c>
      <c r="H61" s="24">
        <f>-(-(H55+H56)-H57-H59-H58)</f>
        <v>0</v>
      </c>
    </row>
    <row r="62" spans="2:8" ht="16" customHeight="1" thickBot="1" x14ac:dyDescent="0.4">
      <c r="B62" s="11" t="s">
        <v>105</v>
      </c>
      <c r="C62" s="11" t="s">
        <v>22</v>
      </c>
      <c r="D62" s="12"/>
      <c r="E62" s="12"/>
      <c r="F62" s="12"/>
      <c r="G62" s="12"/>
      <c r="H62" s="22"/>
    </row>
    <row r="63" spans="2:8" ht="16" customHeight="1" thickBot="1" x14ac:dyDescent="0.4">
      <c r="B63" s="18" t="s">
        <v>106</v>
      </c>
      <c r="C63" s="18" t="s">
        <v>107</v>
      </c>
      <c r="D63" s="19">
        <f>D53+D61</f>
        <v>-35476.570060000005</v>
      </c>
      <c r="E63" s="19">
        <f>E53+E61</f>
        <v>-22303.441859999999</v>
      </c>
      <c r="F63" s="19">
        <f>F53+F61</f>
        <v>57780.01191999999</v>
      </c>
      <c r="G63" s="19">
        <f>G53+G61</f>
        <v>0</v>
      </c>
      <c r="H63" s="25">
        <f>H53+H61</f>
        <v>0</v>
      </c>
    </row>
    <row r="64" spans="2:8" ht="16" customHeight="1" x14ac:dyDescent="0.35">
      <c r="B64" s="11" t="s">
        <v>108</v>
      </c>
      <c r="C64" s="11" t="s">
        <v>22</v>
      </c>
      <c r="D64" s="12"/>
      <c r="E64" s="12"/>
      <c r="F64" s="12"/>
      <c r="G64" s="12"/>
      <c r="H64" s="22"/>
    </row>
    <row r="65" spans="2:8" ht="16" customHeight="1" x14ac:dyDescent="0.35">
      <c r="B65" s="14" t="s">
        <v>109</v>
      </c>
      <c r="C65" s="14" t="s">
        <v>110</v>
      </c>
      <c r="D65" s="15"/>
      <c r="E65" s="15"/>
      <c r="F65" s="15"/>
      <c r="G65" s="15"/>
      <c r="H65" s="23">
        <f>SUM(D65:G65)</f>
        <v>0</v>
      </c>
    </row>
    <row r="66" spans="2:8" ht="16" customHeight="1" x14ac:dyDescent="0.35">
      <c r="B66" s="14" t="s">
        <v>111</v>
      </c>
      <c r="C66" s="14" t="s">
        <v>112</v>
      </c>
      <c r="D66" s="15"/>
      <c r="E66" s="15"/>
      <c r="F66" s="15"/>
      <c r="G66" s="15"/>
      <c r="H66" s="23">
        <f>SUM(D66:G66)</f>
        <v>0</v>
      </c>
    </row>
    <row r="67" spans="2:8" ht="16" customHeight="1" x14ac:dyDescent="0.35">
      <c r="B67" s="16" t="s">
        <v>113</v>
      </c>
      <c r="C67" s="16" t="s">
        <v>114</v>
      </c>
      <c r="D67" s="17">
        <f>D65+D66</f>
        <v>0</v>
      </c>
      <c r="E67" s="17">
        <f>E65+E66</f>
        <v>0</v>
      </c>
      <c r="F67" s="17">
        <f>F65+F66</f>
        <v>0</v>
      </c>
      <c r="G67" s="17">
        <f>G65+G66</f>
        <v>0</v>
      </c>
      <c r="H67" s="24">
        <f>H65+H66</f>
        <v>0</v>
      </c>
    </row>
    <row r="68" spans="2:8" ht="16" customHeight="1" thickBot="1" x14ac:dyDescent="0.4">
      <c r="B68" s="11" t="s">
        <v>115</v>
      </c>
      <c r="C68" s="11" t="s">
        <v>22</v>
      </c>
      <c r="D68" s="12"/>
      <c r="E68" s="12"/>
      <c r="F68" s="12"/>
      <c r="G68" s="12"/>
      <c r="H68" s="22"/>
    </row>
    <row r="69" spans="2:8" ht="16" customHeight="1" thickBot="1" x14ac:dyDescent="0.4">
      <c r="B69" s="18" t="s">
        <v>116</v>
      </c>
      <c r="C69" s="18" t="s">
        <v>117</v>
      </c>
      <c r="D69" s="19">
        <f>-(-(D44+D63)-D67)</f>
        <v>1236.4421699999875</v>
      </c>
      <c r="E69" s="19">
        <f>-(-(E44+E63)-E67)</f>
        <v>113180.23431</v>
      </c>
      <c r="F69" s="19">
        <f>-(-(F44+F63)-F67)</f>
        <v>-114416.67648000023</v>
      </c>
      <c r="G69" s="19">
        <f>-(-(G44+G63)-G67)</f>
        <v>0</v>
      </c>
      <c r="H69" s="25">
        <f>-(-(H44+H63)-H67)</f>
        <v>0</v>
      </c>
    </row>
    <row r="70" spans="2:8" ht="16" customHeight="1" x14ac:dyDescent="0.35">
      <c r="B70" s="11" t="s">
        <v>118</v>
      </c>
      <c r="C70" s="11" t="s">
        <v>22</v>
      </c>
      <c r="D70" s="12"/>
      <c r="E70" s="12"/>
      <c r="F70" s="12"/>
      <c r="G70" s="12"/>
      <c r="H70" s="22"/>
    </row>
    <row r="71" spans="2:8" ht="16" customHeight="1" x14ac:dyDescent="0.35">
      <c r="B71" s="14" t="s">
        <v>119</v>
      </c>
      <c r="C71" s="14" t="s">
        <v>120</v>
      </c>
      <c r="D71" s="15">
        <v>-12731.96443</v>
      </c>
      <c r="E71" s="15">
        <v>-9352.1944700000004</v>
      </c>
      <c r="F71" s="15">
        <v>22084.158899999999</v>
      </c>
      <c r="G71" s="15"/>
      <c r="H71" s="23">
        <f>SUM(D71:G71)</f>
        <v>0</v>
      </c>
    </row>
    <row r="72" spans="2:8" ht="16" customHeight="1" x14ac:dyDescent="0.35">
      <c r="B72" s="14" t="s">
        <v>121</v>
      </c>
      <c r="C72" s="14" t="s">
        <v>64</v>
      </c>
      <c r="D72" s="15"/>
      <c r="E72" s="15"/>
      <c r="F72" s="15"/>
      <c r="G72" s="15"/>
      <c r="H72" s="23">
        <f>SUM(D72:G72)</f>
        <v>0</v>
      </c>
    </row>
    <row r="73" spans="2:8" ht="16" customHeight="1" x14ac:dyDescent="0.35">
      <c r="B73" s="14" t="s">
        <v>122</v>
      </c>
      <c r="C73" s="14" t="s">
        <v>123</v>
      </c>
      <c r="D73" s="15"/>
      <c r="E73" s="15"/>
      <c r="F73" s="15"/>
      <c r="G73" s="15"/>
      <c r="H73" s="23">
        <f>SUM(D73:G73)</f>
        <v>0</v>
      </c>
    </row>
    <row r="74" spans="2:8" ht="16" customHeight="1" thickBot="1" x14ac:dyDescent="0.4">
      <c r="B74" s="11" t="s">
        <v>124</v>
      </c>
      <c r="C74" s="11" t="s">
        <v>22</v>
      </c>
      <c r="D74" s="12"/>
      <c r="E74" s="12"/>
      <c r="F74" s="12"/>
      <c r="G74" s="12"/>
      <c r="H74" s="22"/>
    </row>
    <row r="75" spans="2:8" ht="16" customHeight="1" thickBot="1" x14ac:dyDescent="0.4">
      <c r="B75" s="18" t="s">
        <v>125</v>
      </c>
      <c r="C75" s="18" t="s">
        <v>126</v>
      </c>
      <c r="D75" s="19">
        <f>-(-(D69+D72)-D71-D73)</f>
        <v>-11495.522260000012</v>
      </c>
      <c r="E75" s="19">
        <f>-(-(E69+E72)-E71-E73)</f>
        <v>103828.03984</v>
      </c>
      <c r="F75" s="19">
        <f>-(-(F69+F72)-F71-F73)</f>
        <v>-92332.517580000233</v>
      </c>
      <c r="G75" s="19">
        <f>-(-(G69+G72)-G71-G73)</f>
        <v>0</v>
      </c>
      <c r="H75" s="25">
        <f>-(-(H69+H72)-H71-H73)</f>
        <v>0</v>
      </c>
    </row>
    <row r="76" spans="2:8" ht="16" customHeight="1" x14ac:dyDescent="0.35">
      <c r="B76" s="11" t="s">
        <v>127</v>
      </c>
      <c r="C76" s="11" t="s">
        <v>22</v>
      </c>
      <c r="D76" s="12"/>
      <c r="E76" s="12"/>
      <c r="F76" s="12"/>
      <c r="G76" s="12"/>
      <c r="H76" s="22"/>
    </row>
    <row r="77" spans="2:8" ht="16" customHeight="1" x14ac:dyDescent="0.35">
      <c r="B77" s="14" t="s">
        <v>128</v>
      </c>
      <c r="C77" s="14" t="s">
        <v>129</v>
      </c>
      <c r="D77" s="15">
        <v>-30008.424230000001</v>
      </c>
      <c r="E77" s="15">
        <v>-24712.670460000001</v>
      </c>
      <c r="F77" s="15">
        <v>54721.094689999998</v>
      </c>
      <c r="G77" s="15"/>
      <c r="H77" s="23">
        <f>SUM(D77:G77)</f>
        <v>0</v>
      </c>
    </row>
    <row r="78" spans="2:8" ht="16" customHeight="1" x14ac:dyDescent="0.35">
      <c r="B78" s="14" t="s">
        <v>130</v>
      </c>
      <c r="C78" s="14" t="s">
        <v>131</v>
      </c>
      <c r="D78" s="15">
        <v>-736.05</v>
      </c>
      <c r="E78" s="15">
        <v>-727.16399999999999</v>
      </c>
      <c r="F78" s="15">
        <v>1463.2139999999999</v>
      </c>
      <c r="G78" s="15"/>
      <c r="H78" s="23">
        <f>SUM(D78:G78)</f>
        <v>0</v>
      </c>
    </row>
    <row r="79" spans="2:8" ht="16" customHeight="1" x14ac:dyDescent="0.35">
      <c r="B79" s="14" t="s">
        <v>132</v>
      </c>
      <c r="C79" s="14" t="s">
        <v>133</v>
      </c>
      <c r="D79" s="15">
        <v>-1919.61382</v>
      </c>
      <c r="E79" s="15">
        <v>-1299.0818300000001</v>
      </c>
      <c r="F79" s="15">
        <v>3218.6956500000001</v>
      </c>
      <c r="G79" s="15"/>
      <c r="H79" s="23">
        <f>SUM(D79:G79)</f>
        <v>0</v>
      </c>
    </row>
    <row r="80" spans="2:8" ht="16" customHeight="1" x14ac:dyDescent="0.35">
      <c r="B80" s="14" t="s">
        <v>134</v>
      </c>
      <c r="C80" s="14" t="s">
        <v>135</v>
      </c>
      <c r="D80" s="15"/>
      <c r="E80" s="15"/>
      <c r="F80" s="15"/>
      <c r="G80" s="15"/>
      <c r="H80" s="23">
        <f>SUM(D80:G80)</f>
        <v>0</v>
      </c>
    </row>
    <row r="81" spans="2:8" ht="16" customHeight="1" thickBot="1" x14ac:dyDescent="0.4">
      <c r="B81" s="11" t="s">
        <v>136</v>
      </c>
      <c r="C81" s="11" t="s">
        <v>22</v>
      </c>
      <c r="D81" s="12"/>
      <c r="E81" s="12"/>
      <c r="F81" s="12"/>
      <c r="G81" s="12"/>
      <c r="H81" s="22"/>
    </row>
    <row r="82" spans="2:8" ht="16" customHeight="1" thickBot="1" x14ac:dyDescent="0.4">
      <c r="B82" s="18" t="s">
        <v>137</v>
      </c>
      <c r="C82" s="18" t="s">
        <v>138</v>
      </c>
      <c r="D82" s="19">
        <f>-(-(D75+D77)-D78-D79-D80)</f>
        <v>-44159.610310000018</v>
      </c>
      <c r="E82" s="19">
        <f>-(-(E75+E77)-E78-E79-E80)</f>
        <v>77089.123549999989</v>
      </c>
      <c r="F82" s="19">
        <f>-(-(F75+F77)-F78-F79-F80)</f>
        <v>-32929.513240000233</v>
      </c>
      <c r="G82" s="19">
        <f>-(-(G75+G77)-G78-G79-G80)</f>
        <v>0</v>
      </c>
      <c r="H82" s="25">
        <f>-(-(H75+H77)-H78-H79-H80)</f>
        <v>0</v>
      </c>
    </row>
    <row r="83" spans="2:8" ht="16" customHeight="1" x14ac:dyDescent="0.35">
      <c r="B83" s="11" t="s">
        <v>139</v>
      </c>
      <c r="C83" s="11" t="s">
        <v>22</v>
      </c>
      <c r="D83" s="12"/>
      <c r="E83" s="12"/>
      <c r="F83" s="12"/>
      <c r="G83" s="12"/>
      <c r="H83" s="22"/>
    </row>
    <row r="84" spans="2:8" ht="16" customHeight="1" x14ac:dyDescent="0.35">
      <c r="B84" s="14" t="s">
        <v>140</v>
      </c>
      <c r="C84" s="14" t="s">
        <v>141</v>
      </c>
      <c r="D84" s="15">
        <v>-1196.5968499999999</v>
      </c>
      <c r="E84" s="15">
        <v>-1335.1893700000001</v>
      </c>
      <c r="F84" s="15">
        <v>2531.78622</v>
      </c>
      <c r="G84" s="15"/>
      <c r="H84" s="23">
        <f>SUM(D84:G84)</f>
        <v>0</v>
      </c>
    </row>
    <row r="85" spans="2:8" ht="16" customHeight="1" x14ac:dyDescent="0.35">
      <c r="B85" s="14" t="s">
        <v>142</v>
      </c>
      <c r="C85" s="14" t="s">
        <v>143</v>
      </c>
      <c r="D85" s="15">
        <v>-1675.8263400000001</v>
      </c>
      <c r="E85" s="15">
        <v>-629.02787999999998</v>
      </c>
      <c r="F85" s="15">
        <v>2304.8542200000002</v>
      </c>
      <c r="G85" s="15"/>
      <c r="H85" s="23">
        <f>SUM(D85:G85)</f>
        <v>0</v>
      </c>
    </row>
    <row r="86" spans="2:8" ht="16" customHeight="1" x14ac:dyDescent="0.35">
      <c r="B86" s="14" t="s">
        <v>144</v>
      </c>
      <c r="C86" s="14" t="s">
        <v>145</v>
      </c>
      <c r="D86" s="15"/>
      <c r="E86" s="15"/>
      <c r="F86" s="15"/>
      <c r="G86" s="15"/>
      <c r="H86" s="23">
        <f>SUM(D86:G86)</f>
        <v>0</v>
      </c>
    </row>
    <row r="87" spans="2:8" ht="16" customHeight="1" x14ac:dyDescent="0.35">
      <c r="B87" s="14" t="s">
        <v>146</v>
      </c>
      <c r="C87" s="14" t="s">
        <v>147</v>
      </c>
      <c r="D87" s="15">
        <v>-1457.4298899999999</v>
      </c>
      <c r="E87" s="15">
        <v>-1995.85502</v>
      </c>
      <c r="F87" s="15">
        <v>3453.2849099999999</v>
      </c>
      <c r="G87" s="15"/>
      <c r="H87" s="23">
        <f>SUM(D87:G87)</f>
        <v>0</v>
      </c>
    </row>
    <row r="88" spans="2:8" ht="16" customHeight="1" x14ac:dyDescent="0.35">
      <c r="B88" s="14" t="s">
        <v>148</v>
      </c>
      <c r="C88" s="14" t="s">
        <v>149</v>
      </c>
      <c r="D88" s="15"/>
      <c r="E88" s="15"/>
      <c r="F88" s="15"/>
      <c r="G88" s="15"/>
      <c r="H88" s="23">
        <f>SUM(D88:G88)</f>
        <v>0</v>
      </c>
    </row>
    <row r="89" spans="2:8" ht="16" customHeight="1" x14ac:dyDescent="0.35">
      <c r="B89" s="16" t="s">
        <v>150</v>
      </c>
      <c r="C89" s="16" t="s">
        <v>151</v>
      </c>
      <c r="D89" s="17">
        <f>-(-(D84+D85)-D86-D87-D88)</f>
        <v>-4329.8530799999999</v>
      </c>
      <c r="E89" s="17">
        <f>-(-(E84+E85)-E86-E87-E88)</f>
        <v>-3960.0722700000001</v>
      </c>
      <c r="F89" s="17">
        <f>-(-(F84+F85)-F86-F87-F88)</f>
        <v>8289.9253499999995</v>
      </c>
      <c r="G89" s="17">
        <f>-(-(G84+G85)-G86-G87-G88)</f>
        <v>0</v>
      </c>
      <c r="H89" s="24">
        <f>-(-(H84+H85)-H86-H87-H88)</f>
        <v>0</v>
      </c>
    </row>
    <row r="90" spans="2:8" ht="16" customHeight="1" x14ac:dyDescent="0.35">
      <c r="B90" s="11" t="s">
        <v>152</v>
      </c>
      <c r="C90" s="11" t="s">
        <v>22</v>
      </c>
      <c r="D90" s="12"/>
      <c r="E90" s="12"/>
      <c r="F90" s="12"/>
      <c r="G90" s="12"/>
      <c r="H90" s="22"/>
    </row>
    <row r="91" spans="2:8" ht="16" customHeight="1" x14ac:dyDescent="0.35">
      <c r="B91" s="14" t="s">
        <v>153</v>
      </c>
      <c r="C91" s="14" t="s">
        <v>154</v>
      </c>
      <c r="D91" s="15"/>
      <c r="E91" s="15"/>
      <c r="F91" s="15"/>
      <c r="G91" s="15"/>
      <c r="H91" s="23">
        <f>SUM(D91:G91)</f>
        <v>0</v>
      </c>
    </row>
    <row r="92" spans="2:8" ht="16" customHeight="1" x14ac:dyDescent="0.35">
      <c r="B92" s="14" t="s">
        <v>155</v>
      </c>
      <c r="C92" s="14" t="s">
        <v>156</v>
      </c>
      <c r="D92" s="15"/>
      <c r="E92" s="15"/>
      <c r="F92" s="15"/>
      <c r="G92" s="15"/>
      <c r="H92" s="23">
        <f>SUM(D92:G92)</f>
        <v>0</v>
      </c>
    </row>
    <row r="93" spans="2:8" ht="16" customHeight="1" x14ac:dyDescent="0.35">
      <c r="B93" s="14" t="s">
        <v>157</v>
      </c>
      <c r="C93" s="14" t="s">
        <v>158</v>
      </c>
      <c r="D93" s="15"/>
      <c r="E93" s="15"/>
      <c r="F93" s="15"/>
      <c r="G93" s="15"/>
      <c r="H93" s="23">
        <f>SUM(D93:G93)</f>
        <v>0</v>
      </c>
    </row>
    <row r="94" spans="2:8" ht="16" customHeight="1" x14ac:dyDescent="0.35">
      <c r="B94" s="14" t="s">
        <v>159</v>
      </c>
      <c r="C94" s="14" t="s">
        <v>160</v>
      </c>
      <c r="D94" s="15"/>
      <c r="E94" s="15"/>
      <c r="F94" s="15"/>
      <c r="G94" s="15"/>
      <c r="H94" s="23">
        <f>SUM(D94:G94)</f>
        <v>0</v>
      </c>
    </row>
    <row r="95" spans="2:8" ht="16" customHeight="1" x14ac:dyDescent="0.35">
      <c r="B95" s="14" t="s">
        <v>161</v>
      </c>
      <c r="C95" s="14" t="s">
        <v>162</v>
      </c>
      <c r="D95" s="15"/>
      <c r="E95" s="15"/>
      <c r="F95" s="15"/>
      <c r="G95" s="15"/>
      <c r="H95" s="23">
        <f>SUM(D95:G95)</f>
        <v>0</v>
      </c>
    </row>
    <row r="96" spans="2:8" ht="16" customHeight="1" x14ac:dyDescent="0.35">
      <c r="B96" s="16" t="s">
        <v>163</v>
      </c>
      <c r="C96" s="16" t="s">
        <v>164</v>
      </c>
      <c r="D96" s="17">
        <f>-(-(D91+D92)-D93-D94-D95)</f>
        <v>0</v>
      </c>
      <c r="E96" s="17">
        <f>-(-(E91+E92)-E93-E94-E95)</f>
        <v>0</v>
      </c>
      <c r="F96" s="17">
        <f>-(-(F91+F92)-F93-F94-F95)</f>
        <v>0</v>
      </c>
      <c r="G96" s="17">
        <f>-(-(G91+G92)-G93-G94-G95)</f>
        <v>0</v>
      </c>
      <c r="H96" s="24">
        <f>-(-(H91+H92)-H93-H94-H95)</f>
        <v>0</v>
      </c>
    </row>
    <row r="97" spans="2:8" ht="16" customHeight="1" x14ac:dyDescent="0.35">
      <c r="B97" s="11" t="s">
        <v>165</v>
      </c>
      <c r="C97" s="11" t="s">
        <v>22</v>
      </c>
      <c r="D97" s="12"/>
      <c r="E97" s="12"/>
      <c r="F97" s="12"/>
      <c r="G97" s="12"/>
      <c r="H97" s="22"/>
    </row>
    <row r="98" spans="2:8" ht="16" customHeight="1" x14ac:dyDescent="0.35">
      <c r="B98" s="14" t="s">
        <v>166</v>
      </c>
      <c r="C98" s="14" t="s">
        <v>167</v>
      </c>
      <c r="D98" s="15"/>
      <c r="E98" s="15"/>
      <c r="F98" s="15"/>
      <c r="G98" s="15"/>
      <c r="H98" s="23">
        <f>SUM(D98:G98)</f>
        <v>0</v>
      </c>
    </row>
    <row r="99" spans="2:8" ht="16" customHeight="1" thickBot="1" x14ac:dyDescent="0.4">
      <c r="B99" s="11" t="s">
        <v>168</v>
      </c>
      <c r="C99" s="11" t="s">
        <v>22</v>
      </c>
      <c r="D99" s="12"/>
      <c r="E99" s="12"/>
      <c r="F99" s="12"/>
      <c r="G99" s="12"/>
      <c r="H99" s="22"/>
    </row>
    <row r="100" spans="2:8" ht="16" customHeight="1" thickBot="1" x14ac:dyDescent="0.4">
      <c r="B100" s="18" t="s">
        <v>169</v>
      </c>
      <c r="C100" s="18" t="s">
        <v>170</v>
      </c>
      <c r="D100" s="19">
        <f>-(-(D82+D89)-D96-D98)</f>
        <v>-48489.463390000019</v>
      </c>
      <c r="E100" s="19">
        <f>-(-(E82+E89)-E96-E98)</f>
        <v>73129.051279999985</v>
      </c>
      <c r="F100" s="19">
        <f>-(-(F82+F89)-F96-F98)</f>
        <v>-24639.587890000235</v>
      </c>
      <c r="G100" s="19">
        <f>-(-(G82+G89)-G96-G98)</f>
        <v>0</v>
      </c>
      <c r="H100" s="25">
        <f>-(-(H82+H89)-H96-H98)</f>
        <v>0</v>
      </c>
    </row>
    <row r="101" spans="2:8" ht="16" customHeight="1" x14ac:dyDescent="0.35">
      <c r="B101" s="11" t="s">
        <v>171</v>
      </c>
      <c r="C101" s="11" t="s">
        <v>22</v>
      </c>
      <c r="D101" s="12"/>
      <c r="E101" s="12"/>
      <c r="F101" s="12"/>
      <c r="G101" s="12"/>
      <c r="H101" s="22"/>
    </row>
    <row r="102" spans="2:8" ht="16" customHeight="1" x14ac:dyDescent="0.35">
      <c r="B102" s="14" t="s">
        <v>172</v>
      </c>
      <c r="C102" s="14" t="s">
        <v>173</v>
      </c>
      <c r="D102" s="15"/>
      <c r="E102" s="15"/>
      <c r="F102" s="15"/>
      <c r="G102" s="15"/>
      <c r="H102" s="23">
        <f>SUM(D102:G102)</f>
        <v>0</v>
      </c>
    </row>
    <row r="103" spans="2:8" ht="16" customHeight="1" x14ac:dyDescent="0.35">
      <c r="B103" s="14" t="s">
        <v>174</v>
      </c>
      <c r="C103" s="14" t="s">
        <v>175</v>
      </c>
      <c r="D103" s="15"/>
      <c r="E103" s="15"/>
      <c r="F103" s="15"/>
      <c r="G103" s="15"/>
      <c r="H103" s="23">
        <f>SUM(D103:G103)</f>
        <v>0</v>
      </c>
    </row>
    <row r="104" spans="2:8" ht="16" customHeight="1" x14ac:dyDescent="0.35">
      <c r="B104" s="14" t="s">
        <v>176</v>
      </c>
      <c r="C104" s="14" t="s">
        <v>177</v>
      </c>
      <c r="D104" s="15"/>
      <c r="E104" s="15"/>
      <c r="F104" s="15"/>
      <c r="G104" s="15"/>
      <c r="H104" s="23">
        <f>SUM(D104:G104)</f>
        <v>0</v>
      </c>
    </row>
    <row r="105" spans="2:8" ht="16" customHeight="1" x14ac:dyDescent="0.35">
      <c r="B105" s="14" t="s">
        <v>178</v>
      </c>
      <c r="C105" s="14" t="s">
        <v>179</v>
      </c>
      <c r="D105" s="15"/>
      <c r="E105" s="15"/>
      <c r="F105" s="15"/>
      <c r="G105" s="15"/>
      <c r="H105" s="23">
        <f>SUM(D105:G105)</f>
        <v>0</v>
      </c>
    </row>
    <row r="106" spans="2:8" ht="16" customHeight="1" x14ac:dyDescent="0.35">
      <c r="B106" s="16" t="s">
        <v>180</v>
      </c>
      <c r="C106" s="16" t="s">
        <v>181</v>
      </c>
      <c r="D106" s="17">
        <f>-(-(D102+D103)-D104-D105)</f>
        <v>0</v>
      </c>
      <c r="E106" s="17">
        <f>-(-(E102+E103)-E104-E105)</f>
        <v>0</v>
      </c>
      <c r="F106" s="17">
        <f>-(-(F102+F103)-F104-F105)</f>
        <v>0</v>
      </c>
      <c r="G106" s="17">
        <f>-(-(G102+G103)-G104-G105)</f>
        <v>0</v>
      </c>
      <c r="H106" s="24">
        <f>-(-(H102+H103)-H104-H105)</f>
        <v>0</v>
      </c>
    </row>
    <row r="107" spans="2:8" ht="16" customHeight="1" x14ac:dyDescent="0.35">
      <c r="B107" s="11" t="s">
        <v>182</v>
      </c>
      <c r="C107" s="11" t="s">
        <v>22</v>
      </c>
      <c r="D107" s="12"/>
      <c r="E107" s="12"/>
      <c r="F107" s="12"/>
      <c r="G107" s="12"/>
      <c r="H107" s="22"/>
    </row>
    <row r="108" spans="2:8" ht="16" customHeight="1" x14ac:dyDescent="0.35">
      <c r="B108" s="14" t="s">
        <v>183</v>
      </c>
      <c r="C108" s="14" t="s">
        <v>184</v>
      </c>
      <c r="D108" s="15"/>
      <c r="E108" s="15"/>
      <c r="F108" s="15"/>
      <c r="G108" s="15"/>
      <c r="H108" s="23">
        <f>SUM(D108:G108)</f>
        <v>0</v>
      </c>
    </row>
    <row r="109" spans="2:8" ht="16" customHeight="1" x14ac:dyDescent="0.35">
      <c r="B109" s="14" t="s">
        <v>185</v>
      </c>
      <c r="C109" s="14" t="s">
        <v>186</v>
      </c>
      <c r="D109" s="15"/>
      <c r="E109" s="15"/>
      <c r="F109" s="15"/>
      <c r="G109" s="15"/>
      <c r="H109" s="23">
        <f>SUM(D109:G109)</f>
        <v>0</v>
      </c>
    </row>
    <row r="110" spans="2:8" ht="16" customHeight="1" x14ac:dyDescent="0.35">
      <c r="B110" s="14" t="s">
        <v>187</v>
      </c>
      <c r="C110" s="14" t="s">
        <v>188</v>
      </c>
      <c r="D110" s="15">
        <v>0.91951000000000005</v>
      </c>
      <c r="E110" s="15">
        <v>2.9629500000000002</v>
      </c>
      <c r="F110" s="15">
        <v>-3.88246</v>
      </c>
      <c r="G110" s="15"/>
      <c r="H110" s="23">
        <f>SUM(D110:G110)</f>
        <v>0</v>
      </c>
    </row>
    <row r="111" spans="2:8" ht="16" customHeight="1" x14ac:dyDescent="0.35">
      <c r="B111" s="14" t="s">
        <v>189</v>
      </c>
      <c r="C111" s="14" t="s">
        <v>190</v>
      </c>
      <c r="D111" s="15"/>
      <c r="E111" s="15"/>
      <c r="F111" s="15"/>
      <c r="G111" s="15"/>
      <c r="H111" s="23">
        <f>SUM(D111:G111)</f>
        <v>0</v>
      </c>
    </row>
    <row r="112" spans="2:8" ht="16" customHeight="1" x14ac:dyDescent="0.35">
      <c r="B112" s="16" t="s">
        <v>191</v>
      </c>
      <c r="C112" s="16" t="s">
        <v>192</v>
      </c>
      <c r="D112" s="17">
        <f>-(-(D108+D109)-D110-D111)</f>
        <v>0.91951000000000005</v>
      </c>
      <c r="E112" s="17">
        <f>-(-(E108+E109)-E110-E111)</f>
        <v>2.9629500000000002</v>
      </c>
      <c r="F112" s="17">
        <f>-(-(F108+F109)-F110-F111)</f>
        <v>-3.88246</v>
      </c>
      <c r="G112" s="17">
        <f>-(-(G108+G109)-G110-G111)</f>
        <v>0</v>
      </c>
      <c r="H112" s="24">
        <f>-(-(H108+H109)-H110-H111)</f>
        <v>0</v>
      </c>
    </row>
    <row r="113" spans="2:8" ht="16" customHeight="1" x14ac:dyDescent="0.35">
      <c r="B113" s="11" t="s">
        <v>193</v>
      </c>
      <c r="C113" s="11" t="s">
        <v>22</v>
      </c>
      <c r="D113" s="12"/>
      <c r="E113" s="12"/>
      <c r="F113" s="12"/>
      <c r="G113" s="12"/>
      <c r="H113" s="22"/>
    </row>
    <row r="114" spans="2:8" ht="16" customHeight="1" x14ac:dyDescent="0.35">
      <c r="B114" s="14" t="s">
        <v>194</v>
      </c>
      <c r="C114" s="14" t="s">
        <v>195</v>
      </c>
      <c r="D114" s="15">
        <v>-4748.3420400000005</v>
      </c>
      <c r="E114" s="15">
        <v>383.37448000000001</v>
      </c>
      <c r="F114" s="15">
        <v>4364.96756</v>
      </c>
      <c r="G114" s="15"/>
      <c r="H114" s="23">
        <f>SUM(D114:G114)</f>
        <v>0</v>
      </c>
    </row>
    <row r="115" spans="2:8" ht="16" customHeight="1" x14ac:dyDescent="0.35">
      <c r="B115" s="14" t="s">
        <v>196</v>
      </c>
      <c r="C115" s="14" t="s">
        <v>197</v>
      </c>
      <c r="D115" s="15"/>
      <c r="E115" s="15"/>
      <c r="F115" s="15"/>
      <c r="G115" s="15"/>
      <c r="H115" s="23">
        <f>SUM(D115:G115)</f>
        <v>0</v>
      </c>
    </row>
    <row r="116" spans="2:8" ht="16" customHeight="1" x14ac:dyDescent="0.35">
      <c r="B116" s="14" t="s">
        <v>198</v>
      </c>
      <c r="C116" s="14" t="s">
        <v>199</v>
      </c>
      <c r="D116" s="15">
        <v>-3591.8939799999998</v>
      </c>
      <c r="E116" s="15">
        <v>-2328.3426100000001</v>
      </c>
      <c r="F116" s="15">
        <v>5920.2365900000004</v>
      </c>
      <c r="G116" s="15"/>
      <c r="H116" s="23">
        <f>SUM(D116:G116)</f>
        <v>0</v>
      </c>
    </row>
    <row r="117" spans="2:8" ht="16" customHeight="1" x14ac:dyDescent="0.35">
      <c r="B117" s="14" t="s">
        <v>200</v>
      </c>
      <c r="C117" s="14" t="s">
        <v>201</v>
      </c>
      <c r="D117" s="15"/>
      <c r="E117" s="15"/>
      <c r="F117" s="15"/>
      <c r="G117" s="15"/>
      <c r="H117" s="23">
        <f>SUM(D117:G117)</f>
        <v>0</v>
      </c>
    </row>
    <row r="118" spans="2:8" ht="16" customHeight="1" x14ac:dyDescent="0.35">
      <c r="B118" s="14" t="s">
        <v>202</v>
      </c>
      <c r="C118" s="14" t="s">
        <v>203</v>
      </c>
      <c r="D118" s="15">
        <v>-73.163200000000003</v>
      </c>
      <c r="E118" s="15">
        <v>-1.83483</v>
      </c>
      <c r="F118" s="15">
        <v>74.99803</v>
      </c>
      <c r="G118" s="15"/>
      <c r="H118" s="23">
        <f>SUM(D118:G118)</f>
        <v>0</v>
      </c>
    </row>
    <row r="119" spans="2:8" ht="16" customHeight="1" x14ac:dyDescent="0.35">
      <c r="B119" s="16" t="s">
        <v>204</v>
      </c>
      <c r="C119" s="16" t="s">
        <v>205</v>
      </c>
      <c r="D119" s="17">
        <f>-(-(D114+D115)-D116-D117-D118)</f>
        <v>-8413.3992200000012</v>
      </c>
      <c r="E119" s="17">
        <f>-(-(E114+E115)-E116-E117-E118)</f>
        <v>-1946.8029600000002</v>
      </c>
      <c r="F119" s="17">
        <f>-(-(F114+F115)-F116-F117-F118)</f>
        <v>10360.202180000002</v>
      </c>
      <c r="G119" s="17">
        <f>-(-(G114+G115)-G116-G117-G118)</f>
        <v>0</v>
      </c>
      <c r="H119" s="24">
        <f>-(-(H114+H115)-H116-H117-H118)</f>
        <v>0</v>
      </c>
    </row>
    <row r="120" spans="2:8" ht="16" customHeight="1" thickBot="1" x14ac:dyDescent="0.4">
      <c r="B120" s="11" t="s">
        <v>206</v>
      </c>
      <c r="C120" s="11" t="s">
        <v>22</v>
      </c>
      <c r="D120" s="12"/>
      <c r="E120" s="12"/>
      <c r="F120" s="12"/>
      <c r="G120" s="12"/>
      <c r="H120" s="22"/>
    </row>
    <row r="121" spans="2:8" ht="16" customHeight="1" thickBot="1" x14ac:dyDescent="0.4">
      <c r="B121" s="18" t="s">
        <v>207</v>
      </c>
      <c r="C121" s="18" t="s">
        <v>208</v>
      </c>
      <c r="D121" s="19">
        <f>D112+D119</f>
        <v>-8412.4797100000014</v>
      </c>
      <c r="E121" s="19">
        <f>E112+E119</f>
        <v>-1943.8400100000001</v>
      </c>
      <c r="F121" s="19">
        <f>F112+F119</f>
        <v>10356.319720000001</v>
      </c>
      <c r="G121" s="19">
        <f>G112+G119</f>
        <v>0</v>
      </c>
      <c r="H121" s="25">
        <f>H112+H119</f>
        <v>0</v>
      </c>
    </row>
    <row r="122" spans="2:8" ht="16" customHeight="1" x14ac:dyDescent="0.35">
      <c r="B122" s="11" t="s">
        <v>209</v>
      </c>
      <c r="C122" s="11" t="s">
        <v>22</v>
      </c>
      <c r="D122" s="12"/>
      <c r="E122" s="12"/>
      <c r="F122" s="12"/>
      <c r="G122" s="12"/>
      <c r="H122" s="22"/>
    </row>
    <row r="123" spans="2:8" ht="16" customHeight="1" x14ac:dyDescent="0.35">
      <c r="B123" s="14" t="s">
        <v>210</v>
      </c>
      <c r="C123" s="14" t="s">
        <v>211</v>
      </c>
      <c r="D123" s="15">
        <v>-24232.031139999999</v>
      </c>
      <c r="E123" s="15">
        <v>-555.80146000000002</v>
      </c>
      <c r="F123" s="15">
        <v>24787.832600000002</v>
      </c>
      <c r="G123" s="15"/>
      <c r="H123" s="23">
        <f t="shared" ref="H123:H130" si="4">SUM(D123:G123)</f>
        <v>0</v>
      </c>
    </row>
    <row r="124" spans="2:8" ht="16" customHeight="1" x14ac:dyDescent="0.35">
      <c r="B124" s="14" t="s">
        <v>212</v>
      </c>
      <c r="C124" s="14" t="s">
        <v>213</v>
      </c>
      <c r="D124" s="15"/>
      <c r="E124" s="15"/>
      <c r="F124" s="15"/>
      <c r="G124" s="15"/>
      <c r="H124" s="23">
        <f t="shared" si="4"/>
        <v>0</v>
      </c>
    </row>
    <row r="125" spans="2:8" ht="16" customHeight="1" x14ac:dyDescent="0.35">
      <c r="B125" s="14" t="s">
        <v>214</v>
      </c>
      <c r="C125" s="14" t="s">
        <v>215</v>
      </c>
      <c r="D125" s="15"/>
      <c r="E125" s="15"/>
      <c r="F125" s="15"/>
      <c r="G125" s="15"/>
      <c r="H125" s="23">
        <f t="shared" si="4"/>
        <v>0</v>
      </c>
    </row>
    <row r="126" spans="2:8" ht="16" customHeight="1" x14ac:dyDescent="0.35">
      <c r="B126" s="14" t="s">
        <v>216</v>
      </c>
      <c r="C126" s="14" t="s">
        <v>217</v>
      </c>
      <c r="D126" s="15"/>
      <c r="E126" s="15"/>
      <c r="F126" s="15"/>
      <c r="G126" s="15"/>
      <c r="H126" s="23">
        <f t="shared" si="4"/>
        <v>0</v>
      </c>
    </row>
    <row r="127" spans="2:8" ht="16" customHeight="1" x14ac:dyDescent="0.35">
      <c r="B127" s="14" t="s">
        <v>218</v>
      </c>
      <c r="C127" s="14" t="s">
        <v>219</v>
      </c>
      <c r="D127" s="15"/>
      <c r="E127" s="15"/>
      <c r="F127" s="15"/>
      <c r="G127" s="15"/>
      <c r="H127" s="23">
        <f t="shared" si="4"/>
        <v>0</v>
      </c>
    </row>
    <row r="128" spans="2:8" ht="16" customHeight="1" x14ac:dyDescent="0.35">
      <c r="B128" s="14" t="s">
        <v>220</v>
      </c>
      <c r="C128" s="14" t="s">
        <v>221</v>
      </c>
      <c r="D128" s="15"/>
      <c r="E128" s="15"/>
      <c r="F128" s="15"/>
      <c r="G128" s="15"/>
      <c r="H128" s="23">
        <f t="shared" si="4"/>
        <v>0</v>
      </c>
    </row>
    <row r="129" spans="2:8" ht="16" customHeight="1" x14ac:dyDescent="0.35">
      <c r="B129" s="14" t="s">
        <v>222</v>
      </c>
      <c r="C129" s="14" t="s">
        <v>223</v>
      </c>
      <c r="D129" s="15">
        <v>0</v>
      </c>
      <c r="E129" s="15">
        <v>0</v>
      </c>
      <c r="F129" s="15">
        <v>0</v>
      </c>
      <c r="G129" s="15"/>
      <c r="H129" s="23">
        <f t="shared" si="4"/>
        <v>0</v>
      </c>
    </row>
    <row r="130" spans="2:8" ht="16" customHeight="1" x14ac:dyDescent="0.35">
      <c r="B130" s="14" t="s">
        <v>224</v>
      </c>
      <c r="C130" s="14" t="s">
        <v>225</v>
      </c>
      <c r="D130" s="15">
        <v>0</v>
      </c>
      <c r="E130" s="15">
        <v>0</v>
      </c>
      <c r="F130" s="15">
        <v>0</v>
      </c>
      <c r="G130" s="15"/>
      <c r="H130" s="23">
        <f t="shared" si="4"/>
        <v>0</v>
      </c>
    </row>
    <row r="131" spans="2:8" ht="16" customHeight="1" x14ac:dyDescent="0.35">
      <c r="B131" s="16" t="s">
        <v>226</v>
      </c>
      <c r="C131" s="16" t="s">
        <v>227</v>
      </c>
      <c r="D131" s="17">
        <f>-(-(D123+D124)-D125-D126-D127-D128-D129-D130)</f>
        <v>-24232.031139999999</v>
      </c>
      <c r="E131" s="17">
        <f>-(-(E123+E124)-E125-E126-E127-E128-E129-E130)</f>
        <v>-555.80146000000002</v>
      </c>
      <c r="F131" s="17">
        <f>-(-(F123+F124)-F125-F126-F127-F128-F129-F130)</f>
        <v>24787.832600000002</v>
      </c>
      <c r="G131" s="17">
        <f>-(-(G123+G124)-G125-G126-G127-G128-G129-G130)</f>
        <v>0</v>
      </c>
      <c r="H131" s="24">
        <f>-(-(H123+H124)-H125-H126-H127-H128-H129-H130)</f>
        <v>0</v>
      </c>
    </row>
    <row r="132" spans="2:8" ht="16" customHeight="1" thickBot="1" x14ac:dyDescent="0.4">
      <c r="B132" s="11" t="s">
        <v>228</v>
      </c>
      <c r="C132" s="11" t="s">
        <v>22</v>
      </c>
      <c r="D132" s="12"/>
      <c r="E132" s="12"/>
      <c r="F132" s="12"/>
      <c r="G132" s="12"/>
      <c r="H132" s="22"/>
    </row>
    <row r="133" spans="2:8" ht="16" customHeight="1" thickBot="1" x14ac:dyDescent="0.4">
      <c r="B133" s="18" t="s">
        <v>229</v>
      </c>
      <c r="C133" s="18" t="s">
        <v>230</v>
      </c>
      <c r="D133" s="19">
        <f>-(-(D106+D121)-D131)</f>
        <v>-32644.510849999999</v>
      </c>
      <c r="E133" s="19">
        <f>-(-(E106+E121)-E131)</f>
        <v>-2499.64147</v>
      </c>
      <c r="F133" s="19">
        <f>-(-(F106+F121)-F131)</f>
        <v>35144.152320000001</v>
      </c>
      <c r="G133" s="19">
        <f>-(-(G106+G121)-G131)</f>
        <v>0</v>
      </c>
      <c r="H133" s="25">
        <f>-(-(H106+H121)-H131)</f>
        <v>0</v>
      </c>
    </row>
    <row r="134" spans="2:8" ht="16" customHeight="1" thickBot="1" x14ac:dyDescent="0.4">
      <c r="B134" s="11" t="s">
        <v>231</v>
      </c>
      <c r="C134" s="11" t="s">
        <v>22</v>
      </c>
      <c r="D134" s="12"/>
      <c r="E134" s="12"/>
      <c r="F134" s="12"/>
      <c r="G134" s="12"/>
      <c r="H134" s="22"/>
    </row>
    <row r="135" spans="2:8" ht="16" customHeight="1" thickBot="1" x14ac:dyDescent="0.4">
      <c r="B135" s="18" t="s">
        <v>232</v>
      </c>
      <c r="C135" s="18" t="s">
        <v>233</v>
      </c>
      <c r="D135" s="19">
        <f>D100+D133</f>
        <v>-81133.97424000001</v>
      </c>
      <c r="E135" s="19">
        <f>E100+E133</f>
        <v>70629.409809999983</v>
      </c>
      <c r="F135" s="19">
        <f>F100+F133</f>
        <v>10504.564429999766</v>
      </c>
      <c r="G135" s="19">
        <f>G100+G133</f>
        <v>0</v>
      </c>
      <c r="H135" s="25">
        <f>H100+H133</f>
        <v>0</v>
      </c>
    </row>
    <row r="136" spans="2:8" ht="16" customHeight="1" x14ac:dyDescent="0.35">
      <c r="B136" s="11" t="s">
        <v>234</v>
      </c>
      <c r="C136" s="11" t="s">
        <v>22</v>
      </c>
      <c r="D136" s="12"/>
      <c r="E136" s="12"/>
      <c r="F136" s="12"/>
      <c r="G136" s="12"/>
      <c r="H136" s="22"/>
    </row>
    <row r="137" spans="2:8" ht="16" customHeight="1" x14ac:dyDescent="0.35">
      <c r="B137" s="14" t="s">
        <v>235</v>
      </c>
      <c r="C137" s="14" t="s">
        <v>236</v>
      </c>
      <c r="D137" s="15"/>
      <c r="E137" s="15"/>
      <c r="F137" s="15"/>
      <c r="G137" s="15"/>
      <c r="H137" s="23">
        <f>SUM(D137:G137)</f>
        <v>0</v>
      </c>
    </row>
    <row r="138" spans="2:8" ht="16" customHeight="1" x14ac:dyDescent="0.35">
      <c r="B138" s="14" t="s">
        <v>237</v>
      </c>
      <c r="C138" s="14" t="s">
        <v>238</v>
      </c>
      <c r="D138" s="15"/>
      <c r="E138" s="15"/>
      <c r="F138" s="15"/>
      <c r="G138" s="15"/>
      <c r="H138" s="23">
        <f>SUM(D138:G138)</f>
        <v>0</v>
      </c>
    </row>
    <row r="139" spans="2:8" ht="16" customHeight="1" x14ac:dyDescent="0.35">
      <c r="B139" s="14" t="s">
        <v>239</v>
      </c>
      <c r="C139" s="14" t="s">
        <v>240</v>
      </c>
      <c r="D139" s="15"/>
      <c r="E139" s="15"/>
      <c r="F139" s="15"/>
      <c r="G139" s="15"/>
      <c r="H139" s="23">
        <f>SUM(D139:G139)</f>
        <v>0</v>
      </c>
    </row>
    <row r="140" spans="2:8" ht="16" customHeight="1" x14ac:dyDescent="0.35">
      <c r="B140" s="14" t="s">
        <v>241</v>
      </c>
      <c r="C140" s="14" t="s">
        <v>242</v>
      </c>
      <c r="D140" s="15"/>
      <c r="E140" s="15"/>
      <c r="F140" s="15"/>
      <c r="G140" s="15"/>
      <c r="H140" s="23">
        <f>SUM(D140:G140)</f>
        <v>0</v>
      </c>
    </row>
    <row r="141" spans="2:8" ht="16" customHeight="1" x14ac:dyDescent="0.35">
      <c r="B141" s="16" t="s">
        <v>243</v>
      </c>
      <c r="C141" s="16" t="s">
        <v>244</v>
      </c>
      <c r="D141" s="17">
        <f>-(-(D137+D138)-D139-D140)</f>
        <v>0</v>
      </c>
      <c r="E141" s="17">
        <f>-(-(E137+E138)-E139-E140)</f>
        <v>0</v>
      </c>
      <c r="F141" s="17">
        <f>-(-(F137+F138)-F139-F140)</f>
        <v>0</v>
      </c>
      <c r="G141" s="17">
        <f>-(-(G137+G138)-G139-G140)</f>
        <v>0</v>
      </c>
      <c r="H141" s="24">
        <f>-(-(H137+H138)-H139-H140)</f>
        <v>0</v>
      </c>
    </row>
    <row r="142" spans="2:8" ht="16" customHeight="1" thickBot="1" x14ac:dyDescent="0.4">
      <c r="B142" s="11" t="s">
        <v>245</v>
      </c>
      <c r="C142" s="11" t="s">
        <v>22</v>
      </c>
      <c r="D142" s="12"/>
      <c r="E142" s="12"/>
      <c r="F142" s="12"/>
      <c r="G142" s="12"/>
      <c r="H142" s="22"/>
    </row>
    <row r="143" spans="2:8" ht="16" customHeight="1" thickBot="1" x14ac:dyDescent="0.4">
      <c r="B143" s="18" t="s">
        <v>246</v>
      </c>
      <c r="C143" s="18" t="s">
        <v>247</v>
      </c>
      <c r="D143" s="19">
        <f>D135+D141</f>
        <v>-81133.97424000001</v>
      </c>
      <c r="E143" s="19">
        <f>E135+E141</f>
        <v>70629.409809999983</v>
      </c>
      <c r="F143" s="19">
        <f>F135+F141</f>
        <v>10504.564429999766</v>
      </c>
      <c r="G143" s="19">
        <f>G135+G141</f>
        <v>0</v>
      </c>
      <c r="H143" s="25">
        <f>H135+H141</f>
        <v>0</v>
      </c>
    </row>
    <row r="144" spans="2:8" ht="16" customHeight="1" x14ac:dyDescent="0.35">
      <c r="B144" s="11" t="s">
        <v>248</v>
      </c>
      <c r="C144" s="11" t="s">
        <v>22</v>
      </c>
      <c r="D144" s="12"/>
      <c r="E144" s="12"/>
      <c r="F144" s="12"/>
      <c r="G144" s="12"/>
      <c r="H144" s="22"/>
    </row>
    <row r="145" spans="2:8" ht="16" customHeight="1" x14ac:dyDescent="0.35">
      <c r="B145" s="14" t="s">
        <v>249</v>
      </c>
      <c r="C145" s="14" t="s">
        <v>250</v>
      </c>
      <c r="D145" s="15">
        <v>16527.744999999999</v>
      </c>
      <c r="E145" s="15">
        <v>-3679.4773300000002</v>
      </c>
      <c r="F145" s="15">
        <v>-12848.267669999999</v>
      </c>
      <c r="G145" s="15"/>
      <c r="H145" s="23">
        <f>SUM(D145:G145)</f>
        <v>0</v>
      </c>
    </row>
    <row r="146" spans="2:8" ht="16" customHeight="1" x14ac:dyDescent="0.35">
      <c r="B146" s="14" t="s">
        <v>251</v>
      </c>
      <c r="C146" s="14" t="s">
        <v>252</v>
      </c>
      <c r="D146" s="15">
        <v>4674.3220000000001</v>
      </c>
      <c r="E146" s="15">
        <v>3762.192</v>
      </c>
      <c r="F146" s="15">
        <v>-8436.5139999999992</v>
      </c>
      <c r="G146" s="15"/>
      <c r="H146" s="23">
        <f>SUM(D146:G146)</f>
        <v>0</v>
      </c>
    </row>
    <row r="147" spans="2:8" ht="16" customHeight="1" x14ac:dyDescent="0.35">
      <c r="B147" s="16" t="s">
        <v>253</v>
      </c>
      <c r="C147" s="16" t="s">
        <v>254</v>
      </c>
      <c r="D147" s="17">
        <f>D145+D146</f>
        <v>21202.066999999999</v>
      </c>
      <c r="E147" s="17">
        <f>E145+E146</f>
        <v>82.714669999999842</v>
      </c>
      <c r="F147" s="17">
        <f>F145+F146</f>
        <v>-21284.781669999997</v>
      </c>
      <c r="G147" s="17">
        <f>G145+G146</f>
        <v>0</v>
      </c>
      <c r="H147" s="24">
        <f>H145+H146</f>
        <v>0</v>
      </c>
    </row>
    <row r="148" spans="2:8" ht="16" customHeight="1" x14ac:dyDescent="0.35">
      <c r="B148" s="11" t="s">
        <v>255</v>
      </c>
      <c r="C148" s="11" t="s">
        <v>22</v>
      </c>
      <c r="D148" s="12"/>
      <c r="E148" s="12"/>
      <c r="F148" s="12"/>
      <c r="G148" s="12"/>
      <c r="H148" s="22"/>
    </row>
    <row r="149" spans="2:8" ht="16" customHeight="1" x14ac:dyDescent="0.35">
      <c r="B149" s="14" t="s">
        <v>256</v>
      </c>
      <c r="C149" s="14" t="s">
        <v>257</v>
      </c>
      <c r="D149" s="15"/>
      <c r="E149" s="15"/>
      <c r="F149" s="15"/>
      <c r="G149" s="15"/>
      <c r="H149" s="23">
        <f>SUM(D149:G149)</f>
        <v>0</v>
      </c>
    </row>
    <row r="150" spans="2:8" ht="16" customHeight="1" thickBot="1" x14ac:dyDescent="0.4">
      <c r="B150" s="11" t="s">
        <v>258</v>
      </c>
      <c r="C150" s="11" t="s">
        <v>22</v>
      </c>
      <c r="D150" s="12"/>
      <c r="E150" s="12"/>
      <c r="F150" s="12"/>
      <c r="G150" s="12"/>
      <c r="H150" s="22"/>
    </row>
    <row r="151" spans="2:8" ht="16" customHeight="1" thickBot="1" x14ac:dyDescent="0.4">
      <c r="B151" s="18" t="s">
        <v>259</v>
      </c>
      <c r="C151" s="18" t="s">
        <v>260</v>
      </c>
      <c r="D151" s="19">
        <f>-(-(D143+D147)-D149)</f>
        <v>-59931.907240000015</v>
      </c>
      <c r="E151" s="19">
        <f>-(-(E143+E147)-E149)</f>
        <v>70712.124479999984</v>
      </c>
      <c r="F151" s="19">
        <f>-(-(F143+F147)-F149)</f>
        <v>-10780.217240000231</v>
      </c>
      <c r="G151" s="19">
        <f>-(-(G143+G147)-G149)</f>
        <v>0</v>
      </c>
      <c r="H151" s="25">
        <f>-(-(H143+H147)-H149)</f>
        <v>0</v>
      </c>
    </row>
    <row r="152" spans="2:8" ht="16" customHeight="1" x14ac:dyDescent="0.35">
      <c r="B152" s="11" t="s">
        <v>261</v>
      </c>
      <c r="C152" s="11" t="s">
        <v>22</v>
      </c>
      <c r="D152" s="12"/>
      <c r="E152" s="12"/>
      <c r="F152" s="12"/>
      <c r="G152" s="12"/>
      <c r="H152" s="22"/>
    </row>
    <row r="153" spans="2:8" ht="16" customHeight="1" x14ac:dyDescent="0.35">
      <c r="B153" s="14" t="s">
        <v>262</v>
      </c>
      <c r="C153" s="14" t="s">
        <v>263</v>
      </c>
      <c r="D153" s="15">
        <v>-43</v>
      </c>
      <c r="E153" s="15">
        <v>-45.085000000000001</v>
      </c>
      <c r="F153" s="15">
        <v>88.084999999999994</v>
      </c>
      <c r="G153" s="15"/>
      <c r="H153" s="23">
        <f>SUM(D153:G153)</f>
        <v>0</v>
      </c>
    </row>
    <row r="154" spans="2:8" ht="16" customHeight="1" thickBot="1" x14ac:dyDescent="0.4">
      <c r="B154" s="11" t="s">
        <v>264</v>
      </c>
      <c r="C154" s="11" t="s">
        <v>22</v>
      </c>
      <c r="D154" s="12"/>
      <c r="E154" s="12"/>
      <c r="F154" s="12"/>
      <c r="G154" s="12"/>
      <c r="H154" s="22"/>
    </row>
    <row r="155" spans="2:8" ht="16" customHeight="1" thickBot="1" x14ac:dyDescent="0.4">
      <c r="B155" s="18" t="s">
        <v>265</v>
      </c>
      <c r="C155" s="18" t="s">
        <v>266</v>
      </c>
      <c r="D155" s="19">
        <f>D151+D153</f>
        <v>-59974.907240000015</v>
      </c>
      <c r="E155" s="19">
        <f>E151+E153</f>
        <v>70667.039479999978</v>
      </c>
      <c r="F155" s="19">
        <f>F151+F153</f>
        <v>-10692.132240000232</v>
      </c>
      <c r="G155" s="19">
        <f>G151+G153</f>
        <v>0</v>
      </c>
      <c r="H155" s="25">
        <f>H151+H153</f>
        <v>0</v>
      </c>
    </row>
  </sheetData>
  <mergeCells count="1">
    <mergeCell ref="B7:C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3E15-177E-47A2-8DBD-737B41A66901}">
  <dimension ref="A3:Q294"/>
  <sheetViews>
    <sheetView showGridLines="0" workbookViewId="0">
      <pane xSplit="3" ySplit="9" topLeftCell="D10" activePane="bottomRight" state="frozen"/>
      <selection pane="topRight" activeCell="D1" sqref="D1"/>
      <selection pane="bottomLeft" activeCell="A7" sqref="A7"/>
      <selection pane="bottomRight" activeCell="B4" sqref="B4"/>
    </sheetView>
  </sheetViews>
  <sheetFormatPr defaultColWidth="9.1796875" defaultRowHeight="16" customHeight="1" x14ac:dyDescent="0.35"/>
  <cols>
    <col min="1" max="1" width="2.26953125" style="1" customWidth="1"/>
    <col min="2" max="2" width="10.7265625" style="1" customWidth="1"/>
    <col min="3" max="3" width="55.7265625" style="1" customWidth="1"/>
    <col min="4" max="15" width="14.7265625" style="1" customWidth="1"/>
    <col min="16" max="16" width="15.7265625" style="1" customWidth="1"/>
    <col min="17" max="26" width="14.7265625" style="1" customWidth="1"/>
    <col min="27" max="16384" width="9.1796875" style="1"/>
  </cols>
  <sheetData>
    <row r="3" spans="1:17" ht="16" customHeight="1" x14ac:dyDescent="0.35">
      <c r="B3" s="2" t="s">
        <v>269</v>
      </c>
    </row>
    <row r="4" spans="1:17" ht="16" customHeight="1" x14ac:dyDescent="0.35">
      <c r="B4" s="26" t="s">
        <v>270</v>
      </c>
    </row>
    <row r="5" spans="1:17" ht="16" customHeight="1" x14ac:dyDescent="0.35">
      <c r="B5" s="4" t="s">
        <v>271</v>
      </c>
    </row>
    <row r="6" spans="1:17" ht="16" customHeight="1" x14ac:dyDescent="0.35">
      <c r="A6" s="27"/>
      <c r="B6" s="4" t="s">
        <v>272</v>
      </c>
    </row>
    <row r="7" spans="1:17" ht="16" customHeight="1" x14ac:dyDescent="0.35">
      <c r="A7" s="27"/>
      <c r="B7" s="6">
        <v>46194.595579490742</v>
      </c>
      <c r="C7" s="6"/>
    </row>
    <row r="9" spans="1:17" ht="16" customHeight="1" thickBot="1" x14ac:dyDescent="0.5">
      <c r="B9" s="7"/>
      <c r="C9" s="28"/>
      <c r="D9" s="8" t="s">
        <v>273</v>
      </c>
      <c r="E9" s="8" t="s">
        <v>274</v>
      </c>
      <c r="F9" s="8" t="s">
        <v>275</v>
      </c>
      <c r="G9" s="8" t="s">
        <v>276</v>
      </c>
      <c r="H9" s="8" t="s">
        <v>5</v>
      </c>
      <c r="I9" s="8" t="s">
        <v>277</v>
      </c>
      <c r="J9" s="8" t="s">
        <v>278</v>
      </c>
      <c r="K9" s="8" t="s">
        <v>279</v>
      </c>
      <c r="L9" s="8" t="s">
        <v>280</v>
      </c>
      <c r="M9" s="8" t="s">
        <v>281</v>
      </c>
      <c r="N9" s="8" t="s">
        <v>282</v>
      </c>
      <c r="O9" s="8" t="s">
        <v>283</v>
      </c>
      <c r="P9" s="21" t="s">
        <v>268</v>
      </c>
      <c r="Q9" s="9"/>
    </row>
    <row r="10" spans="1:17" ht="16" customHeight="1" x14ac:dyDescent="0.45">
      <c r="B10" s="10"/>
      <c r="C10" s="11"/>
      <c r="D10" s="29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22"/>
      <c r="Q10" s="13"/>
    </row>
    <row r="11" spans="1:17" ht="16" customHeight="1" x14ac:dyDescent="0.45">
      <c r="B11" s="14" t="s">
        <v>13</v>
      </c>
      <c r="C11" s="14" t="s">
        <v>14</v>
      </c>
      <c r="D11" s="30">
        <v>819.86679000000004</v>
      </c>
      <c r="E11" s="15">
        <v>674.24</v>
      </c>
      <c r="F11" s="15">
        <v>571.46207000000004</v>
      </c>
      <c r="G11" s="15">
        <v>1950.1072799999999</v>
      </c>
      <c r="H11" s="15">
        <v>2166.5037000000002</v>
      </c>
      <c r="I11" s="15">
        <v>1969.3122900000001</v>
      </c>
      <c r="J11" s="15">
        <v>-8151.4921299999996</v>
      </c>
      <c r="K11" s="15"/>
      <c r="L11" s="15"/>
      <c r="M11" s="15"/>
      <c r="N11" s="15"/>
      <c r="O11" s="15"/>
      <c r="P11" s="23">
        <f>SUM(D11:O11)</f>
        <v>0</v>
      </c>
      <c r="Q11" s="13"/>
    </row>
    <row r="12" spans="1:17" ht="16" customHeight="1" x14ac:dyDescent="0.45">
      <c r="B12" s="14" t="s">
        <v>15</v>
      </c>
      <c r="C12" s="14" t="s">
        <v>16</v>
      </c>
      <c r="D12" s="30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3">
        <f>SUM(D12:O12)</f>
        <v>0</v>
      </c>
      <c r="Q12" s="13"/>
    </row>
    <row r="13" spans="1:17" ht="16" customHeight="1" x14ac:dyDescent="0.45">
      <c r="B13" s="14" t="s">
        <v>17</v>
      </c>
      <c r="C13" s="14" t="s">
        <v>18</v>
      </c>
      <c r="D13" s="30">
        <v>116637.36152999999</v>
      </c>
      <c r="E13" s="15">
        <v>140245.06932000001</v>
      </c>
      <c r="F13" s="15">
        <v>191673.17850000001</v>
      </c>
      <c r="G13" s="15">
        <v>219638.54631000001</v>
      </c>
      <c r="H13" s="15">
        <v>236220.01206000001</v>
      </c>
      <c r="I13" s="15">
        <v>111729.5958</v>
      </c>
      <c r="J13" s="15">
        <v>-1016143.76352</v>
      </c>
      <c r="K13" s="15"/>
      <c r="L13" s="15"/>
      <c r="M13" s="15"/>
      <c r="N13" s="15"/>
      <c r="O13" s="15"/>
      <c r="P13" s="23">
        <f>SUM(D13:O13)</f>
        <v>0</v>
      </c>
      <c r="Q13" s="13"/>
    </row>
    <row r="14" spans="1:17" ht="16" customHeight="1" x14ac:dyDescent="0.45">
      <c r="B14" s="16" t="s">
        <v>19</v>
      </c>
      <c r="C14" s="16" t="s">
        <v>20</v>
      </c>
      <c r="D14" s="31">
        <f t="shared" ref="D14:P14" si="0">-(-(D11+D12)-D13)</f>
        <v>117457.22831999999</v>
      </c>
      <c r="E14" s="17">
        <f t="shared" si="0"/>
        <v>140919.30932</v>
      </c>
      <c r="F14" s="17">
        <f t="shared" si="0"/>
        <v>192244.64057000002</v>
      </c>
      <c r="G14" s="17">
        <f t="shared" si="0"/>
        <v>221588.65359</v>
      </c>
      <c r="H14" s="17">
        <f t="shared" si="0"/>
        <v>238386.51576000001</v>
      </c>
      <c r="I14" s="17">
        <f t="shared" si="0"/>
        <v>113698.90809</v>
      </c>
      <c r="J14" s="17">
        <f t="shared" si="0"/>
        <v>-1024295.2556500001</v>
      </c>
      <c r="K14" s="17">
        <f t="shared" si="0"/>
        <v>0</v>
      </c>
      <c r="L14" s="17">
        <f t="shared" si="0"/>
        <v>0</v>
      </c>
      <c r="M14" s="17">
        <f t="shared" si="0"/>
        <v>0</v>
      </c>
      <c r="N14" s="17">
        <f t="shared" si="0"/>
        <v>0</v>
      </c>
      <c r="O14" s="17">
        <f t="shared" si="0"/>
        <v>0</v>
      </c>
      <c r="P14" s="24">
        <f t="shared" si="0"/>
        <v>0</v>
      </c>
      <c r="Q14" s="13"/>
    </row>
    <row r="15" spans="1:17" ht="16" customHeight="1" x14ac:dyDescent="0.45">
      <c r="B15" s="11" t="s">
        <v>21</v>
      </c>
      <c r="C15" s="11" t="s">
        <v>22</v>
      </c>
      <c r="D15" s="29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22"/>
      <c r="Q15" s="13"/>
    </row>
    <row r="16" spans="1:17" ht="16" customHeight="1" x14ac:dyDescent="0.45">
      <c r="B16" s="14" t="s">
        <v>23</v>
      </c>
      <c r="C16" s="14" t="s">
        <v>24</v>
      </c>
      <c r="D16" s="30">
        <v>-15274.70039</v>
      </c>
      <c r="E16" s="15">
        <v>-15541.693230000001</v>
      </c>
      <c r="F16" s="15">
        <v>-20525.931199999999</v>
      </c>
      <c r="G16" s="15">
        <v>-25660.985240000002</v>
      </c>
      <c r="H16" s="15">
        <v>-27770.950840000001</v>
      </c>
      <c r="I16" s="15">
        <v>-9167.0316000000003</v>
      </c>
      <c r="J16" s="15">
        <v>113941.2925</v>
      </c>
      <c r="K16" s="15"/>
      <c r="L16" s="15"/>
      <c r="M16" s="15"/>
      <c r="N16" s="15"/>
      <c r="O16" s="15"/>
      <c r="P16" s="23">
        <f t="shared" ref="P16:P23" si="1">SUM(D16:O16)</f>
        <v>0</v>
      </c>
      <c r="Q16" s="13"/>
    </row>
    <row r="17" spans="2:17" ht="16" customHeight="1" x14ac:dyDescent="0.45">
      <c r="B17" s="14" t="s">
        <v>25</v>
      </c>
      <c r="C17" s="14" t="s">
        <v>26</v>
      </c>
      <c r="D17" s="30"/>
      <c r="E17" s="15">
        <v>-7.8468</v>
      </c>
      <c r="F17" s="15">
        <v>0.68574000000000002</v>
      </c>
      <c r="G17" s="15">
        <v>0</v>
      </c>
      <c r="H17" s="15">
        <v>0</v>
      </c>
      <c r="I17" s="15">
        <v>0</v>
      </c>
      <c r="J17" s="15">
        <v>7.16106</v>
      </c>
      <c r="K17" s="15"/>
      <c r="L17" s="15"/>
      <c r="M17" s="15"/>
      <c r="N17" s="15"/>
      <c r="O17" s="15"/>
      <c r="P17" s="23">
        <f t="shared" si="1"/>
        <v>0</v>
      </c>
      <c r="Q17" s="13"/>
    </row>
    <row r="18" spans="2:17" ht="16" customHeight="1" x14ac:dyDescent="0.45">
      <c r="B18" s="14" t="s">
        <v>27</v>
      </c>
      <c r="C18" s="14" t="s">
        <v>28</v>
      </c>
      <c r="D18" s="30">
        <v>-10482.21141</v>
      </c>
      <c r="E18" s="15">
        <v>-10984.58352</v>
      </c>
      <c r="F18" s="15">
        <v>-12556.886270000001</v>
      </c>
      <c r="G18" s="15">
        <v>-14781.94562</v>
      </c>
      <c r="H18" s="15">
        <v>-15621.26274</v>
      </c>
      <c r="I18" s="15">
        <v>-7949.60088</v>
      </c>
      <c r="J18" s="15">
        <v>72376.490439999994</v>
      </c>
      <c r="K18" s="15"/>
      <c r="L18" s="15"/>
      <c r="M18" s="15"/>
      <c r="N18" s="15"/>
      <c r="O18" s="15"/>
      <c r="P18" s="23">
        <f t="shared" si="1"/>
        <v>0</v>
      </c>
      <c r="Q18" s="13"/>
    </row>
    <row r="19" spans="2:17" ht="16" customHeight="1" x14ac:dyDescent="0.45">
      <c r="B19" s="14" t="s">
        <v>29</v>
      </c>
      <c r="C19" s="14" t="s">
        <v>30</v>
      </c>
      <c r="D19" s="30">
        <v>-1204.5732800000001</v>
      </c>
      <c r="E19" s="15">
        <v>-1399.4993899999999</v>
      </c>
      <c r="F19" s="15">
        <v>-2017.40417</v>
      </c>
      <c r="G19" s="15">
        <v>-2840.0065500000001</v>
      </c>
      <c r="H19" s="15">
        <v>-2432.70568</v>
      </c>
      <c r="I19" s="15">
        <v>-764.32714999999996</v>
      </c>
      <c r="J19" s="15">
        <v>10658.51622</v>
      </c>
      <c r="K19" s="15"/>
      <c r="L19" s="15"/>
      <c r="M19" s="15"/>
      <c r="N19" s="15"/>
      <c r="O19" s="15"/>
      <c r="P19" s="23">
        <f t="shared" si="1"/>
        <v>0</v>
      </c>
      <c r="Q19" s="13"/>
    </row>
    <row r="20" spans="2:17" ht="16" customHeight="1" x14ac:dyDescent="0.45">
      <c r="B20" s="14" t="s">
        <v>31</v>
      </c>
      <c r="C20" s="14" t="s">
        <v>32</v>
      </c>
      <c r="D20" s="30">
        <v>-8297.3350499999997</v>
      </c>
      <c r="E20" s="15">
        <v>-8242.8194199999998</v>
      </c>
      <c r="F20" s="15">
        <v>-11675.39668</v>
      </c>
      <c r="G20" s="15">
        <v>-8237.0954199999996</v>
      </c>
      <c r="H20" s="15">
        <v>-9820.7882000000009</v>
      </c>
      <c r="I20" s="15">
        <v>-3965.0157599999998</v>
      </c>
      <c r="J20" s="15">
        <v>50238.450530000002</v>
      </c>
      <c r="K20" s="15"/>
      <c r="L20" s="15"/>
      <c r="M20" s="15"/>
      <c r="N20" s="15"/>
      <c r="O20" s="15"/>
      <c r="P20" s="23">
        <f t="shared" si="1"/>
        <v>0</v>
      </c>
      <c r="Q20" s="13"/>
    </row>
    <row r="21" spans="2:17" ht="16" customHeight="1" x14ac:dyDescent="0.45">
      <c r="B21" s="14" t="s">
        <v>33</v>
      </c>
      <c r="C21" s="14" t="s">
        <v>34</v>
      </c>
      <c r="D21" s="30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23">
        <f t="shared" si="1"/>
        <v>0</v>
      </c>
      <c r="Q21" s="13"/>
    </row>
    <row r="22" spans="2:17" ht="16" customHeight="1" x14ac:dyDescent="0.45">
      <c r="B22" s="14" t="s">
        <v>35</v>
      </c>
      <c r="C22" s="14" t="s">
        <v>36</v>
      </c>
      <c r="D22" s="30">
        <v>115.28442</v>
      </c>
      <c r="E22" s="15">
        <v>20.345749999999999</v>
      </c>
      <c r="F22" s="15">
        <v>108.393</v>
      </c>
      <c r="G22" s="15">
        <v>2.6995200000000001</v>
      </c>
      <c r="H22" s="15">
        <v>39.220999999999997</v>
      </c>
      <c r="I22" s="15">
        <v>0</v>
      </c>
      <c r="J22" s="15">
        <v>-285.94369</v>
      </c>
      <c r="K22" s="15"/>
      <c r="L22" s="15"/>
      <c r="M22" s="15"/>
      <c r="N22" s="15"/>
      <c r="O22" s="15"/>
      <c r="P22" s="23">
        <f t="shared" si="1"/>
        <v>0</v>
      </c>
      <c r="Q22" s="13"/>
    </row>
    <row r="23" spans="2:17" ht="16" customHeight="1" x14ac:dyDescent="0.45">
      <c r="B23" s="14" t="s">
        <v>37</v>
      </c>
      <c r="C23" s="14" t="s">
        <v>38</v>
      </c>
      <c r="D23" s="30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23">
        <f t="shared" si="1"/>
        <v>0</v>
      </c>
      <c r="Q23" s="13"/>
    </row>
    <row r="24" spans="2:17" ht="16" customHeight="1" x14ac:dyDescent="0.45">
      <c r="B24" s="16" t="s">
        <v>39</v>
      </c>
      <c r="C24" s="16" t="s">
        <v>40</v>
      </c>
      <c r="D24" s="31">
        <f t="shared" ref="D24:P24" si="2">-(-(D16+D17)-D18-D19-D20-D22-D21)</f>
        <v>-35143.535709999996</v>
      </c>
      <c r="E24" s="17">
        <f t="shared" si="2"/>
        <v>-36156.096610000001</v>
      </c>
      <c r="F24" s="17">
        <f t="shared" si="2"/>
        <v>-46666.539580000004</v>
      </c>
      <c r="G24" s="17">
        <f t="shared" si="2"/>
        <v>-51517.333309999995</v>
      </c>
      <c r="H24" s="17">
        <f t="shared" si="2"/>
        <v>-55606.486460000007</v>
      </c>
      <c r="I24" s="17">
        <f t="shared" si="2"/>
        <v>-21845.97539</v>
      </c>
      <c r="J24" s="17">
        <f t="shared" si="2"/>
        <v>246935.96706</v>
      </c>
      <c r="K24" s="17">
        <f t="shared" si="2"/>
        <v>0</v>
      </c>
      <c r="L24" s="17">
        <f t="shared" si="2"/>
        <v>0</v>
      </c>
      <c r="M24" s="17">
        <f t="shared" si="2"/>
        <v>0</v>
      </c>
      <c r="N24" s="17">
        <f t="shared" si="2"/>
        <v>0</v>
      </c>
      <c r="O24" s="17">
        <f t="shared" si="2"/>
        <v>0</v>
      </c>
      <c r="P24" s="24">
        <f t="shared" si="2"/>
        <v>0</v>
      </c>
      <c r="Q24" s="13"/>
    </row>
    <row r="25" spans="2:17" ht="16" customHeight="1" x14ac:dyDescent="0.45">
      <c r="B25" s="11" t="s">
        <v>41</v>
      </c>
      <c r="C25" s="11" t="s">
        <v>22</v>
      </c>
      <c r="D25" s="29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22"/>
      <c r="Q25" s="13"/>
    </row>
    <row r="26" spans="2:17" ht="16" customHeight="1" x14ac:dyDescent="0.45">
      <c r="B26" s="14" t="s">
        <v>42</v>
      </c>
      <c r="C26" s="14" t="s">
        <v>43</v>
      </c>
      <c r="D26" s="30">
        <v>-502.85079999999999</v>
      </c>
      <c r="E26" s="15">
        <v>-649.05526999999995</v>
      </c>
      <c r="F26" s="15">
        <v>-8371.7209000000003</v>
      </c>
      <c r="G26" s="15">
        <v>-4695.2416000000003</v>
      </c>
      <c r="H26" s="15">
        <v>10644.035449999999</v>
      </c>
      <c r="I26" s="15">
        <v>-847.16143999999997</v>
      </c>
      <c r="J26" s="15">
        <v>4421.9945600000001</v>
      </c>
      <c r="K26" s="15"/>
      <c r="L26" s="15"/>
      <c r="M26" s="15"/>
      <c r="N26" s="15"/>
      <c r="O26" s="15"/>
      <c r="P26" s="23">
        <f t="shared" ref="P26:P39" si="3">SUM(D26:O26)</f>
        <v>0</v>
      </c>
      <c r="Q26" s="13"/>
    </row>
    <row r="27" spans="2:17" ht="16" customHeight="1" x14ac:dyDescent="0.45">
      <c r="B27" s="14" t="s">
        <v>44</v>
      </c>
      <c r="C27" s="14" t="s">
        <v>45</v>
      </c>
      <c r="D27" s="30">
        <v>-41286.188439999998</v>
      </c>
      <c r="E27" s="15">
        <v>-53831.60843</v>
      </c>
      <c r="F27" s="15">
        <v>-63304.293429999998</v>
      </c>
      <c r="G27" s="15">
        <v>-73178.494000000006</v>
      </c>
      <c r="H27" s="15">
        <v>-92400.876210000002</v>
      </c>
      <c r="I27" s="15">
        <v>-48477.248119999997</v>
      </c>
      <c r="J27" s="15">
        <v>372478.70863000001</v>
      </c>
      <c r="K27" s="15"/>
      <c r="L27" s="15"/>
      <c r="M27" s="15"/>
      <c r="N27" s="15"/>
      <c r="O27" s="15"/>
      <c r="P27" s="23">
        <f t="shared" si="3"/>
        <v>0</v>
      </c>
      <c r="Q27" s="13"/>
    </row>
    <row r="28" spans="2:17" ht="16" customHeight="1" x14ac:dyDescent="0.45">
      <c r="B28" s="14" t="s">
        <v>46</v>
      </c>
      <c r="C28" s="14" t="s">
        <v>47</v>
      </c>
      <c r="D28" s="30">
        <v>-1823.4143799999999</v>
      </c>
      <c r="E28" s="15">
        <v>-2147.4449100000002</v>
      </c>
      <c r="F28" s="15">
        <v>-3312.28746</v>
      </c>
      <c r="G28" s="15">
        <v>-3538.9019899999998</v>
      </c>
      <c r="H28" s="15">
        <v>-3688.7501600000001</v>
      </c>
      <c r="I28" s="15">
        <v>-1160.0795900000001</v>
      </c>
      <c r="J28" s="15">
        <v>15670.878489999999</v>
      </c>
      <c r="K28" s="15"/>
      <c r="L28" s="15"/>
      <c r="M28" s="15"/>
      <c r="N28" s="15"/>
      <c r="O28" s="15"/>
      <c r="P28" s="23">
        <f t="shared" si="3"/>
        <v>0</v>
      </c>
      <c r="Q28" s="13"/>
    </row>
    <row r="29" spans="2:17" ht="16" customHeight="1" x14ac:dyDescent="0.45">
      <c r="B29" s="14" t="s">
        <v>48</v>
      </c>
      <c r="C29" s="14" t="s">
        <v>49</v>
      </c>
      <c r="D29" s="30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23">
        <f t="shared" si="3"/>
        <v>0</v>
      </c>
      <c r="Q29" s="13"/>
    </row>
    <row r="30" spans="2:17" ht="16" customHeight="1" x14ac:dyDescent="0.45">
      <c r="B30" s="14" t="s">
        <v>50</v>
      </c>
      <c r="C30" s="14" t="s">
        <v>51</v>
      </c>
      <c r="D30" s="30">
        <v>-2336.1685200000002</v>
      </c>
      <c r="E30" s="15">
        <v>-2602.8182099999999</v>
      </c>
      <c r="F30" s="15">
        <v>-2831.68021</v>
      </c>
      <c r="G30" s="15">
        <v>-2914.1851499999998</v>
      </c>
      <c r="H30" s="15">
        <v>-3204.0375199999999</v>
      </c>
      <c r="I30" s="15">
        <v>-136.99241000000001</v>
      </c>
      <c r="J30" s="15">
        <v>14025.882019999999</v>
      </c>
      <c r="K30" s="15"/>
      <c r="L30" s="15"/>
      <c r="M30" s="15"/>
      <c r="N30" s="15"/>
      <c r="O30" s="15"/>
      <c r="P30" s="23">
        <f t="shared" si="3"/>
        <v>0</v>
      </c>
      <c r="Q30" s="13"/>
    </row>
    <row r="31" spans="2:17" ht="16" customHeight="1" x14ac:dyDescent="0.45">
      <c r="B31" s="14" t="s">
        <v>52</v>
      </c>
      <c r="C31" s="14" t="s">
        <v>53</v>
      </c>
      <c r="D31" s="30">
        <v>-21438.486789999999</v>
      </c>
      <c r="E31" s="15">
        <v>-21707.177479999998</v>
      </c>
      <c r="F31" s="15">
        <v>-27854.612219999999</v>
      </c>
      <c r="G31" s="15">
        <v>-31070.802940000001</v>
      </c>
      <c r="H31" s="15">
        <v>-29692.868750000001</v>
      </c>
      <c r="I31" s="15">
        <v>-18330.80675</v>
      </c>
      <c r="J31" s="15">
        <v>150094.75493</v>
      </c>
      <c r="K31" s="15"/>
      <c r="L31" s="15"/>
      <c r="M31" s="15"/>
      <c r="N31" s="15"/>
      <c r="O31" s="15"/>
      <c r="P31" s="23">
        <f t="shared" si="3"/>
        <v>0</v>
      </c>
      <c r="Q31" s="13"/>
    </row>
    <row r="32" spans="2:17" ht="16" customHeight="1" x14ac:dyDescent="0.45">
      <c r="B32" s="14" t="s">
        <v>54</v>
      </c>
      <c r="C32" s="14" t="s">
        <v>55</v>
      </c>
      <c r="D32" s="30">
        <v>-11658.21155</v>
      </c>
      <c r="E32" s="15">
        <v>-12438.474200000001</v>
      </c>
      <c r="F32" s="15">
        <v>-12219.025030000001</v>
      </c>
      <c r="G32" s="15">
        <v>-16056.332490000001</v>
      </c>
      <c r="H32" s="15">
        <v>-12955.9557</v>
      </c>
      <c r="I32" s="15">
        <v>-3460.4665799999998</v>
      </c>
      <c r="J32" s="15">
        <v>68788.465549999994</v>
      </c>
      <c r="K32" s="15"/>
      <c r="L32" s="15"/>
      <c r="M32" s="15"/>
      <c r="N32" s="15"/>
      <c r="O32" s="15"/>
      <c r="P32" s="23">
        <f t="shared" si="3"/>
        <v>0</v>
      </c>
      <c r="Q32" s="13"/>
    </row>
    <row r="33" spans="2:17" ht="16" customHeight="1" x14ac:dyDescent="0.45">
      <c r="B33" s="14" t="s">
        <v>56</v>
      </c>
      <c r="C33" s="14" t="s">
        <v>57</v>
      </c>
      <c r="D33" s="30">
        <v>-15134.188889999999</v>
      </c>
      <c r="E33" s="15">
        <v>-14635.12609</v>
      </c>
      <c r="F33" s="15">
        <v>-20853.700400000002</v>
      </c>
      <c r="G33" s="15">
        <v>-20899.858779999999</v>
      </c>
      <c r="H33" s="15">
        <v>-19829.590270000001</v>
      </c>
      <c r="I33" s="15">
        <v>-10052.89055</v>
      </c>
      <c r="J33" s="15">
        <v>101405.35498</v>
      </c>
      <c r="K33" s="15"/>
      <c r="L33" s="15"/>
      <c r="M33" s="15"/>
      <c r="N33" s="15"/>
      <c r="O33" s="15"/>
      <c r="P33" s="23">
        <f t="shared" si="3"/>
        <v>0</v>
      </c>
      <c r="Q33" s="13"/>
    </row>
    <row r="34" spans="2:17" ht="16" customHeight="1" x14ac:dyDescent="0.45">
      <c r="B34" s="14" t="s">
        <v>58</v>
      </c>
      <c r="C34" s="14" t="s">
        <v>59</v>
      </c>
      <c r="D34" s="30">
        <v>-2776.7302599999998</v>
      </c>
      <c r="E34" s="15">
        <v>-3455.2542699999999</v>
      </c>
      <c r="F34" s="15">
        <v>7059.5010499999999</v>
      </c>
      <c r="G34" s="15">
        <v>1107.28061</v>
      </c>
      <c r="H34" s="15">
        <v>9191.4132699999991</v>
      </c>
      <c r="I34" s="15">
        <v>5287.0258199999998</v>
      </c>
      <c r="J34" s="15">
        <v>-16413.236219999999</v>
      </c>
      <c r="K34" s="15"/>
      <c r="L34" s="15"/>
      <c r="M34" s="15"/>
      <c r="N34" s="15"/>
      <c r="O34" s="15"/>
      <c r="P34" s="23">
        <f t="shared" si="3"/>
        <v>0</v>
      </c>
      <c r="Q34" s="13"/>
    </row>
    <row r="35" spans="2:17" ht="16" customHeight="1" x14ac:dyDescent="0.45">
      <c r="B35" s="14" t="s">
        <v>60</v>
      </c>
      <c r="C35" s="14" t="s">
        <v>61</v>
      </c>
      <c r="D35" s="3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23">
        <f t="shared" si="3"/>
        <v>0</v>
      </c>
      <c r="Q35" s="13"/>
    </row>
    <row r="36" spans="2:17" ht="16" customHeight="1" x14ac:dyDescent="0.45">
      <c r="B36" s="14" t="s">
        <v>62</v>
      </c>
      <c r="C36" s="14" t="s">
        <v>36</v>
      </c>
      <c r="D36" s="30">
        <v>277.46525000000003</v>
      </c>
      <c r="E36" s="15">
        <v>114.96225</v>
      </c>
      <c r="F36" s="15">
        <v>1682.2292500000001</v>
      </c>
      <c r="G36" s="15">
        <v>39.340000000000003</v>
      </c>
      <c r="H36" s="15">
        <v>46.064500000000002</v>
      </c>
      <c r="I36" s="15">
        <v>70.625</v>
      </c>
      <c r="J36" s="15">
        <v>-2230.6862500000002</v>
      </c>
      <c r="K36" s="15"/>
      <c r="L36" s="15"/>
      <c r="M36" s="15"/>
      <c r="N36" s="15"/>
      <c r="O36" s="15"/>
      <c r="P36" s="23">
        <f t="shared" si="3"/>
        <v>0</v>
      </c>
      <c r="Q36" s="13"/>
    </row>
    <row r="37" spans="2:17" ht="16" customHeight="1" x14ac:dyDescent="0.45">
      <c r="B37" s="14" t="s">
        <v>63</v>
      </c>
      <c r="C37" s="14" t="s">
        <v>64</v>
      </c>
      <c r="D37" s="30">
        <v>3.7576100000000001</v>
      </c>
      <c r="E37" s="15">
        <v>-0.66424000000000005</v>
      </c>
      <c r="F37" s="15">
        <v>-16.144110000000001</v>
      </c>
      <c r="G37" s="15">
        <v>-143.35</v>
      </c>
      <c r="H37" s="15">
        <v>2.1911399999999999</v>
      </c>
      <c r="I37" s="15">
        <v>-1.5268999999999999</v>
      </c>
      <c r="J37" s="15">
        <v>155.73650000000001</v>
      </c>
      <c r="K37" s="15"/>
      <c r="L37" s="15"/>
      <c r="M37" s="15"/>
      <c r="N37" s="15"/>
      <c r="O37" s="15"/>
      <c r="P37" s="23">
        <f t="shared" si="3"/>
        <v>0</v>
      </c>
      <c r="Q37" s="13"/>
    </row>
    <row r="38" spans="2:17" ht="16" customHeight="1" x14ac:dyDescent="0.45">
      <c r="B38" s="14" t="s">
        <v>65</v>
      </c>
      <c r="C38" s="14" t="s">
        <v>66</v>
      </c>
      <c r="D38" s="30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3">
        <f t="shared" si="3"/>
        <v>0</v>
      </c>
      <c r="Q38" s="13"/>
    </row>
    <row r="39" spans="2:17" ht="16" customHeight="1" x14ac:dyDescent="0.45">
      <c r="B39" s="14" t="s">
        <v>67</v>
      </c>
      <c r="C39" s="14" t="s">
        <v>68</v>
      </c>
      <c r="D39" s="30">
        <v>11289.084999999999</v>
      </c>
      <c r="E39" s="15">
        <v>12290.901</v>
      </c>
      <c r="F39" s="15">
        <v>18527.431</v>
      </c>
      <c r="G39" s="15">
        <v>22102.884999999998</v>
      </c>
      <c r="H39" s="15">
        <v>23384.971000000001</v>
      </c>
      <c r="I39" s="15">
        <v>15639.98</v>
      </c>
      <c r="J39" s="15">
        <v>-103235.253</v>
      </c>
      <c r="K39" s="15"/>
      <c r="L39" s="15"/>
      <c r="M39" s="15"/>
      <c r="N39" s="15"/>
      <c r="O39" s="15"/>
      <c r="P39" s="23">
        <f t="shared" si="3"/>
        <v>0</v>
      </c>
      <c r="Q39" s="13"/>
    </row>
    <row r="40" spans="2:17" ht="16" customHeight="1" x14ac:dyDescent="0.45">
      <c r="B40" s="16" t="s">
        <v>69</v>
      </c>
      <c r="C40" s="16" t="s">
        <v>70</v>
      </c>
      <c r="D40" s="31">
        <f t="shared" ref="D40:P40" si="4">-(-(D26+D27)-D28-D29-D30-D31-D32-D33-D34-D35-D36-D37-D38-D39)</f>
        <v>-85385.931769999996</v>
      </c>
      <c r="E40" s="17">
        <f t="shared" si="4"/>
        <v>-99061.759850000002</v>
      </c>
      <c r="F40" s="17">
        <f t="shared" si="4"/>
        <v>-111494.30246000002</v>
      </c>
      <c r="G40" s="17">
        <f t="shared" si="4"/>
        <v>-129247.66134000004</v>
      </c>
      <c r="H40" s="17">
        <f t="shared" si="4"/>
        <v>-118503.40324999999</v>
      </c>
      <c r="I40" s="17">
        <f t="shared" si="4"/>
        <v>-61469.541519999999</v>
      </c>
      <c r="J40" s="17">
        <f t="shared" si="4"/>
        <v>605162.60018999991</v>
      </c>
      <c r="K40" s="17">
        <f t="shared" si="4"/>
        <v>0</v>
      </c>
      <c r="L40" s="17">
        <f t="shared" si="4"/>
        <v>0</v>
      </c>
      <c r="M40" s="17">
        <f t="shared" si="4"/>
        <v>0</v>
      </c>
      <c r="N40" s="17">
        <f t="shared" si="4"/>
        <v>0</v>
      </c>
      <c r="O40" s="17">
        <f t="shared" si="4"/>
        <v>0</v>
      </c>
      <c r="P40" s="24">
        <f t="shared" si="4"/>
        <v>0</v>
      </c>
      <c r="Q40" s="13"/>
    </row>
    <row r="41" spans="2:17" ht="16" customHeight="1" x14ac:dyDescent="0.45">
      <c r="B41" s="11" t="s">
        <v>71</v>
      </c>
      <c r="C41" s="11" t="s">
        <v>22</v>
      </c>
      <c r="D41" s="29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22"/>
      <c r="Q41" s="13"/>
    </row>
    <row r="42" spans="2:17" ht="16" customHeight="1" x14ac:dyDescent="0.45">
      <c r="B42" s="16" t="s">
        <v>72</v>
      </c>
      <c r="C42" s="16" t="s">
        <v>73</v>
      </c>
      <c r="D42" s="31">
        <f t="shared" ref="D42:P42" si="5">D24+D40</f>
        <v>-120529.46747999999</v>
      </c>
      <c r="E42" s="17">
        <f t="shared" si="5"/>
        <v>-135217.85646000001</v>
      </c>
      <c r="F42" s="17">
        <f t="shared" si="5"/>
        <v>-158160.84204000002</v>
      </c>
      <c r="G42" s="17">
        <f t="shared" si="5"/>
        <v>-180764.99465000004</v>
      </c>
      <c r="H42" s="17">
        <f t="shared" si="5"/>
        <v>-174109.88970999999</v>
      </c>
      <c r="I42" s="17">
        <f t="shared" si="5"/>
        <v>-83315.516910000006</v>
      </c>
      <c r="J42" s="17">
        <f t="shared" si="5"/>
        <v>852098.56724999985</v>
      </c>
      <c r="K42" s="17">
        <f t="shared" si="5"/>
        <v>0</v>
      </c>
      <c r="L42" s="17">
        <f t="shared" si="5"/>
        <v>0</v>
      </c>
      <c r="M42" s="17">
        <f t="shared" si="5"/>
        <v>0</v>
      </c>
      <c r="N42" s="17">
        <f t="shared" si="5"/>
        <v>0</v>
      </c>
      <c r="O42" s="17">
        <f t="shared" si="5"/>
        <v>0</v>
      </c>
      <c r="P42" s="24">
        <f t="shared" si="5"/>
        <v>0</v>
      </c>
      <c r="Q42" s="13"/>
    </row>
    <row r="43" spans="2:17" ht="16" customHeight="1" thickBot="1" x14ac:dyDescent="0.5">
      <c r="B43" s="11" t="s">
        <v>74</v>
      </c>
      <c r="C43" s="11" t="s">
        <v>22</v>
      </c>
      <c r="D43" s="29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22"/>
      <c r="Q43" s="13"/>
    </row>
    <row r="44" spans="2:17" ht="16" customHeight="1" thickBot="1" x14ac:dyDescent="0.5">
      <c r="B44" s="18" t="s">
        <v>75</v>
      </c>
      <c r="C44" s="18" t="s">
        <v>76</v>
      </c>
      <c r="D44" s="32">
        <f t="shared" ref="D44:P44" si="6">D14+D42</f>
        <v>-3072.2391599999974</v>
      </c>
      <c r="E44" s="19">
        <f t="shared" si="6"/>
        <v>5701.4528599999903</v>
      </c>
      <c r="F44" s="19">
        <f t="shared" si="6"/>
        <v>34083.79853</v>
      </c>
      <c r="G44" s="19">
        <f t="shared" si="6"/>
        <v>40823.658939999965</v>
      </c>
      <c r="H44" s="19">
        <f t="shared" si="6"/>
        <v>64276.626050000021</v>
      </c>
      <c r="I44" s="19">
        <f t="shared" si="6"/>
        <v>30383.391179999991</v>
      </c>
      <c r="J44" s="19">
        <f t="shared" si="6"/>
        <v>-172196.68840000022</v>
      </c>
      <c r="K44" s="19">
        <f t="shared" si="6"/>
        <v>0</v>
      </c>
      <c r="L44" s="19">
        <f t="shared" si="6"/>
        <v>0</v>
      </c>
      <c r="M44" s="19">
        <f t="shared" si="6"/>
        <v>0</v>
      </c>
      <c r="N44" s="19">
        <f t="shared" si="6"/>
        <v>0</v>
      </c>
      <c r="O44" s="19">
        <f t="shared" si="6"/>
        <v>0</v>
      </c>
      <c r="P44" s="25">
        <f t="shared" si="6"/>
        <v>0</v>
      </c>
      <c r="Q44" s="13"/>
    </row>
    <row r="45" spans="2:17" ht="16" customHeight="1" x14ac:dyDescent="0.45">
      <c r="B45" s="11" t="s">
        <v>77</v>
      </c>
      <c r="C45" s="11" t="s">
        <v>22</v>
      </c>
      <c r="D45" s="29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22"/>
      <c r="Q45" s="13"/>
    </row>
    <row r="46" spans="2:17" ht="16" customHeight="1" x14ac:dyDescent="0.45">
      <c r="B46" s="14" t="s">
        <v>78</v>
      </c>
      <c r="C46" s="14" t="s">
        <v>28</v>
      </c>
      <c r="D46" s="30">
        <v>-2696.7664799999998</v>
      </c>
      <c r="E46" s="15">
        <v>-2419.3058099999998</v>
      </c>
      <c r="F46" s="15">
        <v>-3628.62174</v>
      </c>
      <c r="G46" s="15">
        <v>-1894.90284</v>
      </c>
      <c r="H46" s="15">
        <v>-2547.6137100000001</v>
      </c>
      <c r="I46" s="15">
        <v>-2321.3654700000002</v>
      </c>
      <c r="J46" s="15">
        <v>15508.57605</v>
      </c>
      <c r="K46" s="15"/>
      <c r="L46" s="15"/>
      <c r="M46" s="15"/>
      <c r="N46" s="15"/>
      <c r="O46" s="15"/>
      <c r="P46" s="23">
        <f t="shared" ref="P46:P52" si="7">SUM(D46:O46)</f>
        <v>0</v>
      </c>
      <c r="Q46" s="13"/>
    </row>
    <row r="47" spans="2:17" ht="16" customHeight="1" x14ac:dyDescent="0.45">
      <c r="B47" s="14" t="s">
        <v>79</v>
      </c>
      <c r="C47" s="14" t="s">
        <v>80</v>
      </c>
      <c r="D47" s="30">
        <v>-227.99182999999999</v>
      </c>
      <c r="E47" s="15">
        <v>-154.17944</v>
      </c>
      <c r="F47" s="15">
        <v>-616.94312000000002</v>
      </c>
      <c r="G47" s="15">
        <v>561.57485999999994</v>
      </c>
      <c r="H47" s="15">
        <v>-46.246540000000003</v>
      </c>
      <c r="I47" s="15">
        <v>-19.591950000000001</v>
      </c>
      <c r="J47" s="15">
        <v>503.37801999999999</v>
      </c>
      <c r="K47" s="15"/>
      <c r="L47" s="15"/>
      <c r="M47" s="15"/>
      <c r="N47" s="15"/>
      <c r="O47" s="15"/>
      <c r="P47" s="23">
        <f t="shared" si="7"/>
        <v>0</v>
      </c>
      <c r="Q47" s="13"/>
    </row>
    <row r="48" spans="2:17" ht="16" customHeight="1" x14ac:dyDescent="0.45">
      <c r="B48" s="14" t="s">
        <v>81</v>
      </c>
      <c r="C48" s="14" t="s">
        <v>82</v>
      </c>
      <c r="D48" s="30"/>
      <c r="E48" s="15"/>
      <c r="F48" s="15">
        <v>-460.56831</v>
      </c>
      <c r="G48" s="15">
        <v>-436.84365000000003</v>
      </c>
      <c r="H48" s="15">
        <v>-435.52256999999997</v>
      </c>
      <c r="I48" s="15">
        <v>0</v>
      </c>
      <c r="J48" s="15">
        <v>1332.93453</v>
      </c>
      <c r="K48" s="15"/>
      <c r="L48" s="15"/>
      <c r="M48" s="15"/>
      <c r="N48" s="15"/>
      <c r="O48" s="15"/>
      <c r="P48" s="23">
        <f t="shared" si="7"/>
        <v>0</v>
      </c>
      <c r="Q48" s="13"/>
    </row>
    <row r="49" spans="2:17" ht="16" customHeight="1" x14ac:dyDescent="0.45">
      <c r="B49" s="14" t="s">
        <v>83</v>
      </c>
      <c r="C49" s="14" t="s">
        <v>84</v>
      </c>
      <c r="D49" s="30">
        <v>-362.18322999999998</v>
      </c>
      <c r="E49" s="15">
        <v>-353.89317999999997</v>
      </c>
      <c r="F49" s="15">
        <v>1174.6428900000001</v>
      </c>
      <c r="G49" s="15">
        <v>-2315.85302</v>
      </c>
      <c r="H49" s="15">
        <v>-590.35775999999998</v>
      </c>
      <c r="I49" s="15">
        <v>66.461950000000002</v>
      </c>
      <c r="J49" s="15">
        <v>2381.18235</v>
      </c>
      <c r="K49" s="15"/>
      <c r="L49" s="15"/>
      <c r="M49" s="15"/>
      <c r="N49" s="15"/>
      <c r="O49" s="15"/>
      <c r="P49" s="23">
        <f t="shared" si="7"/>
        <v>0</v>
      </c>
      <c r="Q49" s="13"/>
    </row>
    <row r="50" spans="2:17" ht="16" customHeight="1" x14ac:dyDescent="0.45">
      <c r="B50" s="14" t="s">
        <v>85</v>
      </c>
      <c r="C50" s="14" t="s">
        <v>86</v>
      </c>
      <c r="D50" s="30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23">
        <f t="shared" si="7"/>
        <v>0</v>
      </c>
      <c r="Q50" s="13"/>
    </row>
    <row r="51" spans="2:17" ht="16" customHeight="1" x14ac:dyDescent="0.45">
      <c r="B51" s="14" t="s">
        <v>87</v>
      </c>
      <c r="C51" s="14" t="s">
        <v>88</v>
      </c>
      <c r="D51" s="30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23">
        <f t="shared" si="7"/>
        <v>0</v>
      </c>
      <c r="Q51" s="13"/>
    </row>
    <row r="52" spans="2:17" ht="16" customHeight="1" x14ac:dyDescent="0.45">
      <c r="B52" s="14" t="s">
        <v>89</v>
      </c>
      <c r="C52" s="14" t="s">
        <v>90</v>
      </c>
      <c r="D52" s="30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23">
        <f t="shared" si="7"/>
        <v>0</v>
      </c>
      <c r="Q52" s="13"/>
    </row>
    <row r="53" spans="2:17" ht="16" customHeight="1" x14ac:dyDescent="0.45">
      <c r="B53" s="16" t="s">
        <v>91</v>
      </c>
      <c r="C53" s="16" t="s">
        <v>92</v>
      </c>
      <c r="D53" s="31">
        <f t="shared" ref="D53:P53" si="8">-(-(D46+D47)-D48-D49-D51-D50)</f>
        <v>-3286.9415399999998</v>
      </c>
      <c r="E53" s="17">
        <f t="shared" si="8"/>
        <v>-2927.3784299999998</v>
      </c>
      <c r="F53" s="17">
        <f t="shared" si="8"/>
        <v>-3531.49028</v>
      </c>
      <c r="G53" s="17">
        <f t="shared" si="8"/>
        <v>-4086.0246500000003</v>
      </c>
      <c r="H53" s="17">
        <f t="shared" si="8"/>
        <v>-3619.7405800000001</v>
      </c>
      <c r="I53" s="17">
        <f t="shared" si="8"/>
        <v>-2274.4954700000003</v>
      </c>
      <c r="J53" s="17">
        <f t="shared" si="8"/>
        <v>19726.070949999998</v>
      </c>
      <c r="K53" s="17">
        <f t="shared" si="8"/>
        <v>0</v>
      </c>
      <c r="L53" s="17">
        <f t="shared" si="8"/>
        <v>0</v>
      </c>
      <c r="M53" s="17">
        <f t="shared" si="8"/>
        <v>0</v>
      </c>
      <c r="N53" s="17">
        <f t="shared" si="8"/>
        <v>0</v>
      </c>
      <c r="O53" s="17">
        <f t="shared" si="8"/>
        <v>0</v>
      </c>
      <c r="P53" s="24">
        <f t="shared" si="8"/>
        <v>0</v>
      </c>
      <c r="Q53" s="13"/>
    </row>
    <row r="54" spans="2:17" ht="16" customHeight="1" x14ac:dyDescent="0.45">
      <c r="B54" s="11" t="s">
        <v>93</v>
      </c>
      <c r="C54" s="11" t="s">
        <v>22</v>
      </c>
      <c r="D54" s="29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22"/>
      <c r="Q54" s="13"/>
    </row>
    <row r="55" spans="2:17" ht="16" customHeight="1" x14ac:dyDescent="0.45">
      <c r="B55" s="14" t="s">
        <v>94</v>
      </c>
      <c r="C55" s="14" t="s">
        <v>28</v>
      </c>
      <c r="D55" s="30">
        <v>-2802.4047300000002</v>
      </c>
      <c r="E55" s="15">
        <v>-3257.55762</v>
      </c>
      <c r="F55" s="15">
        <v>-8265.7338400000008</v>
      </c>
      <c r="G55" s="15">
        <v>-2821.18273</v>
      </c>
      <c r="H55" s="15">
        <v>-4572.5515400000004</v>
      </c>
      <c r="I55" s="15">
        <v>-2575.3056499999998</v>
      </c>
      <c r="J55" s="15">
        <v>24294.736110000002</v>
      </c>
      <c r="K55" s="15"/>
      <c r="L55" s="15"/>
      <c r="M55" s="15"/>
      <c r="N55" s="15"/>
      <c r="O55" s="15"/>
      <c r="P55" s="23">
        <f t="shared" ref="P55:P60" si="9">SUM(D55:O55)</f>
        <v>0</v>
      </c>
      <c r="Q55" s="13"/>
    </row>
    <row r="56" spans="2:17" ht="16" customHeight="1" x14ac:dyDescent="0.45">
      <c r="B56" s="14" t="s">
        <v>95</v>
      </c>
      <c r="C56" s="14" t="s">
        <v>80</v>
      </c>
      <c r="D56" s="30">
        <v>-737.44348000000002</v>
      </c>
      <c r="E56" s="15">
        <v>-687.60347999999999</v>
      </c>
      <c r="F56" s="15">
        <v>614.41138000000001</v>
      </c>
      <c r="G56" s="15">
        <v>-478.23174999999998</v>
      </c>
      <c r="H56" s="15">
        <v>-1160.5874799999999</v>
      </c>
      <c r="I56" s="15">
        <v>137.23168999999999</v>
      </c>
      <c r="J56" s="15">
        <v>2312.2231200000001</v>
      </c>
      <c r="K56" s="15"/>
      <c r="L56" s="15"/>
      <c r="M56" s="15"/>
      <c r="N56" s="15"/>
      <c r="O56" s="15"/>
      <c r="P56" s="23">
        <f t="shared" si="9"/>
        <v>0</v>
      </c>
      <c r="Q56" s="13"/>
    </row>
    <row r="57" spans="2:17" ht="16" customHeight="1" x14ac:dyDescent="0.45">
      <c r="B57" s="14" t="s">
        <v>96</v>
      </c>
      <c r="C57" s="14" t="s">
        <v>97</v>
      </c>
      <c r="D57" s="30">
        <v>-4621.4732700000004</v>
      </c>
      <c r="E57" s="15">
        <v>-3462.7216699999999</v>
      </c>
      <c r="F57" s="15">
        <v>-2489.30602</v>
      </c>
      <c r="G57" s="15">
        <v>-3711.51773</v>
      </c>
      <c r="H57" s="15">
        <v>-3594.9805799999999</v>
      </c>
      <c r="I57" s="15">
        <v>6528.41507</v>
      </c>
      <c r="J57" s="15">
        <v>11351.584199999999</v>
      </c>
      <c r="K57" s="15"/>
      <c r="L57" s="15"/>
      <c r="M57" s="15"/>
      <c r="N57" s="15"/>
      <c r="O57" s="15"/>
      <c r="P57" s="23">
        <f t="shared" si="9"/>
        <v>0</v>
      </c>
      <c r="Q57" s="13"/>
    </row>
    <row r="58" spans="2:17" ht="16" customHeight="1" x14ac:dyDescent="0.45">
      <c r="B58" s="14" t="s">
        <v>98</v>
      </c>
      <c r="C58" s="14" t="s">
        <v>99</v>
      </c>
      <c r="D58" s="30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23">
        <f t="shared" si="9"/>
        <v>0</v>
      </c>
      <c r="Q58" s="13"/>
    </row>
    <row r="59" spans="2:17" ht="16" customHeight="1" x14ac:dyDescent="0.45">
      <c r="B59" s="14" t="s">
        <v>100</v>
      </c>
      <c r="C59" s="14" t="s">
        <v>88</v>
      </c>
      <c r="D59" s="30"/>
      <c r="E59" s="15"/>
      <c r="F59" s="15">
        <v>-20.92708</v>
      </c>
      <c r="G59" s="15">
        <v>-79.864230000000006</v>
      </c>
      <c r="H59" s="15">
        <v>5.39377</v>
      </c>
      <c r="I59" s="15">
        <v>0</v>
      </c>
      <c r="J59" s="15">
        <v>95.397540000000006</v>
      </c>
      <c r="K59" s="15"/>
      <c r="L59" s="15"/>
      <c r="M59" s="15"/>
      <c r="N59" s="15"/>
      <c r="O59" s="15"/>
      <c r="P59" s="23">
        <f t="shared" si="9"/>
        <v>0</v>
      </c>
      <c r="Q59" s="13"/>
    </row>
    <row r="60" spans="2:17" ht="16" customHeight="1" x14ac:dyDescent="0.45">
      <c r="B60" s="14" t="s">
        <v>101</v>
      </c>
      <c r="C60" s="14" t="s">
        <v>102</v>
      </c>
      <c r="D60" s="30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23">
        <f t="shared" si="9"/>
        <v>0</v>
      </c>
      <c r="Q60" s="13"/>
    </row>
    <row r="61" spans="2:17" ht="16" customHeight="1" x14ac:dyDescent="0.45">
      <c r="B61" s="16" t="s">
        <v>103</v>
      </c>
      <c r="C61" s="16" t="s">
        <v>104</v>
      </c>
      <c r="D61" s="31">
        <f t="shared" ref="D61:P61" si="10">-(-(D55+D56)-D57-D59-D58)</f>
        <v>-8161.3214800000005</v>
      </c>
      <c r="E61" s="17">
        <f t="shared" si="10"/>
        <v>-7407.8827700000002</v>
      </c>
      <c r="F61" s="17">
        <f t="shared" si="10"/>
        <v>-10161.555560000001</v>
      </c>
      <c r="G61" s="17">
        <f t="shared" si="10"/>
        <v>-7090.7964400000001</v>
      </c>
      <c r="H61" s="17">
        <f t="shared" si="10"/>
        <v>-9322.7258299999994</v>
      </c>
      <c r="I61" s="17">
        <f t="shared" si="10"/>
        <v>4090.3411100000003</v>
      </c>
      <c r="J61" s="17">
        <f t="shared" si="10"/>
        <v>38053.940969999996</v>
      </c>
      <c r="K61" s="17">
        <f t="shared" si="10"/>
        <v>0</v>
      </c>
      <c r="L61" s="17">
        <f t="shared" si="10"/>
        <v>0</v>
      </c>
      <c r="M61" s="17">
        <f t="shared" si="10"/>
        <v>0</v>
      </c>
      <c r="N61" s="17">
        <f t="shared" si="10"/>
        <v>0</v>
      </c>
      <c r="O61" s="17">
        <f t="shared" si="10"/>
        <v>0</v>
      </c>
      <c r="P61" s="24">
        <f t="shared" si="10"/>
        <v>0</v>
      </c>
      <c r="Q61" s="13"/>
    </row>
    <row r="62" spans="2:17" ht="16" customHeight="1" thickBot="1" x14ac:dyDescent="0.5">
      <c r="B62" s="11" t="s">
        <v>105</v>
      </c>
      <c r="C62" s="11" t="s">
        <v>22</v>
      </c>
      <c r="D62" s="29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22"/>
      <c r="Q62" s="13"/>
    </row>
    <row r="63" spans="2:17" ht="16" customHeight="1" thickBot="1" x14ac:dyDescent="0.5">
      <c r="B63" s="18" t="s">
        <v>106</v>
      </c>
      <c r="C63" s="18" t="s">
        <v>107</v>
      </c>
      <c r="D63" s="32">
        <f t="shared" ref="D63:P63" si="11">D53+D61</f>
        <v>-11448.26302</v>
      </c>
      <c r="E63" s="19">
        <f t="shared" si="11"/>
        <v>-10335.261200000001</v>
      </c>
      <c r="F63" s="19">
        <f t="shared" si="11"/>
        <v>-13693.045840000001</v>
      </c>
      <c r="G63" s="19">
        <f t="shared" si="11"/>
        <v>-11176.821090000001</v>
      </c>
      <c r="H63" s="19">
        <f t="shared" si="11"/>
        <v>-12942.466409999999</v>
      </c>
      <c r="I63" s="19">
        <f t="shared" si="11"/>
        <v>1815.84564</v>
      </c>
      <c r="J63" s="19">
        <f t="shared" si="11"/>
        <v>57780.01191999999</v>
      </c>
      <c r="K63" s="19">
        <f t="shared" si="11"/>
        <v>0</v>
      </c>
      <c r="L63" s="19">
        <f t="shared" si="11"/>
        <v>0</v>
      </c>
      <c r="M63" s="19">
        <f t="shared" si="11"/>
        <v>0</v>
      </c>
      <c r="N63" s="19">
        <f t="shared" si="11"/>
        <v>0</v>
      </c>
      <c r="O63" s="19">
        <f t="shared" si="11"/>
        <v>0</v>
      </c>
      <c r="P63" s="25">
        <f t="shared" si="11"/>
        <v>0</v>
      </c>
      <c r="Q63" s="13"/>
    </row>
    <row r="64" spans="2:17" ht="16" customHeight="1" x14ac:dyDescent="0.45">
      <c r="B64" s="11" t="s">
        <v>108</v>
      </c>
      <c r="C64" s="11" t="s">
        <v>22</v>
      </c>
      <c r="D64" s="29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22"/>
      <c r="Q64" s="13"/>
    </row>
    <row r="65" spans="2:17" ht="16" customHeight="1" x14ac:dyDescent="0.45">
      <c r="B65" s="14" t="s">
        <v>109</v>
      </c>
      <c r="C65" s="14" t="s">
        <v>110</v>
      </c>
      <c r="D65" s="30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23">
        <f>SUM(D65:O65)</f>
        <v>0</v>
      </c>
      <c r="Q65" s="13"/>
    </row>
    <row r="66" spans="2:17" ht="16" customHeight="1" x14ac:dyDescent="0.45">
      <c r="B66" s="14" t="s">
        <v>111</v>
      </c>
      <c r="C66" s="14" t="s">
        <v>112</v>
      </c>
      <c r="D66" s="30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23">
        <f>SUM(D66:O66)</f>
        <v>0</v>
      </c>
      <c r="Q66" s="13"/>
    </row>
    <row r="67" spans="2:17" ht="16" customHeight="1" x14ac:dyDescent="0.45">
      <c r="B67" s="16" t="s">
        <v>113</v>
      </c>
      <c r="C67" s="16" t="s">
        <v>114</v>
      </c>
      <c r="D67" s="31">
        <f t="shared" ref="D67:P67" si="12">D65+D66</f>
        <v>0</v>
      </c>
      <c r="E67" s="17">
        <f t="shared" si="12"/>
        <v>0</v>
      </c>
      <c r="F67" s="17">
        <f t="shared" si="12"/>
        <v>0</v>
      </c>
      <c r="G67" s="17">
        <f t="shared" si="12"/>
        <v>0</v>
      </c>
      <c r="H67" s="17">
        <f t="shared" si="12"/>
        <v>0</v>
      </c>
      <c r="I67" s="17">
        <f t="shared" si="12"/>
        <v>0</v>
      </c>
      <c r="J67" s="17">
        <f t="shared" si="12"/>
        <v>0</v>
      </c>
      <c r="K67" s="17">
        <f t="shared" si="12"/>
        <v>0</v>
      </c>
      <c r="L67" s="17">
        <f t="shared" si="12"/>
        <v>0</v>
      </c>
      <c r="M67" s="17">
        <f t="shared" si="12"/>
        <v>0</v>
      </c>
      <c r="N67" s="17">
        <f t="shared" si="12"/>
        <v>0</v>
      </c>
      <c r="O67" s="17">
        <f t="shared" si="12"/>
        <v>0</v>
      </c>
      <c r="P67" s="24">
        <f t="shared" si="12"/>
        <v>0</v>
      </c>
      <c r="Q67" s="13"/>
    </row>
    <row r="68" spans="2:17" ht="16" customHeight="1" thickBot="1" x14ac:dyDescent="0.5">
      <c r="B68" s="11" t="s">
        <v>115</v>
      </c>
      <c r="C68" s="11" t="s">
        <v>22</v>
      </c>
      <c r="D68" s="29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22"/>
      <c r="Q68" s="13"/>
    </row>
    <row r="69" spans="2:17" ht="16" customHeight="1" thickBot="1" x14ac:dyDescent="0.5">
      <c r="B69" s="18" t="s">
        <v>116</v>
      </c>
      <c r="C69" s="18" t="s">
        <v>117</v>
      </c>
      <c r="D69" s="32">
        <f t="shared" ref="D69:P69" si="13">-(-(D44+D63)-D67)</f>
        <v>-14520.502179999998</v>
      </c>
      <c r="E69" s="19">
        <f t="shared" si="13"/>
        <v>-4633.8083400000105</v>
      </c>
      <c r="F69" s="19">
        <f t="shared" si="13"/>
        <v>20390.752690000001</v>
      </c>
      <c r="G69" s="19">
        <f t="shared" si="13"/>
        <v>29646.837849999964</v>
      </c>
      <c r="H69" s="19">
        <f t="shared" si="13"/>
        <v>51334.15964000002</v>
      </c>
      <c r="I69" s="19">
        <f t="shared" si="13"/>
        <v>32199.236819999991</v>
      </c>
      <c r="J69" s="19">
        <f t="shared" si="13"/>
        <v>-114416.67648000023</v>
      </c>
      <c r="K69" s="19">
        <f t="shared" si="13"/>
        <v>0</v>
      </c>
      <c r="L69" s="19">
        <f t="shared" si="13"/>
        <v>0</v>
      </c>
      <c r="M69" s="19">
        <f t="shared" si="13"/>
        <v>0</v>
      </c>
      <c r="N69" s="19">
        <f t="shared" si="13"/>
        <v>0</v>
      </c>
      <c r="O69" s="19">
        <f t="shared" si="13"/>
        <v>0</v>
      </c>
      <c r="P69" s="25">
        <f t="shared" si="13"/>
        <v>0</v>
      </c>
      <c r="Q69" s="13"/>
    </row>
    <row r="70" spans="2:17" ht="16" customHeight="1" x14ac:dyDescent="0.45">
      <c r="B70" s="11" t="s">
        <v>118</v>
      </c>
      <c r="C70" s="11" t="s">
        <v>22</v>
      </c>
      <c r="D70" s="29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2"/>
      <c r="Q70" s="13"/>
    </row>
    <row r="71" spans="2:17" ht="16" customHeight="1" x14ac:dyDescent="0.45">
      <c r="B71" s="14" t="s">
        <v>119</v>
      </c>
      <c r="C71" s="14" t="s">
        <v>120</v>
      </c>
      <c r="D71" s="30">
        <v>-4146.2315799999997</v>
      </c>
      <c r="E71" s="15">
        <v>-4166.2963399999999</v>
      </c>
      <c r="F71" s="15">
        <v>-4419.4365100000005</v>
      </c>
      <c r="G71" s="15">
        <v>-4446.7296299999998</v>
      </c>
      <c r="H71" s="15">
        <v>-4905.4648399999996</v>
      </c>
      <c r="I71" s="15">
        <v>0</v>
      </c>
      <c r="J71" s="15">
        <v>22084.158899999999</v>
      </c>
      <c r="K71" s="15"/>
      <c r="L71" s="15"/>
      <c r="M71" s="15"/>
      <c r="N71" s="15"/>
      <c r="O71" s="15"/>
      <c r="P71" s="23">
        <f>SUM(D71:O71)</f>
        <v>0</v>
      </c>
      <c r="Q71" s="13"/>
    </row>
    <row r="72" spans="2:17" ht="16" customHeight="1" x14ac:dyDescent="0.45">
      <c r="B72" s="14" t="s">
        <v>121</v>
      </c>
      <c r="C72" s="14" t="s">
        <v>64</v>
      </c>
      <c r="D72" s="30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23">
        <f>SUM(D72:O72)</f>
        <v>0</v>
      </c>
      <c r="Q72" s="13"/>
    </row>
    <row r="73" spans="2:17" ht="16" customHeight="1" x14ac:dyDescent="0.45">
      <c r="B73" s="14" t="s">
        <v>122</v>
      </c>
      <c r="C73" s="14" t="s">
        <v>123</v>
      </c>
      <c r="D73" s="30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23">
        <f>SUM(D73:O73)</f>
        <v>0</v>
      </c>
      <c r="Q73" s="13"/>
    </row>
    <row r="74" spans="2:17" ht="16" customHeight="1" thickBot="1" x14ac:dyDescent="0.5">
      <c r="B74" s="11" t="s">
        <v>124</v>
      </c>
      <c r="C74" s="11" t="s">
        <v>22</v>
      </c>
      <c r="D74" s="29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22"/>
      <c r="Q74" s="13"/>
    </row>
    <row r="75" spans="2:17" ht="16" customHeight="1" thickBot="1" x14ac:dyDescent="0.5">
      <c r="B75" s="18" t="s">
        <v>125</v>
      </c>
      <c r="C75" s="18" t="s">
        <v>126</v>
      </c>
      <c r="D75" s="32">
        <f t="shared" ref="D75:P75" si="14">-(-(D69+D72)-D71-D73)</f>
        <v>-18666.733759999996</v>
      </c>
      <c r="E75" s="19">
        <f t="shared" si="14"/>
        <v>-8800.1046800000113</v>
      </c>
      <c r="F75" s="19">
        <f t="shared" si="14"/>
        <v>15971.316180000002</v>
      </c>
      <c r="G75" s="19">
        <f t="shared" si="14"/>
        <v>25200.108219999966</v>
      </c>
      <c r="H75" s="19">
        <f t="shared" si="14"/>
        <v>46428.694800000019</v>
      </c>
      <c r="I75" s="19">
        <f t="shared" si="14"/>
        <v>32199.236819999991</v>
      </c>
      <c r="J75" s="19">
        <f t="shared" si="14"/>
        <v>-92332.517580000233</v>
      </c>
      <c r="K75" s="19">
        <f t="shared" si="14"/>
        <v>0</v>
      </c>
      <c r="L75" s="19">
        <f t="shared" si="14"/>
        <v>0</v>
      </c>
      <c r="M75" s="19">
        <f t="shared" si="14"/>
        <v>0</v>
      </c>
      <c r="N75" s="19">
        <f t="shared" si="14"/>
        <v>0</v>
      </c>
      <c r="O75" s="19">
        <f t="shared" si="14"/>
        <v>0</v>
      </c>
      <c r="P75" s="25">
        <f t="shared" si="14"/>
        <v>0</v>
      </c>
      <c r="Q75" s="13"/>
    </row>
    <row r="76" spans="2:17" ht="16" customHeight="1" x14ac:dyDescent="0.45">
      <c r="B76" s="11" t="s">
        <v>127</v>
      </c>
      <c r="C76" s="11" t="s">
        <v>22</v>
      </c>
      <c r="D76" s="29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22"/>
      <c r="Q76" s="13"/>
    </row>
    <row r="77" spans="2:17" ht="16" customHeight="1" x14ac:dyDescent="0.45">
      <c r="B77" s="14" t="s">
        <v>128</v>
      </c>
      <c r="C77" s="14" t="s">
        <v>129</v>
      </c>
      <c r="D77" s="30">
        <v>-8900.3599099999992</v>
      </c>
      <c r="E77" s="15">
        <v>-10008.89157</v>
      </c>
      <c r="F77" s="15">
        <v>-11099.17275</v>
      </c>
      <c r="G77" s="15">
        <v>-10471.07532</v>
      </c>
      <c r="H77" s="15">
        <v>-14241.595139999999</v>
      </c>
      <c r="I77" s="15">
        <v>0</v>
      </c>
      <c r="J77" s="15">
        <v>54721.094689999998</v>
      </c>
      <c r="K77" s="15"/>
      <c r="L77" s="15"/>
      <c r="M77" s="15"/>
      <c r="N77" s="15"/>
      <c r="O77" s="15"/>
      <c r="P77" s="23">
        <f>SUM(D77:O77)</f>
        <v>0</v>
      </c>
      <c r="Q77" s="13"/>
    </row>
    <row r="78" spans="2:17" ht="16" customHeight="1" x14ac:dyDescent="0.45">
      <c r="B78" s="14" t="s">
        <v>130</v>
      </c>
      <c r="C78" s="14" t="s">
        <v>131</v>
      </c>
      <c r="D78" s="30">
        <v>-181.87100000000001</v>
      </c>
      <c r="E78" s="15">
        <v>-298.36599999999999</v>
      </c>
      <c r="F78" s="15">
        <v>-255.81299999999999</v>
      </c>
      <c r="G78" s="15">
        <v>-359.58199999999999</v>
      </c>
      <c r="H78" s="15">
        <v>-367.58199999999999</v>
      </c>
      <c r="I78" s="15">
        <v>0</v>
      </c>
      <c r="J78" s="15">
        <v>1463.2139999999999</v>
      </c>
      <c r="K78" s="15"/>
      <c r="L78" s="15"/>
      <c r="M78" s="15"/>
      <c r="N78" s="15"/>
      <c r="O78" s="15"/>
      <c r="P78" s="23">
        <f>SUM(D78:O78)</f>
        <v>0</v>
      </c>
      <c r="Q78" s="13"/>
    </row>
    <row r="79" spans="2:17" ht="16" customHeight="1" x14ac:dyDescent="0.45">
      <c r="B79" s="14" t="s">
        <v>132</v>
      </c>
      <c r="C79" s="14" t="s">
        <v>133</v>
      </c>
      <c r="D79" s="30">
        <v>-622.50729999999999</v>
      </c>
      <c r="E79" s="15">
        <v>-645.97569999999996</v>
      </c>
      <c r="F79" s="15">
        <v>-651.13081999999997</v>
      </c>
      <c r="G79" s="15">
        <v>-648.52389000000005</v>
      </c>
      <c r="H79" s="15">
        <v>-650.55794000000003</v>
      </c>
      <c r="I79" s="15">
        <v>0</v>
      </c>
      <c r="J79" s="15">
        <v>3218.6956500000001</v>
      </c>
      <c r="K79" s="15"/>
      <c r="L79" s="15"/>
      <c r="M79" s="15"/>
      <c r="N79" s="15"/>
      <c r="O79" s="15"/>
      <c r="P79" s="23">
        <f>SUM(D79:O79)</f>
        <v>0</v>
      </c>
      <c r="Q79" s="13"/>
    </row>
    <row r="80" spans="2:17" ht="16" customHeight="1" x14ac:dyDescent="0.45">
      <c r="B80" s="14" t="s">
        <v>134</v>
      </c>
      <c r="C80" s="14" t="s">
        <v>135</v>
      </c>
      <c r="D80" s="30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23">
        <f>SUM(D80:O80)</f>
        <v>0</v>
      </c>
      <c r="Q80" s="13"/>
    </row>
    <row r="81" spans="2:17" ht="16" customHeight="1" thickBot="1" x14ac:dyDescent="0.5">
      <c r="B81" s="11" t="s">
        <v>136</v>
      </c>
      <c r="C81" s="11" t="s">
        <v>22</v>
      </c>
      <c r="D81" s="29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2"/>
      <c r="Q81" s="13"/>
    </row>
    <row r="82" spans="2:17" ht="16" customHeight="1" thickBot="1" x14ac:dyDescent="0.5">
      <c r="B82" s="18" t="s">
        <v>137</v>
      </c>
      <c r="C82" s="18" t="s">
        <v>138</v>
      </c>
      <c r="D82" s="32">
        <f t="shared" ref="D82:P82" si="15">-(-(D75+D77)-D78-D79-D80)</f>
        <v>-28371.471969999995</v>
      </c>
      <c r="E82" s="19">
        <f t="shared" si="15"/>
        <v>-19753.337950000012</v>
      </c>
      <c r="F82" s="19">
        <f t="shared" si="15"/>
        <v>3965.1996100000019</v>
      </c>
      <c r="G82" s="19">
        <f t="shared" si="15"/>
        <v>13720.927009999965</v>
      </c>
      <c r="H82" s="19">
        <f t="shared" si="15"/>
        <v>31168.959720000024</v>
      </c>
      <c r="I82" s="19">
        <f t="shared" si="15"/>
        <v>32199.236819999991</v>
      </c>
      <c r="J82" s="19">
        <f t="shared" si="15"/>
        <v>-32929.513240000233</v>
      </c>
      <c r="K82" s="19">
        <f t="shared" si="15"/>
        <v>0</v>
      </c>
      <c r="L82" s="19">
        <f t="shared" si="15"/>
        <v>0</v>
      </c>
      <c r="M82" s="19">
        <f t="shared" si="15"/>
        <v>0</v>
      </c>
      <c r="N82" s="19">
        <f t="shared" si="15"/>
        <v>0</v>
      </c>
      <c r="O82" s="19">
        <f t="shared" si="15"/>
        <v>0</v>
      </c>
      <c r="P82" s="25">
        <f t="shared" si="15"/>
        <v>0</v>
      </c>
      <c r="Q82" s="13"/>
    </row>
    <row r="83" spans="2:17" ht="16" customHeight="1" x14ac:dyDescent="0.45">
      <c r="B83" s="11" t="s">
        <v>139</v>
      </c>
      <c r="C83" s="11" t="s">
        <v>22</v>
      </c>
      <c r="D83" s="29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2"/>
      <c r="Q83" s="13"/>
    </row>
    <row r="84" spans="2:17" ht="16" customHeight="1" x14ac:dyDescent="0.45">
      <c r="B84" s="14" t="s">
        <v>140</v>
      </c>
      <c r="C84" s="14" t="s">
        <v>141</v>
      </c>
      <c r="D84" s="30">
        <v>-913.14860999999996</v>
      </c>
      <c r="E84" s="15">
        <v>-129.30160000000001</v>
      </c>
      <c r="F84" s="15">
        <v>-154.14663999999999</v>
      </c>
      <c r="G84" s="15">
        <v>-117.50700000000001</v>
      </c>
      <c r="H84" s="15">
        <v>-1217.68237</v>
      </c>
      <c r="I84" s="15">
        <v>0</v>
      </c>
      <c r="J84" s="15">
        <v>2531.78622</v>
      </c>
      <c r="K84" s="15"/>
      <c r="L84" s="15"/>
      <c r="M84" s="15"/>
      <c r="N84" s="15"/>
      <c r="O84" s="15"/>
      <c r="P84" s="23">
        <f>SUM(D84:O84)</f>
        <v>0</v>
      </c>
      <c r="Q84" s="13"/>
    </row>
    <row r="85" spans="2:17" ht="16" customHeight="1" x14ac:dyDescent="0.45">
      <c r="B85" s="14" t="s">
        <v>142</v>
      </c>
      <c r="C85" s="14" t="s">
        <v>143</v>
      </c>
      <c r="D85" s="30">
        <v>-645.30913999999996</v>
      </c>
      <c r="E85" s="15">
        <v>-1030.5172</v>
      </c>
      <c r="F85" s="15">
        <v>0</v>
      </c>
      <c r="G85" s="15">
        <v>-629.02787999999998</v>
      </c>
      <c r="H85" s="15">
        <v>0</v>
      </c>
      <c r="I85" s="15">
        <v>0</v>
      </c>
      <c r="J85" s="15">
        <v>2304.8542200000002</v>
      </c>
      <c r="K85" s="15"/>
      <c r="L85" s="15"/>
      <c r="M85" s="15"/>
      <c r="N85" s="15"/>
      <c r="O85" s="15"/>
      <c r="P85" s="23">
        <f>SUM(D85:O85)</f>
        <v>0</v>
      </c>
      <c r="Q85" s="13"/>
    </row>
    <row r="86" spans="2:17" ht="16" customHeight="1" x14ac:dyDescent="0.45">
      <c r="B86" s="14" t="s">
        <v>144</v>
      </c>
      <c r="C86" s="14" t="s">
        <v>145</v>
      </c>
      <c r="D86" s="30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23">
        <f>SUM(D86:O86)</f>
        <v>0</v>
      </c>
      <c r="Q86" s="13"/>
    </row>
    <row r="87" spans="2:17" ht="16" customHeight="1" x14ac:dyDescent="0.45">
      <c r="B87" s="14" t="s">
        <v>146</v>
      </c>
      <c r="C87" s="14" t="s">
        <v>147</v>
      </c>
      <c r="D87" s="30"/>
      <c r="E87" s="15"/>
      <c r="F87" s="15">
        <v>-1457.4298899999999</v>
      </c>
      <c r="G87" s="15">
        <v>-962.63081</v>
      </c>
      <c r="H87" s="15">
        <v>-1033.2242100000001</v>
      </c>
      <c r="I87" s="15">
        <v>0</v>
      </c>
      <c r="J87" s="15">
        <v>3453.2849099999999</v>
      </c>
      <c r="K87" s="15"/>
      <c r="L87" s="15"/>
      <c r="M87" s="15"/>
      <c r="N87" s="15"/>
      <c r="O87" s="15"/>
      <c r="P87" s="23">
        <f>SUM(D87:O87)</f>
        <v>0</v>
      </c>
      <c r="Q87" s="13"/>
    </row>
    <row r="88" spans="2:17" ht="16" customHeight="1" x14ac:dyDescent="0.45">
      <c r="B88" s="14" t="s">
        <v>148</v>
      </c>
      <c r="C88" s="14" t="s">
        <v>149</v>
      </c>
      <c r="D88" s="30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23">
        <f>SUM(D88:O88)</f>
        <v>0</v>
      </c>
      <c r="Q88" s="13"/>
    </row>
    <row r="89" spans="2:17" ht="16" customHeight="1" x14ac:dyDescent="0.45">
      <c r="B89" s="16" t="s">
        <v>150</v>
      </c>
      <c r="C89" s="16" t="s">
        <v>151</v>
      </c>
      <c r="D89" s="31">
        <f t="shared" ref="D89:P89" si="16">-(-(D84+D85)-D86-D87-D88)</f>
        <v>-1558.45775</v>
      </c>
      <c r="E89" s="17">
        <f t="shared" si="16"/>
        <v>-1159.8188</v>
      </c>
      <c r="F89" s="17">
        <f t="shared" si="16"/>
        <v>-1611.5765299999998</v>
      </c>
      <c r="G89" s="17">
        <f t="shared" si="16"/>
        <v>-1709.1656899999998</v>
      </c>
      <c r="H89" s="17">
        <f t="shared" si="16"/>
        <v>-2250.9065799999998</v>
      </c>
      <c r="I89" s="17">
        <f t="shared" si="16"/>
        <v>0</v>
      </c>
      <c r="J89" s="17">
        <f t="shared" si="16"/>
        <v>8289.9253499999995</v>
      </c>
      <c r="K89" s="17">
        <f t="shared" si="16"/>
        <v>0</v>
      </c>
      <c r="L89" s="17">
        <f t="shared" si="16"/>
        <v>0</v>
      </c>
      <c r="M89" s="17">
        <f t="shared" si="16"/>
        <v>0</v>
      </c>
      <c r="N89" s="17">
        <f t="shared" si="16"/>
        <v>0</v>
      </c>
      <c r="O89" s="17">
        <f t="shared" si="16"/>
        <v>0</v>
      </c>
      <c r="P89" s="24">
        <f t="shared" si="16"/>
        <v>0</v>
      </c>
      <c r="Q89" s="13"/>
    </row>
    <row r="90" spans="2:17" ht="16" customHeight="1" x14ac:dyDescent="0.45">
      <c r="B90" s="11" t="s">
        <v>152</v>
      </c>
      <c r="C90" s="11" t="s">
        <v>22</v>
      </c>
      <c r="D90" s="29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2"/>
      <c r="Q90" s="13"/>
    </row>
    <row r="91" spans="2:17" ht="16" customHeight="1" x14ac:dyDescent="0.45">
      <c r="B91" s="14" t="s">
        <v>153</v>
      </c>
      <c r="C91" s="14" t="s">
        <v>154</v>
      </c>
      <c r="D91" s="30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23">
        <f>SUM(D91:O91)</f>
        <v>0</v>
      </c>
      <c r="Q91" s="13"/>
    </row>
    <row r="92" spans="2:17" ht="16" customHeight="1" x14ac:dyDescent="0.45">
      <c r="B92" s="14" t="s">
        <v>155</v>
      </c>
      <c r="C92" s="14" t="s">
        <v>156</v>
      </c>
      <c r="D92" s="30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23">
        <f>SUM(D92:O92)</f>
        <v>0</v>
      </c>
      <c r="Q92" s="13"/>
    </row>
    <row r="93" spans="2:17" ht="16" customHeight="1" x14ac:dyDescent="0.45">
      <c r="B93" s="14" t="s">
        <v>157</v>
      </c>
      <c r="C93" s="14" t="s">
        <v>158</v>
      </c>
      <c r="D93" s="30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23">
        <f>SUM(D93:O93)</f>
        <v>0</v>
      </c>
      <c r="Q93" s="13"/>
    </row>
    <row r="94" spans="2:17" ht="16" customHeight="1" x14ac:dyDescent="0.45">
      <c r="B94" s="14" t="s">
        <v>159</v>
      </c>
      <c r="C94" s="14" t="s">
        <v>160</v>
      </c>
      <c r="D94" s="30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23">
        <f>SUM(D94:O94)</f>
        <v>0</v>
      </c>
      <c r="Q94" s="13"/>
    </row>
    <row r="95" spans="2:17" ht="16" customHeight="1" x14ac:dyDescent="0.45">
      <c r="B95" s="14" t="s">
        <v>161</v>
      </c>
      <c r="C95" s="14" t="s">
        <v>162</v>
      </c>
      <c r="D95" s="30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23">
        <f>SUM(D95:O95)</f>
        <v>0</v>
      </c>
      <c r="Q95" s="13"/>
    </row>
    <row r="96" spans="2:17" ht="16" customHeight="1" x14ac:dyDescent="0.45">
      <c r="B96" s="16" t="s">
        <v>163</v>
      </c>
      <c r="C96" s="16" t="s">
        <v>164</v>
      </c>
      <c r="D96" s="31">
        <f t="shared" ref="D96:P96" si="17">-(-(D91+D92)-D93-D94-D95)</f>
        <v>0</v>
      </c>
      <c r="E96" s="17">
        <f t="shared" si="17"/>
        <v>0</v>
      </c>
      <c r="F96" s="17">
        <f t="shared" si="17"/>
        <v>0</v>
      </c>
      <c r="G96" s="17">
        <f t="shared" si="17"/>
        <v>0</v>
      </c>
      <c r="H96" s="17">
        <f t="shared" si="17"/>
        <v>0</v>
      </c>
      <c r="I96" s="17">
        <f t="shared" si="17"/>
        <v>0</v>
      </c>
      <c r="J96" s="17">
        <f t="shared" si="17"/>
        <v>0</v>
      </c>
      <c r="K96" s="17">
        <f t="shared" si="17"/>
        <v>0</v>
      </c>
      <c r="L96" s="17">
        <f t="shared" si="17"/>
        <v>0</v>
      </c>
      <c r="M96" s="17">
        <f t="shared" si="17"/>
        <v>0</v>
      </c>
      <c r="N96" s="17">
        <f t="shared" si="17"/>
        <v>0</v>
      </c>
      <c r="O96" s="17">
        <f t="shared" si="17"/>
        <v>0</v>
      </c>
      <c r="P96" s="24">
        <f t="shared" si="17"/>
        <v>0</v>
      </c>
      <c r="Q96" s="13"/>
    </row>
    <row r="97" spans="2:17" ht="16" customHeight="1" x14ac:dyDescent="0.45">
      <c r="B97" s="11" t="s">
        <v>165</v>
      </c>
      <c r="C97" s="11" t="s">
        <v>22</v>
      </c>
      <c r="D97" s="29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22"/>
      <c r="Q97" s="13"/>
    </row>
    <row r="98" spans="2:17" ht="16" customHeight="1" x14ac:dyDescent="0.45">
      <c r="B98" s="14" t="s">
        <v>166</v>
      </c>
      <c r="C98" s="14" t="s">
        <v>167</v>
      </c>
      <c r="D98" s="30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23">
        <f>SUM(D98:O98)</f>
        <v>0</v>
      </c>
      <c r="Q98" s="13"/>
    </row>
    <row r="99" spans="2:17" ht="16" customHeight="1" thickBot="1" x14ac:dyDescent="0.5">
      <c r="B99" s="11" t="s">
        <v>168</v>
      </c>
      <c r="C99" s="11" t="s">
        <v>22</v>
      </c>
      <c r="D99" s="29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22"/>
      <c r="Q99" s="13"/>
    </row>
    <row r="100" spans="2:17" ht="16" customHeight="1" thickBot="1" x14ac:dyDescent="0.5">
      <c r="B100" s="18" t="s">
        <v>169</v>
      </c>
      <c r="C100" s="18" t="s">
        <v>170</v>
      </c>
      <c r="D100" s="32">
        <f t="shared" ref="D100:P100" si="18">-(-(D82+D89)-D96-D98)</f>
        <v>-29929.929719999996</v>
      </c>
      <c r="E100" s="19">
        <f t="shared" si="18"/>
        <v>-20913.156750000013</v>
      </c>
      <c r="F100" s="19">
        <f t="shared" si="18"/>
        <v>2353.6230800000021</v>
      </c>
      <c r="G100" s="19">
        <f t="shared" si="18"/>
        <v>12011.761319999965</v>
      </c>
      <c r="H100" s="19">
        <f t="shared" si="18"/>
        <v>28918.053140000025</v>
      </c>
      <c r="I100" s="19">
        <f t="shared" si="18"/>
        <v>32199.236819999991</v>
      </c>
      <c r="J100" s="19">
        <f t="shared" si="18"/>
        <v>-24639.587890000235</v>
      </c>
      <c r="K100" s="19">
        <f t="shared" si="18"/>
        <v>0</v>
      </c>
      <c r="L100" s="19">
        <f t="shared" si="18"/>
        <v>0</v>
      </c>
      <c r="M100" s="19">
        <f t="shared" si="18"/>
        <v>0</v>
      </c>
      <c r="N100" s="19">
        <f t="shared" si="18"/>
        <v>0</v>
      </c>
      <c r="O100" s="19">
        <f t="shared" si="18"/>
        <v>0</v>
      </c>
      <c r="P100" s="25">
        <f t="shared" si="18"/>
        <v>0</v>
      </c>
      <c r="Q100" s="13"/>
    </row>
    <row r="101" spans="2:17" ht="16" customHeight="1" x14ac:dyDescent="0.45">
      <c r="B101" s="11" t="s">
        <v>171</v>
      </c>
      <c r="C101" s="11" t="s">
        <v>22</v>
      </c>
      <c r="D101" s="29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22"/>
      <c r="Q101" s="13"/>
    </row>
    <row r="102" spans="2:17" ht="16" customHeight="1" x14ac:dyDescent="0.45">
      <c r="B102" s="14" t="s">
        <v>172</v>
      </c>
      <c r="C102" s="14" t="s">
        <v>173</v>
      </c>
      <c r="D102" s="30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23">
        <f>SUM(D102:O102)</f>
        <v>0</v>
      </c>
      <c r="Q102" s="13"/>
    </row>
    <row r="103" spans="2:17" ht="16" customHeight="1" x14ac:dyDescent="0.45">
      <c r="B103" s="14" t="s">
        <v>174</v>
      </c>
      <c r="C103" s="14" t="s">
        <v>175</v>
      </c>
      <c r="D103" s="30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23">
        <f>SUM(D103:O103)</f>
        <v>0</v>
      </c>
      <c r="Q103" s="13"/>
    </row>
    <row r="104" spans="2:17" ht="16" customHeight="1" x14ac:dyDescent="0.45">
      <c r="B104" s="14" t="s">
        <v>176</v>
      </c>
      <c r="C104" s="14" t="s">
        <v>177</v>
      </c>
      <c r="D104" s="30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23">
        <f>SUM(D104:O104)</f>
        <v>0</v>
      </c>
      <c r="Q104" s="13"/>
    </row>
    <row r="105" spans="2:17" ht="16" customHeight="1" x14ac:dyDescent="0.45">
      <c r="B105" s="14" t="s">
        <v>178</v>
      </c>
      <c r="C105" s="14" t="s">
        <v>179</v>
      </c>
      <c r="D105" s="30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23">
        <f>SUM(D105:O105)</f>
        <v>0</v>
      </c>
      <c r="Q105" s="13"/>
    </row>
    <row r="106" spans="2:17" ht="16" customHeight="1" x14ac:dyDescent="0.45">
      <c r="B106" s="16" t="s">
        <v>180</v>
      </c>
      <c r="C106" s="16" t="s">
        <v>181</v>
      </c>
      <c r="D106" s="31">
        <f t="shared" ref="D106:P106" si="19">-(-(D102+D103)-D104-D105)</f>
        <v>0</v>
      </c>
      <c r="E106" s="17">
        <f t="shared" si="19"/>
        <v>0</v>
      </c>
      <c r="F106" s="17">
        <f t="shared" si="19"/>
        <v>0</v>
      </c>
      <c r="G106" s="17">
        <f t="shared" si="19"/>
        <v>0</v>
      </c>
      <c r="H106" s="17">
        <f t="shared" si="19"/>
        <v>0</v>
      </c>
      <c r="I106" s="17">
        <f t="shared" si="19"/>
        <v>0</v>
      </c>
      <c r="J106" s="17">
        <f t="shared" si="19"/>
        <v>0</v>
      </c>
      <c r="K106" s="17">
        <f t="shared" si="19"/>
        <v>0</v>
      </c>
      <c r="L106" s="17">
        <f t="shared" si="19"/>
        <v>0</v>
      </c>
      <c r="M106" s="17">
        <f t="shared" si="19"/>
        <v>0</v>
      </c>
      <c r="N106" s="17">
        <f t="shared" si="19"/>
        <v>0</v>
      </c>
      <c r="O106" s="17">
        <f t="shared" si="19"/>
        <v>0</v>
      </c>
      <c r="P106" s="24">
        <f t="shared" si="19"/>
        <v>0</v>
      </c>
      <c r="Q106" s="13"/>
    </row>
    <row r="107" spans="2:17" ht="16" customHeight="1" x14ac:dyDescent="0.45">
      <c r="B107" s="11" t="s">
        <v>182</v>
      </c>
      <c r="C107" s="11" t="s">
        <v>22</v>
      </c>
      <c r="D107" s="29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22"/>
      <c r="Q107" s="13"/>
    </row>
    <row r="108" spans="2:17" ht="16" customHeight="1" x14ac:dyDescent="0.45">
      <c r="B108" s="14" t="s">
        <v>183</v>
      </c>
      <c r="C108" s="14" t="s">
        <v>184</v>
      </c>
      <c r="D108" s="30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23">
        <f>SUM(D108:O108)</f>
        <v>0</v>
      </c>
      <c r="Q108" s="13"/>
    </row>
    <row r="109" spans="2:17" ht="16" customHeight="1" x14ac:dyDescent="0.45">
      <c r="B109" s="14" t="s">
        <v>185</v>
      </c>
      <c r="C109" s="14" t="s">
        <v>186</v>
      </c>
      <c r="D109" s="30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23">
        <f>SUM(D109:O109)</f>
        <v>0</v>
      </c>
      <c r="Q109" s="13"/>
    </row>
    <row r="110" spans="2:17" ht="16" customHeight="1" x14ac:dyDescent="0.45">
      <c r="B110" s="14" t="s">
        <v>187</v>
      </c>
      <c r="C110" s="14" t="s">
        <v>188</v>
      </c>
      <c r="D110" s="30">
        <v>0.28559000000000001</v>
      </c>
      <c r="E110" s="15">
        <v>5.262E-2</v>
      </c>
      <c r="F110" s="15">
        <v>0.58130000000000004</v>
      </c>
      <c r="G110" s="15">
        <v>1.4642599999999999</v>
      </c>
      <c r="H110" s="15">
        <v>1.4986900000000001</v>
      </c>
      <c r="I110" s="15">
        <v>0</v>
      </c>
      <c r="J110" s="15">
        <v>-3.88246</v>
      </c>
      <c r="K110" s="15"/>
      <c r="L110" s="15"/>
      <c r="M110" s="15"/>
      <c r="N110" s="15"/>
      <c r="O110" s="15"/>
      <c r="P110" s="23">
        <f>SUM(D110:O110)</f>
        <v>0</v>
      </c>
      <c r="Q110" s="13"/>
    </row>
    <row r="111" spans="2:17" ht="16" customHeight="1" x14ac:dyDescent="0.45">
      <c r="B111" s="14" t="s">
        <v>189</v>
      </c>
      <c r="C111" s="14" t="s">
        <v>190</v>
      </c>
      <c r="D111" s="30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23">
        <f>SUM(D111:O111)</f>
        <v>0</v>
      </c>
      <c r="Q111" s="13"/>
    </row>
    <row r="112" spans="2:17" ht="16" customHeight="1" x14ac:dyDescent="0.45">
      <c r="B112" s="16" t="s">
        <v>191</v>
      </c>
      <c r="C112" s="16" t="s">
        <v>192</v>
      </c>
      <c r="D112" s="31">
        <f t="shared" ref="D112:P112" si="20">-(-(D108+D109)-D110-D111)</f>
        <v>0.28559000000000001</v>
      </c>
      <c r="E112" s="17">
        <f t="shared" si="20"/>
        <v>5.262E-2</v>
      </c>
      <c r="F112" s="17">
        <f t="shared" si="20"/>
        <v>0.58130000000000004</v>
      </c>
      <c r="G112" s="17">
        <f t="shared" si="20"/>
        <v>1.4642599999999999</v>
      </c>
      <c r="H112" s="17">
        <f t="shared" si="20"/>
        <v>1.4986900000000001</v>
      </c>
      <c r="I112" s="17">
        <f t="shared" si="20"/>
        <v>0</v>
      </c>
      <c r="J112" s="17">
        <f t="shared" si="20"/>
        <v>-3.88246</v>
      </c>
      <c r="K112" s="17">
        <f t="shared" si="20"/>
        <v>0</v>
      </c>
      <c r="L112" s="17">
        <f t="shared" si="20"/>
        <v>0</v>
      </c>
      <c r="M112" s="17">
        <f t="shared" si="20"/>
        <v>0</v>
      </c>
      <c r="N112" s="17">
        <f t="shared" si="20"/>
        <v>0</v>
      </c>
      <c r="O112" s="17">
        <f t="shared" si="20"/>
        <v>0</v>
      </c>
      <c r="P112" s="24">
        <f t="shared" si="20"/>
        <v>0</v>
      </c>
      <c r="Q112" s="13"/>
    </row>
    <row r="113" spans="2:17" ht="16" customHeight="1" x14ac:dyDescent="0.45">
      <c r="B113" s="11" t="s">
        <v>193</v>
      </c>
      <c r="C113" s="11" t="s">
        <v>22</v>
      </c>
      <c r="D113" s="29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22"/>
      <c r="Q113" s="13"/>
    </row>
    <row r="114" spans="2:17" ht="16" customHeight="1" x14ac:dyDescent="0.45">
      <c r="B114" s="14" t="s">
        <v>194</v>
      </c>
      <c r="C114" s="14" t="s">
        <v>195</v>
      </c>
      <c r="D114" s="30">
        <v>-1639.6327100000001</v>
      </c>
      <c r="E114" s="15">
        <v>-1474.12239</v>
      </c>
      <c r="F114" s="15">
        <v>-1634.5869399999999</v>
      </c>
      <c r="G114" s="15">
        <v>-1574.53385</v>
      </c>
      <c r="H114" s="15">
        <v>-1625.7568799999999</v>
      </c>
      <c r="I114" s="15">
        <v>3583.6652100000001</v>
      </c>
      <c r="J114" s="15">
        <v>4364.96756</v>
      </c>
      <c r="K114" s="15"/>
      <c r="L114" s="15"/>
      <c r="M114" s="15"/>
      <c r="N114" s="15"/>
      <c r="O114" s="15"/>
      <c r="P114" s="23">
        <f>SUM(D114:O114)</f>
        <v>0</v>
      </c>
      <c r="Q114" s="13"/>
    </row>
    <row r="115" spans="2:17" ht="16" customHeight="1" x14ac:dyDescent="0.45">
      <c r="B115" s="14" t="s">
        <v>196</v>
      </c>
      <c r="C115" s="14" t="s">
        <v>197</v>
      </c>
      <c r="D115" s="30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23">
        <f>SUM(D115:O115)</f>
        <v>0</v>
      </c>
      <c r="Q115" s="13"/>
    </row>
    <row r="116" spans="2:17" ht="16" customHeight="1" x14ac:dyDescent="0.45">
      <c r="B116" s="14" t="s">
        <v>198</v>
      </c>
      <c r="C116" s="14" t="s">
        <v>199</v>
      </c>
      <c r="D116" s="30">
        <v>-1307.1199799999999</v>
      </c>
      <c r="E116" s="15">
        <v>-1090.3397299999999</v>
      </c>
      <c r="F116" s="15">
        <v>-1194.43427</v>
      </c>
      <c r="G116" s="15">
        <v>-879.26202999999998</v>
      </c>
      <c r="H116" s="15">
        <v>-1250.1930500000001</v>
      </c>
      <c r="I116" s="15">
        <v>-198.88753</v>
      </c>
      <c r="J116" s="15">
        <v>5920.2365900000004</v>
      </c>
      <c r="K116" s="15"/>
      <c r="L116" s="15"/>
      <c r="M116" s="15"/>
      <c r="N116" s="15"/>
      <c r="O116" s="15"/>
      <c r="P116" s="23">
        <f>SUM(D116:O116)</f>
        <v>0</v>
      </c>
      <c r="Q116" s="13"/>
    </row>
    <row r="117" spans="2:17" ht="16" customHeight="1" x14ac:dyDescent="0.45">
      <c r="B117" s="14" t="s">
        <v>200</v>
      </c>
      <c r="C117" s="14" t="s">
        <v>201</v>
      </c>
      <c r="D117" s="3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23">
        <f>SUM(D117:O117)</f>
        <v>0</v>
      </c>
      <c r="Q117" s="13"/>
    </row>
    <row r="118" spans="2:17" ht="16" customHeight="1" x14ac:dyDescent="0.45">
      <c r="B118" s="14" t="s">
        <v>202</v>
      </c>
      <c r="C118" s="14" t="s">
        <v>203</v>
      </c>
      <c r="D118" s="30">
        <v>-29.721019999999999</v>
      </c>
      <c r="E118" s="15">
        <v>-73.888249999999999</v>
      </c>
      <c r="F118" s="15">
        <v>30.446069999999999</v>
      </c>
      <c r="G118" s="15">
        <v>-16.969729999999998</v>
      </c>
      <c r="H118" s="15">
        <v>32.57658</v>
      </c>
      <c r="I118" s="15">
        <v>-17.441680000000002</v>
      </c>
      <c r="J118" s="15">
        <v>74.99803</v>
      </c>
      <c r="K118" s="15"/>
      <c r="L118" s="15"/>
      <c r="M118" s="15"/>
      <c r="N118" s="15"/>
      <c r="O118" s="15"/>
      <c r="P118" s="23">
        <f>SUM(D118:O118)</f>
        <v>0</v>
      </c>
      <c r="Q118" s="13"/>
    </row>
    <row r="119" spans="2:17" ht="16" customHeight="1" x14ac:dyDescent="0.45">
      <c r="B119" s="16" t="s">
        <v>204</v>
      </c>
      <c r="C119" s="16" t="s">
        <v>205</v>
      </c>
      <c r="D119" s="31">
        <f t="shared" ref="D119:P119" si="21">-(-(D114+D115)-D116-D117-D118)</f>
        <v>-2976.4737100000002</v>
      </c>
      <c r="E119" s="17">
        <f t="shared" si="21"/>
        <v>-2638.3503700000001</v>
      </c>
      <c r="F119" s="17">
        <f t="shared" si="21"/>
        <v>-2798.5751399999999</v>
      </c>
      <c r="G119" s="17">
        <f t="shared" si="21"/>
        <v>-2470.7656099999999</v>
      </c>
      <c r="H119" s="17">
        <f t="shared" si="21"/>
        <v>-2843.3733499999998</v>
      </c>
      <c r="I119" s="17">
        <f t="shared" si="21"/>
        <v>3367.3360000000002</v>
      </c>
      <c r="J119" s="17">
        <f t="shared" si="21"/>
        <v>10360.202180000002</v>
      </c>
      <c r="K119" s="17">
        <f t="shared" si="21"/>
        <v>0</v>
      </c>
      <c r="L119" s="17">
        <f t="shared" si="21"/>
        <v>0</v>
      </c>
      <c r="M119" s="17">
        <f t="shared" si="21"/>
        <v>0</v>
      </c>
      <c r="N119" s="17">
        <f t="shared" si="21"/>
        <v>0</v>
      </c>
      <c r="O119" s="17">
        <f t="shared" si="21"/>
        <v>0</v>
      </c>
      <c r="P119" s="24">
        <f t="shared" si="21"/>
        <v>0</v>
      </c>
      <c r="Q119" s="13"/>
    </row>
    <row r="120" spans="2:17" ht="16" customHeight="1" thickBot="1" x14ac:dyDescent="0.5">
      <c r="B120" s="11" t="s">
        <v>206</v>
      </c>
      <c r="C120" s="11" t="s">
        <v>22</v>
      </c>
      <c r="D120" s="29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22"/>
      <c r="Q120" s="13"/>
    </row>
    <row r="121" spans="2:17" ht="16" customHeight="1" thickBot="1" x14ac:dyDescent="0.5">
      <c r="B121" s="18" t="s">
        <v>207</v>
      </c>
      <c r="C121" s="18" t="s">
        <v>208</v>
      </c>
      <c r="D121" s="32">
        <f t="shared" ref="D121:P121" si="22">D112+D119</f>
        <v>-2976.1881200000003</v>
      </c>
      <c r="E121" s="19">
        <f t="shared" si="22"/>
        <v>-2638.2977500000002</v>
      </c>
      <c r="F121" s="19">
        <f t="shared" si="22"/>
        <v>-2797.9938400000001</v>
      </c>
      <c r="G121" s="19">
        <f t="shared" si="22"/>
        <v>-2469.3013499999997</v>
      </c>
      <c r="H121" s="19">
        <f t="shared" si="22"/>
        <v>-2841.8746599999999</v>
      </c>
      <c r="I121" s="19">
        <f t="shared" si="22"/>
        <v>3367.3360000000002</v>
      </c>
      <c r="J121" s="19">
        <f t="shared" si="22"/>
        <v>10356.319720000001</v>
      </c>
      <c r="K121" s="19">
        <f t="shared" si="22"/>
        <v>0</v>
      </c>
      <c r="L121" s="19">
        <f t="shared" si="22"/>
        <v>0</v>
      </c>
      <c r="M121" s="19">
        <f t="shared" si="22"/>
        <v>0</v>
      </c>
      <c r="N121" s="19">
        <f t="shared" si="22"/>
        <v>0</v>
      </c>
      <c r="O121" s="19">
        <f t="shared" si="22"/>
        <v>0</v>
      </c>
      <c r="P121" s="25">
        <f t="shared" si="22"/>
        <v>0</v>
      </c>
      <c r="Q121" s="13"/>
    </row>
    <row r="122" spans="2:17" ht="16" customHeight="1" x14ac:dyDescent="0.45">
      <c r="B122" s="11" t="s">
        <v>209</v>
      </c>
      <c r="C122" s="11" t="s">
        <v>22</v>
      </c>
      <c r="D122" s="29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22"/>
      <c r="Q122" s="13"/>
    </row>
    <row r="123" spans="2:17" ht="16" customHeight="1" x14ac:dyDescent="0.45">
      <c r="B123" s="14" t="s">
        <v>210</v>
      </c>
      <c r="C123" s="14" t="s">
        <v>211</v>
      </c>
      <c r="D123" s="30"/>
      <c r="E123" s="15">
        <v>-5671.9005299999999</v>
      </c>
      <c r="F123" s="15">
        <v>-18560.13061</v>
      </c>
      <c r="G123" s="15">
        <v>-577.33362</v>
      </c>
      <c r="H123" s="15">
        <v>-5.432E-2</v>
      </c>
      <c r="I123" s="15">
        <v>21.586480000000002</v>
      </c>
      <c r="J123" s="15">
        <v>24787.832600000002</v>
      </c>
      <c r="K123" s="15"/>
      <c r="L123" s="15"/>
      <c r="M123" s="15"/>
      <c r="N123" s="15"/>
      <c r="O123" s="15"/>
      <c r="P123" s="23">
        <f t="shared" ref="P123:P130" si="23">SUM(D123:O123)</f>
        <v>0</v>
      </c>
      <c r="Q123" s="13"/>
    </row>
    <row r="124" spans="2:17" ht="16" customHeight="1" x14ac:dyDescent="0.45">
      <c r="B124" s="14" t="s">
        <v>212</v>
      </c>
      <c r="C124" s="14" t="s">
        <v>213</v>
      </c>
      <c r="D124" s="30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23">
        <f t="shared" si="23"/>
        <v>0</v>
      </c>
      <c r="Q124" s="13"/>
    </row>
    <row r="125" spans="2:17" ht="16" customHeight="1" x14ac:dyDescent="0.45">
      <c r="B125" s="14" t="s">
        <v>214</v>
      </c>
      <c r="C125" s="14" t="s">
        <v>215</v>
      </c>
      <c r="D125" s="30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23">
        <f t="shared" si="23"/>
        <v>0</v>
      </c>
      <c r="Q125" s="13"/>
    </row>
    <row r="126" spans="2:17" ht="16" customHeight="1" x14ac:dyDescent="0.45">
      <c r="B126" s="14" t="s">
        <v>216</v>
      </c>
      <c r="C126" s="14" t="s">
        <v>217</v>
      </c>
      <c r="D126" s="30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23">
        <f t="shared" si="23"/>
        <v>0</v>
      </c>
      <c r="Q126" s="13"/>
    </row>
    <row r="127" spans="2:17" ht="16" customHeight="1" x14ac:dyDescent="0.45">
      <c r="B127" s="14" t="s">
        <v>218</v>
      </c>
      <c r="C127" s="14" t="s">
        <v>219</v>
      </c>
      <c r="D127" s="30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23">
        <f t="shared" si="23"/>
        <v>0</v>
      </c>
      <c r="Q127" s="13"/>
    </row>
    <row r="128" spans="2:17" ht="16" customHeight="1" x14ac:dyDescent="0.45">
      <c r="B128" s="14" t="s">
        <v>220</v>
      </c>
      <c r="C128" s="14" t="s">
        <v>221</v>
      </c>
      <c r="D128" s="30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23">
        <f t="shared" si="23"/>
        <v>0</v>
      </c>
      <c r="Q128" s="13"/>
    </row>
    <row r="129" spans="2:17" ht="16" customHeight="1" x14ac:dyDescent="0.45">
      <c r="B129" s="14" t="s">
        <v>222</v>
      </c>
      <c r="C129" s="14" t="s">
        <v>223</v>
      </c>
      <c r="D129" s="30"/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/>
      <c r="L129" s="15"/>
      <c r="M129" s="15"/>
      <c r="N129" s="15"/>
      <c r="O129" s="15"/>
      <c r="P129" s="23">
        <f t="shared" si="23"/>
        <v>0</v>
      </c>
      <c r="Q129" s="13"/>
    </row>
    <row r="130" spans="2:17" ht="16" customHeight="1" x14ac:dyDescent="0.45">
      <c r="B130" s="14" t="s">
        <v>224</v>
      </c>
      <c r="C130" s="14" t="s">
        <v>225</v>
      </c>
      <c r="D130" s="30"/>
      <c r="E130" s="15"/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/>
      <c r="L130" s="15"/>
      <c r="M130" s="15"/>
      <c r="N130" s="15"/>
      <c r="O130" s="15"/>
      <c r="P130" s="23">
        <f t="shared" si="23"/>
        <v>0</v>
      </c>
      <c r="Q130" s="13"/>
    </row>
    <row r="131" spans="2:17" ht="16" customHeight="1" x14ac:dyDescent="0.45">
      <c r="B131" s="16" t="s">
        <v>226</v>
      </c>
      <c r="C131" s="16" t="s">
        <v>227</v>
      </c>
      <c r="D131" s="31">
        <f t="shared" ref="D131:P131" si="24">-(-(D123+D124)-D125-D126-D127-D128-D129-D130)</f>
        <v>0</v>
      </c>
      <c r="E131" s="17">
        <f t="shared" si="24"/>
        <v>-5671.9005299999999</v>
      </c>
      <c r="F131" s="17">
        <f t="shared" si="24"/>
        <v>-18560.13061</v>
      </c>
      <c r="G131" s="17">
        <f t="shared" si="24"/>
        <v>-577.33362</v>
      </c>
      <c r="H131" s="17">
        <f t="shared" si="24"/>
        <v>-5.432E-2</v>
      </c>
      <c r="I131" s="17">
        <f t="shared" si="24"/>
        <v>21.586480000000002</v>
      </c>
      <c r="J131" s="17">
        <f t="shared" si="24"/>
        <v>24787.832600000002</v>
      </c>
      <c r="K131" s="17">
        <f t="shared" si="24"/>
        <v>0</v>
      </c>
      <c r="L131" s="17">
        <f t="shared" si="24"/>
        <v>0</v>
      </c>
      <c r="M131" s="17">
        <f t="shared" si="24"/>
        <v>0</v>
      </c>
      <c r="N131" s="17">
        <f t="shared" si="24"/>
        <v>0</v>
      </c>
      <c r="O131" s="17">
        <f t="shared" si="24"/>
        <v>0</v>
      </c>
      <c r="P131" s="24">
        <f t="shared" si="24"/>
        <v>0</v>
      </c>
      <c r="Q131" s="13"/>
    </row>
    <row r="132" spans="2:17" ht="16" customHeight="1" thickBot="1" x14ac:dyDescent="0.5">
      <c r="B132" s="11" t="s">
        <v>228</v>
      </c>
      <c r="C132" s="11" t="s">
        <v>22</v>
      </c>
      <c r="D132" s="29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22"/>
      <c r="Q132" s="13"/>
    </row>
    <row r="133" spans="2:17" ht="16" customHeight="1" thickBot="1" x14ac:dyDescent="0.5">
      <c r="B133" s="18" t="s">
        <v>229</v>
      </c>
      <c r="C133" s="18" t="s">
        <v>230</v>
      </c>
      <c r="D133" s="32">
        <f t="shared" ref="D133:P133" si="25">-(-(D106+D121)-D131)</f>
        <v>-2976.1881200000003</v>
      </c>
      <c r="E133" s="19">
        <f t="shared" si="25"/>
        <v>-8310.1982800000005</v>
      </c>
      <c r="F133" s="19">
        <f t="shared" si="25"/>
        <v>-21358.124449999999</v>
      </c>
      <c r="G133" s="19">
        <f t="shared" si="25"/>
        <v>-3046.6349699999996</v>
      </c>
      <c r="H133" s="19">
        <f t="shared" si="25"/>
        <v>-2841.9289800000001</v>
      </c>
      <c r="I133" s="19">
        <f t="shared" si="25"/>
        <v>3388.9224800000002</v>
      </c>
      <c r="J133" s="19">
        <f t="shared" si="25"/>
        <v>35144.152320000001</v>
      </c>
      <c r="K133" s="19">
        <f t="shared" si="25"/>
        <v>0</v>
      </c>
      <c r="L133" s="19">
        <f t="shared" si="25"/>
        <v>0</v>
      </c>
      <c r="M133" s="19">
        <f t="shared" si="25"/>
        <v>0</v>
      </c>
      <c r="N133" s="19">
        <f t="shared" si="25"/>
        <v>0</v>
      </c>
      <c r="O133" s="19">
        <f t="shared" si="25"/>
        <v>0</v>
      </c>
      <c r="P133" s="25">
        <f t="shared" si="25"/>
        <v>0</v>
      </c>
      <c r="Q133" s="13"/>
    </row>
    <row r="134" spans="2:17" ht="16" customHeight="1" thickBot="1" x14ac:dyDescent="0.5">
      <c r="B134" s="11" t="s">
        <v>231</v>
      </c>
      <c r="C134" s="11" t="s">
        <v>22</v>
      </c>
      <c r="D134" s="29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22"/>
      <c r="Q134" s="13"/>
    </row>
    <row r="135" spans="2:17" ht="16" customHeight="1" thickBot="1" x14ac:dyDescent="0.5">
      <c r="B135" s="18" t="s">
        <v>232</v>
      </c>
      <c r="C135" s="18" t="s">
        <v>233</v>
      </c>
      <c r="D135" s="32">
        <f t="shared" ref="D135:P135" si="26">D100+D133</f>
        <v>-32906.117839999999</v>
      </c>
      <c r="E135" s="19">
        <f t="shared" si="26"/>
        <v>-29223.355030000013</v>
      </c>
      <c r="F135" s="19">
        <f t="shared" si="26"/>
        <v>-19004.501369999998</v>
      </c>
      <c r="G135" s="19">
        <f t="shared" si="26"/>
        <v>8965.1263499999659</v>
      </c>
      <c r="H135" s="19">
        <f t="shared" si="26"/>
        <v>26076.124160000025</v>
      </c>
      <c r="I135" s="19">
        <f t="shared" si="26"/>
        <v>35588.159299999992</v>
      </c>
      <c r="J135" s="19">
        <f t="shared" si="26"/>
        <v>10504.564429999766</v>
      </c>
      <c r="K135" s="19">
        <f t="shared" si="26"/>
        <v>0</v>
      </c>
      <c r="L135" s="19">
        <f t="shared" si="26"/>
        <v>0</v>
      </c>
      <c r="M135" s="19">
        <f t="shared" si="26"/>
        <v>0</v>
      </c>
      <c r="N135" s="19">
        <f t="shared" si="26"/>
        <v>0</v>
      </c>
      <c r="O135" s="19">
        <f t="shared" si="26"/>
        <v>0</v>
      </c>
      <c r="P135" s="25">
        <f t="shared" si="26"/>
        <v>0</v>
      </c>
      <c r="Q135" s="13"/>
    </row>
    <row r="136" spans="2:17" ht="16" customHeight="1" x14ac:dyDescent="0.45">
      <c r="B136" s="11" t="s">
        <v>234</v>
      </c>
      <c r="C136" s="11" t="s">
        <v>22</v>
      </c>
      <c r="D136" s="29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22"/>
      <c r="Q136" s="13"/>
    </row>
    <row r="137" spans="2:17" ht="16" customHeight="1" x14ac:dyDescent="0.45">
      <c r="B137" s="14" t="s">
        <v>235</v>
      </c>
      <c r="C137" s="14" t="s">
        <v>236</v>
      </c>
      <c r="D137" s="30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23">
        <f>SUM(D137:O137)</f>
        <v>0</v>
      </c>
      <c r="Q137" s="13"/>
    </row>
    <row r="138" spans="2:17" ht="16" customHeight="1" x14ac:dyDescent="0.45">
      <c r="B138" s="14" t="s">
        <v>237</v>
      </c>
      <c r="C138" s="14" t="s">
        <v>238</v>
      </c>
      <c r="D138" s="30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23">
        <f>SUM(D138:O138)</f>
        <v>0</v>
      </c>
      <c r="Q138" s="13"/>
    </row>
    <row r="139" spans="2:17" ht="16" customHeight="1" x14ac:dyDescent="0.45">
      <c r="B139" s="14" t="s">
        <v>239</v>
      </c>
      <c r="C139" s="14" t="s">
        <v>240</v>
      </c>
      <c r="D139" s="30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23">
        <f>SUM(D139:O139)</f>
        <v>0</v>
      </c>
      <c r="Q139" s="13"/>
    </row>
    <row r="140" spans="2:17" ht="16" customHeight="1" x14ac:dyDescent="0.45">
      <c r="B140" s="14" t="s">
        <v>241</v>
      </c>
      <c r="C140" s="14" t="s">
        <v>242</v>
      </c>
      <c r="D140" s="30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23">
        <f>SUM(D140:O140)</f>
        <v>0</v>
      </c>
      <c r="Q140" s="13"/>
    </row>
    <row r="141" spans="2:17" ht="16" customHeight="1" x14ac:dyDescent="0.45">
      <c r="B141" s="16" t="s">
        <v>243</v>
      </c>
      <c r="C141" s="16" t="s">
        <v>244</v>
      </c>
      <c r="D141" s="31">
        <f t="shared" ref="D141:P141" si="27">-(-(D137+D138)-D139-D140)</f>
        <v>0</v>
      </c>
      <c r="E141" s="17">
        <f t="shared" si="27"/>
        <v>0</v>
      </c>
      <c r="F141" s="17">
        <f t="shared" si="27"/>
        <v>0</v>
      </c>
      <c r="G141" s="17">
        <f t="shared" si="27"/>
        <v>0</v>
      </c>
      <c r="H141" s="17">
        <f t="shared" si="27"/>
        <v>0</v>
      </c>
      <c r="I141" s="17">
        <f t="shared" si="27"/>
        <v>0</v>
      </c>
      <c r="J141" s="17">
        <f t="shared" si="27"/>
        <v>0</v>
      </c>
      <c r="K141" s="17">
        <f t="shared" si="27"/>
        <v>0</v>
      </c>
      <c r="L141" s="17">
        <f t="shared" si="27"/>
        <v>0</v>
      </c>
      <c r="M141" s="17">
        <f t="shared" si="27"/>
        <v>0</v>
      </c>
      <c r="N141" s="17">
        <f t="shared" si="27"/>
        <v>0</v>
      </c>
      <c r="O141" s="17">
        <f t="shared" si="27"/>
        <v>0</v>
      </c>
      <c r="P141" s="24">
        <f t="shared" si="27"/>
        <v>0</v>
      </c>
      <c r="Q141" s="13"/>
    </row>
    <row r="142" spans="2:17" ht="16" customHeight="1" thickBot="1" x14ac:dyDescent="0.5">
      <c r="B142" s="11" t="s">
        <v>245</v>
      </c>
      <c r="C142" s="11" t="s">
        <v>22</v>
      </c>
      <c r="D142" s="29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22"/>
      <c r="Q142" s="13"/>
    </row>
    <row r="143" spans="2:17" ht="16" customHeight="1" thickBot="1" x14ac:dyDescent="0.5">
      <c r="B143" s="18" t="s">
        <v>246</v>
      </c>
      <c r="C143" s="18" t="s">
        <v>247</v>
      </c>
      <c r="D143" s="32">
        <f t="shared" ref="D143:P143" si="28">D135+D141</f>
        <v>-32906.117839999999</v>
      </c>
      <c r="E143" s="19">
        <f t="shared" si="28"/>
        <v>-29223.355030000013</v>
      </c>
      <c r="F143" s="19">
        <f t="shared" si="28"/>
        <v>-19004.501369999998</v>
      </c>
      <c r="G143" s="19">
        <f t="shared" si="28"/>
        <v>8965.1263499999659</v>
      </c>
      <c r="H143" s="19">
        <f t="shared" si="28"/>
        <v>26076.124160000025</v>
      </c>
      <c r="I143" s="19">
        <f t="shared" si="28"/>
        <v>35588.159299999992</v>
      </c>
      <c r="J143" s="19">
        <f t="shared" si="28"/>
        <v>10504.564429999766</v>
      </c>
      <c r="K143" s="19">
        <f t="shared" si="28"/>
        <v>0</v>
      </c>
      <c r="L143" s="19">
        <f t="shared" si="28"/>
        <v>0</v>
      </c>
      <c r="M143" s="19">
        <f t="shared" si="28"/>
        <v>0</v>
      </c>
      <c r="N143" s="19">
        <f t="shared" si="28"/>
        <v>0</v>
      </c>
      <c r="O143" s="19">
        <f t="shared" si="28"/>
        <v>0</v>
      </c>
      <c r="P143" s="25">
        <f t="shared" si="28"/>
        <v>0</v>
      </c>
      <c r="Q143" s="13"/>
    </row>
    <row r="144" spans="2:17" ht="16" customHeight="1" x14ac:dyDescent="0.45">
      <c r="B144" s="11" t="s">
        <v>248</v>
      </c>
      <c r="C144" s="11" t="s">
        <v>22</v>
      </c>
      <c r="D144" s="29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22"/>
      <c r="Q144" s="13"/>
    </row>
    <row r="145" spans="2:17" ht="16" customHeight="1" x14ac:dyDescent="0.45">
      <c r="B145" s="14" t="s">
        <v>249</v>
      </c>
      <c r="C145" s="14" t="s">
        <v>250</v>
      </c>
      <c r="D145" s="30">
        <v>7230.6156600000004</v>
      </c>
      <c r="E145" s="15">
        <v>6167.6419299999998</v>
      </c>
      <c r="F145" s="15">
        <v>3129.4874100000002</v>
      </c>
      <c r="G145" s="15">
        <v>-3602.6709799999999</v>
      </c>
      <c r="H145" s="15">
        <v>-76.806349999999995</v>
      </c>
      <c r="I145" s="15">
        <v>0</v>
      </c>
      <c r="J145" s="15">
        <v>-12848.267669999999</v>
      </c>
      <c r="K145" s="15"/>
      <c r="L145" s="15"/>
      <c r="M145" s="15"/>
      <c r="N145" s="15"/>
      <c r="O145" s="15"/>
      <c r="P145" s="23">
        <f>SUM(D145:O145)</f>
        <v>0</v>
      </c>
      <c r="Q145" s="13"/>
    </row>
    <row r="146" spans="2:17" ht="16" customHeight="1" x14ac:dyDescent="0.45">
      <c r="B146" s="14" t="s">
        <v>251</v>
      </c>
      <c r="C146" s="14" t="s">
        <v>252</v>
      </c>
      <c r="D146" s="30"/>
      <c r="E146" s="15"/>
      <c r="F146" s="15">
        <v>4674.3220000000001</v>
      </c>
      <c r="G146" s="15">
        <v>3762.192</v>
      </c>
      <c r="H146" s="15">
        <v>0</v>
      </c>
      <c r="I146" s="15">
        <v>0</v>
      </c>
      <c r="J146" s="15">
        <v>-8436.5139999999992</v>
      </c>
      <c r="K146" s="15"/>
      <c r="L146" s="15"/>
      <c r="M146" s="15"/>
      <c r="N146" s="15"/>
      <c r="O146" s="15"/>
      <c r="P146" s="23">
        <f>SUM(D146:O146)</f>
        <v>0</v>
      </c>
      <c r="Q146" s="13"/>
    </row>
    <row r="147" spans="2:17" ht="16" customHeight="1" x14ac:dyDescent="0.45">
      <c r="B147" s="16" t="s">
        <v>253</v>
      </c>
      <c r="C147" s="16" t="s">
        <v>254</v>
      </c>
      <c r="D147" s="31">
        <f t="shared" ref="D147:P147" si="29">D145+D146</f>
        <v>7230.6156600000004</v>
      </c>
      <c r="E147" s="17">
        <f t="shared" si="29"/>
        <v>6167.6419299999998</v>
      </c>
      <c r="F147" s="17">
        <f t="shared" si="29"/>
        <v>7803.8094099999998</v>
      </c>
      <c r="G147" s="17">
        <f t="shared" si="29"/>
        <v>159.52102000000014</v>
      </c>
      <c r="H147" s="17">
        <f t="shared" si="29"/>
        <v>-76.806349999999995</v>
      </c>
      <c r="I147" s="17">
        <f t="shared" si="29"/>
        <v>0</v>
      </c>
      <c r="J147" s="17">
        <f t="shared" si="29"/>
        <v>-21284.781669999997</v>
      </c>
      <c r="K147" s="17">
        <f t="shared" si="29"/>
        <v>0</v>
      </c>
      <c r="L147" s="17">
        <f t="shared" si="29"/>
        <v>0</v>
      </c>
      <c r="M147" s="17">
        <f t="shared" si="29"/>
        <v>0</v>
      </c>
      <c r="N147" s="17">
        <f t="shared" si="29"/>
        <v>0</v>
      </c>
      <c r="O147" s="17">
        <f t="shared" si="29"/>
        <v>0</v>
      </c>
      <c r="P147" s="24">
        <f t="shared" si="29"/>
        <v>0</v>
      </c>
      <c r="Q147" s="13"/>
    </row>
    <row r="148" spans="2:17" ht="16" customHeight="1" x14ac:dyDescent="0.45">
      <c r="B148" s="11" t="s">
        <v>255</v>
      </c>
      <c r="C148" s="11" t="s">
        <v>22</v>
      </c>
      <c r="D148" s="29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22"/>
      <c r="Q148" s="13"/>
    </row>
    <row r="149" spans="2:17" ht="16" customHeight="1" x14ac:dyDescent="0.45">
      <c r="B149" s="14" t="s">
        <v>256</v>
      </c>
      <c r="C149" s="14" t="s">
        <v>257</v>
      </c>
      <c r="D149" s="30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23">
        <f>SUM(D149:O149)</f>
        <v>0</v>
      </c>
      <c r="Q149" s="13"/>
    </row>
    <row r="150" spans="2:17" ht="16" customHeight="1" thickBot="1" x14ac:dyDescent="0.5">
      <c r="B150" s="11" t="s">
        <v>258</v>
      </c>
      <c r="C150" s="11" t="s">
        <v>22</v>
      </c>
      <c r="D150" s="29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22"/>
      <c r="Q150" s="13"/>
    </row>
    <row r="151" spans="2:17" ht="16" customHeight="1" thickBot="1" x14ac:dyDescent="0.4">
      <c r="B151" s="18" t="s">
        <v>259</v>
      </c>
      <c r="C151" s="18" t="s">
        <v>260</v>
      </c>
      <c r="D151" s="32">
        <f t="shared" ref="D151:P151" si="30">-(-(D143+D147)-D149)</f>
        <v>-25675.502179999999</v>
      </c>
      <c r="E151" s="19">
        <f t="shared" si="30"/>
        <v>-23055.713100000015</v>
      </c>
      <c r="F151" s="19">
        <f t="shared" si="30"/>
        <v>-11200.691959999998</v>
      </c>
      <c r="G151" s="19">
        <f t="shared" si="30"/>
        <v>9124.647369999966</v>
      </c>
      <c r="H151" s="19">
        <f t="shared" si="30"/>
        <v>25999.317810000026</v>
      </c>
      <c r="I151" s="19">
        <f t="shared" si="30"/>
        <v>35588.159299999992</v>
      </c>
      <c r="J151" s="19">
        <f t="shared" si="30"/>
        <v>-10780.217240000231</v>
      </c>
      <c r="K151" s="19">
        <f t="shared" si="30"/>
        <v>0</v>
      </c>
      <c r="L151" s="19">
        <f t="shared" si="30"/>
        <v>0</v>
      </c>
      <c r="M151" s="19">
        <f t="shared" si="30"/>
        <v>0</v>
      </c>
      <c r="N151" s="19">
        <f t="shared" si="30"/>
        <v>0</v>
      </c>
      <c r="O151" s="19">
        <f t="shared" si="30"/>
        <v>0</v>
      </c>
      <c r="P151" s="25">
        <f t="shared" si="30"/>
        <v>0</v>
      </c>
    </row>
    <row r="152" spans="2:17" ht="16" customHeight="1" x14ac:dyDescent="0.35">
      <c r="B152" s="11" t="s">
        <v>261</v>
      </c>
      <c r="C152" s="11" t="s">
        <v>22</v>
      </c>
      <c r="D152" s="29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22"/>
    </row>
    <row r="153" spans="2:17" ht="16" customHeight="1" x14ac:dyDescent="0.35">
      <c r="B153" s="14" t="s">
        <v>262</v>
      </c>
      <c r="C153" s="14" t="s">
        <v>263</v>
      </c>
      <c r="D153" s="30">
        <v>-12.57</v>
      </c>
      <c r="E153" s="15">
        <v>-19.57</v>
      </c>
      <c r="F153" s="15">
        <v>-10.86</v>
      </c>
      <c r="G153" s="15">
        <v>-26.071999999999999</v>
      </c>
      <c r="H153" s="15">
        <v>-19.013000000000002</v>
      </c>
      <c r="I153" s="15">
        <v>0</v>
      </c>
      <c r="J153" s="15">
        <v>88.084999999999994</v>
      </c>
      <c r="K153" s="15"/>
      <c r="L153" s="15"/>
      <c r="M153" s="15"/>
      <c r="N153" s="15"/>
      <c r="O153" s="15"/>
      <c r="P153" s="23">
        <f>SUM(D153:O153)</f>
        <v>0</v>
      </c>
    </row>
    <row r="154" spans="2:17" ht="16" customHeight="1" thickBot="1" x14ac:dyDescent="0.4">
      <c r="B154" s="11" t="s">
        <v>264</v>
      </c>
      <c r="C154" s="11" t="s">
        <v>22</v>
      </c>
      <c r="D154" s="29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22"/>
    </row>
    <row r="155" spans="2:17" ht="16" customHeight="1" thickBot="1" x14ac:dyDescent="0.4">
      <c r="B155" s="18" t="s">
        <v>265</v>
      </c>
      <c r="C155" s="18" t="s">
        <v>266</v>
      </c>
      <c r="D155" s="19">
        <f t="shared" ref="D155:P155" si="31">D151+D153</f>
        <v>-25688.072179999999</v>
      </c>
      <c r="E155" s="19">
        <f t="shared" si="31"/>
        <v>-23075.283100000015</v>
      </c>
      <c r="F155" s="19">
        <f t="shared" si="31"/>
        <v>-11211.551959999999</v>
      </c>
      <c r="G155" s="19">
        <f t="shared" si="31"/>
        <v>9098.5753699999659</v>
      </c>
      <c r="H155" s="19">
        <f t="shared" si="31"/>
        <v>25980.304810000027</v>
      </c>
      <c r="I155" s="19">
        <f t="shared" si="31"/>
        <v>35588.159299999992</v>
      </c>
      <c r="J155" s="19">
        <f t="shared" si="31"/>
        <v>-10692.132240000232</v>
      </c>
      <c r="K155" s="19">
        <f t="shared" si="31"/>
        <v>0</v>
      </c>
      <c r="L155" s="19">
        <f t="shared" si="31"/>
        <v>0</v>
      </c>
      <c r="M155" s="19">
        <f t="shared" si="31"/>
        <v>0</v>
      </c>
      <c r="N155" s="19">
        <f t="shared" si="31"/>
        <v>0</v>
      </c>
      <c r="O155" s="19">
        <f t="shared" si="31"/>
        <v>0</v>
      </c>
      <c r="P155" s="25">
        <f t="shared" si="31"/>
        <v>0</v>
      </c>
    </row>
    <row r="156" spans="2:17" ht="16" customHeight="1" x14ac:dyDescent="0.45">
      <c r="B156" s="13"/>
      <c r="C156" s="9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</row>
    <row r="157" spans="2:17" ht="16" customHeight="1" x14ac:dyDescent="0.45">
      <c r="B157" s="13"/>
      <c r="C157" s="9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</row>
    <row r="158" spans="2:17" ht="16" customHeight="1" x14ac:dyDescent="0.45">
      <c r="B158" s="13"/>
      <c r="C158" s="9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</row>
    <row r="159" spans="2:17" ht="16" customHeight="1" x14ac:dyDescent="0.45">
      <c r="B159" s="13"/>
      <c r="C159" s="9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</row>
    <row r="160" spans="2:17" ht="16" customHeight="1" x14ac:dyDescent="0.45">
      <c r="B160" s="13"/>
      <c r="C160" s="9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</row>
    <row r="161" spans="2:16" ht="16" customHeight="1" x14ac:dyDescent="0.45">
      <c r="B161" s="13"/>
      <c r="C161" s="9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</row>
    <row r="162" spans="2:16" ht="16" customHeight="1" x14ac:dyDescent="0.45">
      <c r="B162" s="13"/>
      <c r="C162" s="9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</row>
    <row r="163" spans="2:16" ht="16" customHeight="1" x14ac:dyDescent="0.45">
      <c r="B163" s="13"/>
      <c r="C163" s="9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</row>
    <row r="164" spans="2:16" ht="16" customHeight="1" x14ac:dyDescent="0.45">
      <c r="B164" s="13"/>
      <c r="C164" s="9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</row>
    <row r="165" spans="2:16" ht="16" customHeight="1" x14ac:dyDescent="0.45">
      <c r="B165" s="13"/>
      <c r="C165" s="9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</row>
    <row r="166" spans="2:16" ht="16" customHeight="1" x14ac:dyDescent="0.45">
      <c r="B166" s="13"/>
      <c r="C166" s="9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</row>
    <row r="167" spans="2:16" ht="16" customHeight="1" x14ac:dyDescent="0.45">
      <c r="B167" s="13"/>
      <c r="C167" s="9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</row>
    <row r="168" spans="2:16" ht="16" customHeight="1" x14ac:dyDescent="0.45">
      <c r="B168" s="13"/>
      <c r="C168" s="9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</row>
    <row r="169" spans="2:16" ht="16" customHeight="1" x14ac:dyDescent="0.45">
      <c r="B169" s="13"/>
      <c r="C169" s="9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</row>
    <row r="170" spans="2:16" ht="16" customHeight="1" x14ac:dyDescent="0.45">
      <c r="B170" s="13"/>
      <c r="C170" s="9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</row>
    <row r="171" spans="2:16" ht="16" customHeight="1" x14ac:dyDescent="0.45">
      <c r="B171" s="13"/>
      <c r="C171" s="9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</row>
    <row r="172" spans="2:16" ht="16" customHeight="1" x14ac:dyDescent="0.45">
      <c r="B172" s="13"/>
      <c r="C172" s="9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</row>
    <row r="173" spans="2:16" ht="16" customHeight="1" x14ac:dyDescent="0.45">
      <c r="B173" s="13"/>
      <c r="C173" s="9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</row>
    <row r="174" spans="2:16" ht="16" customHeight="1" x14ac:dyDescent="0.45">
      <c r="B174" s="13"/>
      <c r="C174" s="9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</row>
    <row r="175" spans="2:16" ht="16" customHeight="1" x14ac:dyDescent="0.45">
      <c r="B175" s="13"/>
      <c r="C175" s="9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</row>
    <row r="176" spans="2:16" ht="16" customHeight="1" x14ac:dyDescent="0.45">
      <c r="B176" s="13"/>
      <c r="C176" s="9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</row>
    <row r="177" spans="2:16" ht="16" customHeight="1" x14ac:dyDescent="0.45">
      <c r="B177" s="13"/>
      <c r="C177" s="9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</row>
    <row r="178" spans="2:16" ht="16" customHeight="1" x14ac:dyDescent="0.45">
      <c r="B178" s="13"/>
      <c r="C178" s="9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</row>
    <row r="179" spans="2:16" ht="16" customHeight="1" x14ac:dyDescent="0.45">
      <c r="B179" s="13"/>
      <c r="C179" s="9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</row>
    <row r="180" spans="2:16" ht="16" customHeight="1" x14ac:dyDescent="0.45">
      <c r="B180" s="13"/>
      <c r="C180" s="9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</row>
    <row r="181" spans="2:16" ht="16" customHeight="1" x14ac:dyDescent="0.45">
      <c r="B181" s="13"/>
      <c r="C181" s="9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</row>
    <row r="182" spans="2:16" ht="16" customHeight="1" x14ac:dyDescent="0.45">
      <c r="B182" s="13"/>
      <c r="C182" s="9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</row>
    <row r="183" spans="2:16" ht="16" customHeight="1" x14ac:dyDescent="0.45">
      <c r="B183" s="13"/>
      <c r="C183" s="9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</row>
    <row r="184" spans="2:16" ht="16" customHeight="1" x14ac:dyDescent="0.45">
      <c r="B184" s="13"/>
      <c r="C184" s="9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</row>
    <row r="185" spans="2:16" ht="16" customHeight="1" x14ac:dyDescent="0.45">
      <c r="B185" s="13"/>
      <c r="C185" s="9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</row>
    <row r="186" spans="2:16" ht="16" customHeight="1" x14ac:dyDescent="0.45">
      <c r="B186" s="13"/>
      <c r="C186" s="9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</row>
    <row r="187" spans="2:16" ht="16" customHeight="1" x14ac:dyDescent="0.45">
      <c r="B187" s="13"/>
      <c r="C187" s="9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</row>
    <row r="188" spans="2:16" ht="16" customHeight="1" x14ac:dyDescent="0.45">
      <c r="B188" s="13"/>
      <c r="C188" s="9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</row>
    <row r="189" spans="2:16" ht="16" customHeight="1" x14ac:dyDescent="0.45">
      <c r="B189" s="13"/>
      <c r="C189" s="9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</row>
    <row r="190" spans="2:16" ht="16" customHeight="1" x14ac:dyDescent="0.45">
      <c r="B190" s="13"/>
      <c r="C190" s="9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</row>
    <row r="191" spans="2:16" ht="16" customHeight="1" x14ac:dyDescent="0.45">
      <c r="B191" s="13"/>
      <c r="C191" s="9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</row>
    <row r="192" spans="2:16" ht="16" customHeight="1" x14ac:dyDescent="0.45">
      <c r="B192" s="13"/>
      <c r="C192" s="9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</row>
    <row r="193" spans="2:16" ht="16" customHeight="1" x14ac:dyDescent="0.45">
      <c r="B193" s="13"/>
      <c r="C193" s="9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</row>
    <row r="194" spans="2:16" ht="16" customHeight="1" x14ac:dyDescent="0.45">
      <c r="B194" s="13"/>
      <c r="C194" s="9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</row>
    <row r="195" spans="2:16" ht="16" customHeight="1" x14ac:dyDescent="0.45">
      <c r="B195" s="13"/>
      <c r="C195" s="9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</row>
    <row r="196" spans="2:16" ht="16" customHeight="1" x14ac:dyDescent="0.45">
      <c r="B196" s="13"/>
      <c r="C196" s="9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</row>
    <row r="197" spans="2:16" ht="16" customHeight="1" x14ac:dyDescent="0.45">
      <c r="B197" s="13"/>
      <c r="C197" s="9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</row>
    <row r="198" spans="2:16" ht="16" customHeight="1" x14ac:dyDescent="0.45">
      <c r="B198" s="13"/>
      <c r="C198" s="9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</row>
    <row r="199" spans="2:16" ht="16" customHeight="1" x14ac:dyDescent="0.45">
      <c r="B199" s="13"/>
      <c r="C199" s="9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</row>
    <row r="200" spans="2:16" ht="16" customHeight="1" x14ac:dyDescent="0.45">
      <c r="B200" s="13"/>
      <c r="C200" s="9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</row>
    <row r="201" spans="2:16" ht="16" customHeight="1" x14ac:dyDescent="0.45">
      <c r="B201" s="13"/>
      <c r="C201" s="9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</row>
    <row r="202" spans="2:16" ht="16" customHeight="1" x14ac:dyDescent="0.45">
      <c r="B202" s="13"/>
      <c r="C202" s="9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</row>
    <row r="203" spans="2:16" ht="16" customHeight="1" x14ac:dyDescent="0.45">
      <c r="B203" s="13"/>
      <c r="C203" s="9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</row>
    <row r="204" spans="2:16" ht="16" customHeight="1" x14ac:dyDescent="0.45">
      <c r="B204" s="13"/>
      <c r="C204" s="9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</row>
    <row r="205" spans="2:16" ht="16" customHeight="1" x14ac:dyDescent="0.45">
      <c r="B205" s="13"/>
      <c r="C205" s="9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</row>
    <row r="206" spans="2:16" ht="16" customHeight="1" x14ac:dyDescent="0.45">
      <c r="B206" s="13"/>
      <c r="C206" s="9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</row>
    <row r="207" spans="2:16" ht="16" customHeight="1" x14ac:dyDescent="0.45">
      <c r="B207" s="13"/>
      <c r="C207" s="9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</row>
    <row r="208" spans="2:16" ht="16" customHeight="1" x14ac:dyDescent="0.45">
      <c r="B208" s="13"/>
      <c r="C208" s="9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</row>
    <row r="209" spans="2:16" ht="16" customHeight="1" x14ac:dyDescent="0.45">
      <c r="B209" s="13"/>
      <c r="C209" s="9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</row>
    <row r="210" spans="2:16" ht="16" customHeight="1" x14ac:dyDescent="0.45">
      <c r="B210" s="13"/>
      <c r="C210" s="9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</row>
    <row r="211" spans="2:16" ht="16" customHeight="1" x14ac:dyDescent="0.45">
      <c r="B211" s="13"/>
      <c r="C211" s="9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</row>
    <row r="212" spans="2:16" ht="16" customHeight="1" x14ac:dyDescent="0.45">
      <c r="B212" s="13"/>
      <c r="C212" s="9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</row>
    <row r="213" spans="2:16" ht="16" customHeight="1" x14ac:dyDescent="0.45">
      <c r="B213" s="13"/>
      <c r="C213" s="9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</row>
    <row r="214" spans="2:16" ht="16" customHeight="1" x14ac:dyDescent="0.45">
      <c r="B214" s="13"/>
      <c r="C214" s="9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</row>
    <row r="215" spans="2:16" ht="16" customHeight="1" x14ac:dyDescent="0.45">
      <c r="B215" s="13"/>
      <c r="C215" s="9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</row>
    <row r="216" spans="2:16" ht="16" customHeight="1" x14ac:dyDescent="0.45">
      <c r="B216" s="13"/>
      <c r="C216" s="9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</row>
    <row r="217" spans="2:16" ht="16" customHeight="1" x14ac:dyDescent="0.45">
      <c r="B217" s="13"/>
      <c r="C217" s="9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</row>
    <row r="218" spans="2:16" ht="16" customHeight="1" x14ac:dyDescent="0.45">
      <c r="B218" s="13"/>
      <c r="C218" s="9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</row>
    <row r="219" spans="2:16" ht="16" customHeight="1" x14ac:dyDescent="0.45">
      <c r="B219" s="13"/>
      <c r="C219" s="9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</row>
    <row r="220" spans="2:16" ht="16" customHeight="1" x14ac:dyDescent="0.45">
      <c r="B220" s="13"/>
      <c r="C220" s="9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</row>
    <row r="221" spans="2:16" ht="16" customHeight="1" x14ac:dyDescent="0.45">
      <c r="B221" s="13"/>
      <c r="C221" s="9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</row>
    <row r="222" spans="2:16" ht="16" customHeight="1" x14ac:dyDescent="0.45">
      <c r="B222" s="13"/>
      <c r="C222" s="9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</row>
    <row r="223" spans="2:16" ht="16" customHeight="1" x14ac:dyDescent="0.45">
      <c r="B223" s="13"/>
      <c r="C223" s="9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</row>
    <row r="224" spans="2:16" ht="16" customHeight="1" x14ac:dyDescent="0.45">
      <c r="B224" s="13"/>
      <c r="C224" s="9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</row>
    <row r="225" spans="2:16" ht="16" customHeight="1" x14ac:dyDescent="0.45">
      <c r="B225" s="13"/>
      <c r="C225" s="9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</row>
    <row r="226" spans="2:16" ht="16" customHeight="1" x14ac:dyDescent="0.45">
      <c r="B226" s="13"/>
      <c r="C226" s="9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</row>
    <row r="227" spans="2:16" ht="16" customHeight="1" x14ac:dyDescent="0.45">
      <c r="B227" s="13"/>
      <c r="C227" s="9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</row>
    <row r="228" spans="2:16" ht="16" customHeight="1" x14ac:dyDescent="0.45">
      <c r="B228" s="13"/>
      <c r="C228" s="9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</row>
    <row r="229" spans="2:16" ht="16" customHeight="1" x14ac:dyDescent="0.45">
      <c r="B229" s="13"/>
      <c r="C229" s="9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</row>
    <row r="230" spans="2:16" ht="16" customHeight="1" x14ac:dyDescent="0.45">
      <c r="B230" s="13"/>
      <c r="C230" s="9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</row>
    <row r="231" spans="2:16" ht="16" customHeight="1" x14ac:dyDescent="0.45">
      <c r="B231" s="13"/>
      <c r="C231" s="9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</row>
    <row r="232" spans="2:16" ht="16" customHeight="1" x14ac:dyDescent="0.45">
      <c r="B232" s="13"/>
      <c r="C232" s="9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</row>
    <row r="233" spans="2:16" ht="16" customHeight="1" x14ac:dyDescent="0.45">
      <c r="B233" s="13"/>
      <c r="C233" s="9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</row>
    <row r="234" spans="2:16" ht="16" customHeight="1" x14ac:dyDescent="0.45">
      <c r="B234" s="13"/>
      <c r="C234" s="9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</row>
    <row r="235" spans="2:16" ht="16" customHeight="1" x14ac:dyDescent="0.45">
      <c r="B235" s="13"/>
      <c r="C235" s="9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</row>
    <row r="236" spans="2:16" ht="16" customHeight="1" x14ac:dyDescent="0.45">
      <c r="B236" s="13"/>
      <c r="C236" s="9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</row>
    <row r="237" spans="2:16" ht="16" customHeight="1" x14ac:dyDescent="0.45">
      <c r="B237" s="13"/>
      <c r="C237" s="9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</row>
    <row r="238" spans="2:16" ht="16" customHeight="1" x14ac:dyDescent="0.45">
      <c r="B238" s="13"/>
      <c r="C238" s="9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</row>
    <row r="239" spans="2:16" ht="16" customHeight="1" x14ac:dyDescent="0.45">
      <c r="B239" s="13"/>
      <c r="C239" s="9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</row>
    <row r="240" spans="2:16" ht="16" customHeight="1" x14ac:dyDescent="0.45">
      <c r="B240" s="13"/>
      <c r="C240" s="9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</row>
    <row r="241" spans="2:16" ht="16" customHeight="1" x14ac:dyDescent="0.45">
      <c r="B241" s="13"/>
      <c r="C241" s="9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</row>
    <row r="242" spans="2:16" ht="16" customHeight="1" x14ac:dyDescent="0.45">
      <c r="B242" s="13"/>
      <c r="C242" s="9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</row>
    <row r="243" spans="2:16" ht="16" customHeight="1" x14ac:dyDescent="0.45">
      <c r="B243" s="13"/>
      <c r="C243" s="9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</row>
    <row r="244" spans="2:16" ht="16" customHeight="1" x14ac:dyDescent="0.45">
      <c r="B244" s="13"/>
      <c r="C244" s="9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</row>
    <row r="245" spans="2:16" ht="16" customHeight="1" x14ac:dyDescent="0.45">
      <c r="B245" s="13"/>
      <c r="C245" s="9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</row>
    <row r="246" spans="2:16" ht="16" customHeight="1" x14ac:dyDescent="0.45">
      <c r="B246" s="13"/>
      <c r="C246" s="9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</row>
    <row r="247" spans="2:16" ht="16" customHeight="1" x14ac:dyDescent="0.45">
      <c r="B247" s="13"/>
      <c r="C247" s="9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 spans="2:16" ht="16" customHeight="1" x14ac:dyDescent="0.45">
      <c r="B248" s="13"/>
      <c r="C248" s="9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</row>
    <row r="249" spans="2:16" ht="16" customHeight="1" x14ac:dyDescent="0.45">
      <c r="B249" s="13"/>
      <c r="C249" s="9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</row>
    <row r="250" spans="2:16" ht="16" customHeight="1" x14ac:dyDescent="0.45">
      <c r="B250" s="13"/>
      <c r="C250" s="9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</row>
    <row r="251" spans="2:16" ht="16" customHeight="1" x14ac:dyDescent="0.45">
      <c r="B251" s="13"/>
      <c r="C251" s="9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</row>
    <row r="252" spans="2:16" ht="16" customHeight="1" x14ac:dyDescent="0.45">
      <c r="B252" s="13"/>
      <c r="C252" s="9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</row>
    <row r="253" spans="2:16" ht="16" customHeight="1" x14ac:dyDescent="0.45">
      <c r="B253" s="13"/>
      <c r="C253" s="9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</row>
    <row r="254" spans="2:16" ht="16" customHeight="1" x14ac:dyDescent="0.45">
      <c r="B254" s="13"/>
      <c r="C254" s="9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</row>
    <row r="255" spans="2:16" ht="16" customHeight="1" x14ac:dyDescent="0.45">
      <c r="B255" s="13"/>
      <c r="C255" s="9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</row>
    <row r="256" spans="2:16" ht="16" customHeight="1" x14ac:dyDescent="0.45">
      <c r="B256" s="13"/>
      <c r="C256" s="9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</row>
    <row r="257" spans="2:16" ht="16" customHeight="1" x14ac:dyDescent="0.45">
      <c r="B257" s="13"/>
      <c r="C257" s="9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</row>
    <row r="258" spans="2:16" ht="16" customHeight="1" x14ac:dyDescent="0.45">
      <c r="B258" s="13"/>
      <c r="C258" s="9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</row>
    <row r="259" spans="2:16" ht="16" customHeight="1" x14ac:dyDescent="0.45">
      <c r="B259" s="13"/>
      <c r="C259" s="9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</row>
    <row r="260" spans="2:16" ht="16" customHeight="1" x14ac:dyDescent="0.45">
      <c r="B260" s="13"/>
      <c r="C260" s="9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</row>
    <row r="261" spans="2:16" ht="16" customHeight="1" x14ac:dyDescent="0.45">
      <c r="B261" s="13"/>
      <c r="C261" s="9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</row>
    <row r="262" spans="2:16" ht="16" customHeight="1" x14ac:dyDescent="0.45">
      <c r="B262" s="13"/>
      <c r="C262" s="9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</row>
    <row r="263" spans="2:16" ht="16" customHeight="1" x14ac:dyDescent="0.45">
      <c r="B263" s="13"/>
      <c r="C263" s="9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</row>
    <row r="264" spans="2:16" ht="16" customHeight="1" x14ac:dyDescent="0.45">
      <c r="B264" s="13"/>
      <c r="C264" s="9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</row>
    <row r="265" spans="2:16" ht="16" customHeight="1" x14ac:dyDescent="0.45">
      <c r="B265" s="13"/>
      <c r="C265" s="9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</row>
    <row r="266" spans="2:16" ht="16" customHeight="1" x14ac:dyDescent="0.45">
      <c r="B266" s="13"/>
      <c r="C266" s="9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</row>
    <row r="267" spans="2:16" ht="16" customHeight="1" x14ac:dyDescent="0.45">
      <c r="B267" s="13"/>
      <c r="C267" s="9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</row>
    <row r="268" spans="2:16" ht="16" customHeight="1" x14ac:dyDescent="0.45">
      <c r="B268" s="13"/>
      <c r="C268" s="9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</row>
    <row r="269" spans="2:16" ht="16" customHeight="1" x14ac:dyDescent="0.45">
      <c r="B269" s="13"/>
      <c r="C269" s="9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</row>
    <row r="270" spans="2:16" ht="16" customHeight="1" x14ac:dyDescent="0.45">
      <c r="B270" s="13"/>
      <c r="C270" s="9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</row>
    <row r="271" spans="2:16" ht="16" customHeight="1" x14ac:dyDescent="0.45">
      <c r="B271" s="13"/>
      <c r="C271" s="9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</row>
    <row r="272" spans="2:16" ht="16" customHeight="1" x14ac:dyDescent="0.45">
      <c r="B272" s="13"/>
      <c r="C272" s="9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</row>
    <row r="273" spans="2:16" ht="16" customHeight="1" x14ac:dyDescent="0.45">
      <c r="B273" s="13"/>
      <c r="C273" s="9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</row>
    <row r="274" spans="2:16" ht="16" customHeight="1" x14ac:dyDescent="0.45">
      <c r="B274" s="13"/>
      <c r="C274" s="9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</row>
    <row r="275" spans="2:16" ht="16" customHeight="1" x14ac:dyDescent="0.45">
      <c r="B275" s="13"/>
      <c r="C275" s="9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</row>
    <row r="276" spans="2:16" ht="16" customHeight="1" x14ac:dyDescent="0.45">
      <c r="B276" s="13"/>
      <c r="C276" s="9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</row>
    <row r="277" spans="2:16" ht="16" customHeight="1" x14ac:dyDescent="0.45">
      <c r="B277" s="13"/>
      <c r="C277" s="9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</row>
    <row r="278" spans="2:16" ht="16" customHeight="1" x14ac:dyDescent="0.45">
      <c r="B278" s="13"/>
      <c r="C278" s="9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</row>
    <row r="279" spans="2:16" ht="16" customHeight="1" x14ac:dyDescent="0.45">
      <c r="B279" s="13"/>
      <c r="C279" s="9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</row>
    <row r="280" spans="2:16" ht="16" customHeight="1" x14ac:dyDescent="0.45">
      <c r="B280" s="13"/>
      <c r="C280" s="9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</row>
    <row r="281" spans="2:16" ht="16" customHeight="1" x14ac:dyDescent="0.45">
      <c r="B281" s="13"/>
      <c r="C281" s="9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</row>
    <row r="282" spans="2:16" ht="16" customHeight="1" x14ac:dyDescent="0.45">
      <c r="B282" s="13"/>
      <c r="C282" s="9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</row>
    <row r="283" spans="2:16" ht="16" customHeight="1" x14ac:dyDescent="0.45">
      <c r="B283" s="13"/>
      <c r="C283" s="9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</row>
    <row r="284" spans="2:16" ht="16" customHeight="1" x14ac:dyDescent="0.45">
      <c r="B284" s="13"/>
      <c r="C284" s="9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</row>
    <row r="285" spans="2:16" ht="16" customHeight="1" x14ac:dyDescent="0.45">
      <c r="B285" s="13"/>
      <c r="C285" s="9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</row>
    <row r="286" spans="2:16" ht="16" customHeight="1" x14ac:dyDescent="0.45">
      <c r="B286" s="13"/>
      <c r="C286" s="9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</row>
    <row r="287" spans="2:16" ht="16" customHeight="1" x14ac:dyDescent="0.45">
      <c r="B287" s="13"/>
      <c r="C287" s="9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</row>
    <row r="288" spans="2:16" ht="16" customHeight="1" x14ac:dyDescent="0.45">
      <c r="B288" s="13"/>
      <c r="C288" s="9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</row>
    <row r="289" spans="2:16" ht="16" customHeight="1" x14ac:dyDescent="0.45">
      <c r="B289" s="13"/>
      <c r="C289" s="9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</row>
    <row r="290" spans="2:16" ht="16" customHeight="1" x14ac:dyDescent="0.45">
      <c r="B290" s="13"/>
      <c r="C290" s="9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</row>
    <row r="291" spans="2:16" ht="16" customHeight="1" x14ac:dyDescent="0.45">
      <c r="B291" s="13"/>
      <c r="C291" s="9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</row>
    <row r="292" spans="2:16" ht="16" customHeight="1" x14ac:dyDescent="0.45">
      <c r="B292" s="13"/>
      <c r="C292" s="9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</row>
    <row r="293" spans="2:16" ht="16" customHeight="1" x14ac:dyDescent="0.45">
      <c r="B293" s="13"/>
      <c r="C293" s="9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</row>
    <row r="294" spans="2:16" ht="16" customHeight="1" x14ac:dyDescent="0.45">
      <c r="B294" s="13"/>
      <c r="C294" s="9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</row>
  </sheetData>
  <mergeCells count="1">
    <mergeCell ref="B7:C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28C0-7DCE-43CA-AAA8-EE00A8E8F5CE}">
  <dimension ref="A3:Q273"/>
  <sheetViews>
    <sheetView showGridLines="0" workbookViewId="0">
      <pane xSplit="3" ySplit="9" topLeftCell="D10" activePane="bottomRight" state="frozen"/>
      <selection pane="topRight" activeCell="D1" sqref="D1"/>
      <selection pane="bottomLeft" activeCell="A7" sqref="A7"/>
      <selection pane="bottomRight" activeCell="B4" sqref="B4:C4"/>
    </sheetView>
  </sheetViews>
  <sheetFormatPr defaultColWidth="9.1796875" defaultRowHeight="16" customHeight="1" x14ac:dyDescent="0.35"/>
  <cols>
    <col min="1" max="1" width="5.7265625" style="1" customWidth="1"/>
    <col min="2" max="2" width="10.7265625" style="1" customWidth="1"/>
    <col min="3" max="3" width="55.7265625" style="1" customWidth="1"/>
    <col min="4" max="26" width="14.7265625" style="1" customWidth="1"/>
    <col min="27" max="16384" width="9.1796875" style="1"/>
  </cols>
  <sheetData>
    <row r="3" spans="1:17" ht="16" customHeight="1" x14ac:dyDescent="0.35">
      <c r="B3" s="2" t="s">
        <v>284</v>
      </c>
      <c r="G3" s="3"/>
    </row>
    <row r="4" spans="1:17" ht="16" customHeight="1" x14ac:dyDescent="0.35">
      <c r="B4" s="33" t="s">
        <v>270</v>
      </c>
      <c r="C4" s="33"/>
    </row>
    <row r="5" spans="1:17" ht="16" customHeight="1" x14ac:dyDescent="0.35">
      <c r="B5" s="4" t="s">
        <v>271</v>
      </c>
    </row>
    <row r="6" spans="1:17" ht="16" customHeight="1" x14ac:dyDescent="0.35">
      <c r="A6" s="5"/>
      <c r="B6" s="4" t="s">
        <v>272</v>
      </c>
    </row>
    <row r="7" spans="1:17" ht="16" customHeight="1" x14ac:dyDescent="0.35">
      <c r="A7" s="5"/>
      <c r="B7" s="6">
        <v>46194.595910219905</v>
      </c>
      <c r="C7" s="6"/>
    </row>
    <row r="9" spans="1:17" ht="16" customHeight="1" thickBot="1" x14ac:dyDescent="0.5">
      <c r="B9" s="7"/>
      <c r="C9" s="7"/>
      <c r="D9" s="8" t="s">
        <v>1</v>
      </c>
      <c r="E9" s="8" t="s">
        <v>2</v>
      </c>
      <c r="F9" s="8" t="s">
        <v>3</v>
      </c>
      <c r="G9" s="8" t="s">
        <v>4</v>
      </c>
      <c r="H9" s="8" t="s">
        <v>5</v>
      </c>
      <c r="I9" s="8" t="s">
        <v>6</v>
      </c>
      <c r="J9" s="8" t="s">
        <v>7</v>
      </c>
      <c r="K9" s="8" t="s">
        <v>8</v>
      </c>
      <c r="L9" s="8" t="s">
        <v>9</v>
      </c>
      <c r="M9" s="8" t="s">
        <v>10</v>
      </c>
      <c r="N9" s="8" t="s">
        <v>11</v>
      </c>
      <c r="O9" s="8" t="s">
        <v>12</v>
      </c>
      <c r="P9" s="9"/>
      <c r="Q9" s="9"/>
    </row>
    <row r="10" spans="1:17" ht="16" customHeight="1" x14ac:dyDescent="0.45">
      <c r="B10" s="10"/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</row>
    <row r="11" spans="1:17" ht="16" customHeight="1" x14ac:dyDescent="0.45">
      <c r="B11" s="14" t="s">
        <v>285</v>
      </c>
      <c r="C11" s="14" t="s">
        <v>286</v>
      </c>
      <c r="D11" s="15">
        <v>1598.7275</v>
      </c>
      <c r="E11" s="15">
        <v>5863.2567399999998</v>
      </c>
      <c r="F11" s="15">
        <v>1900.72622</v>
      </c>
      <c r="G11" s="15">
        <v>1422.6626000000001</v>
      </c>
      <c r="H11" s="15">
        <v>3641.1020899999999</v>
      </c>
      <c r="I11" s="15">
        <v>-23339.68189</v>
      </c>
      <c r="J11" s="15"/>
      <c r="K11" s="15"/>
      <c r="L11" s="15"/>
      <c r="M11" s="15"/>
      <c r="N11" s="15"/>
      <c r="O11" s="15"/>
      <c r="P11" s="13"/>
    </row>
    <row r="12" spans="1:17" ht="16" customHeight="1" x14ac:dyDescent="0.35">
      <c r="B12" s="14" t="s">
        <v>287</v>
      </c>
      <c r="C12" s="14" t="s">
        <v>288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7" ht="16" customHeight="1" x14ac:dyDescent="0.35">
      <c r="B13" s="16" t="s">
        <v>289</v>
      </c>
      <c r="C13" s="16" t="s">
        <v>290</v>
      </c>
      <c r="D13" s="17">
        <f t="shared" ref="D13:O13" si="0">D11+D12</f>
        <v>1598.7275</v>
      </c>
      <c r="E13" s="17">
        <f t="shared" si="0"/>
        <v>5863.2567399999998</v>
      </c>
      <c r="F13" s="17">
        <f t="shared" si="0"/>
        <v>1900.72622</v>
      </c>
      <c r="G13" s="17">
        <f t="shared" si="0"/>
        <v>1422.6626000000001</v>
      </c>
      <c r="H13" s="17">
        <f t="shared" si="0"/>
        <v>3641.1020899999999</v>
      </c>
      <c r="I13" s="17">
        <f t="shared" si="0"/>
        <v>-23339.68189</v>
      </c>
      <c r="J13" s="17">
        <f t="shared" si="0"/>
        <v>0</v>
      </c>
      <c r="K13" s="17">
        <f t="shared" si="0"/>
        <v>0</v>
      </c>
      <c r="L13" s="17">
        <f t="shared" si="0"/>
        <v>0</v>
      </c>
      <c r="M13" s="17">
        <f t="shared" si="0"/>
        <v>0</v>
      </c>
      <c r="N13" s="17">
        <f t="shared" si="0"/>
        <v>0</v>
      </c>
      <c r="O13" s="17">
        <f t="shared" si="0"/>
        <v>0</v>
      </c>
    </row>
    <row r="14" spans="1:17" ht="16" customHeight="1" x14ac:dyDescent="0.35">
      <c r="B14" s="11" t="s">
        <v>21</v>
      </c>
      <c r="C14" s="11" t="s">
        <v>22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7" ht="16" customHeight="1" x14ac:dyDescent="0.35">
      <c r="B15" s="14" t="s">
        <v>291</v>
      </c>
      <c r="C15" s="14" t="s">
        <v>292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7" ht="16" customHeight="1" x14ac:dyDescent="0.35">
      <c r="B16" s="14" t="s">
        <v>293</v>
      </c>
      <c r="C16" s="14" t="s">
        <v>294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</row>
    <row r="17" spans="2:15" ht="16" customHeight="1" x14ac:dyDescent="0.35">
      <c r="B17" s="16" t="s">
        <v>295</v>
      </c>
      <c r="C17" s="16" t="s">
        <v>296</v>
      </c>
      <c r="D17" s="17">
        <f t="shared" ref="D17:O17" si="1">D15+D16</f>
        <v>0</v>
      </c>
      <c r="E17" s="17">
        <f t="shared" si="1"/>
        <v>0</v>
      </c>
      <c r="F17" s="17">
        <f t="shared" si="1"/>
        <v>0</v>
      </c>
      <c r="G17" s="17">
        <f t="shared" si="1"/>
        <v>0</v>
      </c>
      <c r="H17" s="17">
        <f t="shared" si="1"/>
        <v>0</v>
      </c>
      <c r="I17" s="17">
        <f t="shared" si="1"/>
        <v>0</v>
      </c>
      <c r="J17" s="17">
        <f t="shared" si="1"/>
        <v>0</v>
      </c>
      <c r="K17" s="17">
        <f t="shared" si="1"/>
        <v>0</v>
      </c>
      <c r="L17" s="17">
        <f t="shared" si="1"/>
        <v>0</v>
      </c>
      <c r="M17" s="17">
        <f t="shared" si="1"/>
        <v>0</v>
      </c>
      <c r="N17" s="17">
        <f t="shared" si="1"/>
        <v>0</v>
      </c>
      <c r="O17" s="17">
        <f t="shared" si="1"/>
        <v>0</v>
      </c>
    </row>
    <row r="18" spans="2:15" ht="16" customHeight="1" x14ac:dyDescent="0.35">
      <c r="B18" s="11" t="s">
        <v>297</v>
      </c>
      <c r="C18" s="11" t="s">
        <v>22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2:15" ht="16" customHeight="1" x14ac:dyDescent="0.35">
      <c r="B19" s="14" t="s">
        <v>298</v>
      </c>
      <c r="C19" s="14" t="s">
        <v>299</v>
      </c>
      <c r="D19" s="15"/>
      <c r="E19" s="15"/>
      <c r="F19" s="15"/>
      <c r="G19" s="15">
        <v>0</v>
      </c>
      <c r="H19" s="15">
        <v>0</v>
      </c>
      <c r="I19" s="15">
        <v>0</v>
      </c>
      <c r="J19" s="15"/>
      <c r="K19" s="15"/>
      <c r="L19" s="15"/>
      <c r="M19" s="15"/>
      <c r="N19" s="15"/>
      <c r="O19" s="15"/>
    </row>
    <row r="20" spans="2:15" ht="16" customHeight="1" x14ac:dyDescent="0.35">
      <c r="B20" s="14" t="s">
        <v>300</v>
      </c>
      <c r="C20" s="14" t="s">
        <v>301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2:15" ht="16" customHeight="1" x14ac:dyDescent="0.35">
      <c r="B21" s="14" t="s">
        <v>302</v>
      </c>
      <c r="C21" s="14" t="s">
        <v>303</v>
      </c>
      <c r="D21" s="15">
        <v>1971.4245000000001</v>
      </c>
      <c r="E21" s="15">
        <v>2003.3425</v>
      </c>
      <c r="F21" s="15">
        <v>2138.3217800000002</v>
      </c>
      <c r="G21" s="15">
        <v>2138.3217800000002</v>
      </c>
      <c r="H21" s="15">
        <v>2138.56378</v>
      </c>
      <c r="I21" s="15">
        <v>2138.56378</v>
      </c>
      <c r="J21" s="15"/>
      <c r="K21" s="15"/>
      <c r="L21" s="15"/>
      <c r="M21" s="15"/>
      <c r="N21" s="15"/>
      <c r="O21" s="15"/>
    </row>
    <row r="22" spans="2:15" ht="16" customHeight="1" x14ac:dyDescent="0.35">
      <c r="B22" s="14" t="s">
        <v>304</v>
      </c>
      <c r="C22" s="14" t="s">
        <v>305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  <row r="23" spans="2:15" ht="16" customHeight="1" x14ac:dyDescent="0.35">
      <c r="B23" s="14" t="s">
        <v>306</v>
      </c>
      <c r="C23" s="14" t="s">
        <v>307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</row>
    <row r="24" spans="2:15" ht="16" customHeight="1" x14ac:dyDescent="0.35">
      <c r="B24" s="16" t="s">
        <v>308</v>
      </c>
      <c r="C24" s="16" t="s">
        <v>309</v>
      </c>
      <c r="D24" s="17">
        <f t="shared" ref="D24:O24" si="2">D19+D20+D21+D22+D23</f>
        <v>1971.4245000000001</v>
      </c>
      <c r="E24" s="17">
        <f t="shared" si="2"/>
        <v>2003.3425</v>
      </c>
      <c r="F24" s="17">
        <f t="shared" si="2"/>
        <v>2138.3217800000002</v>
      </c>
      <c r="G24" s="17">
        <f t="shared" si="2"/>
        <v>2138.3217800000002</v>
      </c>
      <c r="H24" s="17">
        <f t="shared" si="2"/>
        <v>2138.56378</v>
      </c>
      <c r="I24" s="17">
        <f t="shared" si="2"/>
        <v>2138.56378</v>
      </c>
      <c r="J24" s="17">
        <f t="shared" si="2"/>
        <v>0</v>
      </c>
      <c r="K24" s="17">
        <f t="shared" si="2"/>
        <v>0</v>
      </c>
      <c r="L24" s="17">
        <f t="shared" si="2"/>
        <v>0</v>
      </c>
      <c r="M24" s="17">
        <f t="shared" si="2"/>
        <v>0</v>
      </c>
      <c r="N24" s="17">
        <f t="shared" si="2"/>
        <v>0</v>
      </c>
      <c r="O24" s="17">
        <f t="shared" si="2"/>
        <v>0</v>
      </c>
    </row>
    <row r="25" spans="2:15" ht="16" customHeight="1" x14ac:dyDescent="0.35">
      <c r="B25" s="11" t="s">
        <v>310</v>
      </c>
      <c r="C25" s="11" t="s">
        <v>22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</row>
    <row r="26" spans="2:15" ht="16" customHeight="1" x14ac:dyDescent="0.35">
      <c r="B26" s="14" t="s">
        <v>311</v>
      </c>
      <c r="C26" s="14" t="s">
        <v>312</v>
      </c>
      <c r="D26" s="15">
        <v>81.207329999999999</v>
      </c>
      <c r="E26" s="15">
        <v>81.207329999999999</v>
      </c>
      <c r="F26" s="15">
        <v>6233.8064999999997</v>
      </c>
      <c r="G26" s="15">
        <v>6233.8064999999997</v>
      </c>
      <c r="H26" s="15">
        <v>6233.8064999999997</v>
      </c>
      <c r="I26" s="15">
        <v>6233.8064999999997</v>
      </c>
      <c r="J26" s="15"/>
      <c r="K26" s="15"/>
      <c r="L26" s="15"/>
      <c r="M26" s="15"/>
      <c r="N26" s="15"/>
      <c r="O26" s="15"/>
    </row>
    <row r="27" spans="2:15" ht="16" customHeight="1" x14ac:dyDescent="0.35">
      <c r="B27" s="11" t="s">
        <v>313</v>
      </c>
      <c r="C27" s="11" t="s">
        <v>22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</row>
    <row r="28" spans="2:15" ht="16" customHeight="1" x14ac:dyDescent="0.35">
      <c r="B28" s="14" t="s">
        <v>314</v>
      </c>
      <c r="C28" s="14" t="s">
        <v>315</v>
      </c>
      <c r="D28" s="15">
        <v>1162.99567</v>
      </c>
      <c r="E28" s="15">
        <v>1093.0534600000001</v>
      </c>
      <c r="F28" s="15">
        <v>1116.18912</v>
      </c>
      <c r="G28" s="15">
        <v>1717.13714</v>
      </c>
      <c r="H28" s="15">
        <v>1524.81196</v>
      </c>
      <c r="I28" s="15">
        <v>645.38023999999996</v>
      </c>
      <c r="J28" s="15"/>
      <c r="K28" s="15"/>
      <c r="L28" s="15"/>
      <c r="M28" s="15"/>
      <c r="N28" s="15"/>
      <c r="O28" s="15"/>
    </row>
    <row r="29" spans="2:15" ht="16" customHeight="1" x14ac:dyDescent="0.35">
      <c r="B29" s="14" t="s">
        <v>316</v>
      </c>
      <c r="C29" s="14" t="s">
        <v>317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/>
      <c r="K29" s="15"/>
      <c r="L29" s="15"/>
      <c r="M29" s="15"/>
      <c r="N29" s="15"/>
      <c r="O29" s="15"/>
    </row>
    <row r="30" spans="2:15" ht="16" customHeight="1" x14ac:dyDescent="0.35">
      <c r="B30" s="14" t="s">
        <v>318</v>
      </c>
      <c r="C30" s="14" t="s">
        <v>319</v>
      </c>
      <c r="D30" s="15">
        <v>238215.60133999999</v>
      </c>
      <c r="E30" s="15">
        <v>254812.13860000001</v>
      </c>
      <c r="F30" s="15">
        <v>300732.76509</v>
      </c>
      <c r="G30" s="15">
        <v>351585.01370000001</v>
      </c>
      <c r="H30" s="15">
        <v>371003.11351</v>
      </c>
      <c r="I30" s="15">
        <v>385357.36388000002</v>
      </c>
      <c r="J30" s="15"/>
      <c r="K30" s="15"/>
      <c r="L30" s="15"/>
      <c r="M30" s="15"/>
      <c r="N30" s="15"/>
      <c r="O30" s="15"/>
    </row>
    <row r="31" spans="2:15" ht="16" customHeight="1" x14ac:dyDescent="0.35">
      <c r="B31" s="14" t="s">
        <v>320</v>
      </c>
      <c r="C31" s="14" t="s">
        <v>321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</row>
    <row r="32" spans="2:15" ht="16" customHeight="1" x14ac:dyDescent="0.35">
      <c r="B32" s="14" t="s">
        <v>322</v>
      </c>
      <c r="C32" s="14" t="s">
        <v>323</v>
      </c>
      <c r="D32" s="15">
        <v>-6902.53298</v>
      </c>
      <c r="E32" s="15">
        <v>-6836.8218200000001</v>
      </c>
      <c r="F32" s="15">
        <v>-7892.0954000000002</v>
      </c>
      <c r="G32" s="15">
        <v>-8417.3962300000003</v>
      </c>
      <c r="H32" s="15">
        <v>-8754.4739100000006</v>
      </c>
      <c r="I32" s="15">
        <v>-8890.4999100000005</v>
      </c>
      <c r="J32" s="15"/>
      <c r="K32" s="15"/>
      <c r="L32" s="15"/>
      <c r="M32" s="15"/>
      <c r="N32" s="15"/>
      <c r="O32" s="15"/>
    </row>
    <row r="33" spans="2:15" ht="16" customHeight="1" x14ac:dyDescent="0.35">
      <c r="B33" s="14" t="s">
        <v>324</v>
      </c>
      <c r="C33" s="14" t="s">
        <v>325</v>
      </c>
      <c r="D33" s="15">
        <v>-2.0000000000000002E-5</v>
      </c>
      <c r="E33" s="15">
        <v>-2.0000000000000002E-5</v>
      </c>
      <c r="F33" s="15">
        <v>471.61576000000002</v>
      </c>
      <c r="G33" s="15">
        <v>-2.0000000000000002E-5</v>
      </c>
      <c r="H33" s="15">
        <v>269.54039999999998</v>
      </c>
      <c r="I33" s="15">
        <v>-2.0000000000000002E-5</v>
      </c>
      <c r="J33" s="15"/>
      <c r="K33" s="15"/>
      <c r="L33" s="15"/>
      <c r="M33" s="15"/>
      <c r="N33" s="15"/>
      <c r="O33" s="15"/>
    </row>
    <row r="34" spans="2:15" ht="16" customHeight="1" x14ac:dyDescent="0.35">
      <c r="B34" s="16" t="s">
        <v>326</v>
      </c>
      <c r="C34" s="16" t="s">
        <v>327</v>
      </c>
      <c r="D34" s="17">
        <f t="shared" ref="D34:O34" si="3">D28+D29+D30+D31+D32+D33</f>
        <v>232476.06401</v>
      </c>
      <c r="E34" s="17">
        <f t="shared" si="3"/>
        <v>249068.37021999998</v>
      </c>
      <c r="F34" s="17">
        <f t="shared" si="3"/>
        <v>294428.47457000002</v>
      </c>
      <c r="G34" s="17">
        <f t="shared" si="3"/>
        <v>344884.75459000003</v>
      </c>
      <c r="H34" s="17">
        <f t="shared" si="3"/>
        <v>364042.99196000001</v>
      </c>
      <c r="I34" s="17">
        <f t="shared" si="3"/>
        <v>377112.24419000006</v>
      </c>
      <c r="J34" s="17">
        <f t="shared" si="3"/>
        <v>0</v>
      </c>
      <c r="K34" s="17">
        <f t="shared" si="3"/>
        <v>0</v>
      </c>
      <c r="L34" s="17">
        <f t="shared" si="3"/>
        <v>0</v>
      </c>
      <c r="M34" s="17">
        <f t="shared" si="3"/>
        <v>0</v>
      </c>
      <c r="N34" s="17">
        <f t="shared" si="3"/>
        <v>0</v>
      </c>
      <c r="O34" s="17">
        <f t="shared" si="3"/>
        <v>0</v>
      </c>
    </row>
    <row r="35" spans="2:15" ht="16" customHeight="1" x14ac:dyDescent="0.35">
      <c r="B35" s="11" t="s">
        <v>328</v>
      </c>
      <c r="C35" s="11" t="s">
        <v>22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 spans="2:15" ht="16" customHeight="1" x14ac:dyDescent="0.35">
      <c r="B36" s="14" t="s">
        <v>329</v>
      </c>
      <c r="C36" s="14" t="s">
        <v>330</v>
      </c>
      <c r="D36" s="15">
        <v>41657.978900000002</v>
      </c>
      <c r="E36" s="15">
        <v>43562.14183</v>
      </c>
      <c r="F36" s="15">
        <v>52966.662069999998</v>
      </c>
      <c r="G36" s="15">
        <v>48766.419739999998</v>
      </c>
      <c r="H36" s="15">
        <v>46975.73934</v>
      </c>
      <c r="I36" s="15">
        <v>43863.995479999998</v>
      </c>
      <c r="J36" s="15"/>
      <c r="K36" s="15"/>
      <c r="L36" s="15"/>
      <c r="M36" s="15"/>
      <c r="N36" s="15"/>
      <c r="O36" s="15"/>
    </row>
    <row r="37" spans="2:15" ht="16" customHeight="1" x14ac:dyDescent="0.35">
      <c r="B37" s="14" t="s">
        <v>331</v>
      </c>
      <c r="C37" s="14" t="s">
        <v>332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  <row r="38" spans="2:15" ht="16" customHeight="1" x14ac:dyDescent="0.35">
      <c r="B38" s="14" t="s">
        <v>333</v>
      </c>
      <c r="C38" s="14" t="s">
        <v>334</v>
      </c>
      <c r="D38" s="15">
        <v>164619.21379000001</v>
      </c>
      <c r="E38" s="15">
        <v>163036.07086000001</v>
      </c>
      <c r="F38" s="15">
        <v>201299.56060999999</v>
      </c>
      <c r="G38" s="15">
        <v>204507.96382999999</v>
      </c>
      <c r="H38" s="15">
        <v>213499.91732000001</v>
      </c>
      <c r="I38" s="15">
        <v>216606.92989</v>
      </c>
      <c r="J38" s="15"/>
      <c r="K38" s="15"/>
      <c r="L38" s="15"/>
      <c r="M38" s="15"/>
      <c r="N38" s="15"/>
      <c r="O38" s="15"/>
    </row>
    <row r="39" spans="2:15" ht="16" customHeight="1" x14ac:dyDescent="0.35">
      <c r="B39" s="14" t="s">
        <v>335</v>
      </c>
      <c r="C39" s="14" t="s">
        <v>336</v>
      </c>
      <c r="D39" s="15">
        <v>9.1715199999999992</v>
      </c>
      <c r="E39" s="15">
        <v>1.7636499999999999</v>
      </c>
      <c r="F39" s="15">
        <v>7.7582500000000003</v>
      </c>
      <c r="G39" s="15">
        <v>1.9388000000000001</v>
      </c>
      <c r="H39" s="15">
        <v>5.3106900000000001</v>
      </c>
      <c r="I39" s="15">
        <v>5.3106900000000001</v>
      </c>
      <c r="J39" s="15"/>
      <c r="K39" s="15"/>
      <c r="L39" s="15"/>
      <c r="M39" s="15"/>
      <c r="N39" s="15"/>
      <c r="O39" s="15"/>
    </row>
    <row r="40" spans="2:15" ht="16" customHeight="1" x14ac:dyDescent="0.35">
      <c r="B40" s="14" t="s">
        <v>337</v>
      </c>
      <c r="C40" s="14" t="s">
        <v>338</v>
      </c>
      <c r="D40" s="15">
        <v>14299.174279999999</v>
      </c>
      <c r="E40" s="15">
        <v>14728.261570000001</v>
      </c>
      <c r="F40" s="15">
        <v>15493.6828</v>
      </c>
      <c r="G40" s="15">
        <v>15399.813539999999</v>
      </c>
      <c r="H40" s="15">
        <v>16841.884099999999</v>
      </c>
      <c r="I40" s="15">
        <v>18820.268639999998</v>
      </c>
      <c r="J40" s="15"/>
      <c r="K40" s="15"/>
      <c r="L40" s="15"/>
      <c r="M40" s="15"/>
      <c r="N40" s="15"/>
      <c r="O40" s="15"/>
    </row>
    <row r="41" spans="2:15" ht="16" customHeight="1" x14ac:dyDescent="0.35">
      <c r="B41" s="14" t="s">
        <v>339</v>
      </c>
      <c r="C41" s="14" t="s">
        <v>340</v>
      </c>
      <c r="D41" s="15">
        <v>0</v>
      </c>
      <c r="E41" s="15">
        <v>0</v>
      </c>
      <c r="F41" s="15">
        <v>483.13499999999999</v>
      </c>
      <c r="G41" s="15">
        <v>0</v>
      </c>
      <c r="H41" s="15">
        <v>12.2</v>
      </c>
      <c r="I41" s="15">
        <v>0</v>
      </c>
      <c r="J41" s="15"/>
      <c r="K41" s="15"/>
      <c r="L41" s="15"/>
      <c r="M41" s="15"/>
      <c r="N41" s="15"/>
      <c r="O41" s="15"/>
    </row>
    <row r="42" spans="2:15" ht="16" customHeight="1" x14ac:dyDescent="0.35">
      <c r="B42" s="16" t="s">
        <v>341</v>
      </c>
      <c r="C42" s="16" t="s">
        <v>342</v>
      </c>
      <c r="D42" s="17">
        <f t="shared" ref="D42:O42" si="4">D36+D37+D38+D39+D40+D41</f>
        <v>220585.53849000001</v>
      </c>
      <c r="E42" s="17">
        <f t="shared" si="4"/>
        <v>221328.23791000003</v>
      </c>
      <c r="F42" s="17">
        <f t="shared" si="4"/>
        <v>270250.79872999998</v>
      </c>
      <c r="G42" s="17">
        <f t="shared" si="4"/>
        <v>268676.13591000001</v>
      </c>
      <c r="H42" s="17">
        <f t="shared" si="4"/>
        <v>277335.05145000003</v>
      </c>
      <c r="I42" s="17">
        <f t="shared" si="4"/>
        <v>279296.50470000005</v>
      </c>
      <c r="J42" s="17">
        <f t="shared" si="4"/>
        <v>0</v>
      </c>
      <c r="K42" s="17">
        <f t="shared" si="4"/>
        <v>0</v>
      </c>
      <c r="L42" s="17">
        <f t="shared" si="4"/>
        <v>0</v>
      </c>
      <c r="M42" s="17">
        <f t="shared" si="4"/>
        <v>0</v>
      </c>
      <c r="N42" s="17">
        <f t="shared" si="4"/>
        <v>0</v>
      </c>
      <c r="O42" s="17">
        <f t="shared" si="4"/>
        <v>0</v>
      </c>
    </row>
    <row r="43" spans="2:15" ht="16" customHeight="1" x14ac:dyDescent="0.35">
      <c r="B43" s="11" t="s">
        <v>71</v>
      </c>
      <c r="C43" s="11" t="s">
        <v>22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  <row r="44" spans="2:15" ht="16" customHeight="1" x14ac:dyDescent="0.35">
      <c r="B44" s="14" t="s">
        <v>343</v>
      </c>
      <c r="C44" s="14" t="s">
        <v>344</v>
      </c>
      <c r="D44" s="15">
        <v>2522.7097699999999</v>
      </c>
      <c r="E44" s="15">
        <v>1947.6594</v>
      </c>
      <c r="F44" s="15">
        <v>4430.7061000000003</v>
      </c>
      <c r="G44" s="15">
        <v>3982.00126</v>
      </c>
      <c r="H44" s="15">
        <v>3977.9576200000001</v>
      </c>
      <c r="I44" s="15">
        <v>2886.6567799999998</v>
      </c>
      <c r="J44" s="15"/>
      <c r="K44" s="15"/>
      <c r="L44" s="15"/>
      <c r="M44" s="15"/>
      <c r="N44" s="15"/>
      <c r="O44" s="15"/>
    </row>
    <row r="45" spans="2:15" ht="16" customHeight="1" x14ac:dyDescent="0.35">
      <c r="B45" s="14" t="s">
        <v>345</v>
      </c>
      <c r="C45" s="14" t="s">
        <v>346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2:15" ht="16" customHeight="1" x14ac:dyDescent="0.35">
      <c r="B46" s="14" t="s">
        <v>347</v>
      </c>
      <c r="C46" s="14" t="s">
        <v>348</v>
      </c>
      <c r="D46" s="15">
        <v>515.55632000000003</v>
      </c>
      <c r="E46" s="15">
        <v>452.25198999999998</v>
      </c>
      <c r="F46" s="15">
        <v>897.98783000000003</v>
      </c>
      <c r="G46" s="15">
        <v>-172.95562000000001</v>
      </c>
      <c r="H46" s="15">
        <v>1541.2628400000001</v>
      </c>
      <c r="I46" s="15">
        <v>831.43212000000005</v>
      </c>
      <c r="J46" s="15"/>
      <c r="K46" s="15"/>
      <c r="L46" s="15"/>
      <c r="M46" s="15"/>
      <c r="N46" s="15"/>
      <c r="O46" s="15"/>
    </row>
    <row r="47" spans="2:15" ht="16" customHeight="1" x14ac:dyDescent="0.35">
      <c r="B47" s="14" t="s">
        <v>349</v>
      </c>
      <c r="C47" s="14" t="s">
        <v>350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5" ht="16" customHeight="1" x14ac:dyDescent="0.35">
      <c r="B48" s="14" t="s">
        <v>351</v>
      </c>
      <c r="C48" s="14" t="s">
        <v>352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2:15" ht="16" customHeight="1" x14ac:dyDescent="0.35">
      <c r="B49" s="14" t="s">
        <v>353</v>
      </c>
      <c r="C49" s="14" t="s">
        <v>354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2:15" ht="16" customHeight="1" x14ac:dyDescent="0.35">
      <c r="B50" s="14" t="s">
        <v>355</v>
      </c>
      <c r="C50" s="14" t="s">
        <v>356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2:15" ht="16" customHeight="1" x14ac:dyDescent="0.35">
      <c r="B51" s="14" t="s">
        <v>357</v>
      </c>
      <c r="C51" s="14" t="s">
        <v>358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2:15" ht="16" customHeight="1" x14ac:dyDescent="0.35">
      <c r="B52" s="14" t="s">
        <v>359</v>
      </c>
      <c r="C52" s="14" t="s">
        <v>360</v>
      </c>
      <c r="D52" s="15">
        <v>23437.967260000001</v>
      </c>
      <c r="E52" s="15">
        <v>20166.62789</v>
      </c>
      <c r="F52" s="15">
        <v>21617.629949999999</v>
      </c>
      <c r="G52" s="15">
        <v>18806.132369999999</v>
      </c>
      <c r="H52" s="15">
        <v>17103.491839999999</v>
      </c>
      <c r="I52" s="15">
        <v>12280.30724</v>
      </c>
      <c r="J52" s="15"/>
      <c r="K52" s="15"/>
      <c r="L52" s="15"/>
      <c r="M52" s="15"/>
      <c r="N52" s="15"/>
      <c r="O52" s="15"/>
    </row>
    <row r="53" spans="2:15" ht="16" customHeight="1" x14ac:dyDescent="0.35">
      <c r="B53" s="14" t="s">
        <v>361</v>
      </c>
      <c r="C53" s="14" t="s">
        <v>362</v>
      </c>
      <c r="D53" s="15"/>
      <c r="E53" s="15"/>
      <c r="F53" s="15">
        <v>166.1</v>
      </c>
      <c r="G53" s="15">
        <v>-9999.3379999999997</v>
      </c>
      <c r="H53" s="15">
        <v>245.958</v>
      </c>
      <c r="I53" s="15">
        <v>245.958</v>
      </c>
      <c r="J53" s="15"/>
      <c r="K53" s="15"/>
      <c r="L53" s="15"/>
      <c r="M53" s="15"/>
      <c r="N53" s="15"/>
      <c r="O53" s="15"/>
    </row>
    <row r="54" spans="2:15" ht="16" customHeight="1" x14ac:dyDescent="0.35">
      <c r="B54" s="14" t="s">
        <v>363</v>
      </c>
      <c r="C54" s="14" t="s">
        <v>364</v>
      </c>
      <c r="D54" s="15">
        <v>9450.0753199999999</v>
      </c>
      <c r="E54" s="15">
        <v>6432.6167599999999</v>
      </c>
      <c r="F54" s="15">
        <v>8818.4189499999993</v>
      </c>
      <c r="G54" s="15">
        <v>10714.93333</v>
      </c>
      <c r="H54" s="15">
        <v>13845.00405</v>
      </c>
      <c r="I54" s="15">
        <v>906.14691000000005</v>
      </c>
      <c r="J54" s="15"/>
      <c r="K54" s="15"/>
      <c r="L54" s="15"/>
      <c r="M54" s="15"/>
      <c r="N54" s="15"/>
      <c r="O54" s="15"/>
    </row>
    <row r="55" spans="2:15" ht="16" customHeight="1" x14ac:dyDescent="0.35">
      <c r="B55" s="16" t="s">
        <v>365</v>
      </c>
      <c r="C55" s="16" t="s">
        <v>366</v>
      </c>
      <c r="D55" s="17">
        <f t="shared" ref="D55:O55" si="5">D44+D45+D46+D47+D48+D49+D50+D51+D52+D53+D54</f>
        <v>35926.308669999999</v>
      </c>
      <c r="E55" s="17">
        <f t="shared" si="5"/>
        <v>28999.156040000002</v>
      </c>
      <c r="F55" s="17">
        <f t="shared" si="5"/>
        <v>35930.842829999994</v>
      </c>
      <c r="G55" s="17">
        <f t="shared" si="5"/>
        <v>23330.77334</v>
      </c>
      <c r="H55" s="17">
        <f t="shared" si="5"/>
        <v>36713.674350000001</v>
      </c>
      <c r="I55" s="17">
        <f t="shared" si="5"/>
        <v>17150.501050000003</v>
      </c>
      <c r="J55" s="17">
        <f t="shared" si="5"/>
        <v>0</v>
      </c>
      <c r="K55" s="17">
        <f t="shared" si="5"/>
        <v>0</v>
      </c>
      <c r="L55" s="17">
        <f t="shared" si="5"/>
        <v>0</v>
      </c>
      <c r="M55" s="17">
        <f t="shared" si="5"/>
        <v>0</v>
      </c>
      <c r="N55" s="17">
        <f t="shared" si="5"/>
        <v>0</v>
      </c>
      <c r="O55" s="17">
        <f t="shared" si="5"/>
        <v>0</v>
      </c>
    </row>
    <row r="56" spans="2:15" ht="16" customHeight="1" x14ac:dyDescent="0.35">
      <c r="B56" s="11" t="s">
        <v>367</v>
      </c>
      <c r="C56" s="11" t="s">
        <v>22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</row>
    <row r="57" spans="2:15" ht="16" customHeight="1" x14ac:dyDescent="0.35">
      <c r="B57" s="14" t="s">
        <v>368</v>
      </c>
      <c r="C57" s="14" t="s">
        <v>369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</row>
    <row r="58" spans="2:15" ht="16" customHeight="1" thickBot="1" x14ac:dyDescent="0.4">
      <c r="B58" s="11" t="s">
        <v>370</v>
      </c>
      <c r="C58" s="11" t="s">
        <v>22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</row>
    <row r="59" spans="2:15" ht="16" customHeight="1" thickBot="1" x14ac:dyDescent="0.4">
      <c r="B59" s="18" t="s">
        <v>371</v>
      </c>
      <c r="C59" s="18" t="s">
        <v>372</v>
      </c>
      <c r="D59" s="19">
        <f t="shared" ref="D59:O59" si="6">D13+D17+D24+D26+D34+D42+D55+D57</f>
        <v>492639.27050000004</v>
      </c>
      <c r="E59" s="19">
        <f t="shared" si="6"/>
        <v>507343.57074</v>
      </c>
      <c r="F59" s="19">
        <f t="shared" si="6"/>
        <v>610882.97063</v>
      </c>
      <c r="G59" s="19">
        <f t="shared" si="6"/>
        <v>646686.45471999992</v>
      </c>
      <c r="H59" s="19">
        <f t="shared" si="6"/>
        <v>690105.19013</v>
      </c>
      <c r="I59" s="19">
        <f t="shared" si="6"/>
        <v>658591.93833000015</v>
      </c>
      <c r="J59" s="19">
        <f t="shared" si="6"/>
        <v>0</v>
      </c>
      <c r="K59" s="19">
        <f t="shared" si="6"/>
        <v>0</v>
      </c>
      <c r="L59" s="19">
        <f t="shared" si="6"/>
        <v>0</v>
      </c>
      <c r="M59" s="19">
        <f t="shared" si="6"/>
        <v>0</v>
      </c>
      <c r="N59" s="19">
        <f t="shared" si="6"/>
        <v>0</v>
      </c>
      <c r="O59" s="19">
        <f t="shared" si="6"/>
        <v>0</v>
      </c>
    </row>
    <row r="60" spans="2:15" ht="16" customHeight="1" x14ac:dyDescent="0.35">
      <c r="B60" s="11" t="s">
        <v>373</v>
      </c>
      <c r="C60" s="11" t="s">
        <v>22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</row>
    <row r="61" spans="2:15" ht="16" customHeight="1" x14ac:dyDescent="0.35">
      <c r="B61" s="14" t="s">
        <v>374</v>
      </c>
      <c r="C61" s="14" t="s">
        <v>375</v>
      </c>
      <c r="D61" s="15">
        <v>2.0000000000000001E-4</v>
      </c>
      <c r="E61" s="15">
        <v>2.0000000000000001E-4</v>
      </c>
      <c r="F61" s="15">
        <v>7.1000000000000002E-4</v>
      </c>
      <c r="G61" s="15">
        <v>7.1000000000000002E-4</v>
      </c>
      <c r="H61" s="15">
        <v>7.1000000000000002E-4</v>
      </c>
      <c r="I61" s="15">
        <v>7.1000000000000002E-4</v>
      </c>
      <c r="J61" s="15"/>
      <c r="K61" s="15"/>
      <c r="L61" s="15"/>
      <c r="M61" s="15"/>
      <c r="N61" s="15"/>
      <c r="O61" s="15"/>
    </row>
    <row r="62" spans="2:15" ht="16" customHeight="1" x14ac:dyDescent="0.35">
      <c r="B62" s="14" t="s">
        <v>376</v>
      </c>
      <c r="C62" s="14" t="s">
        <v>377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2:15" ht="16" customHeight="1" x14ac:dyDescent="0.35">
      <c r="B63" s="14" t="s">
        <v>378</v>
      </c>
      <c r="C63" s="14" t="s">
        <v>379</v>
      </c>
      <c r="D63" s="15">
        <v>510576.30943999998</v>
      </c>
      <c r="E63" s="15">
        <v>514392.25046000001</v>
      </c>
      <c r="F63" s="15">
        <v>512785.33191000001</v>
      </c>
      <c r="G63" s="15">
        <v>521884.64678000001</v>
      </c>
      <c r="H63" s="15">
        <v>525002.31137999997</v>
      </c>
      <c r="I63" s="15">
        <v>533169.71791000001</v>
      </c>
      <c r="J63" s="15"/>
      <c r="K63" s="15"/>
      <c r="L63" s="15"/>
      <c r="M63" s="15"/>
      <c r="N63" s="15"/>
      <c r="O63" s="15"/>
    </row>
    <row r="64" spans="2:15" ht="16" customHeight="1" x14ac:dyDescent="0.35">
      <c r="B64" s="14" t="s">
        <v>380</v>
      </c>
      <c r="C64" s="14" t="s">
        <v>381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2:15" ht="16" customHeight="1" x14ac:dyDescent="0.35">
      <c r="B65" s="14" t="s">
        <v>382</v>
      </c>
      <c r="C65" s="14" t="s">
        <v>383</v>
      </c>
      <c r="D65" s="15">
        <v>125</v>
      </c>
      <c r="E65" s="15">
        <v>125</v>
      </c>
      <c r="F65" s="15">
        <v>125</v>
      </c>
      <c r="G65" s="15">
        <v>125</v>
      </c>
      <c r="H65" s="15"/>
      <c r="I65" s="15"/>
      <c r="J65" s="15"/>
      <c r="K65" s="15"/>
      <c r="L65" s="15"/>
      <c r="M65" s="15"/>
      <c r="N65" s="15"/>
      <c r="O65" s="15"/>
    </row>
    <row r="66" spans="2:15" ht="16" customHeight="1" x14ac:dyDescent="0.35">
      <c r="B66" s="14" t="s">
        <v>384</v>
      </c>
      <c r="C66" s="14" t="s">
        <v>385</v>
      </c>
      <c r="D66" s="15">
        <v>-1.0000000000000001E-5</v>
      </c>
      <c r="E66" s="15">
        <v>-1.0000000000000001E-5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</row>
    <row r="67" spans="2:15" ht="16" customHeight="1" x14ac:dyDescent="0.35">
      <c r="B67" s="14" t="s">
        <v>386</v>
      </c>
      <c r="C67" s="14" t="s">
        <v>387</v>
      </c>
      <c r="D67" s="15">
        <v>32409.421719999998</v>
      </c>
      <c r="E67" s="15">
        <v>32396.007300000001</v>
      </c>
      <c r="F67" s="15">
        <v>32544.526330000001</v>
      </c>
      <c r="G67" s="15">
        <v>33028.29795</v>
      </c>
      <c r="H67" s="15">
        <v>32861.885130000002</v>
      </c>
      <c r="I67" s="15">
        <v>33177.692889999998</v>
      </c>
      <c r="J67" s="15"/>
      <c r="K67" s="15"/>
      <c r="L67" s="15"/>
      <c r="M67" s="15"/>
      <c r="N67" s="15"/>
      <c r="O67" s="15"/>
    </row>
    <row r="68" spans="2:15" ht="16" customHeight="1" x14ac:dyDescent="0.35">
      <c r="B68" s="16" t="s">
        <v>388</v>
      </c>
      <c r="C68" s="16" t="s">
        <v>389</v>
      </c>
      <c r="D68" s="17">
        <f t="shared" ref="D68:O68" si="7">D61+D62+D63+D64+D65+D66+D67</f>
        <v>543110.73135000002</v>
      </c>
      <c r="E68" s="17">
        <f t="shared" si="7"/>
        <v>546913.25795</v>
      </c>
      <c r="F68" s="17">
        <f t="shared" si="7"/>
        <v>545454.85895000002</v>
      </c>
      <c r="G68" s="17">
        <f t="shared" si="7"/>
        <v>555037.94544000004</v>
      </c>
      <c r="H68" s="17">
        <f t="shared" si="7"/>
        <v>557864.19721999997</v>
      </c>
      <c r="I68" s="17">
        <f t="shared" si="7"/>
        <v>566347.41151000001</v>
      </c>
      <c r="J68" s="17">
        <f t="shared" si="7"/>
        <v>0</v>
      </c>
      <c r="K68" s="17">
        <f t="shared" si="7"/>
        <v>0</v>
      </c>
      <c r="L68" s="17">
        <f t="shared" si="7"/>
        <v>0</v>
      </c>
      <c r="M68" s="17">
        <f t="shared" si="7"/>
        <v>0</v>
      </c>
      <c r="N68" s="17">
        <f t="shared" si="7"/>
        <v>0</v>
      </c>
      <c r="O68" s="17">
        <f t="shared" si="7"/>
        <v>0</v>
      </c>
    </row>
    <row r="69" spans="2:15" ht="16" customHeight="1" x14ac:dyDescent="0.35">
      <c r="B69" s="11" t="s">
        <v>390</v>
      </c>
      <c r="C69" s="11" t="s">
        <v>22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</row>
    <row r="70" spans="2:15" ht="16" customHeight="1" x14ac:dyDescent="0.35">
      <c r="B70" s="14" t="s">
        <v>391</v>
      </c>
      <c r="C70" s="14" t="s">
        <v>392</v>
      </c>
      <c r="D70" s="15">
        <v>0</v>
      </c>
      <c r="E70" s="15">
        <v>0</v>
      </c>
      <c r="F70" s="15">
        <v>0</v>
      </c>
      <c r="G70" s="15">
        <v>0</v>
      </c>
      <c r="H70" s="15">
        <v>0</v>
      </c>
      <c r="I70" s="15">
        <v>0</v>
      </c>
      <c r="J70" s="15"/>
      <c r="K70" s="15"/>
      <c r="L70" s="15"/>
      <c r="M70" s="15"/>
      <c r="N70" s="15"/>
      <c r="O70" s="15"/>
    </row>
    <row r="71" spans="2:15" ht="16" customHeight="1" x14ac:dyDescent="0.35">
      <c r="B71" s="14" t="s">
        <v>393</v>
      </c>
      <c r="C71" s="14" t="s">
        <v>394</v>
      </c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2:15" ht="16" customHeight="1" x14ac:dyDescent="0.35">
      <c r="B72" s="16" t="s">
        <v>395</v>
      </c>
      <c r="C72" s="16" t="s">
        <v>396</v>
      </c>
      <c r="D72" s="17">
        <f t="shared" ref="D72:O72" si="8">D70+D71</f>
        <v>0</v>
      </c>
      <c r="E72" s="17">
        <f t="shared" si="8"/>
        <v>0</v>
      </c>
      <c r="F72" s="17">
        <f t="shared" si="8"/>
        <v>0</v>
      </c>
      <c r="G72" s="17">
        <f t="shared" si="8"/>
        <v>0</v>
      </c>
      <c r="H72" s="17">
        <f t="shared" si="8"/>
        <v>0</v>
      </c>
      <c r="I72" s="17">
        <f t="shared" si="8"/>
        <v>0</v>
      </c>
      <c r="J72" s="17">
        <f t="shared" si="8"/>
        <v>0</v>
      </c>
      <c r="K72" s="17">
        <f t="shared" si="8"/>
        <v>0</v>
      </c>
      <c r="L72" s="17">
        <f t="shared" si="8"/>
        <v>0</v>
      </c>
      <c r="M72" s="17">
        <f t="shared" si="8"/>
        <v>0</v>
      </c>
      <c r="N72" s="17">
        <f t="shared" si="8"/>
        <v>0</v>
      </c>
      <c r="O72" s="17">
        <f t="shared" si="8"/>
        <v>0</v>
      </c>
    </row>
    <row r="73" spans="2:15" ht="16" customHeight="1" x14ac:dyDescent="0.35">
      <c r="B73" s="11" t="s">
        <v>77</v>
      </c>
      <c r="C73" s="11" t="s">
        <v>22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2:15" ht="16" customHeight="1" x14ac:dyDescent="0.35">
      <c r="B74" s="14" t="s">
        <v>397</v>
      </c>
      <c r="C74" s="14" t="s">
        <v>398</v>
      </c>
      <c r="D74" s="15">
        <v>2.38035</v>
      </c>
      <c r="E74" s="15">
        <v>2.38035</v>
      </c>
      <c r="F74" s="15">
        <v>1595.63356</v>
      </c>
      <c r="G74" s="15">
        <v>1595.63356</v>
      </c>
      <c r="H74" s="15">
        <v>1595.63356</v>
      </c>
      <c r="I74" s="15">
        <v>1595.63356</v>
      </c>
      <c r="J74" s="15"/>
      <c r="K74" s="15"/>
      <c r="L74" s="15"/>
      <c r="M74" s="15"/>
      <c r="N74" s="15"/>
      <c r="O74" s="15"/>
    </row>
    <row r="75" spans="2:15" ht="16" customHeight="1" x14ac:dyDescent="0.35">
      <c r="B75" s="11" t="s">
        <v>399</v>
      </c>
      <c r="C75" s="11" t="s">
        <v>22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2:15" ht="16" customHeight="1" x14ac:dyDescent="0.35">
      <c r="B76" s="14" t="s">
        <v>400</v>
      </c>
      <c r="C76" s="14" t="s">
        <v>401</v>
      </c>
      <c r="D76" s="15">
        <v>1869411.0072900001</v>
      </c>
      <c r="E76" s="15">
        <v>1867998.11827</v>
      </c>
      <c r="F76" s="15">
        <v>2177048.29843</v>
      </c>
      <c r="G76" s="15">
        <v>2177412.6466799998</v>
      </c>
      <c r="H76" s="15">
        <v>2180719.2922700001</v>
      </c>
      <c r="I76" s="15">
        <v>2180724.5153600001</v>
      </c>
      <c r="J76" s="15"/>
      <c r="K76" s="15"/>
      <c r="L76" s="15"/>
      <c r="M76" s="15"/>
      <c r="N76" s="15"/>
      <c r="O76" s="15"/>
    </row>
    <row r="77" spans="2:15" ht="16" customHeight="1" x14ac:dyDescent="0.35">
      <c r="B77" s="14" t="s">
        <v>402</v>
      </c>
      <c r="C77" s="14" t="s">
        <v>403</v>
      </c>
      <c r="D77" s="15">
        <v>-810894.23270000005</v>
      </c>
      <c r="E77" s="15">
        <v>-813843.49574000004</v>
      </c>
      <c r="F77" s="15">
        <v>-820821.27974999999</v>
      </c>
      <c r="G77" s="15">
        <v>-822922.78807000001</v>
      </c>
      <c r="H77" s="15">
        <v>-828671.98026999994</v>
      </c>
      <c r="I77" s="15">
        <v>-828671.98026999994</v>
      </c>
      <c r="J77" s="15"/>
      <c r="K77" s="15"/>
      <c r="L77" s="15"/>
      <c r="M77" s="15"/>
      <c r="N77" s="15"/>
      <c r="O77" s="15"/>
    </row>
    <row r="78" spans="2:15" ht="16" customHeight="1" x14ac:dyDescent="0.35">
      <c r="B78" s="34" t="s">
        <v>404</v>
      </c>
      <c r="C78" s="34" t="s">
        <v>405</v>
      </c>
      <c r="D78" s="35">
        <f t="shared" ref="D78:O78" si="9">D76+D77</f>
        <v>1058516.77459</v>
      </c>
      <c r="E78" s="35">
        <f t="shared" si="9"/>
        <v>1054154.6225299998</v>
      </c>
      <c r="F78" s="35">
        <f t="shared" si="9"/>
        <v>1356227.01868</v>
      </c>
      <c r="G78" s="35">
        <f t="shared" si="9"/>
        <v>1354489.8586099998</v>
      </c>
      <c r="H78" s="35">
        <f t="shared" si="9"/>
        <v>1352047.3120000002</v>
      </c>
      <c r="I78" s="35">
        <f t="shared" si="9"/>
        <v>1352052.5350900001</v>
      </c>
      <c r="J78" s="35">
        <f t="shared" si="9"/>
        <v>0</v>
      </c>
      <c r="K78" s="35">
        <f t="shared" si="9"/>
        <v>0</v>
      </c>
      <c r="L78" s="35">
        <f t="shared" si="9"/>
        <v>0</v>
      </c>
      <c r="M78" s="35">
        <f t="shared" si="9"/>
        <v>0</v>
      </c>
      <c r="N78" s="35">
        <f t="shared" si="9"/>
        <v>0</v>
      </c>
      <c r="O78" s="35">
        <f t="shared" si="9"/>
        <v>0</v>
      </c>
    </row>
    <row r="79" spans="2:15" ht="16" customHeight="1" x14ac:dyDescent="0.35">
      <c r="B79" s="14" t="s">
        <v>406</v>
      </c>
      <c r="C79" s="14" t="s">
        <v>407</v>
      </c>
      <c r="D79" s="15">
        <v>190278.07053</v>
      </c>
      <c r="E79" s="15">
        <v>190405.53654999999</v>
      </c>
      <c r="F79" s="15">
        <v>194365.30330999999</v>
      </c>
      <c r="G79" s="15">
        <v>196072.03093000001</v>
      </c>
      <c r="H79" s="15">
        <v>197048.40251000001</v>
      </c>
      <c r="I79" s="15">
        <v>197043.13204999999</v>
      </c>
      <c r="J79" s="15"/>
      <c r="K79" s="15"/>
      <c r="L79" s="15"/>
      <c r="M79" s="15"/>
      <c r="N79" s="15"/>
      <c r="O79" s="15"/>
    </row>
    <row r="80" spans="2:15" ht="16" customHeight="1" x14ac:dyDescent="0.35">
      <c r="B80" s="14" t="s">
        <v>408</v>
      </c>
      <c r="C80" s="14" t="s">
        <v>409</v>
      </c>
      <c r="D80" s="15">
        <v>-110041.85075</v>
      </c>
      <c r="E80" s="15">
        <v>-110542.80893</v>
      </c>
      <c r="F80" s="15">
        <v>-109533.38434999999</v>
      </c>
      <c r="G80" s="15">
        <v>-110286.11397000001</v>
      </c>
      <c r="H80" s="15">
        <v>-110799.36487999999</v>
      </c>
      <c r="I80" s="15">
        <v>-110799.36487999999</v>
      </c>
      <c r="J80" s="15"/>
      <c r="K80" s="15"/>
      <c r="L80" s="15"/>
      <c r="M80" s="15"/>
      <c r="N80" s="15"/>
      <c r="O80" s="15"/>
    </row>
    <row r="81" spans="2:15" ht="16" customHeight="1" x14ac:dyDescent="0.35">
      <c r="B81" s="34" t="s">
        <v>410</v>
      </c>
      <c r="C81" s="34" t="s">
        <v>411</v>
      </c>
      <c r="D81" s="35">
        <f t="shared" ref="D81:O81" si="10">D79+D80</f>
        <v>80236.219779999999</v>
      </c>
      <c r="E81" s="35">
        <f t="shared" si="10"/>
        <v>79862.727619999991</v>
      </c>
      <c r="F81" s="35">
        <f t="shared" si="10"/>
        <v>84831.918959999995</v>
      </c>
      <c r="G81" s="35">
        <f t="shared" si="10"/>
        <v>85785.916960000002</v>
      </c>
      <c r="H81" s="35">
        <f t="shared" si="10"/>
        <v>86249.037630000021</v>
      </c>
      <c r="I81" s="35">
        <f t="shared" si="10"/>
        <v>86243.767169999992</v>
      </c>
      <c r="J81" s="35">
        <f t="shared" si="10"/>
        <v>0</v>
      </c>
      <c r="K81" s="35">
        <f t="shared" si="10"/>
        <v>0</v>
      </c>
      <c r="L81" s="35">
        <f t="shared" si="10"/>
        <v>0</v>
      </c>
      <c r="M81" s="35">
        <f t="shared" si="10"/>
        <v>0</v>
      </c>
      <c r="N81" s="35">
        <f t="shared" si="10"/>
        <v>0</v>
      </c>
      <c r="O81" s="35">
        <f t="shared" si="10"/>
        <v>0</v>
      </c>
    </row>
    <row r="82" spans="2:15" ht="16" customHeight="1" x14ac:dyDescent="0.35">
      <c r="B82" s="14" t="s">
        <v>412</v>
      </c>
      <c r="C82" s="14" t="s">
        <v>413</v>
      </c>
      <c r="D82" s="15">
        <v>1014924.3574400001</v>
      </c>
      <c r="E82" s="15">
        <v>1018813.22658</v>
      </c>
      <c r="F82" s="15">
        <v>1091260.3711399999</v>
      </c>
      <c r="G82" s="15">
        <v>1097228.9021600001</v>
      </c>
      <c r="H82" s="15">
        <v>1102701.62314</v>
      </c>
      <c r="I82" s="15">
        <v>1102782.1356800001</v>
      </c>
      <c r="J82" s="15"/>
      <c r="K82" s="15"/>
      <c r="L82" s="15"/>
      <c r="M82" s="15"/>
      <c r="N82" s="15"/>
      <c r="O82" s="15"/>
    </row>
    <row r="83" spans="2:15" ht="16" customHeight="1" x14ac:dyDescent="0.35">
      <c r="B83" s="14" t="s">
        <v>414</v>
      </c>
      <c r="C83" s="14" t="s">
        <v>415</v>
      </c>
      <c r="D83" s="15">
        <v>-707173.13629000005</v>
      </c>
      <c r="E83" s="15">
        <v>-710225.33397000004</v>
      </c>
      <c r="F83" s="15">
        <v>-736135.44660000002</v>
      </c>
      <c r="G83" s="15">
        <v>-744782.43319000001</v>
      </c>
      <c r="H83" s="15">
        <v>-749587.88468999998</v>
      </c>
      <c r="I83" s="15">
        <v>-749577.88468999998</v>
      </c>
      <c r="J83" s="15"/>
      <c r="K83" s="15"/>
      <c r="L83" s="15"/>
      <c r="M83" s="15"/>
      <c r="N83" s="15"/>
      <c r="O83" s="15"/>
    </row>
    <row r="84" spans="2:15" ht="16" customHeight="1" x14ac:dyDescent="0.35">
      <c r="B84" s="34" t="s">
        <v>416</v>
      </c>
      <c r="C84" s="34" t="s">
        <v>417</v>
      </c>
      <c r="D84" s="35">
        <f t="shared" ref="D84:O84" si="11">D82+D83</f>
        <v>307751.22115</v>
      </c>
      <c r="E84" s="35">
        <f t="shared" si="11"/>
        <v>308587.89260999998</v>
      </c>
      <c r="F84" s="35">
        <f t="shared" si="11"/>
        <v>355124.92453999992</v>
      </c>
      <c r="G84" s="35">
        <f t="shared" si="11"/>
        <v>352446.46897000005</v>
      </c>
      <c r="H84" s="35">
        <f t="shared" si="11"/>
        <v>353113.73845000006</v>
      </c>
      <c r="I84" s="35">
        <f t="shared" si="11"/>
        <v>353204.25099000009</v>
      </c>
      <c r="J84" s="35">
        <f t="shared" si="11"/>
        <v>0</v>
      </c>
      <c r="K84" s="35">
        <f t="shared" si="11"/>
        <v>0</v>
      </c>
      <c r="L84" s="35">
        <f t="shared" si="11"/>
        <v>0</v>
      </c>
      <c r="M84" s="35">
        <f t="shared" si="11"/>
        <v>0</v>
      </c>
      <c r="N84" s="35">
        <f t="shared" si="11"/>
        <v>0</v>
      </c>
      <c r="O84" s="35">
        <f t="shared" si="11"/>
        <v>0</v>
      </c>
    </row>
    <row r="85" spans="2:15" ht="16" customHeight="1" x14ac:dyDescent="0.35">
      <c r="B85" s="14" t="s">
        <v>418</v>
      </c>
      <c r="C85" s="14" t="s">
        <v>419</v>
      </c>
      <c r="D85" s="15">
        <v>373478.57514999999</v>
      </c>
      <c r="E85" s="15">
        <v>373898.41907</v>
      </c>
      <c r="F85" s="15">
        <v>389090.39889999997</v>
      </c>
      <c r="G85" s="15">
        <v>389717.91778999998</v>
      </c>
      <c r="H85" s="15">
        <v>389425.35833999998</v>
      </c>
      <c r="I85" s="15">
        <v>389367.94027999998</v>
      </c>
      <c r="J85" s="15"/>
      <c r="K85" s="15"/>
      <c r="L85" s="15"/>
      <c r="M85" s="15"/>
      <c r="N85" s="15"/>
      <c r="O85" s="15"/>
    </row>
    <row r="86" spans="2:15" ht="16" customHeight="1" x14ac:dyDescent="0.35">
      <c r="B86" s="14" t="s">
        <v>420</v>
      </c>
      <c r="C86" s="14" t="s">
        <v>421</v>
      </c>
      <c r="D86" s="15">
        <v>-295727.06991999998</v>
      </c>
      <c r="E86" s="15">
        <v>-296768.70837000001</v>
      </c>
      <c r="F86" s="15">
        <v>-297441.64269000001</v>
      </c>
      <c r="G86" s="15">
        <v>-299485.78391</v>
      </c>
      <c r="H86" s="15">
        <v>-301189.35399999999</v>
      </c>
      <c r="I86" s="15">
        <v>-301147.26305000001</v>
      </c>
      <c r="J86" s="15"/>
      <c r="K86" s="15"/>
      <c r="L86" s="15"/>
      <c r="M86" s="15"/>
      <c r="N86" s="15"/>
      <c r="O86" s="15"/>
    </row>
    <row r="87" spans="2:15" ht="16" customHeight="1" x14ac:dyDescent="0.35">
      <c r="B87" s="34" t="s">
        <v>422</v>
      </c>
      <c r="C87" s="34" t="s">
        <v>423</v>
      </c>
      <c r="D87" s="35">
        <f t="shared" ref="D87:O87" si="12">D85+D86</f>
        <v>77751.50523000001</v>
      </c>
      <c r="E87" s="35">
        <f t="shared" si="12"/>
        <v>77129.710699999996</v>
      </c>
      <c r="F87" s="35">
        <f t="shared" si="12"/>
        <v>91648.756209999963</v>
      </c>
      <c r="G87" s="35">
        <f t="shared" si="12"/>
        <v>90232.133879999979</v>
      </c>
      <c r="H87" s="35">
        <f t="shared" si="12"/>
        <v>88236.004339999985</v>
      </c>
      <c r="I87" s="35">
        <f t="shared" si="12"/>
        <v>88220.677229999972</v>
      </c>
      <c r="J87" s="35">
        <f t="shared" si="12"/>
        <v>0</v>
      </c>
      <c r="K87" s="35">
        <f t="shared" si="12"/>
        <v>0</v>
      </c>
      <c r="L87" s="35">
        <f t="shared" si="12"/>
        <v>0</v>
      </c>
      <c r="M87" s="35">
        <f t="shared" si="12"/>
        <v>0</v>
      </c>
      <c r="N87" s="35">
        <f t="shared" si="12"/>
        <v>0</v>
      </c>
      <c r="O87" s="35">
        <f t="shared" si="12"/>
        <v>0</v>
      </c>
    </row>
    <row r="88" spans="2:15" ht="16" customHeight="1" x14ac:dyDescent="0.35">
      <c r="B88" s="14" t="s">
        <v>424</v>
      </c>
      <c r="C88" s="14" t="s">
        <v>425</v>
      </c>
      <c r="D88" s="15">
        <v>68016.761790000004</v>
      </c>
      <c r="E88" s="15">
        <v>70923.891669999997</v>
      </c>
      <c r="F88" s="15">
        <v>76013.254530000006</v>
      </c>
      <c r="G88" s="15">
        <v>82531.87732</v>
      </c>
      <c r="H88" s="15">
        <v>82021.193190000005</v>
      </c>
      <c r="I88" s="15">
        <v>85939.338300000003</v>
      </c>
      <c r="J88" s="15"/>
      <c r="K88" s="15"/>
      <c r="L88" s="15"/>
      <c r="M88" s="15"/>
      <c r="N88" s="15"/>
      <c r="O88" s="15"/>
    </row>
    <row r="89" spans="2:15" ht="16" customHeight="1" x14ac:dyDescent="0.35">
      <c r="B89" s="14" t="s">
        <v>426</v>
      </c>
      <c r="C89" s="14" t="s">
        <v>427</v>
      </c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</row>
    <row r="90" spans="2:15" ht="16" customHeight="1" x14ac:dyDescent="0.35">
      <c r="B90" s="34" t="s">
        <v>428</v>
      </c>
      <c r="C90" s="34" t="s">
        <v>429</v>
      </c>
      <c r="D90" s="35">
        <f t="shared" ref="D90:O90" si="13">D88+D89</f>
        <v>68016.761790000004</v>
      </c>
      <c r="E90" s="35">
        <f t="shared" si="13"/>
        <v>70923.891669999997</v>
      </c>
      <c r="F90" s="35">
        <f t="shared" si="13"/>
        <v>76013.254530000006</v>
      </c>
      <c r="G90" s="35">
        <f t="shared" si="13"/>
        <v>82531.87732</v>
      </c>
      <c r="H90" s="35">
        <f t="shared" si="13"/>
        <v>82021.193190000005</v>
      </c>
      <c r="I90" s="35">
        <f t="shared" si="13"/>
        <v>85939.338300000003</v>
      </c>
      <c r="J90" s="35">
        <f t="shared" si="13"/>
        <v>0</v>
      </c>
      <c r="K90" s="35">
        <f t="shared" si="13"/>
        <v>0</v>
      </c>
      <c r="L90" s="35">
        <f t="shared" si="13"/>
        <v>0</v>
      </c>
      <c r="M90" s="35">
        <f t="shared" si="13"/>
        <v>0</v>
      </c>
      <c r="N90" s="35">
        <f t="shared" si="13"/>
        <v>0</v>
      </c>
      <c r="O90" s="35">
        <f t="shared" si="13"/>
        <v>0</v>
      </c>
    </row>
    <row r="91" spans="2:15" ht="16" customHeight="1" x14ac:dyDescent="0.35">
      <c r="B91" s="11" t="s">
        <v>430</v>
      </c>
      <c r="C91" s="11" t="s">
        <v>22</v>
      </c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</row>
    <row r="92" spans="2:15" ht="16" customHeight="1" x14ac:dyDescent="0.35">
      <c r="B92" s="16" t="s">
        <v>431</v>
      </c>
      <c r="C92" s="16" t="s">
        <v>432</v>
      </c>
      <c r="D92" s="17">
        <f t="shared" ref="D92:O94" si="14">D76+D79+D82+D85+D88</f>
        <v>3516108.7722</v>
      </c>
      <c r="E92" s="17">
        <f t="shared" si="14"/>
        <v>3522039.1921399999</v>
      </c>
      <c r="F92" s="17">
        <f t="shared" si="14"/>
        <v>3927777.6263099997</v>
      </c>
      <c r="G92" s="17">
        <f t="shared" si="14"/>
        <v>3942963.3748799996</v>
      </c>
      <c r="H92" s="17">
        <f t="shared" si="14"/>
        <v>3951915.8694500001</v>
      </c>
      <c r="I92" s="17">
        <f t="shared" si="14"/>
        <v>3955857.0616699997</v>
      </c>
      <c r="J92" s="17">
        <f t="shared" si="14"/>
        <v>0</v>
      </c>
      <c r="K92" s="17">
        <f t="shared" si="14"/>
        <v>0</v>
      </c>
      <c r="L92" s="17">
        <f t="shared" si="14"/>
        <v>0</v>
      </c>
      <c r="M92" s="17">
        <f t="shared" si="14"/>
        <v>0</v>
      </c>
      <c r="N92" s="17">
        <f t="shared" si="14"/>
        <v>0</v>
      </c>
      <c r="O92" s="17">
        <f t="shared" si="14"/>
        <v>0</v>
      </c>
    </row>
    <row r="93" spans="2:15" ht="16" customHeight="1" thickBot="1" x14ac:dyDescent="0.4">
      <c r="B93" s="16" t="s">
        <v>433</v>
      </c>
      <c r="C93" s="16" t="s">
        <v>434</v>
      </c>
      <c r="D93" s="17">
        <f t="shared" si="14"/>
        <v>-1923836.28966</v>
      </c>
      <c r="E93" s="17">
        <f t="shared" si="14"/>
        <v>-1931380.3470100001</v>
      </c>
      <c r="F93" s="17">
        <f t="shared" si="14"/>
        <v>-1963931.7533900002</v>
      </c>
      <c r="G93" s="17">
        <f t="shared" si="14"/>
        <v>-1977477.1191400001</v>
      </c>
      <c r="H93" s="17">
        <f t="shared" si="14"/>
        <v>-1990248.58384</v>
      </c>
      <c r="I93" s="17">
        <f t="shared" si="14"/>
        <v>-1990196.4928899999</v>
      </c>
      <c r="J93" s="17">
        <f t="shared" si="14"/>
        <v>0</v>
      </c>
      <c r="K93" s="17">
        <f t="shared" si="14"/>
        <v>0</v>
      </c>
      <c r="L93" s="17">
        <f t="shared" si="14"/>
        <v>0</v>
      </c>
      <c r="M93" s="17">
        <f t="shared" si="14"/>
        <v>0</v>
      </c>
      <c r="N93" s="17">
        <f t="shared" si="14"/>
        <v>0</v>
      </c>
      <c r="O93" s="17">
        <f t="shared" si="14"/>
        <v>0</v>
      </c>
    </row>
    <row r="94" spans="2:15" ht="16" customHeight="1" thickBot="1" x14ac:dyDescent="0.4">
      <c r="B94" s="18" t="s">
        <v>435</v>
      </c>
      <c r="C94" s="18" t="s">
        <v>436</v>
      </c>
      <c r="D94" s="19">
        <f t="shared" si="14"/>
        <v>1592272.48254</v>
      </c>
      <c r="E94" s="19">
        <f t="shared" si="14"/>
        <v>1590658.8451299998</v>
      </c>
      <c r="F94" s="19">
        <f t="shared" si="14"/>
        <v>1963845.8729199998</v>
      </c>
      <c r="G94" s="19">
        <f t="shared" si="14"/>
        <v>1965486.2557399999</v>
      </c>
      <c r="H94" s="19">
        <f t="shared" si="14"/>
        <v>1961667.2856100001</v>
      </c>
      <c r="I94" s="19">
        <f t="shared" si="14"/>
        <v>1965660.5687800001</v>
      </c>
      <c r="J94" s="19">
        <f t="shared" si="14"/>
        <v>0</v>
      </c>
      <c r="K94" s="19">
        <f t="shared" si="14"/>
        <v>0</v>
      </c>
      <c r="L94" s="19">
        <f t="shared" si="14"/>
        <v>0</v>
      </c>
      <c r="M94" s="19">
        <f t="shared" si="14"/>
        <v>0</v>
      </c>
      <c r="N94" s="19">
        <f t="shared" si="14"/>
        <v>0</v>
      </c>
      <c r="O94" s="19">
        <f t="shared" si="14"/>
        <v>0</v>
      </c>
    </row>
    <row r="95" spans="2:15" ht="16" customHeight="1" x14ac:dyDescent="0.35">
      <c r="B95" s="11" t="s">
        <v>437</v>
      </c>
      <c r="C95" s="11" t="s">
        <v>22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2:15" ht="16" customHeight="1" x14ac:dyDescent="0.35">
      <c r="B96" s="14" t="s">
        <v>438</v>
      </c>
      <c r="C96" s="14" t="s">
        <v>439</v>
      </c>
      <c r="D96" s="15">
        <v>303.52346999999997</v>
      </c>
      <c r="E96" s="15">
        <v>303.52346999999997</v>
      </c>
      <c r="F96" s="15">
        <v>303.52346999999997</v>
      </c>
      <c r="G96" s="15">
        <v>303.52346999999997</v>
      </c>
      <c r="H96" s="15">
        <v>303.52346999999997</v>
      </c>
      <c r="I96" s="15">
        <v>303.52346999999997</v>
      </c>
      <c r="J96" s="15"/>
      <c r="K96" s="15"/>
      <c r="L96" s="15"/>
      <c r="M96" s="15"/>
      <c r="N96" s="15"/>
      <c r="O96" s="15"/>
    </row>
    <row r="97" spans="2:15" ht="16" customHeight="1" x14ac:dyDescent="0.35">
      <c r="B97" s="14" t="s">
        <v>440</v>
      </c>
      <c r="C97" s="14" t="s">
        <v>441</v>
      </c>
      <c r="D97" s="15">
        <v>-206.80134000000001</v>
      </c>
      <c r="E97" s="15">
        <v>-206.80134000000001</v>
      </c>
      <c r="F97" s="15">
        <v>-206.80134000000001</v>
      </c>
      <c r="G97" s="15">
        <v>-206.80134000000001</v>
      </c>
      <c r="H97" s="15">
        <v>-303.52346999999997</v>
      </c>
      <c r="I97" s="15">
        <v>-303.52346999999997</v>
      </c>
      <c r="J97" s="15"/>
      <c r="K97" s="15"/>
      <c r="L97" s="15"/>
      <c r="M97" s="15"/>
      <c r="N97" s="15"/>
      <c r="O97" s="15"/>
    </row>
    <row r="98" spans="2:15" ht="16" customHeight="1" x14ac:dyDescent="0.35">
      <c r="B98" s="34" t="s">
        <v>442</v>
      </c>
      <c r="C98" s="34" t="s">
        <v>443</v>
      </c>
      <c r="D98" s="35">
        <f t="shared" ref="D98:O98" si="15">D96+D97</f>
        <v>96.722129999999964</v>
      </c>
      <c r="E98" s="35">
        <f t="shared" si="15"/>
        <v>96.722129999999964</v>
      </c>
      <c r="F98" s="35">
        <f t="shared" si="15"/>
        <v>96.722129999999964</v>
      </c>
      <c r="G98" s="35">
        <f t="shared" si="15"/>
        <v>96.722129999999964</v>
      </c>
      <c r="H98" s="35">
        <f t="shared" si="15"/>
        <v>0</v>
      </c>
      <c r="I98" s="35">
        <f t="shared" si="15"/>
        <v>0</v>
      </c>
      <c r="J98" s="35">
        <f t="shared" si="15"/>
        <v>0</v>
      </c>
      <c r="K98" s="35">
        <f t="shared" si="15"/>
        <v>0</v>
      </c>
      <c r="L98" s="35">
        <f t="shared" si="15"/>
        <v>0</v>
      </c>
      <c r="M98" s="35">
        <f t="shared" si="15"/>
        <v>0</v>
      </c>
      <c r="N98" s="35">
        <f t="shared" si="15"/>
        <v>0</v>
      </c>
      <c r="O98" s="35">
        <f t="shared" si="15"/>
        <v>0</v>
      </c>
    </row>
    <row r="99" spans="2:15" ht="16" customHeight="1" x14ac:dyDescent="0.35">
      <c r="B99" s="14" t="s">
        <v>444</v>
      </c>
      <c r="C99" s="14" t="s">
        <v>445</v>
      </c>
      <c r="D99" s="15">
        <v>0</v>
      </c>
      <c r="E99" s="15">
        <v>0</v>
      </c>
      <c r="F99" s="15">
        <v>0</v>
      </c>
      <c r="G99" s="15">
        <v>1328.0929799999999</v>
      </c>
      <c r="H99" s="15">
        <v>0</v>
      </c>
      <c r="I99" s="15">
        <v>0</v>
      </c>
      <c r="J99" s="15"/>
      <c r="K99" s="15"/>
      <c r="L99" s="15"/>
      <c r="M99" s="15"/>
      <c r="N99" s="15"/>
      <c r="O99" s="15"/>
    </row>
    <row r="100" spans="2:15" ht="16" customHeight="1" x14ac:dyDescent="0.35">
      <c r="B100" s="14" t="s">
        <v>446</v>
      </c>
      <c r="C100" s="14" t="s">
        <v>447</v>
      </c>
      <c r="D100" s="15">
        <v>2.4851700000000001</v>
      </c>
      <c r="E100" s="15">
        <v>2.4851700000000001</v>
      </c>
      <c r="F100" s="15">
        <v>2.4851700000000001</v>
      </c>
      <c r="G100" s="15">
        <v>-1325.60781</v>
      </c>
      <c r="H100" s="15">
        <v>0</v>
      </c>
      <c r="I100" s="15">
        <v>0</v>
      </c>
      <c r="J100" s="15"/>
      <c r="K100" s="15"/>
      <c r="L100" s="15"/>
      <c r="M100" s="15"/>
      <c r="N100" s="15"/>
      <c r="O100" s="15"/>
    </row>
    <row r="101" spans="2:15" ht="16" customHeight="1" x14ac:dyDescent="0.35">
      <c r="B101" s="34" t="s">
        <v>448</v>
      </c>
      <c r="C101" s="34" t="s">
        <v>449</v>
      </c>
      <c r="D101" s="35">
        <f t="shared" ref="D101:O101" si="16">D99+D100</f>
        <v>2.4851700000000001</v>
      </c>
      <c r="E101" s="35">
        <f t="shared" si="16"/>
        <v>2.4851700000000001</v>
      </c>
      <c r="F101" s="35">
        <f t="shared" si="16"/>
        <v>2.4851700000000001</v>
      </c>
      <c r="G101" s="35">
        <f t="shared" si="16"/>
        <v>2.4851699999999255</v>
      </c>
      <c r="H101" s="35">
        <f t="shared" si="16"/>
        <v>0</v>
      </c>
      <c r="I101" s="35">
        <f t="shared" si="16"/>
        <v>0</v>
      </c>
      <c r="J101" s="35">
        <f t="shared" si="16"/>
        <v>0</v>
      </c>
      <c r="K101" s="35">
        <f t="shared" si="16"/>
        <v>0</v>
      </c>
      <c r="L101" s="35">
        <f t="shared" si="16"/>
        <v>0</v>
      </c>
      <c r="M101" s="35">
        <f t="shared" si="16"/>
        <v>0</v>
      </c>
      <c r="N101" s="35">
        <f t="shared" si="16"/>
        <v>0</v>
      </c>
      <c r="O101" s="35">
        <f t="shared" si="16"/>
        <v>0</v>
      </c>
    </row>
    <row r="102" spans="2:15" ht="16" customHeight="1" x14ac:dyDescent="0.35">
      <c r="B102" s="14" t="s">
        <v>450</v>
      </c>
      <c r="C102" s="14" t="s">
        <v>451</v>
      </c>
      <c r="D102" s="15">
        <v>23585.901239999999</v>
      </c>
      <c r="E102" s="15">
        <v>23714.696370000001</v>
      </c>
      <c r="F102" s="15">
        <v>22479.198820000001</v>
      </c>
      <c r="G102" s="15">
        <v>23555.69138</v>
      </c>
      <c r="H102" s="15">
        <v>27353.48574</v>
      </c>
      <c r="I102" s="15">
        <v>27420.119299999998</v>
      </c>
      <c r="J102" s="15"/>
      <c r="K102" s="15"/>
      <c r="L102" s="15"/>
      <c r="M102" s="15"/>
      <c r="N102" s="15"/>
      <c r="O102" s="15"/>
    </row>
    <row r="103" spans="2:15" ht="16" customHeight="1" x14ac:dyDescent="0.35">
      <c r="B103" s="14" t="s">
        <v>452</v>
      </c>
      <c r="C103" s="14" t="s">
        <v>453</v>
      </c>
      <c r="D103" s="15">
        <v>-8312.1155600000002</v>
      </c>
      <c r="E103" s="15">
        <v>-8748.4679199999991</v>
      </c>
      <c r="F103" s="15">
        <v>-9170.4628400000001</v>
      </c>
      <c r="G103" s="15">
        <v>-9605.6635999999999</v>
      </c>
      <c r="H103" s="15">
        <v>-13592.592479999999</v>
      </c>
      <c r="I103" s="15">
        <v>-13592.592479999999</v>
      </c>
      <c r="J103" s="15"/>
      <c r="K103" s="15"/>
      <c r="L103" s="15"/>
      <c r="M103" s="15"/>
      <c r="N103" s="15"/>
      <c r="O103" s="15"/>
    </row>
    <row r="104" spans="2:15" ht="16" customHeight="1" x14ac:dyDescent="0.35">
      <c r="B104" s="34" t="s">
        <v>454</v>
      </c>
      <c r="C104" s="34" t="s">
        <v>455</v>
      </c>
      <c r="D104" s="35">
        <f t="shared" ref="D104:O104" si="17">D102+D103</f>
        <v>15273.785679999999</v>
      </c>
      <c r="E104" s="35">
        <f t="shared" si="17"/>
        <v>14966.228450000002</v>
      </c>
      <c r="F104" s="35">
        <f t="shared" si="17"/>
        <v>13308.735980000001</v>
      </c>
      <c r="G104" s="35">
        <f t="shared" si="17"/>
        <v>13950.02778</v>
      </c>
      <c r="H104" s="35">
        <f t="shared" si="17"/>
        <v>13760.893260000001</v>
      </c>
      <c r="I104" s="35">
        <f t="shared" si="17"/>
        <v>13827.526819999999</v>
      </c>
      <c r="J104" s="35">
        <f t="shared" si="17"/>
        <v>0</v>
      </c>
      <c r="K104" s="35">
        <f t="shared" si="17"/>
        <v>0</v>
      </c>
      <c r="L104" s="35">
        <f t="shared" si="17"/>
        <v>0</v>
      </c>
      <c r="M104" s="35">
        <f t="shared" si="17"/>
        <v>0</v>
      </c>
      <c r="N104" s="35">
        <f t="shared" si="17"/>
        <v>0</v>
      </c>
      <c r="O104" s="35">
        <f t="shared" si="17"/>
        <v>0</v>
      </c>
    </row>
    <row r="105" spans="2:15" ht="16" customHeight="1" x14ac:dyDescent="0.35">
      <c r="B105" s="14" t="s">
        <v>456</v>
      </c>
      <c r="C105" s="14" t="s">
        <v>457</v>
      </c>
      <c r="D105" s="15">
        <v>141164.12911000001</v>
      </c>
      <c r="E105" s="15">
        <v>142680.92477000001</v>
      </c>
      <c r="F105" s="15">
        <v>147635.38780999999</v>
      </c>
      <c r="G105" s="15">
        <v>147624.95897000001</v>
      </c>
      <c r="H105" s="15">
        <v>152114.28247000001</v>
      </c>
      <c r="I105" s="15">
        <v>151732.23998000001</v>
      </c>
      <c r="J105" s="15"/>
      <c r="K105" s="15"/>
      <c r="L105" s="15"/>
      <c r="M105" s="15"/>
      <c r="N105" s="15"/>
      <c r="O105" s="15"/>
    </row>
    <row r="106" spans="2:15" ht="16" customHeight="1" x14ac:dyDescent="0.35">
      <c r="B106" s="14" t="s">
        <v>458</v>
      </c>
      <c r="C106" s="14" t="s">
        <v>459</v>
      </c>
      <c r="D106" s="15">
        <v>-36352.037940000002</v>
      </c>
      <c r="E106" s="15">
        <v>-40076.67944</v>
      </c>
      <c r="F106" s="15">
        <v>-43475.638769999998</v>
      </c>
      <c r="G106" s="15">
        <v>-47201.463380000001</v>
      </c>
      <c r="H106" s="15">
        <v>-51438.824610000003</v>
      </c>
      <c r="I106" s="15">
        <v>-51438.824610000003</v>
      </c>
      <c r="J106" s="15"/>
      <c r="K106" s="15"/>
      <c r="L106" s="15"/>
      <c r="M106" s="15"/>
      <c r="N106" s="15"/>
      <c r="O106" s="15"/>
    </row>
    <row r="107" spans="2:15" ht="16" customHeight="1" x14ac:dyDescent="0.35">
      <c r="B107" s="34" t="s">
        <v>460</v>
      </c>
      <c r="C107" s="34" t="s">
        <v>461</v>
      </c>
      <c r="D107" s="35">
        <f t="shared" ref="D107:O107" si="18">D105+D106</f>
        <v>104812.09117</v>
      </c>
      <c r="E107" s="35">
        <f t="shared" si="18"/>
        <v>102604.24533000001</v>
      </c>
      <c r="F107" s="35">
        <f t="shared" si="18"/>
        <v>104159.74904</v>
      </c>
      <c r="G107" s="35">
        <f t="shared" si="18"/>
        <v>100423.49559000001</v>
      </c>
      <c r="H107" s="35">
        <f t="shared" si="18"/>
        <v>100675.45785999999</v>
      </c>
      <c r="I107" s="35">
        <f t="shared" si="18"/>
        <v>100293.41537</v>
      </c>
      <c r="J107" s="35">
        <f t="shared" si="18"/>
        <v>0</v>
      </c>
      <c r="K107" s="35">
        <f t="shared" si="18"/>
        <v>0</v>
      </c>
      <c r="L107" s="35">
        <f t="shared" si="18"/>
        <v>0</v>
      </c>
      <c r="M107" s="35">
        <f t="shared" si="18"/>
        <v>0</v>
      </c>
      <c r="N107" s="35">
        <f t="shared" si="18"/>
        <v>0</v>
      </c>
      <c r="O107" s="35">
        <f t="shared" si="18"/>
        <v>0</v>
      </c>
    </row>
    <row r="108" spans="2:15" ht="16" customHeight="1" x14ac:dyDescent="0.35">
      <c r="B108" s="14" t="s">
        <v>462</v>
      </c>
      <c r="C108" s="14" t="s">
        <v>463</v>
      </c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2:15" ht="16" customHeight="1" x14ac:dyDescent="0.35">
      <c r="B109" s="14" t="s">
        <v>464</v>
      </c>
      <c r="C109" s="14" t="s">
        <v>465</v>
      </c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2:15" ht="16" customHeight="1" x14ac:dyDescent="0.35">
      <c r="B110" s="34" t="s">
        <v>466</v>
      </c>
      <c r="C110" s="34" t="s">
        <v>467</v>
      </c>
      <c r="D110" s="35">
        <f t="shared" ref="D110:O110" si="19">D108+D109</f>
        <v>0</v>
      </c>
      <c r="E110" s="35">
        <f t="shared" si="19"/>
        <v>0</v>
      </c>
      <c r="F110" s="35">
        <f t="shared" si="19"/>
        <v>0</v>
      </c>
      <c r="G110" s="35">
        <f t="shared" si="19"/>
        <v>0</v>
      </c>
      <c r="H110" s="35">
        <f t="shared" si="19"/>
        <v>0</v>
      </c>
      <c r="I110" s="35">
        <f t="shared" si="19"/>
        <v>0</v>
      </c>
      <c r="J110" s="35">
        <f t="shared" si="19"/>
        <v>0</v>
      </c>
      <c r="K110" s="35">
        <f t="shared" si="19"/>
        <v>0</v>
      </c>
      <c r="L110" s="35">
        <f t="shared" si="19"/>
        <v>0</v>
      </c>
      <c r="M110" s="35">
        <f t="shared" si="19"/>
        <v>0</v>
      </c>
      <c r="N110" s="35">
        <f t="shared" si="19"/>
        <v>0</v>
      </c>
      <c r="O110" s="35">
        <f t="shared" si="19"/>
        <v>0</v>
      </c>
    </row>
    <row r="111" spans="2:15" ht="16" customHeight="1" x14ac:dyDescent="0.35">
      <c r="B111" s="11" t="s">
        <v>468</v>
      </c>
      <c r="C111" s="11" t="s">
        <v>22</v>
      </c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</row>
    <row r="112" spans="2:15" ht="16" customHeight="1" x14ac:dyDescent="0.35">
      <c r="B112" s="16" t="s">
        <v>469</v>
      </c>
      <c r="C112" s="16" t="s">
        <v>470</v>
      </c>
      <c r="D112" s="17">
        <f t="shared" ref="D112:O114" si="20">D96+D99+D102+D105+D108</f>
        <v>165053.55382</v>
      </c>
      <c r="E112" s="17">
        <f t="shared" si="20"/>
        <v>166699.14461000002</v>
      </c>
      <c r="F112" s="17">
        <f t="shared" si="20"/>
        <v>170418.11009999999</v>
      </c>
      <c r="G112" s="17">
        <f t="shared" si="20"/>
        <v>172812.26680000001</v>
      </c>
      <c r="H112" s="17">
        <f t="shared" si="20"/>
        <v>179771.29167999999</v>
      </c>
      <c r="I112" s="17">
        <f t="shared" si="20"/>
        <v>179455.88275000002</v>
      </c>
      <c r="J112" s="17">
        <f t="shared" si="20"/>
        <v>0</v>
      </c>
      <c r="K112" s="17">
        <f t="shared" si="20"/>
        <v>0</v>
      </c>
      <c r="L112" s="17">
        <f t="shared" si="20"/>
        <v>0</v>
      </c>
      <c r="M112" s="17">
        <f t="shared" si="20"/>
        <v>0</v>
      </c>
      <c r="N112" s="17">
        <f t="shared" si="20"/>
        <v>0</v>
      </c>
      <c r="O112" s="17">
        <f t="shared" si="20"/>
        <v>0</v>
      </c>
    </row>
    <row r="113" spans="2:15" ht="16" customHeight="1" thickBot="1" x14ac:dyDescent="0.4">
      <c r="B113" s="16" t="s">
        <v>471</v>
      </c>
      <c r="C113" s="16" t="s">
        <v>472</v>
      </c>
      <c r="D113" s="17">
        <f t="shared" si="20"/>
        <v>-44868.469670000006</v>
      </c>
      <c r="E113" s="17">
        <f t="shared" si="20"/>
        <v>-49029.463530000001</v>
      </c>
      <c r="F113" s="17">
        <f t="shared" si="20"/>
        <v>-52850.417779999996</v>
      </c>
      <c r="G113" s="17">
        <f t="shared" si="20"/>
        <v>-58339.53613</v>
      </c>
      <c r="H113" s="17">
        <f t="shared" si="20"/>
        <v>-65334.940560000003</v>
      </c>
      <c r="I113" s="17">
        <f t="shared" si="20"/>
        <v>-65334.940560000003</v>
      </c>
      <c r="J113" s="17">
        <f t="shared" si="20"/>
        <v>0</v>
      </c>
      <c r="K113" s="17">
        <f t="shared" si="20"/>
        <v>0</v>
      </c>
      <c r="L113" s="17">
        <f t="shared" si="20"/>
        <v>0</v>
      </c>
      <c r="M113" s="17">
        <f t="shared" si="20"/>
        <v>0</v>
      </c>
      <c r="N113" s="17">
        <f t="shared" si="20"/>
        <v>0</v>
      </c>
      <c r="O113" s="17">
        <f t="shared" si="20"/>
        <v>0</v>
      </c>
    </row>
    <row r="114" spans="2:15" ht="16" customHeight="1" thickBot="1" x14ac:dyDescent="0.4">
      <c r="B114" s="18" t="s">
        <v>473</v>
      </c>
      <c r="C114" s="18" t="s">
        <v>474</v>
      </c>
      <c r="D114" s="19">
        <f t="shared" si="20"/>
        <v>120185.08415</v>
      </c>
      <c r="E114" s="19">
        <f t="shared" si="20"/>
        <v>117669.68108000001</v>
      </c>
      <c r="F114" s="19">
        <f t="shared" si="20"/>
        <v>117567.69232</v>
      </c>
      <c r="G114" s="19">
        <f t="shared" si="20"/>
        <v>114472.73067</v>
      </c>
      <c r="H114" s="19">
        <f t="shared" si="20"/>
        <v>114436.35111999999</v>
      </c>
      <c r="I114" s="19">
        <f t="shared" si="20"/>
        <v>114120.94219</v>
      </c>
      <c r="J114" s="19">
        <f t="shared" si="20"/>
        <v>0</v>
      </c>
      <c r="K114" s="19">
        <f t="shared" si="20"/>
        <v>0</v>
      </c>
      <c r="L114" s="19">
        <f t="shared" si="20"/>
        <v>0</v>
      </c>
      <c r="M114" s="19">
        <f t="shared" si="20"/>
        <v>0</v>
      </c>
      <c r="N114" s="19">
        <f t="shared" si="20"/>
        <v>0</v>
      </c>
      <c r="O114" s="19">
        <f t="shared" si="20"/>
        <v>0</v>
      </c>
    </row>
    <row r="115" spans="2:15" ht="16" customHeight="1" x14ac:dyDescent="0.35">
      <c r="B115" s="11" t="s">
        <v>93</v>
      </c>
      <c r="C115" s="11" t="s">
        <v>475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</row>
    <row r="116" spans="2:15" ht="16" customHeight="1" x14ac:dyDescent="0.35">
      <c r="B116" s="16" t="s">
        <v>476</v>
      </c>
      <c r="C116" s="16" t="s">
        <v>477</v>
      </c>
      <c r="D116" s="17">
        <f t="shared" ref="D116:O118" si="21">D92+D112</f>
        <v>3681162.32602</v>
      </c>
      <c r="E116" s="17">
        <f t="shared" si="21"/>
        <v>3688738.3367499998</v>
      </c>
      <c r="F116" s="17">
        <f t="shared" si="21"/>
        <v>4098195.7364099999</v>
      </c>
      <c r="G116" s="17">
        <f t="shared" si="21"/>
        <v>4115775.6416799994</v>
      </c>
      <c r="H116" s="17">
        <f t="shared" si="21"/>
        <v>4131687.1611299999</v>
      </c>
      <c r="I116" s="17">
        <f t="shared" si="21"/>
        <v>4135312.9444199996</v>
      </c>
      <c r="J116" s="17">
        <f t="shared" si="21"/>
        <v>0</v>
      </c>
      <c r="K116" s="17">
        <f t="shared" si="21"/>
        <v>0</v>
      </c>
      <c r="L116" s="17">
        <f t="shared" si="21"/>
        <v>0</v>
      </c>
      <c r="M116" s="17">
        <f t="shared" si="21"/>
        <v>0</v>
      </c>
      <c r="N116" s="17">
        <f t="shared" si="21"/>
        <v>0</v>
      </c>
      <c r="O116" s="17">
        <f t="shared" si="21"/>
        <v>0</v>
      </c>
    </row>
    <row r="117" spans="2:15" ht="16" customHeight="1" thickBot="1" x14ac:dyDescent="0.4">
      <c r="B117" s="16" t="s">
        <v>478</v>
      </c>
      <c r="C117" s="16" t="s">
        <v>479</v>
      </c>
      <c r="D117" s="17">
        <f t="shared" si="21"/>
        <v>-1968704.75933</v>
      </c>
      <c r="E117" s="17">
        <f t="shared" si="21"/>
        <v>-1980409.8105400002</v>
      </c>
      <c r="F117" s="17">
        <f t="shared" si="21"/>
        <v>-2016782.1711700002</v>
      </c>
      <c r="G117" s="17">
        <f t="shared" si="21"/>
        <v>-2035816.65527</v>
      </c>
      <c r="H117" s="17">
        <f t="shared" si="21"/>
        <v>-2055583.5244</v>
      </c>
      <c r="I117" s="17">
        <f t="shared" si="21"/>
        <v>-2055531.4334499999</v>
      </c>
      <c r="J117" s="17">
        <f t="shared" si="21"/>
        <v>0</v>
      </c>
      <c r="K117" s="17">
        <f t="shared" si="21"/>
        <v>0</v>
      </c>
      <c r="L117" s="17">
        <f t="shared" si="21"/>
        <v>0</v>
      </c>
      <c r="M117" s="17">
        <f t="shared" si="21"/>
        <v>0</v>
      </c>
      <c r="N117" s="17">
        <f t="shared" si="21"/>
        <v>0</v>
      </c>
      <c r="O117" s="17">
        <f t="shared" si="21"/>
        <v>0</v>
      </c>
    </row>
    <row r="118" spans="2:15" ht="16" customHeight="1" thickBot="1" x14ac:dyDescent="0.4">
      <c r="B118" s="18" t="s">
        <v>480</v>
      </c>
      <c r="C118" s="18" t="s">
        <v>481</v>
      </c>
      <c r="D118" s="19">
        <f t="shared" si="21"/>
        <v>1712457.56669</v>
      </c>
      <c r="E118" s="19">
        <f t="shared" si="21"/>
        <v>1708328.5262099998</v>
      </c>
      <c r="F118" s="19">
        <f t="shared" si="21"/>
        <v>2081413.5652399997</v>
      </c>
      <c r="G118" s="19">
        <f t="shared" si="21"/>
        <v>2079958.9864099999</v>
      </c>
      <c r="H118" s="19">
        <f t="shared" si="21"/>
        <v>2076103.6367300001</v>
      </c>
      <c r="I118" s="19">
        <f t="shared" si="21"/>
        <v>2079781.5109700002</v>
      </c>
      <c r="J118" s="19">
        <f t="shared" si="21"/>
        <v>0</v>
      </c>
      <c r="K118" s="19">
        <f t="shared" si="21"/>
        <v>0</v>
      </c>
      <c r="L118" s="19">
        <f t="shared" si="21"/>
        <v>0</v>
      </c>
      <c r="M118" s="19">
        <f t="shared" si="21"/>
        <v>0</v>
      </c>
      <c r="N118" s="19">
        <f t="shared" si="21"/>
        <v>0</v>
      </c>
      <c r="O118" s="19">
        <f t="shared" si="21"/>
        <v>0</v>
      </c>
    </row>
    <row r="119" spans="2:15" ht="16" customHeight="1" x14ac:dyDescent="0.35">
      <c r="B119" s="11" t="s">
        <v>482</v>
      </c>
      <c r="C119" s="11" t="s">
        <v>22</v>
      </c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</row>
    <row r="120" spans="2:15" ht="16" customHeight="1" x14ac:dyDescent="0.35">
      <c r="B120" s="14" t="s">
        <v>483</v>
      </c>
      <c r="C120" s="14" t="s">
        <v>484</v>
      </c>
      <c r="D120" s="15"/>
      <c r="E120" s="15">
        <v>3100</v>
      </c>
      <c r="F120" s="15">
        <v>6250.0959800000001</v>
      </c>
      <c r="G120" s="15">
        <v>6265.4720500000003</v>
      </c>
      <c r="H120" s="15">
        <v>6256.0480600000001</v>
      </c>
      <c r="I120" s="15">
        <v>6256.0480600000001</v>
      </c>
      <c r="J120" s="15"/>
      <c r="K120" s="15"/>
      <c r="L120" s="15"/>
      <c r="M120" s="15"/>
      <c r="N120" s="15"/>
      <c r="O120" s="15"/>
    </row>
    <row r="121" spans="2:15" ht="16" customHeight="1" x14ac:dyDescent="0.35">
      <c r="B121" s="14" t="s">
        <v>485</v>
      </c>
      <c r="C121" s="14" t="s">
        <v>486</v>
      </c>
      <c r="D121" s="15"/>
      <c r="E121" s="15">
        <v>-931.88400000000001</v>
      </c>
      <c r="F121" s="15">
        <v>-1084.808</v>
      </c>
      <c r="G121" s="15">
        <v>-1084.808</v>
      </c>
      <c r="H121" s="15">
        <v>-1084.808</v>
      </c>
      <c r="I121" s="15">
        <v>-1084.808</v>
      </c>
      <c r="J121" s="15"/>
      <c r="K121" s="15"/>
      <c r="L121" s="15"/>
      <c r="M121" s="15"/>
      <c r="N121" s="15"/>
      <c r="O121" s="15"/>
    </row>
    <row r="122" spans="2:15" ht="16" customHeight="1" x14ac:dyDescent="0.35">
      <c r="B122" s="34" t="s">
        <v>487</v>
      </c>
      <c r="C122" s="34" t="s">
        <v>488</v>
      </c>
      <c r="D122" s="35">
        <f t="shared" ref="D122:O122" si="22">D120+D121</f>
        <v>0</v>
      </c>
      <c r="E122" s="35">
        <f t="shared" si="22"/>
        <v>2168.116</v>
      </c>
      <c r="F122" s="35">
        <f t="shared" si="22"/>
        <v>5165.2879800000001</v>
      </c>
      <c r="G122" s="35">
        <f t="shared" si="22"/>
        <v>5180.6640500000003</v>
      </c>
      <c r="H122" s="35">
        <f t="shared" si="22"/>
        <v>5171.2400600000001</v>
      </c>
      <c r="I122" s="35">
        <f t="shared" si="22"/>
        <v>5171.2400600000001</v>
      </c>
      <c r="J122" s="35">
        <f t="shared" si="22"/>
        <v>0</v>
      </c>
      <c r="K122" s="35">
        <f t="shared" si="22"/>
        <v>0</v>
      </c>
      <c r="L122" s="35">
        <f t="shared" si="22"/>
        <v>0</v>
      </c>
      <c r="M122" s="35">
        <f t="shared" si="22"/>
        <v>0</v>
      </c>
      <c r="N122" s="35">
        <f t="shared" si="22"/>
        <v>0</v>
      </c>
      <c r="O122" s="35">
        <f t="shared" si="22"/>
        <v>0</v>
      </c>
    </row>
    <row r="123" spans="2:15" ht="16" customHeight="1" x14ac:dyDescent="0.35">
      <c r="B123" s="14" t="s">
        <v>489</v>
      </c>
      <c r="C123" s="14" t="s">
        <v>490</v>
      </c>
      <c r="D123" s="15"/>
      <c r="E123" s="15">
        <v>163609.36256000001</v>
      </c>
      <c r="F123" s="15">
        <v>163609.36256000001</v>
      </c>
      <c r="G123" s="15">
        <v>163609.36256000001</v>
      </c>
      <c r="H123" s="15">
        <v>163609.36256000001</v>
      </c>
      <c r="I123" s="15">
        <v>163609.36256000001</v>
      </c>
      <c r="J123" s="15"/>
      <c r="K123" s="15"/>
      <c r="L123" s="15"/>
      <c r="M123" s="15"/>
      <c r="N123" s="15"/>
      <c r="O123" s="15"/>
    </row>
    <row r="124" spans="2:15" ht="16" customHeight="1" x14ac:dyDescent="0.35">
      <c r="B124" s="14" t="s">
        <v>491</v>
      </c>
      <c r="C124" s="14" t="s">
        <v>492</v>
      </c>
      <c r="D124" s="15"/>
      <c r="E124" s="15">
        <v>-40448.197899999999</v>
      </c>
      <c r="F124" s="15">
        <v>-40579.012900000002</v>
      </c>
      <c r="G124" s="15">
        <v>-40813.003900000003</v>
      </c>
      <c r="H124" s="15">
        <v>-41067.070899999999</v>
      </c>
      <c r="I124" s="15">
        <v>-41067.070899999999</v>
      </c>
      <c r="J124" s="15"/>
      <c r="K124" s="15"/>
      <c r="L124" s="15"/>
      <c r="M124" s="15"/>
      <c r="N124" s="15"/>
      <c r="O124" s="15"/>
    </row>
    <row r="125" spans="2:15" ht="16" customHeight="1" x14ac:dyDescent="0.35">
      <c r="B125" s="34" t="s">
        <v>493</v>
      </c>
      <c r="C125" s="34" t="s">
        <v>494</v>
      </c>
      <c r="D125" s="35">
        <f t="shared" ref="D125:O125" si="23">D123+D124</f>
        <v>0</v>
      </c>
      <c r="E125" s="35">
        <f t="shared" si="23"/>
        <v>123161.16466000001</v>
      </c>
      <c r="F125" s="35">
        <f t="shared" si="23"/>
        <v>123030.34966000001</v>
      </c>
      <c r="G125" s="35">
        <f t="shared" si="23"/>
        <v>122796.35866</v>
      </c>
      <c r="H125" s="35">
        <f t="shared" si="23"/>
        <v>122542.29166000002</v>
      </c>
      <c r="I125" s="35">
        <f t="shared" si="23"/>
        <v>122542.29166000002</v>
      </c>
      <c r="J125" s="35">
        <f t="shared" si="23"/>
        <v>0</v>
      </c>
      <c r="K125" s="35">
        <f t="shared" si="23"/>
        <v>0</v>
      </c>
      <c r="L125" s="35">
        <f t="shared" si="23"/>
        <v>0</v>
      </c>
      <c r="M125" s="35">
        <f t="shared" si="23"/>
        <v>0</v>
      </c>
      <c r="N125" s="35">
        <f t="shared" si="23"/>
        <v>0</v>
      </c>
      <c r="O125" s="35">
        <f t="shared" si="23"/>
        <v>0</v>
      </c>
    </row>
    <row r="126" spans="2:15" ht="16" customHeight="1" x14ac:dyDescent="0.35">
      <c r="B126" s="14" t="s">
        <v>495</v>
      </c>
      <c r="C126" s="14" t="s">
        <v>496</v>
      </c>
      <c r="D126" s="15"/>
      <c r="E126" s="15">
        <v>2925.97696</v>
      </c>
      <c r="F126" s="15">
        <v>2925.9769099999999</v>
      </c>
      <c r="G126" s="15">
        <v>2925.9769099999999</v>
      </c>
      <c r="H126" s="15">
        <v>2925.9769099999999</v>
      </c>
      <c r="I126" s="15">
        <v>2925.9769099999999</v>
      </c>
      <c r="J126" s="15"/>
      <c r="K126" s="15"/>
      <c r="L126" s="15"/>
      <c r="M126" s="15"/>
      <c r="N126" s="15"/>
      <c r="O126" s="15"/>
    </row>
    <row r="127" spans="2:15" ht="16" customHeight="1" x14ac:dyDescent="0.35">
      <c r="B127" s="14" t="s">
        <v>497</v>
      </c>
      <c r="C127" s="14" t="s">
        <v>498</v>
      </c>
      <c r="D127" s="15"/>
      <c r="E127" s="15">
        <v>-2767.08095</v>
      </c>
      <c r="F127" s="15">
        <v>-2767.4708999999998</v>
      </c>
      <c r="G127" s="15">
        <v>-2767.8479000000002</v>
      </c>
      <c r="H127" s="15">
        <v>-2768.2368999999999</v>
      </c>
      <c r="I127" s="15">
        <v>-2768.2368999999999</v>
      </c>
      <c r="J127" s="15"/>
      <c r="K127" s="15"/>
      <c r="L127" s="15"/>
      <c r="M127" s="15"/>
      <c r="N127" s="15"/>
      <c r="O127" s="15"/>
    </row>
    <row r="128" spans="2:15" ht="16" customHeight="1" x14ac:dyDescent="0.35">
      <c r="B128" s="34" t="s">
        <v>499</v>
      </c>
      <c r="C128" s="34" t="s">
        <v>500</v>
      </c>
      <c r="D128" s="35">
        <f t="shared" ref="D128:O128" si="24">D126+D127</f>
        <v>0</v>
      </c>
      <c r="E128" s="35">
        <f t="shared" si="24"/>
        <v>158.89600999999993</v>
      </c>
      <c r="F128" s="35">
        <f t="shared" si="24"/>
        <v>158.50601000000006</v>
      </c>
      <c r="G128" s="35">
        <f t="shared" si="24"/>
        <v>158.12900999999965</v>
      </c>
      <c r="H128" s="35">
        <f t="shared" si="24"/>
        <v>157.74000999999998</v>
      </c>
      <c r="I128" s="35">
        <f t="shared" si="24"/>
        <v>157.74000999999998</v>
      </c>
      <c r="J128" s="35">
        <f t="shared" si="24"/>
        <v>0</v>
      </c>
      <c r="K128" s="35">
        <f t="shared" si="24"/>
        <v>0</v>
      </c>
      <c r="L128" s="35">
        <f t="shared" si="24"/>
        <v>0</v>
      </c>
      <c r="M128" s="35">
        <f t="shared" si="24"/>
        <v>0</v>
      </c>
      <c r="N128" s="35">
        <f t="shared" si="24"/>
        <v>0</v>
      </c>
      <c r="O128" s="35">
        <f t="shared" si="24"/>
        <v>0</v>
      </c>
    </row>
    <row r="129" spans="2:15" ht="16" customHeight="1" x14ac:dyDescent="0.35">
      <c r="B129" s="14" t="s">
        <v>501</v>
      </c>
      <c r="C129" s="14" t="s">
        <v>502</v>
      </c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</row>
    <row r="130" spans="2:15" ht="16" customHeight="1" x14ac:dyDescent="0.35">
      <c r="B130" s="14" t="s">
        <v>503</v>
      </c>
      <c r="C130" s="14" t="s">
        <v>504</v>
      </c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2:15" ht="16" customHeight="1" x14ac:dyDescent="0.35">
      <c r="B131" s="34" t="s">
        <v>505</v>
      </c>
      <c r="C131" s="34" t="s">
        <v>506</v>
      </c>
      <c r="D131" s="35">
        <f t="shared" ref="D131:O131" si="25">D129+D130</f>
        <v>0</v>
      </c>
      <c r="E131" s="35">
        <f t="shared" si="25"/>
        <v>0</v>
      </c>
      <c r="F131" s="35">
        <f t="shared" si="25"/>
        <v>0</v>
      </c>
      <c r="G131" s="35">
        <f t="shared" si="25"/>
        <v>0</v>
      </c>
      <c r="H131" s="35">
        <f t="shared" si="25"/>
        <v>0</v>
      </c>
      <c r="I131" s="35">
        <f t="shared" si="25"/>
        <v>0</v>
      </c>
      <c r="J131" s="35">
        <f t="shared" si="25"/>
        <v>0</v>
      </c>
      <c r="K131" s="35">
        <f t="shared" si="25"/>
        <v>0</v>
      </c>
      <c r="L131" s="35">
        <f t="shared" si="25"/>
        <v>0</v>
      </c>
      <c r="M131" s="35">
        <f t="shared" si="25"/>
        <v>0</v>
      </c>
      <c r="N131" s="35">
        <f t="shared" si="25"/>
        <v>0</v>
      </c>
      <c r="O131" s="35">
        <f t="shared" si="25"/>
        <v>0</v>
      </c>
    </row>
    <row r="132" spans="2:15" ht="16" customHeight="1" x14ac:dyDescent="0.35">
      <c r="B132" s="14" t="s">
        <v>507</v>
      </c>
      <c r="C132" s="14" t="s">
        <v>508</v>
      </c>
      <c r="D132" s="15"/>
      <c r="E132" s="15"/>
      <c r="F132" s="15">
        <v>4000</v>
      </c>
      <c r="G132" s="15">
        <v>4000</v>
      </c>
      <c r="H132" s="15">
        <v>4000</v>
      </c>
      <c r="I132" s="15">
        <v>4000</v>
      </c>
      <c r="J132" s="15"/>
      <c r="K132" s="15"/>
      <c r="L132" s="15"/>
      <c r="M132" s="15"/>
      <c r="N132" s="15"/>
      <c r="O132" s="15"/>
    </row>
    <row r="133" spans="2:15" ht="16" customHeight="1" x14ac:dyDescent="0.35">
      <c r="B133" s="14" t="s">
        <v>509</v>
      </c>
      <c r="C133" s="14" t="s">
        <v>510</v>
      </c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2:15" ht="16" customHeight="1" x14ac:dyDescent="0.35">
      <c r="B134" s="34" t="s">
        <v>511</v>
      </c>
      <c r="C134" s="34" t="s">
        <v>512</v>
      </c>
      <c r="D134" s="35">
        <f t="shared" ref="D134:O134" si="26">D132+D133</f>
        <v>0</v>
      </c>
      <c r="E134" s="35">
        <f t="shared" si="26"/>
        <v>0</v>
      </c>
      <c r="F134" s="35">
        <f t="shared" si="26"/>
        <v>4000</v>
      </c>
      <c r="G134" s="35">
        <f t="shared" si="26"/>
        <v>4000</v>
      </c>
      <c r="H134" s="35">
        <f t="shared" si="26"/>
        <v>4000</v>
      </c>
      <c r="I134" s="35">
        <f t="shared" si="26"/>
        <v>4000</v>
      </c>
      <c r="J134" s="35">
        <f t="shared" si="26"/>
        <v>0</v>
      </c>
      <c r="K134" s="35">
        <f t="shared" si="26"/>
        <v>0</v>
      </c>
      <c r="L134" s="35">
        <f t="shared" si="26"/>
        <v>0</v>
      </c>
      <c r="M134" s="35">
        <f t="shared" si="26"/>
        <v>0</v>
      </c>
      <c r="N134" s="35">
        <f t="shared" si="26"/>
        <v>0</v>
      </c>
      <c r="O134" s="35">
        <f t="shared" si="26"/>
        <v>0</v>
      </c>
    </row>
    <row r="135" spans="2:15" ht="16" customHeight="1" x14ac:dyDescent="0.35">
      <c r="B135" s="14" t="s">
        <v>513</v>
      </c>
      <c r="C135" s="14" t="s">
        <v>514</v>
      </c>
      <c r="D135" s="15"/>
      <c r="E135" s="15">
        <v>42105.705909999997</v>
      </c>
      <c r="F135" s="15">
        <v>46401.963900000002</v>
      </c>
      <c r="G135" s="15">
        <v>46401.963900000002</v>
      </c>
      <c r="H135" s="15">
        <v>46401.963900000002</v>
      </c>
      <c r="I135" s="15">
        <v>46401.963900000002</v>
      </c>
      <c r="J135" s="15"/>
      <c r="K135" s="15"/>
      <c r="L135" s="15"/>
      <c r="M135" s="15"/>
      <c r="N135" s="15"/>
      <c r="O135" s="15"/>
    </row>
    <row r="136" spans="2:15" ht="16" customHeight="1" x14ac:dyDescent="0.35">
      <c r="B136" s="14" t="s">
        <v>515</v>
      </c>
      <c r="C136" s="14" t="s">
        <v>516</v>
      </c>
      <c r="D136" s="15"/>
      <c r="E136" s="15">
        <v>-31628.020100000002</v>
      </c>
      <c r="F136" s="15">
        <v>-32139.810310000001</v>
      </c>
      <c r="G136" s="15">
        <v>-32265.024310000001</v>
      </c>
      <c r="H136" s="15">
        <v>-32378.150310000001</v>
      </c>
      <c r="I136" s="15">
        <v>-32378.150310000001</v>
      </c>
      <c r="J136" s="15"/>
      <c r="K136" s="15"/>
      <c r="L136" s="15"/>
      <c r="M136" s="15"/>
      <c r="N136" s="15"/>
      <c r="O136" s="15"/>
    </row>
    <row r="137" spans="2:15" ht="16" customHeight="1" x14ac:dyDescent="0.35">
      <c r="B137" s="34" t="s">
        <v>517</v>
      </c>
      <c r="C137" s="34" t="s">
        <v>518</v>
      </c>
      <c r="D137" s="35">
        <f t="shared" ref="D137:O137" si="27">D135+D136</f>
        <v>0</v>
      </c>
      <c r="E137" s="35">
        <f t="shared" si="27"/>
        <v>10477.685809999995</v>
      </c>
      <c r="F137" s="35">
        <f t="shared" si="27"/>
        <v>14262.153590000002</v>
      </c>
      <c r="G137" s="35">
        <f t="shared" si="27"/>
        <v>14136.939590000002</v>
      </c>
      <c r="H137" s="35">
        <f t="shared" si="27"/>
        <v>14023.813590000002</v>
      </c>
      <c r="I137" s="35">
        <f t="shared" si="27"/>
        <v>14023.813590000002</v>
      </c>
      <c r="J137" s="35">
        <f t="shared" si="27"/>
        <v>0</v>
      </c>
      <c r="K137" s="35">
        <f t="shared" si="27"/>
        <v>0</v>
      </c>
      <c r="L137" s="35">
        <f t="shared" si="27"/>
        <v>0</v>
      </c>
      <c r="M137" s="35">
        <f t="shared" si="27"/>
        <v>0</v>
      </c>
      <c r="N137" s="35">
        <f t="shared" si="27"/>
        <v>0</v>
      </c>
      <c r="O137" s="35">
        <f t="shared" si="27"/>
        <v>0</v>
      </c>
    </row>
    <row r="138" spans="2:15" ht="16" customHeight="1" x14ac:dyDescent="0.35">
      <c r="B138" s="14" t="s">
        <v>519</v>
      </c>
      <c r="C138" s="14" t="s">
        <v>520</v>
      </c>
      <c r="D138" s="15">
        <v>211734.59745999999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2:15" ht="16" customHeight="1" x14ac:dyDescent="0.35">
      <c r="B139" s="14" t="s">
        <v>521</v>
      </c>
      <c r="C139" s="14" t="s">
        <v>522</v>
      </c>
      <c r="D139" s="15">
        <v>-75476.816949999993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2:15" ht="16" customHeight="1" x14ac:dyDescent="0.35">
      <c r="B140" s="34" t="s">
        <v>523</v>
      </c>
      <c r="C140" s="34" t="s">
        <v>524</v>
      </c>
      <c r="D140" s="35">
        <f t="shared" ref="D140:O140" si="28">D138+D139</f>
        <v>136257.78051000001</v>
      </c>
      <c r="E140" s="35">
        <f t="shared" si="28"/>
        <v>0</v>
      </c>
      <c r="F140" s="35">
        <f t="shared" si="28"/>
        <v>0</v>
      </c>
      <c r="G140" s="35">
        <f t="shared" si="28"/>
        <v>0</v>
      </c>
      <c r="H140" s="35">
        <f t="shared" si="28"/>
        <v>0</v>
      </c>
      <c r="I140" s="35">
        <f t="shared" si="28"/>
        <v>0</v>
      </c>
      <c r="J140" s="35">
        <f t="shared" si="28"/>
        <v>0</v>
      </c>
      <c r="K140" s="35">
        <f t="shared" si="28"/>
        <v>0</v>
      </c>
      <c r="L140" s="35">
        <f t="shared" si="28"/>
        <v>0</v>
      </c>
      <c r="M140" s="35">
        <f t="shared" si="28"/>
        <v>0</v>
      </c>
      <c r="N140" s="35">
        <f t="shared" si="28"/>
        <v>0</v>
      </c>
      <c r="O140" s="35">
        <f t="shared" si="28"/>
        <v>0</v>
      </c>
    </row>
    <row r="141" spans="2:15" ht="16" customHeight="1" x14ac:dyDescent="0.35">
      <c r="B141" s="11" t="s">
        <v>525</v>
      </c>
      <c r="C141" s="11" t="s">
        <v>475</v>
      </c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</row>
    <row r="142" spans="2:15" ht="16" customHeight="1" x14ac:dyDescent="0.35">
      <c r="B142" s="16" t="s">
        <v>526</v>
      </c>
      <c r="C142" s="16" t="s">
        <v>527</v>
      </c>
      <c r="D142" s="17">
        <f t="shared" ref="D142:O144" si="29">D120+D123+D126+D129+D132+D135+D138</f>
        <v>211734.59745999999</v>
      </c>
      <c r="E142" s="17">
        <f t="shared" si="29"/>
        <v>211741.04543</v>
      </c>
      <c r="F142" s="17">
        <f t="shared" si="29"/>
        <v>223187.39935000002</v>
      </c>
      <c r="G142" s="17">
        <f t="shared" si="29"/>
        <v>223202.77542000002</v>
      </c>
      <c r="H142" s="17">
        <f t="shared" si="29"/>
        <v>223193.35143000001</v>
      </c>
      <c r="I142" s="17">
        <f t="shared" si="29"/>
        <v>223193.35143000001</v>
      </c>
      <c r="J142" s="17">
        <f t="shared" si="29"/>
        <v>0</v>
      </c>
      <c r="K142" s="17">
        <f t="shared" si="29"/>
        <v>0</v>
      </c>
      <c r="L142" s="17">
        <f t="shared" si="29"/>
        <v>0</v>
      </c>
      <c r="M142" s="17">
        <f t="shared" si="29"/>
        <v>0</v>
      </c>
      <c r="N142" s="17">
        <f t="shared" si="29"/>
        <v>0</v>
      </c>
      <c r="O142" s="17">
        <f t="shared" si="29"/>
        <v>0</v>
      </c>
    </row>
    <row r="143" spans="2:15" ht="16" customHeight="1" thickBot="1" x14ac:dyDescent="0.4">
      <c r="B143" s="16" t="s">
        <v>528</v>
      </c>
      <c r="C143" s="16" t="s">
        <v>529</v>
      </c>
      <c r="D143" s="17">
        <f t="shared" si="29"/>
        <v>-75476.816949999993</v>
      </c>
      <c r="E143" s="17">
        <f t="shared" si="29"/>
        <v>-75775.182950000002</v>
      </c>
      <c r="F143" s="17">
        <f t="shared" si="29"/>
        <v>-76571.102110000007</v>
      </c>
      <c r="G143" s="17">
        <f t="shared" si="29"/>
        <v>-76930.684110000002</v>
      </c>
      <c r="H143" s="17">
        <f t="shared" si="29"/>
        <v>-77298.266109999997</v>
      </c>
      <c r="I143" s="17">
        <f t="shared" si="29"/>
        <v>-77298.266109999997</v>
      </c>
      <c r="J143" s="17">
        <f t="shared" si="29"/>
        <v>0</v>
      </c>
      <c r="K143" s="17">
        <f t="shared" si="29"/>
        <v>0</v>
      </c>
      <c r="L143" s="17">
        <f t="shared" si="29"/>
        <v>0</v>
      </c>
      <c r="M143" s="17">
        <f t="shared" si="29"/>
        <v>0</v>
      </c>
      <c r="N143" s="17">
        <f t="shared" si="29"/>
        <v>0</v>
      </c>
      <c r="O143" s="17">
        <f t="shared" si="29"/>
        <v>0</v>
      </c>
    </row>
    <row r="144" spans="2:15" ht="16" customHeight="1" thickBot="1" x14ac:dyDescent="0.4">
      <c r="B144" s="18" t="s">
        <v>530</v>
      </c>
      <c r="C144" s="18" t="s">
        <v>531</v>
      </c>
      <c r="D144" s="19">
        <f t="shared" si="29"/>
        <v>136257.78051000001</v>
      </c>
      <c r="E144" s="19">
        <f t="shared" si="29"/>
        <v>135965.86248000001</v>
      </c>
      <c r="F144" s="19">
        <f t="shared" si="29"/>
        <v>146616.29723999999</v>
      </c>
      <c r="G144" s="19">
        <f t="shared" si="29"/>
        <v>146272.09131000002</v>
      </c>
      <c r="H144" s="19">
        <f t="shared" si="29"/>
        <v>145895.08532000001</v>
      </c>
      <c r="I144" s="19">
        <f t="shared" si="29"/>
        <v>145895.08532000001</v>
      </c>
      <c r="J144" s="19">
        <f t="shared" si="29"/>
        <v>0</v>
      </c>
      <c r="K144" s="19">
        <f t="shared" si="29"/>
        <v>0</v>
      </c>
      <c r="L144" s="19">
        <f t="shared" si="29"/>
        <v>0</v>
      </c>
      <c r="M144" s="19">
        <f t="shared" si="29"/>
        <v>0</v>
      </c>
      <c r="N144" s="19">
        <f t="shared" si="29"/>
        <v>0</v>
      </c>
      <c r="O144" s="19">
        <f t="shared" si="29"/>
        <v>0</v>
      </c>
    </row>
    <row r="145" spans="2:15" ht="16" customHeight="1" x14ac:dyDescent="0.35">
      <c r="B145" s="11" t="s">
        <v>532</v>
      </c>
      <c r="C145" s="11" t="s">
        <v>22</v>
      </c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</row>
    <row r="146" spans="2:15" ht="16" customHeight="1" x14ac:dyDescent="0.35">
      <c r="B146" s="14" t="s">
        <v>533</v>
      </c>
      <c r="C146" s="14" t="s">
        <v>534</v>
      </c>
      <c r="D146" s="15">
        <v>288335.63205999997</v>
      </c>
      <c r="E146" s="15">
        <v>715780.33256999997</v>
      </c>
      <c r="F146" s="15">
        <v>366168.18703999999</v>
      </c>
      <c r="G146" s="15">
        <v>365626.63205999997</v>
      </c>
      <c r="H146" s="15">
        <v>365626.63205999997</v>
      </c>
      <c r="I146" s="15">
        <v>365626.63205999997</v>
      </c>
      <c r="J146" s="15"/>
      <c r="K146" s="15"/>
      <c r="L146" s="15"/>
      <c r="M146" s="15"/>
      <c r="N146" s="15"/>
      <c r="O146" s="15"/>
    </row>
    <row r="147" spans="2:15" ht="16" customHeight="1" x14ac:dyDescent="0.35">
      <c r="B147" s="14" t="s">
        <v>535</v>
      </c>
      <c r="C147" s="14" t="s">
        <v>536</v>
      </c>
      <c r="D147" s="15">
        <v>-19154.206880000002</v>
      </c>
      <c r="E147" s="15">
        <v>-19154.206880000002</v>
      </c>
      <c r="F147" s="15">
        <v>-19154.206880000002</v>
      </c>
      <c r="G147" s="15">
        <v>-19154.206880000002</v>
      </c>
      <c r="H147" s="15">
        <v>-19154.206880000002</v>
      </c>
      <c r="I147" s="15">
        <v>-19154.206880000002</v>
      </c>
      <c r="J147" s="15"/>
      <c r="K147" s="15"/>
      <c r="L147" s="15"/>
      <c r="M147" s="15"/>
      <c r="N147" s="15"/>
      <c r="O147" s="15"/>
    </row>
    <row r="148" spans="2:15" ht="16" customHeight="1" x14ac:dyDescent="0.35">
      <c r="B148" s="14" t="s">
        <v>537</v>
      </c>
      <c r="C148" s="14" t="s">
        <v>538</v>
      </c>
      <c r="D148" s="15">
        <v>1630614.5864800001</v>
      </c>
      <c r="E148" s="15">
        <v>1630615.6566300001</v>
      </c>
      <c r="F148" s="15">
        <v>1630087</v>
      </c>
      <c r="G148" s="15">
        <v>1630087</v>
      </c>
      <c r="H148" s="15">
        <v>1630087</v>
      </c>
      <c r="I148" s="15">
        <v>1630087</v>
      </c>
      <c r="J148" s="15"/>
      <c r="K148" s="15"/>
      <c r="L148" s="15"/>
      <c r="M148" s="15"/>
      <c r="N148" s="15"/>
      <c r="O148" s="15"/>
    </row>
    <row r="149" spans="2:15" ht="16" customHeight="1" x14ac:dyDescent="0.35">
      <c r="B149" s="14" t="s">
        <v>539</v>
      </c>
      <c r="C149" s="14" t="s">
        <v>540</v>
      </c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2:15" ht="16" customHeight="1" x14ac:dyDescent="0.35">
      <c r="B150" s="16" t="s">
        <v>541</v>
      </c>
      <c r="C150" s="16" t="s">
        <v>542</v>
      </c>
      <c r="D150" s="17">
        <f t="shared" ref="D150:O150" si="30">D146+D147+D148+D149</f>
        <v>1899796.0116600001</v>
      </c>
      <c r="E150" s="17">
        <f t="shared" si="30"/>
        <v>2327241.7823200002</v>
      </c>
      <c r="F150" s="17">
        <f t="shared" si="30"/>
        <v>1977100.98016</v>
      </c>
      <c r="G150" s="17">
        <f t="shared" si="30"/>
        <v>1976559.42518</v>
      </c>
      <c r="H150" s="17">
        <f t="shared" si="30"/>
        <v>1976559.42518</v>
      </c>
      <c r="I150" s="17">
        <f t="shared" si="30"/>
        <v>1976559.42518</v>
      </c>
      <c r="J150" s="17">
        <f t="shared" si="30"/>
        <v>0</v>
      </c>
      <c r="K150" s="17">
        <f t="shared" si="30"/>
        <v>0</v>
      </c>
      <c r="L150" s="17">
        <f t="shared" si="30"/>
        <v>0</v>
      </c>
      <c r="M150" s="17">
        <f t="shared" si="30"/>
        <v>0</v>
      </c>
      <c r="N150" s="17">
        <f t="shared" si="30"/>
        <v>0</v>
      </c>
      <c r="O150" s="17">
        <f t="shared" si="30"/>
        <v>0</v>
      </c>
    </row>
    <row r="151" spans="2:15" ht="16" customHeight="1" x14ac:dyDescent="0.35">
      <c r="B151" s="11" t="s">
        <v>543</v>
      </c>
      <c r="C151" s="11" t="s">
        <v>22</v>
      </c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</row>
    <row r="152" spans="2:15" ht="16" customHeight="1" x14ac:dyDescent="0.35">
      <c r="B152" s="14" t="s">
        <v>544</v>
      </c>
      <c r="C152" s="14" t="s">
        <v>545</v>
      </c>
      <c r="D152" s="15">
        <v>15643.576139999999</v>
      </c>
      <c r="E152" s="15">
        <v>15255.4089</v>
      </c>
      <c r="F152" s="15">
        <v>15662.769619999999</v>
      </c>
      <c r="G152" s="15">
        <v>15383.211230000001</v>
      </c>
      <c r="H152" s="15">
        <v>15293.701590000001</v>
      </c>
      <c r="I152" s="15">
        <v>15293.701590000001</v>
      </c>
      <c r="J152" s="15"/>
      <c r="K152" s="15"/>
      <c r="L152" s="15"/>
      <c r="M152" s="15"/>
      <c r="N152" s="15"/>
      <c r="O152" s="15"/>
    </row>
    <row r="153" spans="2:15" ht="16" customHeight="1" x14ac:dyDescent="0.35">
      <c r="B153" s="14" t="s">
        <v>546</v>
      </c>
      <c r="C153" s="14" t="s">
        <v>547</v>
      </c>
      <c r="D153" s="15">
        <v>20006.308700000001</v>
      </c>
      <c r="E153" s="15">
        <v>19630.739000000001</v>
      </c>
      <c r="F153" s="15">
        <v>19282.240969999999</v>
      </c>
      <c r="G153" s="15">
        <v>18961.935529999999</v>
      </c>
      <c r="H153" s="15">
        <v>19311.3024</v>
      </c>
      <c r="I153" s="15">
        <v>19311.3024</v>
      </c>
      <c r="J153" s="15"/>
      <c r="K153" s="15"/>
      <c r="L153" s="15"/>
      <c r="M153" s="15"/>
      <c r="N153" s="15"/>
      <c r="O153" s="15"/>
    </row>
    <row r="154" spans="2:15" ht="16" customHeight="1" x14ac:dyDescent="0.35">
      <c r="B154" s="14" t="s">
        <v>548</v>
      </c>
      <c r="C154" s="14" t="s">
        <v>549</v>
      </c>
      <c r="D154" s="15">
        <v>4586.2193799999995</v>
      </c>
      <c r="E154" s="15">
        <v>4314.5925800000005</v>
      </c>
      <c r="F154" s="15">
        <v>8740.5446100000008</v>
      </c>
      <c r="G154" s="15">
        <v>9551.2264699999996</v>
      </c>
      <c r="H154" s="15">
        <v>9301.5444700000007</v>
      </c>
      <c r="I154" s="15">
        <v>9301.5444700000007</v>
      </c>
      <c r="J154" s="15"/>
      <c r="K154" s="15"/>
      <c r="L154" s="15"/>
      <c r="M154" s="15"/>
      <c r="N154" s="15"/>
      <c r="O154" s="15"/>
    </row>
    <row r="155" spans="2:15" ht="16" customHeight="1" x14ac:dyDescent="0.35">
      <c r="B155" s="14" t="s">
        <v>550</v>
      </c>
      <c r="C155" s="14" t="s">
        <v>551</v>
      </c>
      <c r="D155" s="15">
        <v>77670.447750000007</v>
      </c>
      <c r="E155" s="15">
        <v>76428.298039999994</v>
      </c>
      <c r="F155" s="15">
        <v>72652.485929999995</v>
      </c>
      <c r="G155" s="15">
        <v>75402.645380000002</v>
      </c>
      <c r="H155" s="15">
        <v>74310.394090000002</v>
      </c>
      <c r="I155" s="15">
        <v>73256.808959999995</v>
      </c>
      <c r="J155" s="15"/>
      <c r="K155" s="15"/>
      <c r="L155" s="15"/>
      <c r="M155" s="15"/>
      <c r="N155" s="15"/>
      <c r="O155" s="15"/>
    </row>
    <row r="156" spans="2:15" ht="16" customHeight="1" x14ac:dyDescent="0.35">
      <c r="B156" s="16" t="s">
        <v>552</v>
      </c>
      <c r="C156" s="16" t="s">
        <v>553</v>
      </c>
      <c r="D156" s="17">
        <f t="shared" ref="D156:O156" si="31">D152+D153+D154+D155</f>
        <v>117906.55197</v>
      </c>
      <c r="E156" s="17">
        <f t="shared" si="31"/>
        <v>115629.03852</v>
      </c>
      <c r="F156" s="17">
        <f t="shared" si="31"/>
        <v>116338.04113</v>
      </c>
      <c r="G156" s="17">
        <f t="shared" si="31"/>
        <v>119299.01861</v>
      </c>
      <c r="H156" s="17">
        <f t="shared" si="31"/>
        <v>118216.94255000001</v>
      </c>
      <c r="I156" s="17">
        <f t="shared" si="31"/>
        <v>117163.35741999999</v>
      </c>
      <c r="J156" s="17">
        <f t="shared" si="31"/>
        <v>0</v>
      </c>
      <c r="K156" s="17">
        <f t="shared" si="31"/>
        <v>0</v>
      </c>
      <c r="L156" s="17">
        <f t="shared" si="31"/>
        <v>0</v>
      </c>
      <c r="M156" s="17">
        <f t="shared" si="31"/>
        <v>0</v>
      </c>
      <c r="N156" s="17">
        <f t="shared" si="31"/>
        <v>0</v>
      </c>
      <c r="O156" s="17">
        <f t="shared" si="31"/>
        <v>0</v>
      </c>
    </row>
    <row r="157" spans="2:15" ht="16" customHeight="1" x14ac:dyDescent="0.35">
      <c r="B157" s="11" t="s">
        <v>105</v>
      </c>
      <c r="C157" s="11" t="s">
        <v>22</v>
      </c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</row>
    <row r="158" spans="2:15" ht="16" customHeight="1" x14ac:dyDescent="0.35">
      <c r="B158" s="14" t="s">
        <v>554</v>
      </c>
      <c r="C158" s="14" t="s">
        <v>555</v>
      </c>
      <c r="D158" s="15">
        <v>-1E-3</v>
      </c>
      <c r="E158" s="15">
        <v>-1E-3</v>
      </c>
      <c r="F158" s="15">
        <v>-1E-3</v>
      </c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2:15" ht="16" customHeight="1" x14ac:dyDescent="0.35">
      <c r="B159" s="11" t="s">
        <v>556</v>
      </c>
      <c r="C159" s="11" t="s">
        <v>22</v>
      </c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</row>
    <row r="160" spans="2:15" ht="16" customHeight="1" x14ac:dyDescent="0.35">
      <c r="B160" s="14" t="s">
        <v>557</v>
      </c>
      <c r="C160" s="14" t="s">
        <v>558</v>
      </c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2:15" ht="16" customHeight="1" thickBot="1" x14ac:dyDescent="0.4">
      <c r="B161" s="11" t="s">
        <v>559</v>
      </c>
      <c r="C161" s="11" t="s">
        <v>22</v>
      </c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</row>
    <row r="162" spans="2:15" ht="16" customHeight="1" thickBot="1" x14ac:dyDescent="0.4">
      <c r="B162" s="18" t="s">
        <v>560</v>
      </c>
      <c r="C162" s="18" t="s">
        <v>561</v>
      </c>
      <c r="D162" s="19">
        <f t="shared" ref="D162:O162" si="32">D68+D72+D74+D118+D150+D144+D158+D160+D156</f>
        <v>4409531.0215300005</v>
      </c>
      <c r="E162" s="19">
        <f t="shared" si="32"/>
        <v>4834080.8468299992</v>
      </c>
      <c r="F162" s="19">
        <f t="shared" si="32"/>
        <v>4868519.3752799993</v>
      </c>
      <c r="G162" s="19">
        <f t="shared" si="32"/>
        <v>4878723.1005099993</v>
      </c>
      <c r="H162" s="19">
        <f t="shared" si="32"/>
        <v>4876234.9205599995</v>
      </c>
      <c r="I162" s="19">
        <f t="shared" si="32"/>
        <v>4887342.4239600003</v>
      </c>
      <c r="J162" s="19">
        <f t="shared" si="32"/>
        <v>0</v>
      </c>
      <c r="K162" s="19">
        <f t="shared" si="32"/>
        <v>0</v>
      </c>
      <c r="L162" s="19">
        <f t="shared" si="32"/>
        <v>0</v>
      </c>
      <c r="M162" s="19">
        <f t="shared" si="32"/>
        <v>0</v>
      </c>
      <c r="N162" s="19">
        <f t="shared" si="32"/>
        <v>0</v>
      </c>
      <c r="O162" s="19">
        <f t="shared" si="32"/>
        <v>0</v>
      </c>
    </row>
    <row r="163" spans="2:15" ht="16" customHeight="1" thickBot="1" x14ac:dyDescent="0.4">
      <c r="B163" s="11" t="s">
        <v>562</v>
      </c>
      <c r="C163" s="11" t="s">
        <v>22</v>
      </c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</row>
    <row r="164" spans="2:15" ht="16" customHeight="1" thickBot="1" x14ac:dyDescent="0.4">
      <c r="B164" s="18" t="s">
        <v>563</v>
      </c>
      <c r="C164" s="18" t="s">
        <v>564</v>
      </c>
      <c r="D164" s="19">
        <f t="shared" ref="D164:O164" si="33">D59+D162</f>
        <v>4902170.2920300001</v>
      </c>
      <c r="E164" s="19">
        <f t="shared" si="33"/>
        <v>5341424.4175699996</v>
      </c>
      <c r="F164" s="19">
        <f t="shared" si="33"/>
        <v>5479402.3459099997</v>
      </c>
      <c r="G164" s="19">
        <f t="shared" si="33"/>
        <v>5525409.5552299991</v>
      </c>
      <c r="H164" s="19">
        <f t="shared" si="33"/>
        <v>5566340.1106899995</v>
      </c>
      <c r="I164" s="19">
        <f t="shared" si="33"/>
        <v>5545934.3622900005</v>
      </c>
      <c r="J164" s="19">
        <f t="shared" si="33"/>
        <v>0</v>
      </c>
      <c r="K164" s="19">
        <f t="shared" si="33"/>
        <v>0</v>
      </c>
      <c r="L164" s="19">
        <f t="shared" si="33"/>
        <v>0</v>
      </c>
      <c r="M164" s="19">
        <f t="shared" si="33"/>
        <v>0</v>
      </c>
      <c r="N164" s="19">
        <f t="shared" si="33"/>
        <v>0</v>
      </c>
      <c r="O164" s="19">
        <f t="shared" si="33"/>
        <v>0</v>
      </c>
    </row>
    <row r="165" spans="2:15" ht="16" customHeight="1" x14ac:dyDescent="0.35">
      <c r="B165" s="11" t="s">
        <v>565</v>
      </c>
      <c r="C165" s="11" t="s">
        <v>22</v>
      </c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</row>
    <row r="166" spans="2:15" ht="16" customHeight="1" x14ac:dyDescent="0.35">
      <c r="B166" s="14" t="s">
        <v>566</v>
      </c>
      <c r="C166" s="14" t="s">
        <v>567</v>
      </c>
      <c r="D166" s="15">
        <v>14855.921340000001</v>
      </c>
      <c r="E166" s="15">
        <v>18889.345280000001</v>
      </c>
      <c r="F166" s="15">
        <v>21106.52996</v>
      </c>
      <c r="G166" s="15">
        <v>23172.42987</v>
      </c>
      <c r="H166" s="15">
        <v>21212.34851</v>
      </c>
      <c r="I166" s="15">
        <v>11155.94419</v>
      </c>
      <c r="J166" s="15"/>
      <c r="K166" s="15"/>
      <c r="L166" s="15"/>
      <c r="M166" s="15"/>
      <c r="N166" s="15"/>
      <c r="O166" s="15"/>
    </row>
    <row r="167" spans="2:15" ht="16" customHeight="1" x14ac:dyDescent="0.35">
      <c r="B167" s="14" t="s">
        <v>568</v>
      </c>
      <c r="C167" s="14" t="s">
        <v>569</v>
      </c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2:15" ht="16" customHeight="1" x14ac:dyDescent="0.35">
      <c r="B168" s="14" t="s">
        <v>570</v>
      </c>
      <c r="C168" s="14" t="s">
        <v>571</v>
      </c>
      <c r="D168" s="15">
        <v>149152.7954</v>
      </c>
      <c r="E168" s="15">
        <v>156893.51472000001</v>
      </c>
      <c r="F168" s="15">
        <v>182627.58038999999</v>
      </c>
      <c r="G168" s="15">
        <v>182293.30916999999</v>
      </c>
      <c r="H168" s="15">
        <v>199158.95551</v>
      </c>
      <c r="I168" s="15">
        <v>171685.16088000001</v>
      </c>
      <c r="J168" s="15"/>
      <c r="K168" s="15"/>
      <c r="L168" s="15"/>
      <c r="M168" s="15"/>
      <c r="N168" s="15"/>
      <c r="O168" s="15"/>
    </row>
    <row r="169" spans="2:15" ht="16" customHeight="1" x14ac:dyDescent="0.35">
      <c r="B169" s="14" t="s">
        <v>572</v>
      </c>
      <c r="C169" s="14" t="s">
        <v>573</v>
      </c>
      <c r="D169" s="15">
        <v>4551.2338900000004</v>
      </c>
      <c r="E169" s="15">
        <v>5381.0780400000003</v>
      </c>
      <c r="F169" s="15">
        <v>6712.3402500000002</v>
      </c>
      <c r="G169" s="15">
        <v>4554.7956100000001</v>
      </c>
      <c r="H169" s="15">
        <v>7420.20136</v>
      </c>
      <c r="I169" s="15">
        <v>1079.3850199999999</v>
      </c>
      <c r="J169" s="15"/>
      <c r="K169" s="15"/>
      <c r="L169" s="15"/>
      <c r="M169" s="15"/>
      <c r="N169" s="15"/>
      <c r="O169" s="15"/>
    </row>
    <row r="170" spans="2:15" ht="16" customHeight="1" x14ac:dyDescent="0.35">
      <c r="B170" s="16" t="s">
        <v>574</v>
      </c>
      <c r="C170" s="16" t="s">
        <v>575</v>
      </c>
      <c r="D170" s="17">
        <f t="shared" ref="D170:O170" si="34">-(-(D166+D167)-D168-D169)</f>
        <v>168559.95063000001</v>
      </c>
      <c r="E170" s="17">
        <f t="shared" si="34"/>
        <v>181163.93804000001</v>
      </c>
      <c r="F170" s="17">
        <f t="shared" si="34"/>
        <v>210446.45059999998</v>
      </c>
      <c r="G170" s="17">
        <f t="shared" si="34"/>
        <v>210020.53464999999</v>
      </c>
      <c r="H170" s="17">
        <f t="shared" si="34"/>
        <v>227791.50538000002</v>
      </c>
      <c r="I170" s="17">
        <f t="shared" si="34"/>
        <v>183920.49009000001</v>
      </c>
      <c r="J170" s="17">
        <f t="shared" si="34"/>
        <v>0</v>
      </c>
      <c r="K170" s="17">
        <f t="shared" si="34"/>
        <v>0</v>
      </c>
      <c r="L170" s="17">
        <f t="shared" si="34"/>
        <v>0</v>
      </c>
      <c r="M170" s="17">
        <f t="shared" si="34"/>
        <v>0</v>
      </c>
      <c r="N170" s="17">
        <f t="shared" si="34"/>
        <v>0</v>
      </c>
      <c r="O170" s="17">
        <f t="shared" si="34"/>
        <v>0</v>
      </c>
    </row>
    <row r="171" spans="2:15" ht="16" customHeight="1" x14ac:dyDescent="0.35">
      <c r="B171" s="11" t="s">
        <v>576</v>
      </c>
      <c r="C171" s="11" t="s">
        <v>22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spans="2:15" ht="16" customHeight="1" x14ac:dyDescent="0.35">
      <c r="B172" s="14" t="s">
        <v>577</v>
      </c>
      <c r="C172" s="14" t="s">
        <v>578</v>
      </c>
      <c r="D172" s="15">
        <v>166569.21543000001</v>
      </c>
      <c r="E172" s="15">
        <v>629669.21542999998</v>
      </c>
      <c r="F172" s="15">
        <v>681369.21542999998</v>
      </c>
      <c r="G172" s="15">
        <v>716519.21542999998</v>
      </c>
      <c r="H172" s="15">
        <v>703169.21542999998</v>
      </c>
      <c r="I172" s="15">
        <v>703169.21542999998</v>
      </c>
      <c r="J172" s="15"/>
      <c r="K172" s="15"/>
      <c r="L172" s="15"/>
      <c r="M172" s="15"/>
      <c r="N172" s="15"/>
      <c r="O172" s="15"/>
    </row>
    <row r="173" spans="2:15" ht="16" customHeight="1" x14ac:dyDescent="0.35">
      <c r="B173" s="14" t="s">
        <v>579</v>
      </c>
      <c r="C173" s="14" t="s">
        <v>580</v>
      </c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2:15" ht="16" customHeight="1" x14ac:dyDescent="0.35">
      <c r="B174" s="14" t="s">
        <v>581</v>
      </c>
      <c r="C174" s="14" t="s">
        <v>582</v>
      </c>
      <c r="D174" s="15">
        <v>488.60894999999999</v>
      </c>
      <c r="E174" s="15"/>
      <c r="F174" s="15"/>
      <c r="G174" s="15">
        <v>-8.9480000000000004E-2</v>
      </c>
      <c r="H174" s="15">
        <v>-8.9480000000000004E-2</v>
      </c>
      <c r="I174" s="15">
        <v>-8.9480000000000004E-2</v>
      </c>
      <c r="J174" s="15"/>
      <c r="K174" s="15"/>
      <c r="L174" s="15"/>
      <c r="M174" s="15"/>
      <c r="N174" s="15"/>
      <c r="O174" s="15"/>
    </row>
    <row r="175" spans="2:15" ht="16" customHeight="1" x14ac:dyDescent="0.35">
      <c r="B175" s="14" t="s">
        <v>583</v>
      </c>
      <c r="C175" s="14" t="s">
        <v>584</v>
      </c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2:15" ht="16" customHeight="1" x14ac:dyDescent="0.35">
      <c r="B176" s="14" t="s">
        <v>585</v>
      </c>
      <c r="C176" s="14" t="s">
        <v>586</v>
      </c>
      <c r="D176" s="15">
        <v>146489.6594</v>
      </c>
      <c r="E176" s="15">
        <v>146489.6594</v>
      </c>
      <c r="F176" s="15">
        <v>146489.6594</v>
      </c>
      <c r="G176" s="15">
        <v>146489.6594</v>
      </c>
      <c r="H176" s="15">
        <v>146489.6594</v>
      </c>
      <c r="I176" s="15">
        <v>146489.6594</v>
      </c>
      <c r="J176" s="15"/>
      <c r="K176" s="15"/>
      <c r="L176" s="15"/>
      <c r="M176" s="15"/>
      <c r="N176" s="15"/>
      <c r="O176" s="15"/>
    </row>
    <row r="177" spans="2:15" ht="16" customHeight="1" x14ac:dyDescent="0.35">
      <c r="B177" s="14" t="s">
        <v>587</v>
      </c>
      <c r="C177" s="14" t="s">
        <v>588</v>
      </c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2:15" ht="16" customHeight="1" x14ac:dyDescent="0.35">
      <c r="B178" s="14" t="s">
        <v>589</v>
      </c>
      <c r="C178" s="14" t="s">
        <v>590</v>
      </c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2:15" ht="16" customHeight="1" x14ac:dyDescent="0.35">
      <c r="B179" s="14" t="s">
        <v>591</v>
      </c>
      <c r="C179" s="14" t="s">
        <v>592</v>
      </c>
      <c r="D179" s="15"/>
      <c r="E179" s="15">
        <v>489.60003999999998</v>
      </c>
      <c r="F179" s="15">
        <v>492.68714</v>
      </c>
      <c r="G179" s="15">
        <v>495.05052000000001</v>
      </c>
      <c r="H179" s="15">
        <v>493.60199999999998</v>
      </c>
      <c r="I179" s="15">
        <v>493.60199999999998</v>
      </c>
      <c r="J179" s="15"/>
      <c r="K179" s="15"/>
      <c r="L179" s="15"/>
      <c r="M179" s="15"/>
      <c r="N179" s="15"/>
      <c r="O179" s="15"/>
    </row>
    <row r="180" spans="2:15" ht="16" customHeight="1" x14ac:dyDescent="0.35">
      <c r="B180" s="14" t="s">
        <v>593</v>
      </c>
      <c r="C180" s="14" t="s">
        <v>594</v>
      </c>
      <c r="D180" s="15">
        <v>46421.725639999997</v>
      </c>
      <c r="E180" s="15">
        <v>46121.206200000001</v>
      </c>
      <c r="F180" s="15">
        <v>50784.082869999998</v>
      </c>
      <c r="G180" s="15">
        <v>47860.189319999998</v>
      </c>
      <c r="H180" s="15">
        <v>48469.169179999997</v>
      </c>
      <c r="I180" s="15">
        <v>131.84814</v>
      </c>
      <c r="J180" s="15"/>
      <c r="K180" s="15"/>
      <c r="L180" s="15"/>
      <c r="M180" s="15"/>
      <c r="N180" s="15"/>
      <c r="O180" s="15"/>
    </row>
    <row r="181" spans="2:15" ht="16" customHeight="1" x14ac:dyDescent="0.35">
      <c r="B181" s="14" t="s">
        <v>595</v>
      </c>
      <c r="C181" s="14" t="s">
        <v>596</v>
      </c>
      <c r="D181" s="15"/>
      <c r="E181" s="15"/>
      <c r="F181" s="15"/>
      <c r="G181" s="15">
        <v>0</v>
      </c>
      <c r="H181" s="15">
        <v>0</v>
      </c>
      <c r="I181" s="15">
        <v>3500</v>
      </c>
      <c r="J181" s="15"/>
      <c r="K181" s="15"/>
      <c r="L181" s="15"/>
      <c r="M181" s="15"/>
      <c r="N181" s="15"/>
      <c r="O181" s="15"/>
    </row>
    <row r="182" spans="2:15" ht="16" customHeight="1" x14ac:dyDescent="0.35">
      <c r="B182" s="16" t="s">
        <v>597</v>
      </c>
      <c r="C182" s="16" t="s">
        <v>598</v>
      </c>
      <c r="D182" s="17">
        <f t="shared" ref="D182:O182" si="35">-(-(D172+D173)-D174-D175-D176-D177-D178-D179-D180-D181)</f>
        <v>359969.20942000003</v>
      </c>
      <c r="E182" s="17">
        <f t="shared" si="35"/>
        <v>822769.68107000005</v>
      </c>
      <c r="F182" s="17">
        <f t="shared" si="35"/>
        <v>879135.64484000008</v>
      </c>
      <c r="G182" s="17">
        <f t="shared" si="35"/>
        <v>911364.02519000007</v>
      </c>
      <c r="H182" s="17">
        <f t="shared" si="35"/>
        <v>898621.55652999994</v>
      </c>
      <c r="I182" s="17">
        <f t="shared" si="35"/>
        <v>853784.23548999999</v>
      </c>
      <c r="J182" s="17">
        <f t="shared" si="35"/>
        <v>0</v>
      </c>
      <c r="K182" s="17">
        <f t="shared" si="35"/>
        <v>0</v>
      </c>
      <c r="L182" s="17">
        <f t="shared" si="35"/>
        <v>0</v>
      </c>
      <c r="M182" s="17">
        <f t="shared" si="35"/>
        <v>0</v>
      </c>
      <c r="N182" s="17">
        <f t="shared" si="35"/>
        <v>0</v>
      </c>
      <c r="O182" s="17">
        <f t="shared" si="35"/>
        <v>0</v>
      </c>
    </row>
    <row r="183" spans="2:15" ht="16" customHeight="1" x14ac:dyDescent="0.35">
      <c r="B183" s="11" t="s">
        <v>115</v>
      </c>
      <c r="C183" s="11" t="s">
        <v>22</v>
      </c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</row>
    <row r="184" spans="2:15" ht="16" customHeight="1" x14ac:dyDescent="0.35">
      <c r="B184" s="14" t="s">
        <v>599</v>
      </c>
      <c r="C184" s="14" t="s">
        <v>600</v>
      </c>
      <c r="D184" s="15">
        <v>13.471220000000001</v>
      </c>
      <c r="E184" s="15">
        <v>13.471220000000001</v>
      </c>
      <c r="F184" s="15">
        <v>163.11313999999999</v>
      </c>
      <c r="G184" s="15">
        <v>163.11313999999999</v>
      </c>
      <c r="H184" s="15">
        <v>163.11313999999999</v>
      </c>
      <c r="I184" s="15">
        <v>163.11313999999999</v>
      </c>
      <c r="J184" s="15"/>
      <c r="K184" s="15"/>
      <c r="L184" s="15"/>
      <c r="M184" s="15"/>
      <c r="N184" s="15"/>
      <c r="O184" s="15"/>
    </row>
    <row r="185" spans="2:15" ht="16" customHeight="1" x14ac:dyDescent="0.35">
      <c r="B185" s="11" t="s">
        <v>601</v>
      </c>
      <c r="C185" s="11" t="s">
        <v>22</v>
      </c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</row>
    <row r="186" spans="2:15" ht="16" customHeight="1" x14ac:dyDescent="0.35">
      <c r="B186" s="14" t="s">
        <v>602</v>
      </c>
      <c r="C186" s="14" t="s">
        <v>603</v>
      </c>
      <c r="D186" s="15">
        <v>20955.7199</v>
      </c>
      <c r="E186" s="15">
        <v>14762.02303</v>
      </c>
      <c r="F186" s="15">
        <v>10354.884599999999</v>
      </c>
      <c r="G186" s="15">
        <v>629.73469999999998</v>
      </c>
      <c r="H186" s="15">
        <v>10714.47775</v>
      </c>
      <c r="I186" s="15">
        <v>10191.97775</v>
      </c>
      <c r="J186" s="15"/>
      <c r="K186" s="15"/>
      <c r="L186" s="15"/>
      <c r="M186" s="15"/>
      <c r="N186" s="15"/>
      <c r="O186" s="15"/>
    </row>
    <row r="187" spans="2:15" ht="16" customHeight="1" x14ac:dyDescent="0.35">
      <c r="B187" s="14" t="s">
        <v>604</v>
      </c>
      <c r="C187" s="14" t="s">
        <v>605</v>
      </c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</row>
    <row r="188" spans="2:15" ht="16" customHeight="1" x14ac:dyDescent="0.35">
      <c r="B188" s="16" t="s">
        <v>606</v>
      </c>
      <c r="C188" s="16" t="s">
        <v>607</v>
      </c>
      <c r="D188" s="17">
        <f t="shared" ref="D188:O188" si="36">D186+D187</f>
        <v>20955.7199</v>
      </c>
      <c r="E188" s="17">
        <f t="shared" si="36"/>
        <v>14762.02303</v>
      </c>
      <c r="F188" s="17">
        <f t="shared" si="36"/>
        <v>10354.884599999999</v>
      </c>
      <c r="G188" s="17">
        <f t="shared" si="36"/>
        <v>629.73469999999998</v>
      </c>
      <c r="H188" s="17">
        <f t="shared" si="36"/>
        <v>10714.47775</v>
      </c>
      <c r="I188" s="17">
        <f t="shared" si="36"/>
        <v>10191.97775</v>
      </c>
      <c r="J188" s="17">
        <f t="shared" si="36"/>
        <v>0</v>
      </c>
      <c r="K188" s="17">
        <f t="shared" si="36"/>
        <v>0</v>
      </c>
      <c r="L188" s="17">
        <f t="shared" si="36"/>
        <v>0</v>
      </c>
      <c r="M188" s="17">
        <f t="shared" si="36"/>
        <v>0</v>
      </c>
      <c r="N188" s="17">
        <f t="shared" si="36"/>
        <v>0</v>
      </c>
      <c r="O188" s="17">
        <f t="shared" si="36"/>
        <v>0</v>
      </c>
    </row>
    <row r="189" spans="2:15" ht="16" customHeight="1" x14ac:dyDescent="0.35">
      <c r="B189" s="11" t="s">
        <v>608</v>
      </c>
      <c r="C189" s="11" t="s">
        <v>22</v>
      </c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</row>
    <row r="190" spans="2:15" ht="16" customHeight="1" x14ac:dyDescent="0.35">
      <c r="B190" s="14" t="s">
        <v>609</v>
      </c>
      <c r="C190" s="14" t="s">
        <v>610</v>
      </c>
      <c r="D190" s="15">
        <v>5555.4493700000003</v>
      </c>
      <c r="E190" s="15">
        <v>6368.8932199999999</v>
      </c>
      <c r="F190" s="15">
        <v>1666.1661099999999</v>
      </c>
      <c r="G190" s="15">
        <v>2585.06718</v>
      </c>
      <c r="H190" s="15">
        <v>3583.6652100000001</v>
      </c>
      <c r="I190" s="15"/>
      <c r="J190" s="15"/>
      <c r="K190" s="15"/>
      <c r="L190" s="15"/>
      <c r="M190" s="15"/>
      <c r="N190" s="15"/>
      <c r="O190" s="15"/>
    </row>
    <row r="191" spans="2:15" ht="16" customHeight="1" x14ac:dyDescent="0.35">
      <c r="B191" s="14" t="s">
        <v>611</v>
      </c>
      <c r="C191" s="14" t="s">
        <v>612</v>
      </c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</row>
    <row r="192" spans="2:15" ht="16" customHeight="1" x14ac:dyDescent="0.35">
      <c r="B192" s="14" t="s">
        <v>613</v>
      </c>
      <c r="C192" s="14" t="s">
        <v>614</v>
      </c>
      <c r="D192" s="15">
        <v>1.41896</v>
      </c>
      <c r="E192" s="15">
        <v>3.9075600000000001</v>
      </c>
      <c r="F192" s="15">
        <v>993.09743000000003</v>
      </c>
      <c r="G192" s="15">
        <v>994.96365000000003</v>
      </c>
      <c r="H192" s="15">
        <v>999.19690000000003</v>
      </c>
      <c r="I192" s="15">
        <v>999.19690000000003</v>
      </c>
      <c r="J192" s="15"/>
      <c r="K192" s="15"/>
      <c r="L192" s="15"/>
      <c r="M192" s="15"/>
      <c r="N192" s="15"/>
      <c r="O192" s="15"/>
    </row>
    <row r="193" spans="2:15" ht="16" customHeight="1" x14ac:dyDescent="0.35">
      <c r="B193" s="14" t="s">
        <v>615</v>
      </c>
      <c r="C193" s="14" t="s">
        <v>616</v>
      </c>
      <c r="D193" s="15">
        <v>18859.122879999999</v>
      </c>
      <c r="E193" s="15">
        <v>14342.664129999999</v>
      </c>
      <c r="F193" s="15">
        <v>16076.501689999999</v>
      </c>
      <c r="G193" s="15">
        <v>14784.612660000001</v>
      </c>
      <c r="H193" s="15">
        <v>17938.17454</v>
      </c>
      <c r="I193" s="15">
        <v>5814.9354499999999</v>
      </c>
      <c r="J193" s="15"/>
      <c r="K193" s="15"/>
      <c r="L193" s="15"/>
      <c r="M193" s="15"/>
      <c r="N193" s="15"/>
      <c r="O193" s="15"/>
    </row>
    <row r="194" spans="2:15" ht="16" customHeight="1" x14ac:dyDescent="0.35">
      <c r="B194" s="14" t="s">
        <v>617</v>
      </c>
      <c r="C194" s="14" t="s">
        <v>618</v>
      </c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2:15" ht="16" customHeight="1" x14ac:dyDescent="0.35">
      <c r="B195" s="14" t="s">
        <v>619</v>
      </c>
      <c r="C195" s="14" t="s">
        <v>620</v>
      </c>
      <c r="D195" s="15">
        <v>39776.011120000003</v>
      </c>
      <c r="E195" s="15">
        <v>41767.57488</v>
      </c>
      <c r="F195" s="15">
        <v>53053.542150000001</v>
      </c>
      <c r="G195" s="15">
        <v>60183.470509999999</v>
      </c>
      <c r="H195" s="15">
        <v>57983.203079999999</v>
      </c>
      <c r="I195" s="15">
        <v>54455.196400000001</v>
      </c>
      <c r="J195" s="15"/>
      <c r="K195" s="15"/>
      <c r="L195" s="15"/>
      <c r="M195" s="15"/>
      <c r="N195" s="15"/>
      <c r="O195" s="15"/>
    </row>
    <row r="196" spans="2:15" ht="16" customHeight="1" x14ac:dyDescent="0.35">
      <c r="B196" s="14" t="s">
        <v>621</v>
      </c>
      <c r="C196" s="14" t="s">
        <v>622</v>
      </c>
      <c r="D196" s="15">
        <v>18156.969450000001</v>
      </c>
      <c r="E196" s="15">
        <v>10064.6194</v>
      </c>
      <c r="F196" s="15">
        <v>13609.30869</v>
      </c>
      <c r="G196" s="15">
        <v>14166.29069</v>
      </c>
      <c r="H196" s="15">
        <v>12392.874159999999</v>
      </c>
      <c r="I196" s="15">
        <v>12392.874159999999</v>
      </c>
      <c r="J196" s="15"/>
      <c r="K196" s="15"/>
      <c r="L196" s="15"/>
      <c r="M196" s="15"/>
      <c r="N196" s="15"/>
      <c r="O196" s="15"/>
    </row>
    <row r="197" spans="2:15" ht="16" customHeight="1" x14ac:dyDescent="0.35">
      <c r="B197" s="14" t="s">
        <v>623</v>
      </c>
      <c r="C197" s="14" t="s">
        <v>624</v>
      </c>
      <c r="D197" s="15">
        <v>0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/>
      <c r="K197" s="15"/>
      <c r="L197" s="15"/>
      <c r="M197" s="15"/>
      <c r="N197" s="15"/>
      <c r="O197" s="15"/>
    </row>
    <row r="198" spans="2:15" ht="16" customHeight="1" x14ac:dyDescent="0.35">
      <c r="B198" s="14" t="s">
        <v>625</v>
      </c>
      <c r="C198" s="14" t="s">
        <v>626</v>
      </c>
      <c r="D198" s="15">
        <v>17465.961210000001</v>
      </c>
      <c r="E198" s="15">
        <v>18637.000980000001</v>
      </c>
      <c r="F198" s="15">
        <v>3035.2269200000001</v>
      </c>
      <c r="G198" s="15">
        <v>3640.4328599999999</v>
      </c>
      <c r="H198" s="15">
        <v>5092.0617000000002</v>
      </c>
      <c r="I198" s="15">
        <v>6311.4831299999996</v>
      </c>
      <c r="J198" s="15"/>
      <c r="K198" s="15"/>
      <c r="L198" s="15"/>
      <c r="M198" s="15"/>
      <c r="N198" s="15"/>
      <c r="O198" s="15"/>
    </row>
    <row r="199" spans="2:15" ht="16" customHeight="1" x14ac:dyDescent="0.35">
      <c r="B199" s="14" t="s">
        <v>627</v>
      </c>
      <c r="C199" s="14" t="s">
        <v>628</v>
      </c>
      <c r="D199" s="15">
        <v>40328.780830000003</v>
      </c>
      <c r="E199" s="15">
        <v>39935.58812</v>
      </c>
      <c r="F199" s="15">
        <v>39001.329859999998</v>
      </c>
      <c r="G199" s="15">
        <v>39792.421249999999</v>
      </c>
      <c r="H199" s="15">
        <v>39802.934410000002</v>
      </c>
      <c r="I199" s="15">
        <v>654.48873000000003</v>
      </c>
      <c r="J199" s="15"/>
      <c r="K199" s="15"/>
      <c r="L199" s="15"/>
      <c r="M199" s="15"/>
      <c r="N199" s="15"/>
      <c r="O199" s="15"/>
    </row>
    <row r="200" spans="2:15" ht="16" customHeight="1" x14ac:dyDescent="0.35">
      <c r="B200" s="14" t="s">
        <v>629</v>
      </c>
      <c r="C200" s="14" t="s">
        <v>630</v>
      </c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</row>
    <row r="201" spans="2:15" ht="16" customHeight="1" x14ac:dyDescent="0.35">
      <c r="B201" s="14" t="s">
        <v>631</v>
      </c>
      <c r="C201" s="14" t="s">
        <v>632</v>
      </c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</row>
    <row r="202" spans="2:15" ht="16" customHeight="1" x14ac:dyDescent="0.35">
      <c r="B202" s="14" t="s">
        <v>633</v>
      </c>
      <c r="C202" s="14" t="s">
        <v>634</v>
      </c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</row>
    <row r="203" spans="2:15" ht="16" customHeight="1" x14ac:dyDescent="0.35">
      <c r="B203" s="14" t="s">
        <v>635</v>
      </c>
      <c r="C203" s="14" t="s">
        <v>636</v>
      </c>
      <c r="D203" s="15">
        <v>-35.514000000000003</v>
      </c>
      <c r="E203" s="15">
        <v>0.56799999999999995</v>
      </c>
      <c r="F203" s="15">
        <v>-0.68200000000000005</v>
      </c>
      <c r="G203" s="15">
        <v>-0.124</v>
      </c>
      <c r="H203" s="15">
        <v>-1.796</v>
      </c>
      <c r="I203" s="15">
        <v>27.085999999999999</v>
      </c>
      <c r="J203" s="15"/>
      <c r="K203" s="15"/>
      <c r="L203" s="15"/>
      <c r="M203" s="15"/>
      <c r="N203" s="15"/>
      <c r="O203" s="15"/>
    </row>
    <row r="204" spans="2:15" ht="16" customHeight="1" x14ac:dyDescent="0.35">
      <c r="B204" s="16" t="s">
        <v>637</v>
      </c>
      <c r="C204" s="16" t="s">
        <v>638</v>
      </c>
      <c r="D204" s="17">
        <f t="shared" ref="D204:O204" si="37">-(-(D190+D191)-D192-D193-D194-D195-D196-D197-D198-D200-D202-D201-D203-D199)</f>
        <v>140108.19982000001</v>
      </c>
      <c r="E204" s="17">
        <f t="shared" si="37"/>
        <v>131120.81628999999</v>
      </c>
      <c r="F204" s="17">
        <f t="shared" si="37"/>
        <v>127434.49085</v>
      </c>
      <c r="G204" s="17">
        <f t="shared" si="37"/>
        <v>136147.1348</v>
      </c>
      <c r="H204" s="17">
        <f t="shared" si="37"/>
        <v>137790.31400000001</v>
      </c>
      <c r="I204" s="17">
        <f t="shared" si="37"/>
        <v>80655.260769999979</v>
      </c>
      <c r="J204" s="17">
        <f t="shared" si="37"/>
        <v>0</v>
      </c>
      <c r="K204" s="17">
        <f t="shared" si="37"/>
        <v>0</v>
      </c>
      <c r="L204" s="17">
        <f t="shared" si="37"/>
        <v>0</v>
      </c>
      <c r="M204" s="17">
        <f t="shared" si="37"/>
        <v>0</v>
      </c>
      <c r="N204" s="17">
        <f t="shared" si="37"/>
        <v>0</v>
      </c>
      <c r="O204" s="17">
        <f t="shared" si="37"/>
        <v>0</v>
      </c>
    </row>
    <row r="205" spans="2:15" ht="16" customHeight="1" x14ac:dyDescent="0.35">
      <c r="B205" s="11" t="s">
        <v>639</v>
      </c>
      <c r="C205" s="11" t="s">
        <v>22</v>
      </c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</row>
    <row r="206" spans="2:15" ht="16" customHeight="1" x14ac:dyDescent="0.35">
      <c r="B206" s="14" t="s">
        <v>640</v>
      </c>
      <c r="C206" s="14" t="s">
        <v>641</v>
      </c>
      <c r="D206" s="15">
        <v>42199.075470000003</v>
      </c>
      <c r="E206" s="15">
        <v>43367.969599999997</v>
      </c>
      <c r="F206" s="15">
        <v>45843.799059999998</v>
      </c>
      <c r="G206" s="15">
        <v>45919.224190000001</v>
      </c>
      <c r="H206" s="15">
        <v>54692.40509</v>
      </c>
      <c r="I206" s="15">
        <v>54210.465029999999</v>
      </c>
      <c r="J206" s="15"/>
      <c r="K206" s="15"/>
      <c r="L206" s="15"/>
      <c r="M206" s="15"/>
      <c r="N206" s="15"/>
      <c r="O206" s="15"/>
    </row>
    <row r="207" spans="2:15" ht="16" customHeight="1" x14ac:dyDescent="0.35">
      <c r="B207" s="11" t="s">
        <v>642</v>
      </c>
      <c r="C207" s="11" t="s">
        <v>22</v>
      </c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</row>
    <row r="208" spans="2:15" ht="16" customHeight="1" x14ac:dyDescent="0.35">
      <c r="B208" s="14" t="s">
        <v>643</v>
      </c>
      <c r="C208" s="14" t="s">
        <v>644</v>
      </c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</row>
    <row r="209" spans="2:15" ht="16" customHeight="1" thickBot="1" x14ac:dyDescent="0.4">
      <c r="B209" s="11" t="s">
        <v>124</v>
      </c>
      <c r="C209" s="11" t="s">
        <v>22</v>
      </c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</row>
    <row r="210" spans="2:15" ht="16" customHeight="1" thickBot="1" x14ac:dyDescent="0.4">
      <c r="B210" s="18" t="s">
        <v>645</v>
      </c>
      <c r="C210" s="18" t="s">
        <v>646</v>
      </c>
      <c r="D210" s="19">
        <f t="shared" ref="D210:O210" si="38">-(-(D170+D182)-D184-D188-D204-D206-D208)</f>
        <v>731805.62646000006</v>
      </c>
      <c r="E210" s="19">
        <f t="shared" si="38"/>
        <v>1193197.89925</v>
      </c>
      <c r="F210" s="19">
        <f t="shared" si="38"/>
        <v>1273378.3830900001</v>
      </c>
      <c r="G210" s="19">
        <f t="shared" si="38"/>
        <v>1304243.7666699998</v>
      </c>
      <c r="H210" s="19">
        <f t="shared" si="38"/>
        <v>1329773.3718900001</v>
      </c>
      <c r="I210" s="19">
        <f t="shared" si="38"/>
        <v>1182925.5422700001</v>
      </c>
      <c r="J210" s="19">
        <f t="shared" si="38"/>
        <v>0</v>
      </c>
      <c r="K210" s="19">
        <f t="shared" si="38"/>
        <v>0</v>
      </c>
      <c r="L210" s="19">
        <f t="shared" si="38"/>
        <v>0</v>
      </c>
      <c r="M210" s="19">
        <f t="shared" si="38"/>
        <v>0</v>
      </c>
      <c r="N210" s="19">
        <f t="shared" si="38"/>
        <v>0</v>
      </c>
      <c r="O210" s="19">
        <f t="shared" si="38"/>
        <v>0</v>
      </c>
    </row>
    <row r="211" spans="2:15" ht="16" customHeight="1" x14ac:dyDescent="0.35">
      <c r="B211" s="11" t="s">
        <v>647</v>
      </c>
      <c r="C211" s="11" t="s">
        <v>22</v>
      </c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</row>
    <row r="212" spans="2:15" ht="16" customHeight="1" x14ac:dyDescent="0.35">
      <c r="B212" s="14" t="s">
        <v>648</v>
      </c>
      <c r="C212" s="14" t="s">
        <v>649</v>
      </c>
      <c r="D212" s="15">
        <v>562103.21644999995</v>
      </c>
      <c r="E212" s="15">
        <v>568136.21524000005</v>
      </c>
      <c r="F212" s="15">
        <v>567672.02494999999</v>
      </c>
      <c r="G212" s="15">
        <v>578141.80475999997</v>
      </c>
      <c r="H212" s="15">
        <v>578910.09525000001</v>
      </c>
      <c r="I212" s="15">
        <v>582422.02312999999</v>
      </c>
      <c r="J212" s="15"/>
      <c r="K212" s="15"/>
      <c r="L212" s="15"/>
      <c r="M212" s="15"/>
      <c r="N212" s="15"/>
      <c r="O212" s="15"/>
    </row>
    <row r="213" spans="2:15" ht="16" customHeight="1" x14ac:dyDescent="0.35">
      <c r="B213" s="14" t="s">
        <v>650</v>
      </c>
      <c r="C213" s="14" t="s">
        <v>651</v>
      </c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</row>
    <row r="214" spans="2:15" ht="16" customHeight="1" x14ac:dyDescent="0.35">
      <c r="B214" s="14" t="s">
        <v>652</v>
      </c>
      <c r="C214" s="14" t="s">
        <v>653</v>
      </c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</row>
    <row r="215" spans="2:15" ht="16" customHeight="1" x14ac:dyDescent="0.35">
      <c r="B215" s="14" t="s">
        <v>654</v>
      </c>
      <c r="C215" s="14" t="s">
        <v>655</v>
      </c>
      <c r="D215" s="15">
        <v>844.06230000000005</v>
      </c>
      <c r="E215" s="15">
        <v>811.24105999999995</v>
      </c>
      <c r="F215" s="15">
        <v>760.97059999999999</v>
      </c>
      <c r="G215" s="15">
        <v>725.75987999999995</v>
      </c>
      <c r="H215" s="15">
        <v>680.94407000000001</v>
      </c>
      <c r="I215" s="15">
        <v>680.94407000000001</v>
      </c>
      <c r="J215" s="15"/>
      <c r="K215" s="15"/>
      <c r="L215" s="15"/>
      <c r="M215" s="15"/>
      <c r="N215" s="15"/>
      <c r="O215" s="15"/>
    </row>
    <row r="216" spans="2:15" ht="16" customHeight="1" x14ac:dyDescent="0.35">
      <c r="B216" s="14" t="s">
        <v>656</v>
      </c>
      <c r="C216" s="14" t="s">
        <v>657</v>
      </c>
      <c r="D216" s="15">
        <v>79725.522339999996</v>
      </c>
      <c r="E216" s="15">
        <v>77659.234589999993</v>
      </c>
      <c r="F216" s="15">
        <v>71769.602280000006</v>
      </c>
      <c r="G216" s="15">
        <v>70864.746830000004</v>
      </c>
      <c r="H216" s="15">
        <v>70453.889330000005</v>
      </c>
      <c r="I216" s="15">
        <v>117967.83395</v>
      </c>
      <c r="J216" s="15"/>
      <c r="K216" s="15"/>
      <c r="L216" s="15"/>
      <c r="M216" s="15"/>
      <c r="N216" s="15"/>
      <c r="O216" s="15"/>
    </row>
    <row r="217" spans="2:15" ht="16" customHeight="1" x14ac:dyDescent="0.35">
      <c r="B217" s="14" t="s">
        <v>658</v>
      </c>
      <c r="C217" s="14" t="s">
        <v>659</v>
      </c>
      <c r="D217" s="15">
        <v>37.521000000000001</v>
      </c>
      <c r="E217" s="15">
        <v>-23.649000000000001</v>
      </c>
      <c r="F217" s="15">
        <v>7.6070000000000002</v>
      </c>
      <c r="G217" s="15">
        <v>151.43199999999999</v>
      </c>
      <c r="H217" s="15">
        <v>-29.22</v>
      </c>
      <c r="I217" s="15">
        <v>2.1019999999999999</v>
      </c>
      <c r="J217" s="15"/>
      <c r="K217" s="15"/>
      <c r="L217" s="15"/>
      <c r="M217" s="15"/>
      <c r="N217" s="15"/>
      <c r="O217" s="15"/>
    </row>
    <row r="218" spans="2:15" ht="16" customHeight="1" x14ac:dyDescent="0.35">
      <c r="B218" s="16" t="s">
        <v>660</v>
      </c>
      <c r="C218" s="16" t="s">
        <v>661</v>
      </c>
      <c r="D218" s="17">
        <f t="shared" ref="D218:O218" si="39">-(-(D212+D213)-D214-D215-D216-D217)</f>
        <v>642710.32208999991</v>
      </c>
      <c r="E218" s="17">
        <f t="shared" si="39"/>
        <v>646583.04189000011</v>
      </c>
      <c r="F218" s="17">
        <f t="shared" si="39"/>
        <v>640210.20482999994</v>
      </c>
      <c r="G218" s="17">
        <f t="shared" si="39"/>
        <v>649883.74346999999</v>
      </c>
      <c r="H218" s="17">
        <f t="shared" si="39"/>
        <v>650015.70865000004</v>
      </c>
      <c r="I218" s="17">
        <f t="shared" si="39"/>
        <v>701072.90314999991</v>
      </c>
      <c r="J218" s="17">
        <f t="shared" si="39"/>
        <v>0</v>
      </c>
      <c r="K218" s="17">
        <f t="shared" si="39"/>
        <v>0</v>
      </c>
      <c r="L218" s="17">
        <f t="shared" si="39"/>
        <v>0</v>
      </c>
      <c r="M218" s="17">
        <f t="shared" si="39"/>
        <v>0</v>
      </c>
      <c r="N218" s="17">
        <f t="shared" si="39"/>
        <v>0</v>
      </c>
      <c r="O218" s="17">
        <f t="shared" si="39"/>
        <v>0</v>
      </c>
    </row>
    <row r="219" spans="2:15" ht="16" customHeight="1" x14ac:dyDescent="0.35">
      <c r="B219" s="11" t="s">
        <v>662</v>
      </c>
      <c r="C219" s="11" t="s">
        <v>22</v>
      </c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</row>
    <row r="220" spans="2:15" ht="16" customHeight="1" x14ac:dyDescent="0.35">
      <c r="B220" s="14" t="s">
        <v>663</v>
      </c>
      <c r="C220" s="14" t="s">
        <v>664</v>
      </c>
      <c r="D220" s="15">
        <v>40.064639999999997</v>
      </c>
      <c r="E220" s="15">
        <v>40.064639999999997</v>
      </c>
      <c r="F220" s="15">
        <v>24.42088</v>
      </c>
      <c r="G220" s="15">
        <v>24.42088</v>
      </c>
      <c r="H220" s="15">
        <v>24.42088</v>
      </c>
      <c r="I220" s="15">
        <v>24.42088</v>
      </c>
      <c r="J220" s="15"/>
      <c r="K220" s="15"/>
      <c r="L220" s="15"/>
      <c r="M220" s="15"/>
      <c r="N220" s="15"/>
      <c r="O220" s="15"/>
    </row>
    <row r="221" spans="2:15" ht="16" customHeight="1" x14ac:dyDescent="0.35">
      <c r="B221" s="11" t="s">
        <v>665</v>
      </c>
      <c r="C221" s="11" t="s">
        <v>22</v>
      </c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</row>
    <row r="222" spans="2:15" ht="16" customHeight="1" x14ac:dyDescent="0.35">
      <c r="B222" s="14" t="s">
        <v>666</v>
      </c>
      <c r="C222" s="14" t="s">
        <v>667</v>
      </c>
      <c r="D222" s="15">
        <v>0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/>
      <c r="K222" s="15"/>
      <c r="L222" s="15"/>
      <c r="M222" s="15"/>
      <c r="N222" s="15"/>
      <c r="O222" s="15"/>
    </row>
    <row r="223" spans="2:15" ht="16" customHeight="1" x14ac:dyDescent="0.35">
      <c r="B223" s="11" t="s">
        <v>668</v>
      </c>
      <c r="C223" s="11" t="s">
        <v>22</v>
      </c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</row>
    <row r="224" spans="2:15" ht="16" customHeight="1" x14ac:dyDescent="0.35">
      <c r="B224" s="14" t="s">
        <v>669</v>
      </c>
      <c r="C224" s="14" t="s">
        <v>670</v>
      </c>
      <c r="D224" s="15">
        <v>191875.12805</v>
      </c>
      <c r="E224" s="15">
        <v>191877.23168999999</v>
      </c>
      <c r="F224" s="15">
        <v>264478.50386</v>
      </c>
      <c r="G224" s="15">
        <v>260738.88728</v>
      </c>
      <c r="H224" s="15">
        <v>260735.81271999999</v>
      </c>
      <c r="I224" s="15">
        <v>260735.81271999999</v>
      </c>
      <c r="J224" s="15"/>
      <c r="K224" s="15"/>
      <c r="L224" s="15"/>
      <c r="M224" s="15"/>
      <c r="N224" s="15"/>
      <c r="O224" s="15"/>
    </row>
    <row r="225" spans="2:15" ht="16" customHeight="1" x14ac:dyDescent="0.35">
      <c r="B225" s="11" t="s">
        <v>136</v>
      </c>
      <c r="C225" s="11" t="s">
        <v>22</v>
      </c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</row>
    <row r="226" spans="2:15" ht="16" customHeight="1" x14ac:dyDescent="0.35">
      <c r="B226" s="14" t="s">
        <v>671</v>
      </c>
      <c r="C226" s="14" t="s">
        <v>672</v>
      </c>
      <c r="D226" s="15">
        <v>182033.58011000001</v>
      </c>
      <c r="E226" s="15">
        <v>180698.00409</v>
      </c>
      <c r="F226" s="15">
        <v>174662.88803999999</v>
      </c>
      <c r="G226" s="15">
        <v>175189.7334</v>
      </c>
      <c r="H226" s="15">
        <v>165716.98688000001</v>
      </c>
      <c r="I226" s="15">
        <v>166829.98636000001</v>
      </c>
      <c r="J226" s="15"/>
      <c r="K226" s="15"/>
      <c r="L226" s="15"/>
      <c r="M226" s="15"/>
      <c r="N226" s="15"/>
      <c r="O226" s="15"/>
    </row>
    <row r="227" spans="2:15" ht="16" customHeight="1" x14ac:dyDescent="0.35">
      <c r="B227" s="11" t="s">
        <v>673</v>
      </c>
      <c r="C227" s="11" t="s">
        <v>22</v>
      </c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</row>
    <row r="228" spans="2:15" ht="16" customHeight="1" x14ac:dyDescent="0.35">
      <c r="B228" s="14" t="s">
        <v>674</v>
      </c>
      <c r="C228" s="14" t="s">
        <v>675</v>
      </c>
      <c r="D228" s="15">
        <v>80239.101110000003</v>
      </c>
      <c r="E228" s="15">
        <v>78600.812900000004</v>
      </c>
      <c r="F228" s="15">
        <v>82250.374209999994</v>
      </c>
      <c r="G228" s="15">
        <v>81380.026119999995</v>
      </c>
      <c r="H228" s="15">
        <v>80414.377729999993</v>
      </c>
      <c r="I228" s="15">
        <v>118509.65701</v>
      </c>
      <c r="J228" s="15"/>
      <c r="K228" s="15"/>
      <c r="L228" s="15"/>
      <c r="M228" s="15"/>
      <c r="N228" s="15"/>
      <c r="O228" s="15"/>
    </row>
    <row r="229" spans="2:15" ht="16" customHeight="1" x14ac:dyDescent="0.35">
      <c r="B229" s="11" t="s">
        <v>676</v>
      </c>
      <c r="C229" s="11" t="s">
        <v>22</v>
      </c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</row>
    <row r="230" spans="2:15" ht="16" customHeight="1" x14ac:dyDescent="0.35">
      <c r="B230" s="14" t="s">
        <v>677</v>
      </c>
      <c r="C230" s="14" t="s">
        <v>678</v>
      </c>
      <c r="D230" s="15"/>
      <c r="E230" s="15"/>
      <c r="F230" s="15"/>
      <c r="G230" s="15"/>
      <c r="H230" s="15">
        <v>-1.6670000000000001E-2</v>
      </c>
      <c r="I230" s="15">
        <v>-1.6670000000000001E-2</v>
      </c>
      <c r="J230" s="15"/>
      <c r="K230" s="15"/>
      <c r="L230" s="15"/>
      <c r="M230" s="15"/>
      <c r="N230" s="15"/>
      <c r="O230" s="15"/>
    </row>
    <row r="231" spans="2:15" ht="16" customHeight="1" thickBot="1" x14ac:dyDescent="0.4">
      <c r="B231" s="11" t="s">
        <v>679</v>
      </c>
      <c r="C231" s="11" t="s">
        <v>22</v>
      </c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 spans="2:15" ht="16" customHeight="1" thickBot="1" x14ac:dyDescent="0.4">
      <c r="B232" s="18" t="s">
        <v>680</v>
      </c>
      <c r="C232" s="18" t="s">
        <v>681</v>
      </c>
      <c r="D232" s="19">
        <f t="shared" ref="D232:O232" si="40">-(-(D218+D220)-D222-D224-D226-D200-D228-D230)</f>
        <v>1096898.1959999998</v>
      </c>
      <c r="E232" s="19">
        <f t="shared" si="40"/>
        <v>1097799.15521</v>
      </c>
      <c r="F232" s="19">
        <f t="shared" si="40"/>
        <v>1161626.39182</v>
      </c>
      <c r="G232" s="19">
        <f t="shared" si="40"/>
        <v>1167216.81115</v>
      </c>
      <c r="H232" s="19">
        <f t="shared" si="40"/>
        <v>1156907.2901900001</v>
      </c>
      <c r="I232" s="19">
        <f t="shared" si="40"/>
        <v>1247172.7634499997</v>
      </c>
      <c r="J232" s="19">
        <f t="shared" si="40"/>
        <v>0</v>
      </c>
      <c r="K232" s="19">
        <f t="shared" si="40"/>
        <v>0</v>
      </c>
      <c r="L232" s="19">
        <f t="shared" si="40"/>
        <v>0</v>
      </c>
      <c r="M232" s="19">
        <f t="shared" si="40"/>
        <v>0</v>
      </c>
      <c r="N232" s="19">
        <f t="shared" si="40"/>
        <v>0</v>
      </c>
      <c r="O232" s="19">
        <f t="shared" si="40"/>
        <v>0</v>
      </c>
    </row>
    <row r="233" spans="2:15" ht="16" customHeight="1" thickBot="1" x14ac:dyDescent="0.4">
      <c r="B233" s="11" t="s">
        <v>682</v>
      </c>
      <c r="C233" s="11" t="s">
        <v>22</v>
      </c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</row>
    <row r="234" spans="2:15" ht="16" customHeight="1" thickBot="1" x14ac:dyDescent="0.4">
      <c r="B234" s="18" t="s">
        <v>683</v>
      </c>
      <c r="C234" s="18" t="s">
        <v>684</v>
      </c>
      <c r="D234" s="19">
        <f t="shared" ref="D234:O234" si="41">D210+D232</f>
        <v>1828703.8224599999</v>
      </c>
      <c r="E234" s="19">
        <f t="shared" si="41"/>
        <v>2290997.0544600002</v>
      </c>
      <c r="F234" s="19">
        <f t="shared" si="41"/>
        <v>2435004.7749100002</v>
      </c>
      <c r="G234" s="19">
        <f t="shared" si="41"/>
        <v>2471460.5778199998</v>
      </c>
      <c r="H234" s="19">
        <f t="shared" si="41"/>
        <v>2486680.6620800002</v>
      </c>
      <c r="I234" s="19">
        <f t="shared" si="41"/>
        <v>2430098.3057199996</v>
      </c>
      <c r="J234" s="19">
        <f t="shared" si="41"/>
        <v>0</v>
      </c>
      <c r="K234" s="19">
        <f t="shared" si="41"/>
        <v>0</v>
      </c>
      <c r="L234" s="19">
        <f t="shared" si="41"/>
        <v>0</v>
      </c>
      <c r="M234" s="19">
        <f t="shared" si="41"/>
        <v>0</v>
      </c>
      <c r="N234" s="19">
        <f t="shared" si="41"/>
        <v>0</v>
      </c>
      <c r="O234" s="19">
        <f t="shared" si="41"/>
        <v>0</v>
      </c>
    </row>
    <row r="235" spans="2:15" ht="16" customHeight="1" x14ac:dyDescent="0.35">
      <c r="B235" s="11" t="s">
        <v>685</v>
      </c>
      <c r="C235" s="11" t="s">
        <v>22</v>
      </c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</row>
    <row r="236" spans="2:15" ht="16" customHeight="1" x14ac:dyDescent="0.35">
      <c r="B236" s="14" t="s">
        <v>686</v>
      </c>
      <c r="C236" s="14" t="s">
        <v>687</v>
      </c>
      <c r="D236" s="15">
        <v>9842.5452600000008</v>
      </c>
      <c r="E236" s="15">
        <v>9842.5452600000008</v>
      </c>
      <c r="F236" s="15">
        <v>9842.5452600000008</v>
      </c>
      <c r="G236" s="15">
        <v>9842.5452600000008</v>
      </c>
      <c r="H236" s="15">
        <v>9842.5452600000008</v>
      </c>
      <c r="I236" s="15">
        <v>9842.5452600000008</v>
      </c>
      <c r="J236" s="15"/>
      <c r="K236" s="15"/>
      <c r="L236" s="15"/>
      <c r="M236" s="15"/>
      <c r="N236" s="15"/>
      <c r="O236" s="15"/>
    </row>
    <row r="237" spans="2:15" ht="16" customHeight="1" x14ac:dyDescent="0.35">
      <c r="B237" s="11" t="s">
        <v>152</v>
      </c>
      <c r="C237" s="11" t="s">
        <v>22</v>
      </c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</row>
    <row r="238" spans="2:15" ht="16" customHeight="1" x14ac:dyDescent="0.35">
      <c r="B238" s="14" t="s">
        <v>688</v>
      </c>
      <c r="C238" s="14" t="s">
        <v>689</v>
      </c>
      <c r="D238" s="15">
        <v>1982351.6079200001</v>
      </c>
      <c r="E238" s="15">
        <v>1982351.6079200001</v>
      </c>
      <c r="F238" s="15">
        <v>1982351.60784</v>
      </c>
      <c r="G238" s="15">
        <v>1982351.60784</v>
      </c>
      <c r="H238" s="15">
        <v>1982351.60784</v>
      </c>
      <c r="I238" s="15">
        <v>1982351.60784</v>
      </c>
      <c r="J238" s="15"/>
      <c r="K238" s="15"/>
      <c r="L238" s="15"/>
      <c r="M238" s="15"/>
      <c r="N238" s="15"/>
      <c r="O238" s="15"/>
    </row>
    <row r="239" spans="2:15" ht="16" customHeight="1" x14ac:dyDescent="0.35">
      <c r="B239" s="11" t="s">
        <v>690</v>
      </c>
      <c r="C239" s="11" t="s">
        <v>22</v>
      </c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</row>
    <row r="240" spans="2:15" ht="16" customHeight="1" x14ac:dyDescent="0.35">
      <c r="B240" s="14" t="s">
        <v>691</v>
      </c>
      <c r="C240" s="14" t="s">
        <v>692</v>
      </c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</row>
    <row r="241" spans="2:15" ht="16" customHeight="1" x14ac:dyDescent="0.35">
      <c r="B241" s="11" t="s">
        <v>693</v>
      </c>
      <c r="C241" s="11" t="s">
        <v>22</v>
      </c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</row>
    <row r="242" spans="2:15" ht="16" customHeight="1" x14ac:dyDescent="0.35">
      <c r="B242" s="14" t="s">
        <v>694</v>
      </c>
      <c r="C242" s="14" t="s">
        <v>695</v>
      </c>
      <c r="D242" s="15">
        <v>3125.09114</v>
      </c>
      <c r="E242" s="15">
        <v>2726.6811400000001</v>
      </c>
      <c r="F242" s="15">
        <v>2726.6811400000001</v>
      </c>
      <c r="G242" s="15">
        <v>2726.6811400000001</v>
      </c>
      <c r="H242" s="15">
        <v>2726.6811400000001</v>
      </c>
      <c r="I242" s="15">
        <v>2726.6811400000001</v>
      </c>
      <c r="J242" s="15"/>
      <c r="K242" s="15"/>
      <c r="L242" s="15"/>
      <c r="M242" s="15"/>
      <c r="N242" s="15"/>
      <c r="O242" s="15"/>
    </row>
    <row r="243" spans="2:15" ht="16" customHeight="1" x14ac:dyDescent="0.35">
      <c r="B243" s="14" t="s">
        <v>696</v>
      </c>
      <c r="C243" s="14" t="s">
        <v>697</v>
      </c>
      <c r="D243" s="15">
        <v>-474838.99164999998</v>
      </c>
      <c r="E243" s="15">
        <v>-474438.01065000001</v>
      </c>
      <c r="F243" s="15">
        <v>-474541.31857</v>
      </c>
      <c r="G243" s="15">
        <v>-473984.40389999998</v>
      </c>
      <c r="H243" s="15">
        <v>-473965.39189999999</v>
      </c>
      <c r="I243" s="15">
        <v>-475396.29889999999</v>
      </c>
      <c r="J243" s="15"/>
      <c r="K243" s="15"/>
      <c r="L243" s="15"/>
      <c r="M243" s="15"/>
      <c r="N243" s="15"/>
      <c r="O243" s="15"/>
    </row>
    <row r="244" spans="2:15" ht="16" customHeight="1" x14ac:dyDescent="0.35">
      <c r="B244" s="14" t="s">
        <v>698</v>
      </c>
      <c r="C244" s="14" t="s">
        <v>699</v>
      </c>
      <c r="D244" s="15">
        <v>-25688.072219999998</v>
      </c>
      <c r="E244" s="15">
        <v>-48763.35529</v>
      </c>
      <c r="F244" s="15">
        <v>-59974.907220000001</v>
      </c>
      <c r="G244" s="15">
        <v>-50876.331819999999</v>
      </c>
      <c r="H244" s="15">
        <v>-24896.02706</v>
      </c>
      <c r="I244" s="15">
        <v>11009.4535</v>
      </c>
      <c r="J244" s="15"/>
      <c r="K244" s="15"/>
      <c r="L244" s="15"/>
      <c r="M244" s="15"/>
      <c r="N244" s="15"/>
      <c r="O244" s="15"/>
    </row>
    <row r="245" spans="2:15" ht="16" customHeight="1" x14ac:dyDescent="0.35">
      <c r="B245" s="14" t="s">
        <v>700</v>
      </c>
      <c r="C245" s="14" t="s">
        <v>701</v>
      </c>
      <c r="D245" s="15">
        <v>1624945.0943499999</v>
      </c>
      <c r="E245" s="15">
        <v>1624945.0943499999</v>
      </c>
      <c r="F245" s="15">
        <v>1624945.0943499999</v>
      </c>
      <c r="G245" s="15">
        <v>1624414</v>
      </c>
      <c r="H245" s="15">
        <v>1624414</v>
      </c>
      <c r="I245" s="15">
        <v>1624414</v>
      </c>
      <c r="J245" s="15"/>
      <c r="K245" s="15"/>
      <c r="L245" s="15"/>
      <c r="M245" s="15"/>
      <c r="N245" s="15"/>
      <c r="O245" s="15"/>
    </row>
    <row r="246" spans="2:15" ht="16" customHeight="1" x14ac:dyDescent="0.35">
      <c r="B246" s="14" t="s">
        <v>702</v>
      </c>
      <c r="C246" s="14" t="s">
        <v>703</v>
      </c>
      <c r="D246" s="15">
        <v>-122.22687000000001</v>
      </c>
      <c r="E246" s="15">
        <v>-107.26263</v>
      </c>
      <c r="F246" s="15">
        <v>-671.82201999999995</v>
      </c>
      <c r="G246" s="15">
        <v>-231.71815000000001</v>
      </c>
      <c r="H246" s="15">
        <v>-519.91142000000002</v>
      </c>
      <c r="I246" s="15">
        <v>-488.90287999999998</v>
      </c>
      <c r="J246" s="15"/>
      <c r="K246" s="15"/>
      <c r="L246" s="15"/>
      <c r="M246" s="15"/>
      <c r="N246" s="15"/>
      <c r="O246" s="15"/>
    </row>
    <row r="247" spans="2:15" ht="16" customHeight="1" x14ac:dyDescent="0.35">
      <c r="B247" s="14" t="s">
        <v>704</v>
      </c>
      <c r="C247" s="14" t="s">
        <v>705</v>
      </c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</row>
    <row r="248" spans="2:15" ht="16" customHeight="1" x14ac:dyDescent="0.35">
      <c r="B248" s="14" t="s">
        <v>706</v>
      </c>
      <c r="C248" s="14" t="s">
        <v>707</v>
      </c>
      <c r="D248" s="15">
        <v>-3.50787</v>
      </c>
      <c r="E248" s="15">
        <v>-2.4377200000000001</v>
      </c>
      <c r="F248" s="15">
        <v>-8.2824200000000001</v>
      </c>
      <c r="G248" s="15"/>
      <c r="H248" s="15"/>
      <c r="I248" s="15"/>
      <c r="J248" s="15"/>
      <c r="K248" s="15"/>
      <c r="L248" s="15"/>
      <c r="M248" s="15"/>
      <c r="N248" s="15"/>
      <c r="O248" s="15"/>
    </row>
    <row r="249" spans="2:15" ht="16" customHeight="1" x14ac:dyDescent="0.35">
      <c r="B249" s="14" t="s">
        <v>708</v>
      </c>
      <c r="C249" s="14" t="s">
        <v>709</v>
      </c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</row>
    <row r="250" spans="2:15" ht="16" customHeight="1" x14ac:dyDescent="0.35">
      <c r="B250" s="14" t="s">
        <v>710</v>
      </c>
      <c r="C250" s="14" t="s">
        <v>711</v>
      </c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</row>
    <row r="251" spans="2:15" ht="16" customHeight="1" x14ac:dyDescent="0.35">
      <c r="B251" s="14" t="s">
        <v>712</v>
      </c>
      <c r="C251" s="14" t="s">
        <v>713</v>
      </c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</row>
    <row r="252" spans="2:15" ht="16" customHeight="1" x14ac:dyDescent="0.35">
      <c r="B252" s="14" t="s">
        <v>714</v>
      </c>
      <c r="C252" s="14" t="s">
        <v>715</v>
      </c>
      <c r="D252" s="15">
        <v>-17</v>
      </c>
      <c r="E252" s="15">
        <v>0</v>
      </c>
      <c r="F252" s="15">
        <v>0</v>
      </c>
      <c r="G252" s="15">
        <v>0</v>
      </c>
      <c r="H252" s="15">
        <v>0</v>
      </c>
      <c r="I252" s="15">
        <v>0</v>
      </c>
      <c r="J252" s="15"/>
      <c r="K252" s="15"/>
      <c r="L252" s="15"/>
      <c r="M252" s="15"/>
      <c r="N252" s="15"/>
      <c r="O252" s="15"/>
    </row>
    <row r="253" spans="2:15" ht="16" customHeight="1" x14ac:dyDescent="0.35">
      <c r="B253" s="14" t="s">
        <v>716</v>
      </c>
      <c r="C253" s="14" t="s">
        <v>717</v>
      </c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</row>
    <row r="254" spans="2:15" ht="16" customHeight="1" x14ac:dyDescent="0.35">
      <c r="B254" s="14" t="s">
        <v>718</v>
      </c>
      <c r="C254" s="14" t="s">
        <v>719</v>
      </c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</row>
    <row r="255" spans="2:15" ht="16" customHeight="1" x14ac:dyDescent="0.35">
      <c r="B255" s="14" t="s">
        <v>720</v>
      </c>
      <c r="C255" s="14" t="s">
        <v>721</v>
      </c>
      <c r="D255" s="15">
        <v>30.051819999999999</v>
      </c>
      <c r="E255" s="15">
        <v>30.051819999999999</v>
      </c>
      <c r="F255" s="15">
        <v>7641.9060399999998</v>
      </c>
      <c r="G255" s="15">
        <v>7641.9060399999998</v>
      </c>
      <c r="H255" s="15">
        <v>7641.9060399999998</v>
      </c>
      <c r="I255" s="15">
        <v>7641.9060399999998</v>
      </c>
      <c r="J255" s="15"/>
      <c r="K255" s="15"/>
      <c r="L255" s="15"/>
      <c r="M255" s="15"/>
      <c r="N255" s="15"/>
      <c r="O255" s="15"/>
    </row>
    <row r="256" spans="2:15" ht="16" customHeight="1" x14ac:dyDescent="0.35">
      <c r="B256" s="14" t="s">
        <v>722</v>
      </c>
      <c r="C256" s="14" t="s">
        <v>723</v>
      </c>
      <c r="D256" s="15">
        <v>-9.1590500000000006</v>
      </c>
      <c r="E256" s="15">
        <v>-9.1590500000000006</v>
      </c>
      <c r="F256" s="15">
        <v>-1759.26539</v>
      </c>
      <c r="G256" s="15">
        <v>-1776.82339</v>
      </c>
      <c r="H256" s="15">
        <v>-1776.82339</v>
      </c>
      <c r="I256" s="15">
        <v>-1776.82339</v>
      </c>
      <c r="J256" s="15"/>
      <c r="K256" s="15"/>
      <c r="L256" s="15"/>
      <c r="M256" s="15"/>
      <c r="N256" s="15"/>
      <c r="O256" s="15"/>
    </row>
    <row r="257" spans="2:15" ht="16" customHeight="1" x14ac:dyDescent="0.35">
      <c r="B257" s="14" t="s">
        <v>724</v>
      </c>
      <c r="C257" s="14" t="s">
        <v>725</v>
      </c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</row>
    <row r="258" spans="2:15" ht="16" customHeight="1" x14ac:dyDescent="0.35">
      <c r="B258" s="14" t="s">
        <v>726</v>
      </c>
      <c r="C258" s="14" t="s">
        <v>727</v>
      </c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</row>
    <row r="259" spans="2:15" ht="16" customHeight="1" x14ac:dyDescent="0.35">
      <c r="B259" s="14" t="s">
        <v>728</v>
      </c>
      <c r="C259" s="14" t="s">
        <v>729</v>
      </c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</row>
    <row r="260" spans="2:15" ht="16" customHeight="1" x14ac:dyDescent="0.35">
      <c r="B260" s="14" t="s">
        <v>730</v>
      </c>
      <c r="C260" s="14" t="s">
        <v>731</v>
      </c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</row>
    <row r="261" spans="2:15" ht="16" customHeight="1" x14ac:dyDescent="0.35">
      <c r="B261" s="14" t="s">
        <v>732</v>
      </c>
      <c r="C261" s="14" t="s">
        <v>733</v>
      </c>
      <c r="D261" s="15">
        <v>-46148.600780000001</v>
      </c>
      <c r="E261" s="15">
        <v>-46148.600780000001</v>
      </c>
      <c r="F261" s="15">
        <v>-46148.600780000001</v>
      </c>
      <c r="G261" s="15">
        <v>-46148.600780000001</v>
      </c>
      <c r="H261" s="15">
        <v>-46148.600780000001</v>
      </c>
      <c r="I261" s="15">
        <v>-46148.600780000001</v>
      </c>
      <c r="J261" s="15"/>
      <c r="K261" s="15"/>
      <c r="L261" s="15"/>
      <c r="M261" s="15"/>
      <c r="N261" s="15"/>
      <c r="O261" s="15"/>
    </row>
    <row r="262" spans="2:15" ht="16" customHeight="1" x14ac:dyDescent="0.35">
      <c r="B262" s="14" t="s">
        <v>734</v>
      </c>
      <c r="C262" s="14" t="s">
        <v>735</v>
      </c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</row>
    <row r="263" spans="2:15" ht="16" customHeight="1" x14ac:dyDescent="0.35">
      <c r="B263" s="14" t="s">
        <v>736</v>
      </c>
      <c r="C263" s="14" t="s">
        <v>737</v>
      </c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</row>
    <row r="264" spans="2:15" ht="16" customHeight="1" x14ac:dyDescent="0.35">
      <c r="B264" s="16" t="s">
        <v>738</v>
      </c>
      <c r="C264" s="16" t="s">
        <v>739</v>
      </c>
      <c r="D264" s="17">
        <f t="shared" ref="D264:O264" si="42">-(-(D242+D243)-D244-D245-D246-D247-D248-D249-D250-D251-D252-D253-D254-D255-D256-D257-D258-D259-D260-D261-D262-D263)</f>
        <v>1081272.6788699999</v>
      </c>
      <c r="E264" s="17">
        <f t="shared" si="42"/>
        <v>1058233.00119</v>
      </c>
      <c r="F264" s="17">
        <f t="shared" si="42"/>
        <v>1052209.4851299997</v>
      </c>
      <c r="G264" s="17">
        <f t="shared" si="42"/>
        <v>1061764.7091399999</v>
      </c>
      <c r="H264" s="17">
        <f t="shared" si="42"/>
        <v>1087475.8326300001</v>
      </c>
      <c r="I264" s="17">
        <f t="shared" si="42"/>
        <v>1121981.4147300001</v>
      </c>
      <c r="J264" s="17">
        <f t="shared" si="42"/>
        <v>0</v>
      </c>
      <c r="K264" s="17">
        <f t="shared" si="42"/>
        <v>0</v>
      </c>
      <c r="L264" s="17">
        <f t="shared" si="42"/>
        <v>0</v>
      </c>
      <c r="M264" s="17">
        <f t="shared" si="42"/>
        <v>0</v>
      </c>
      <c r="N264" s="17">
        <f t="shared" si="42"/>
        <v>0</v>
      </c>
      <c r="O264" s="17">
        <f t="shared" si="42"/>
        <v>0</v>
      </c>
    </row>
    <row r="265" spans="2:15" ht="16" customHeight="1" x14ac:dyDescent="0.35">
      <c r="B265" s="11" t="s">
        <v>740</v>
      </c>
      <c r="C265" s="11" t="s">
        <v>22</v>
      </c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</row>
    <row r="266" spans="2:15" ht="16" customHeight="1" x14ac:dyDescent="0.35">
      <c r="B266" s="16" t="s">
        <v>741</v>
      </c>
      <c r="C266" s="16" t="s">
        <v>742</v>
      </c>
      <c r="D266" s="17">
        <v>1E-3</v>
      </c>
      <c r="E266" s="17">
        <v>2E-3</v>
      </c>
      <c r="F266" s="17">
        <v>-10.531000000000001</v>
      </c>
      <c r="G266" s="17">
        <v>-10.532999999999999</v>
      </c>
      <c r="H266" s="17">
        <v>-10.532999999999999</v>
      </c>
      <c r="I266" s="17">
        <v>1370.019</v>
      </c>
      <c r="J266" s="17"/>
      <c r="K266" s="17"/>
      <c r="L266" s="17"/>
      <c r="M266" s="17"/>
      <c r="N266" s="17"/>
      <c r="O266" s="17"/>
    </row>
    <row r="267" spans="2:15" ht="16" customHeight="1" thickBot="1" x14ac:dyDescent="0.4">
      <c r="B267" s="11" t="s">
        <v>743</v>
      </c>
      <c r="C267" s="11" t="s">
        <v>22</v>
      </c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</row>
    <row r="268" spans="2:15" ht="16" customHeight="1" thickBot="1" x14ac:dyDescent="0.4">
      <c r="B268" s="18" t="s">
        <v>744</v>
      </c>
      <c r="C268" s="18" t="s">
        <v>745</v>
      </c>
      <c r="D268" s="19">
        <f t="shared" ref="D268:O268" si="43">-(-(D236+D238)-D240-D264-D266)</f>
        <v>3073466.8330500005</v>
      </c>
      <c r="E268" s="19">
        <f t="shared" si="43"/>
        <v>3050427.15637</v>
      </c>
      <c r="F268" s="19">
        <f t="shared" si="43"/>
        <v>3044393.1072299997</v>
      </c>
      <c r="G268" s="19">
        <f t="shared" si="43"/>
        <v>3053948.3292399999</v>
      </c>
      <c r="H268" s="19">
        <f t="shared" si="43"/>
        <v>3079659.45273</v>
      </c>
      <c r="I268" s="19">
        <f t="shared" si="43"/>
        <v>3115545.5868299999</v>
      </c>
      <c r="J268" s="19">
        <f t="shared" si="43"/>
        <v>0</v>
      </c>
      <c r="K268" s="19">
        <f t="shared" si="43"/>
        <v>0</v>
      </c>
      <c r="L268" s="19">
        <f t="shared" si="43"/>
        <v>0</v>
      </c>
      <c r="M268" s="19">
        <f t="shared" si="43"/>
        <v>0</v>
      </c>
      <c r="N268" s="19">
        <f t="shared" si="43"/>
        <v>0</v>
      </c>
      <c r="O268" s="19">
        <f t="shared" si="43"/>
        <v>0</v>
      </c>
    </row>
    <row r="269" spans="2:15" ht="16" customHeight="1" thickBot="1" x14ac:dyDescent="0.4">
      <c r="B269" s="11" t="s">
        <v>171</v>
      </c>
      <c r="C269" s="11" t="s">
        <v>22</v>
      </c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</row>
    <row r="270" spans="2:15" ht="16" customHeight="1" thickBot="1" x14ac:dyDescent="0.4">
      <c r="B270" s="18" t="s">
        <v>746</v>
      </c>
      <c r="C270" s="18" t="s">
        <v>747</v>
      </c>
      <c r="D270" s="19">
        <f t="shared" ref="D270:O270" si="44">D234+D268</f>
        <v>4902170.6555100009</v>
      </c>
      <c r="E270" s="19">
        <f t="shared" si="44"/>
        <v>5341424.2108300002</v>
      </c>
      <c r="F270" s="19">
        <f t="shared" si="44"/>
        <v>5479397.8821399994</v>
      </c>
      <c r="G270" s="19">
        <f t="shared" si="44"/>
        <v>5525408.9070599992</v>
      </c>
      <c r="H270" s="19">
        <f t="shared" si="44"/>
        <v>5566340.1148100002</v>
      </c>
      <c r="I270" s="19">
        <f t="shared" si="44"/>
        <v>5545643.8925499991</v>
      </c>
      <c r="J270" s="19">
        <f t="shared" si="44"/>
        <v>0</v>
      </c>
      <c r="K270" s="19">
        <f t="shared" si="44"/>
        <v>0</v>
      </c>
      <c r="L270" s="19">
        <f t="shared" si="44"/>
        <v>0</v>
      </c>
      <c r="M270" s="19">
        <f t="shared" si="44"/>
        <v>0</v>
      </c>
      <c r="N270" s="19">
        <f t="shared" si="44"/>
        <v>0</v>
      </c>
      <c r="O270" s="19">
        <f t="shared" si="44"/>
        <v>0</v>
      </c>
    </row>
    <row r="271" spans="2:15" ht="16" customHeight="1" x14ac:dyDescent="0.35">
      <c r="B271" s="11" t="s">
        <v>748</v>
      </c>
      <c r="C271" s="11" t="s">
        <v>22</v>
      </c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</row>
    <row r="272" spans="2:15" ht="16" customHeight="1" x14ac:dyDescent="0.35">
      <c r="B272" s="11" t="s">
        <v>749</v>
      </c>
      <c r="C272" s="11" t="s">
        <v>22</v>
      </c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</row>
    <row r="273" spans="2:15" ht="16" customHeight="1" x14ac:dyDescent="0.35">
      <c r="B273" s="36" t="s">
        <v>750</v>
      </c>
      <c r="C273" s="36" t="s">
        <v>751</v>
      </c>
      <c r="D273" s="37">
        <f t="shared" ref="D273:O273" si="45">D164-D270</f>
        <v>-0.36348000075668097</v>
      </c>
      <c r="E273" s="37">
        <f t="shared" si="45"/>
        <v>0.20673999935388565</v>
      </c>
      <c r="F273" s="37">
        <f t="shared" si="45"/>
        <v>4.4637700002640486</v>
      </c>
      <c r="G273" s="37">
        <f t="shared" si="45"/>
        <v>0.64816999994218349</v>
      </c>
      <c r="H273" s="37">
        <f t="shared" si="45"/>
        <v>-4.1200006380677223E-3</v>
      </c>
      <c r="I273" s="37">
        <f t="shared" si="45"/>
        <v>290.46974000148475</v>
      </c>
      <c r="J273" s="37">
        <f t="shared" si="45"/>
        <v>0</v>
      </c>
      <c r="K273" s="37">
        <f t="shared" si="45"/>
        <v>0</v>
      </c>
      <c r="L273" s="37">
        <f t="shared" si="45"/>
        <v>0</v>
      </c>
      <c r="M273" s="37">
        <f t="shared" si="45"/>
        <v>0</v>
      </c>
      <c r="N273" s="37">
        <f t="shared" si="45"/>
        <v>0</v>
      </c>
      <c r="O273" s="37">
        <f t="shared" si="45"/>
        <v>0</v>
      </c>
    </row>
  </sheetData>
  <mergeCells count="2">
    <mergeCell ref="B4:C4"/>
    <mergeCell ref="B7:C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397F6-5CA4-49E2-85B1-F3D0B1D90FE0}">
  <dimension ref="A3:Q241"/>
  <sheetViews>
    <sheetView showGridLines="0" workbookViewId="0">
      <pane xSplit="3" ySplit="10" topLeftCell="D11" activePane="bottomRight" state="frozen"/>
      <selection pane="topRight" activeCell="D1" sqref="D1"/>
      <selection pane="bottomLeft" activeCell="A7" sqref="A7"/>
      <selection pane="bottomRight" activeCell="B4" sqref="B4"/>
    </sheetView>
  </sheetViews>
  <sheetFormatPr defaultColWidth="9.1796875" defaultRowHeight="16" customHeight="1" x14ac:dyDescent="0.35"/>
  <cols>
    <col min="1" max="1" width="2.453125" style="1" customWidth="1"/>
    <col min="2" max="2" width="10.7265625" style="1" customWidth="1"/>
    <col min="3" max="3" width="55.7265625" style="1" customWidth="1"/>
    <col min="4" max="26" width="14.7265625" style="1" customWidth="1"/>
    <col min="27" max="16384" width="9.1796875" style="1"/>
  </cols>
  <sheetData>
    <row r="3" spans="1:17" ht="16" customHeight="1" x14ac:dyDescent="0.35">
      <c r="B3" s="2" t="s">
        <v>752</v>
      </c>
      <c r="G3" s="3"/>
    </row>
    <row r="4" spans="1:17" ht="16" customHeight="1" x14ac:dyDescent="0.35">
      <c r="B4" s="4" t="s">
        <v>270</v>
      </c>
    </row>
    <row r="5" spans="1:17" ht="16" customHeight="1" x14ac:dyDescent="0.35">
      <c r="B5" s="4" t="s">
        <v>271</v>
      </c>
    </row>
    <row r="6" spans="1:17" ht="16" customHeight="1" x14ac:dyDescent="0.35">
      <c r="A6" s="5" t="s">
        <v>753</v>
      </c>
      <c r="B6" s="1" t="str">
        <f>REPLACE(A6,16,9,"YTD")</f>
        <v>Period length: YTD</v>
      </c>
    </row>
    <row r="7" spans="1:17" ht="16" customHeight="1" x14ac:dyDescent="0.35">
      <c r="A7" s="5"/>
      <c r="B7" s="1" t="s">
        <v>272</v>
      </c>
    </row>
    <row r="8" spans="1:17" ht="16" customHeight="1" x14ac:dyDescent="0.35">
      <c r="A8" s="5"/>
      <c r="B8" s="6">
        <v>46194.596241851854</v>
      </c>
      <c r="C8" s="6"/>
    </row>
    <row r="10" spans="1:17" ht="16" customHeight="1" thickBot="1" x14ac:dyDescent="0.5">
      <c r="B10" s="7"/>
      <c r="C10" s="7"/>
      <c r="D10" s="8" t="s">
        <v>1</v>
      </c>
      <c r="E10" s="8" t="s">
        <v>2</v>
      </c>
      <c r="F10" s="8" t="s">
        <v>3</v>
      </c>
      <c r="G10" s="8" t="s">
        <v>4</v>
      </c>
      <c r="H10" s="8" t="s">
        <v>5</v>
      </c>
      <c r="I10" s="8" t="s">
        <v>6</v>
      </c>
      <c r="J10" s="8" t="s">
        <v>7</v>
      </c>
      <c r="K10" s="8" t="s">
        <v>8</v>
      </c>
      <c r="L10" s="8" t="s">
        <v>9</v>
      </c>
      <c r="M10" s="8" t="s">
        <v>10</v>
      </c>
      <c r="N10" s="8" t="s">
        <v>11</v>
      </c>
      <c r="O10" s="8" t="s">
        <v>12</v>
      </c>
      <c r="P10" s="9"/>
      <c r="Q10" s="9"/>
    </row>
    <row r="11" spans="1:17" ht="16" customHeight="1" x14ac:dyDescent="0.45">
      <c r="B11" s="10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/>
      <c r="Q11" s="13"/>
    </row>
    <row r="12" spans="1:17" ht="16" customHeight="1" x14ac:dyDescent="0.45">
      <c r="B12" s="38"/>
      <c r="C12" s="34" t="s">
        <v>754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13"/>
    </row>
    <row r="13" spans="1:17" ht="16" customHeight="1" x14ac:dyDescent="0.35">
      <c r="B13" s="10"/>
      <c r="C13" s="11" t="s">
        <v>22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7" ht="16" customHeight="1" x14ac:dyDescent="0.35">
      <c r="B14" s="14" t="s">
        <v>755</v>
      </c>
      <c r="C14" s="14" t="s">
        <v>138</v>
      </c>
      <c r="D14" s="15">
        <v>-28371.471969999999</v>
      </c>
      <c r="E14" s="15">
        <v>-48124.80992</v>
      </c>
      <c r="F14" s="15">
        <v>-44159.610309999996</v>
      </c>
      <c r="G14" s="15">
        <v>-30438.683300000001</v>
      </c>
      <c r="H14" s="15">
        <v>730.27642000000003</v>
      </c>
      <c r="I14" s="15">
        <v>32929.51324</v>
      </c>
      <c r="J14" s="15"/>
      <c r="K14" s="15"/>
      <c r="L14" s="15"/>
      <c r="M14" s="15"/>
      <c r="N14" s="15"/>
      <c r="O14" s="15"/>
    </row>
    <row r="15" spans="1:17" ht="16" customHeight="1" x14ac:dyDescent="0.35">
      <c r="B15" s="10"/>
      <c r="C15" s="11" t="s">
        <v>22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7" ht="16" customHeight="1" x14ac:dyDescent="0.35">
      <c r="B16" s="14" t="s">
        <v>756</v>
      </c>
      <c r="C16" s="14" t="s">
        <v>757</v>
      </c>
      <c r="D16" s="15">
        <v>9704.7382099999995</v>
      </c>
      <c r="E16" s="15">
        <v>20657.97148</v>
      </c>
      <c r="F16" s="15">
        <v>32664.088049999998</v>
      </c>
      <c r="G16" s="15">
        <v>44143.269260000001</v>
      </c>
      <c r="H16" s="15">
        <v>59403.00434</v>
      </c>
      <c r="I16" s="15">
        <v>59403.00434</v>
      </c>
      <c r="J16" s="15"/>
      <c r="K16" s="15"/>
      <c r="L16" s="15"/>
      <c r="M16" s="15"/>
      <c r="N16" s="15"/>
      <c r="O16" s="15"/>
    </row>
    <row r="17" spans="2:15" ht="16" customHeight="1" x14ac:dyDescent="0.35">
      <c r="B17" s="10"/>
      <c r="C17" s="11" t="s">
        <v>22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2:15" ht="16" customHeight="1" x14ac:dyDescent="0.35">
      <c r="B18" s="34" t="s">
        <v>758</v>
      </c>
      <c r="C18" s="34" t="s">
        <v>126</v>
      </c>
      <c r="D18" s="35">
        <f t="shared" ref="D18:O18" si="0">D14+D16</f>
        <v>-18666.733759999999</v>
      </c>
      <c r="E18" s="35">
        <f t="shared" si="0"/>
        <v>-27466.83844</v>
      </c>
      <c r="F18" s="35">
        <f t="shared" si="0"/>
        <v>-11495.522259999998</v>
      </c>
      <c r="G18" s="35">
        <f t="shared" si="0"/>
        <v>13704.58596</v>
      </c>
      <c r="H18" s="35">
        <f t="shared" si="0"/>
        <v>60133.280760000001</v>
      </c>
      <c r="I18" s="35">
        <f t="shared" si="0"/>
        <v>92332.51758</v>
      </c>
      <c r="J18" s="35">
        <f t="shared" si="0"/>
        <v>0</v>
      </c>
      <c r="K18" s="35">
        <f t="shared" si="0"/>
        <v>0</v>
      </c>
      <c r="L18" s="35">
        <f t="shared" si="0"/>
        <v>0</v>
      </c>
      <c r="M18" s="35">
        <f t="shared" si="0"/>
        <v>0</v>
      </c>
      <c r="N18" s="35">
        <f t="shared" si="0"/>
        <v>0</v>
      </c>
      <c r="O18" s="35">
        <f t="shared" si="0"/>
        <v>0</v>
      </c>
    </row>
    <row r="19" spans="2:15" ht="16" customHeight="1" x14ac:dyDescent="0.35">
      <c r="B19" s="10"/>
      <c r="C19" s="11" t="s">
        <v>22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2:15" ht="16" customHeight="1" x14ac:dyDescent="0.35">
      <c r="B20" s="14" t="s">
        <v>759</v>
      </c>
      <c r="C20" s="14" t="s">
        <v>760</v>
      </c>
      <c r="D20" s="15">
        <v>4146.2315799999997</v>
      </c>
      <c r="E20" s="15">
        <v>8312.5279200000004</v>
      </c>
      <c r="F20" s="15">
        <v>12731.96443</v>
      </c>
      <c r="G20" s="15">
        <v>17178.694060000002</v>
      </c>
      <c r="H20" s="15">
        <v>22084.158899999999</v>
      </c>
      <c r="I20" s="15">
        <v>22084.158899999999</v>
      </c>
      <c r="J20" s="15"/>
      <c r="K20" s="15"/>
      <c r="L20" s="15"/>
      <c r="M20" s="15"/>
      <c r="N20" s="15"/>
      <c r="O20" s="15"/>
    </row>
    <row r="21" spans="2:15" ht="16" customHeight="1" x14ac:dyDescent="0.35">
      <c r="B21" s="14" t="s">
        <v>761</v>
      </c>
      <c r="C21" s="14" t="s">
        <v>762</v>
      </c>
      <c r="D21" s="15">
        <v>4101.9775200000004</v>
      </c>
      <c r="E21" s="15">
        <v>8179.9385199999997</v>
      </c>
      <c r="F21" s="15">
        <v>12186.68432</v>
      </c>
      <c r="G21" s="15">
        <v>16372.06148</v>
      </c>
      <c r="H21" s="15">
        <v>20275.206399999999</v>
      </c>
      <c r="I21" s="15">
        <v>20275.206399999999</v>
      </c>
      <c r="J21" s="15"/>
      <c r="K21" s="15"/>
      <c r="L21" s="15"/>
      <c r="M21" s="15"/>
      <c r="N21" s="15"/>
      <c r="O21" s="15"/>
    </row>
    <row r="22" spans="2:15" ht="16" customHeight="1" x14ac:dyDescent="0.35">
      <c r="B22" s="10"/>
      <c r="C22" s="11" t="s">
        <v>22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2:15" ht="16" customHeight="1" x14ac:dyDescent="0.35">
      <c r="B23" s="38"/>
      <c r="C23" s="34" t="s">
        <v>763</v>
      </c>
      <c r="D23" s="35">
        <f t="shared" ref="D23:O23" si="1">D24+D25</f>
        <v>0</v>
      </c>
      <c r="E23" s="35">
        <f t="shared" si="1"/>
        <v>0</v>
      </c>
      <c r="F23" s="35">
        <f t="shared" si="1"/>
        <v>0</v>
      </c>
      <c r="G23" s="35">
        <f t="shared" si="1"/>
        <v>0</v>
      </c>
      <c r="H23" s="35">
        <f t="shared" si="1"/>
        <v>0</v>
      </c>
      <c r="I23" s="35">
        <f t="shared" si="1"/>
        <v>0</v>
      </c>
      <c r="J23" s="35">
        <f t="shared" si="1"/>
        <v>0</v>
      </c>
      <c r="K23" s="35">
        <f t="shared" si="1"/>
        <v>0</v>
      </c>
      <c r="L23" s="35">
        <f t="shared" si="1"/>
        <v>0</v>
      </c>
      <c r="M23" s="35">
        <f t="shared" si="1"/>
        <v>0</v>
      </c>
      <c r="N23" s="35">
        <f t="shared" si="1"/>
        <v>0</v>
      </c>
      <c r="O23" s="35">
        <f t="shared" si="1"/>
        <v>0</v>
      </c>
    </row>
    <row r="24" spans="2:15" ht="16" customHeight="1" x14ac:dyDescent="0.35">
      <c r="B24" s="14" t="s">
        <v>764</v>
      </c>
      <c r="C24" s="14" t="s">
        <v>112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spans="2:15" ht="16" customHeight="1" x14ac:dyDescent="0.35">
      <c r="B25" s="14" t="s">
        <v>765</v>
      </c>
      <c r="C25" s="14" t="s">
        <v>110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2:15" ht="16" customHeight="1" x14ac:dyDescent="0.35">
      <c r="B26" s="10"/>
      <c r="C26" s="11" t="s">
        <v>22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</row>
    <row r="27" spans="2:15" ht="16" customHeight="1" x14ac:dyDescent="0.35">
      <c r="B27" s="38"/>
      <c r="C27" s="34" t="s">
        <v>766</v>
      </c>
      <c r="D27" s="35">
        <f t="shared" ref="D27:O27" si="2">D28+D29</f>
        <v>-1558.45775</v>
      </c>
      <c r="E27" s="35">
        <f t="shared" si="2"/>
        <v>-701.80655000000002</v>
      </c>
      <c r="F27" s="35">
        <f t="shared" si="2"/>
        <v>-3884.3830799999996</v>
      </c>
      <c r="G27" s="35">
        <f t="shared" si="2"/>
        <v>-5288.5487699999994</v>
      </c>
      <c r="H27" s="35">
        <f t="shared" si="2"/>
        <v>-7544.4553499999993</v>
      </c>
      <c r="I27" s="35">
        <f t="shared" si="2"/>
        <v>-7544.4553499999993</v>
      </c>
      <c r="J27" s="35">
        <f t="shared" si="2"/>
        <v>0</v>
      </c>
      <c r="K27" s="35">
        <f t="shared" si="2"/>
        <v>0</v>
      </c>
      <c r="L27" s="35">
        <f t="shared" si="2"/>
        <v>0</v>
      </c>
      <c r="M27" s="35">
        <f t="shared" si="2"/>
        <v>0</v>
      </c>
      <c r="N27" s="35">
        <f t="shared" si="2"/>
        <v>0</v>
      </c>
      <c r="O27" s="35">
        <f t="shared" si="2"/>
        <v>0</v>
      </c>
    </row>
    <row r="28" spans="2:15" ht="16" customHeight="1" x14ac:dyDescent="0.35">
      <c r="B28" s="14" t="s">
        <v>767</v>
      </c>
      <c r="C28" s="14" t="s">
        <v>768</v>
      </c>
      <c r="D28" s="15">
        <v>-1558.45775</v>
      </c>
      <c r="E28" s="15">
        <v>-2718.27655</v>
      </c>
      <c r="F28" s="15">
        <v>-4329.8530799999999</v>
      </c>
      <c r="G28" s="15">
        <v>-6039.0187699999997</v>
      </c>
      <c r="H28" s="15">
        <v>-8289.9253499999995</v>
      </c>
      <c r="I28" s="15">
        <v>-8289.9253499999995</v>
      </c>
      <c r="J28" s="15"/>
      <c r="K28" s="15"/>
      <c r="L28" s="15"/>
      <c r="M28" s="15"/>
      <c r="N28" s="15"/>
      <c r="O28" s="15"/>
    </row>
    <row r="29" spans="2:15" ht="16" customHeight="1" x14ac:dyDescent="0.35">
      <c r="B29" s="14" t="s">
        <v>769</v>
      </c>
      <c r="C29" s="14" t="s">
        <v>770</v>
      </c>
      <c r="D29" s="15"/>
      <c r="E29" s="15">
        <v>2016.47</v>
      </c>
      <c r="F29" s="15">
        <v>445.47</v>
      </c>
      <c r="G29" s="15">
        <v>750.47</v>
      </c>
      <c r="H29" s="15">
        <v>745.47</v>
      </c>
      <c r="I29" s="15">
        <v>745.47</v>
      </c>
      <c r="J29" s="15"/>
      <c r="K29" s="15"/>
      <c r="L29" s="15"/>
      <c r="M29" s="15"/>
      <c r="N29" s="15"/>
      <c r="O29" s="15"/>
    </row>
    <row r="30" spans="2:15" ht="16" customHeight="1" x14ac:dyDescent="0.35">
      <c r="B30" s="10"/>
      <c r="C30" s="11" t="s">
        <v>22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</row>
    <row r="31" spans="2:15" ht="16" customHeight="1" x14ac:dyDescent="0.35">
      <c r="B31" s="38"/>
      <c r="C31" s="34" t="s">
        <v>771</v>
      </c>
      <c r="D31" s="35">
        <f t="shared" ref="D31:O31" si="3">D32+D33+D34+D35+D36+D37+D38</f>
        <v>1197.80196</v>
      </c>
      <c r="E31" s="35">
        <f t="shared" si="3"/>
        <v>927.12436999999989</v>
      </c>
      <c r="F31" s="35">
        <f t="shared" si="3"/>
        <v>-1712.3218999999999</v>
      </c>
      <c r="G31" s="35">
        <f t="shared" si="3"/>
        <v>-281.81841999999961</v>
      </c>
      <c r="H31" s="35">
        <f t="shared" si="3"/>
        <v>692.4393500000001</v>
      </c>
      <c r="I31" s="35">
        <f t="shared" si="3"/>
        <v>982.89951000000019</v>
      </c>
      <c r="J31" s="35">
        <f t="shared" si="3"/>
        <v>0</v>
      </c>
      <c r="K31" s="35">
        <f t="shared" si="3"/>
        <v>0</v>
      </c>
      <c r="L31" s="35">
        <f t="shared" si="3"/>
        <v>0</v>
      </c>
      <c r="M31" s="35">
        <f t="shared" si="3"/>
        <v>0</v>
      </c>
      <c r="N31" s="35">
        <f t="shared" si="3"/>
        <v>0</v>
      </c>
      <c r="O31" s="35">
        <f t="shared" si="3"/>
        <v>0</v>
      </c>
    </row>
    <row r="32" spans="2:15" ht="16" customHeight="1" x14ac:dyDescent="0.35">
      <c r="B32" s="14" t="s">
        <v>772</v>
      </c>
      <c r="C32" s="14" t="s">
        <v>88</v>
      </c>
      <c r="D32" s="15">
        <v>-392.74966999999998</v>
      </c>
      <c r="E32" s="15">
        <v>-528.05767000000003</v>
      </c>
      <c r="F32" s="15">
        <v>-2297.7528400000001</v>
      </c>
      <c r="G32" s="15">
        <v>-2259.9281299999998</v>
      </c>
      <c r="H32" s="15">
        <v>-2350.6073999999999</v>
      </c>
      <c r="I32" s="15">
        <v>-2421.2323999999999</v>
      </c>
      <c r="J32" s="15"/>
      <c r="K32" s="15"/>
      <c r="L32" s="15"/>
      <c r="M32" s="15"/>
      <c r="N32" s="15"/>
      <c r="O32" s="15"/>
    </row>
    <row r="33" spans="2:15" ht="16" customHeight="1" x14ac:dyDescent="0.35">
      <c r="B33" s="14" t="s">
        <v>773</v>
      </c>
      <c r="C33" s="14" t="s">
        <v>774</v>
      </c>
      <c r="D33" s="15">
        <v>-3.7576100000000001</v>
      </c>
      <c r="E33" s="15">
        <v>-3.0933700000000002</v>
      </c>
      <c r="F33" s="15">
        <v>13.050739999999999</v>
      </c>
      <c r="G33" s="15">
        <v>156.40074000000001</v>
      </c>
      <c r="H33" s="15">
        <v>154.20959999999999</v>
      </c>
      <c r="I33" s="15">
        <v>155.73650000000001</v>
      </c>
      <c r="J33" s="15"/>
      <c r="K33" s="15"/>
      <c r="L33" s="15"/>
      <c r="M33" s="15"/>
      <c r="N33" s="15"/>
      <c r="O33" s="15"/>
    </row>
    <row r="34" spans="2:15" ht="16" customHeight="1" x14ac:dyDescent="0.35">
      <c r="B34" s="14" t="s">
        <v>775</v>
      </c>
      <c r="C34" s="14" t="s">
        <v>776</v>
      </c>
      <c r="D34" s="15">
        <v>450</v>
      </c>
      <c r="E34" s="15">
        <v>-358</v>
      </c>
      <c r="F34" s="15">
        <v>-358</v>
      </c>
      <c r="G34" s="15">
        <v>-358</v>
      </c>
      <c r="H34" s="15">
        <v>-358</v>
      </c>
      <c r="I34" s="15">
        <v>-318</v>
      </c>
      <c r="J34" s="15"/>
      <c r="K34" s="15"/>
      <c r="L34" s="15"/>
      <c r="M34" s="15"/>
      <c r="N34" s="15"/>
      <c r="O34" s="15"/>
    </row>
    <row r="35" spans="2:15" ht="16" customHeight="1" x14ac:dyDescent="0.35">
      <c r="B35" s="14" t="s">
        <v>777</v>
      </c>
      <c r="C35" s="14" t="s">
        <v>778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2:15" ht="16" customHeight="1" x14ac:dyDescent="0.35">
      <c r="B36" s="14" t="s">
        <v>779</v>
      </c>
      <c r="C36" s="14" t="s">
        <v>780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2:15" ht="16" customHeight="1" x14ac:dyDescent="0.35">
      <c r="B37" s="14" t="s">
        <v>781</v>
      </c>
      <c r="C37" s="14" t="s">
        <v>782</v>
      </c>
      <c r="D37" s="15">
        <v>1144.30924</v>
      </c>
      <c r="E37" s="15">
        <v>1816.27541</v>
      </c>
      <c r="F37" s="15">
        <v>930.38019999999995</v>
      </c>
      <c r="G37" s="15">
        <v>2179.7089700000001</v>
      </c>
      <c r="H37" s="15">
        <v>3246.8371499999998</v>
      </c>
      <c r="I37" s="15">
        <v>3566.3954100000001</v>
      </c>
      <c r="J37" s="15"/>
      <c r="K37" s="15"/>
      <c r="L37" s="15"/>
      <c r="M37" s="15"/>
      <c r="N37" s="15"/>
      <c r="O37" s="15"/>
    </row>
    <row r="38" spans="2:15" ht="16" customHeight="1" x14ac:dyDescent="0.35">
      <c r="B38" s="14" t="s">
        <v>783</v>
      </c>
      <c r="C38" s="14" t="s">
        <v>784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2:15" ht="16" customHeight="1" x14ac:dyDescent="0.35">
      <c r="B39" s="10"/>
      <c r="C39" s="11" t="s">
        <v>22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</row>
    <row r="40" spans="2:15" ht="16" customHeight="1" x14ac:dyDescent="0.35">
      <c r="B40" s="38"/>
      <c r="C40" s="34" t="s">
        <v>785</v>
      </c>
      <c r="D40" s="35">
        <f t="shared" ref="D40:O40" si="4">-(-(D41+D42)-D43)</f>
        <v>0</v>
      </c>
      <c r="E40" s="35">
        <f t="shared" si="4"/>
        <v>0</v>
      </c>
      <c r="F40" s="35">
        <f t="shared" si="4"/>
        <v>0</v>
      </c>
      <c r="G40" s="35">
        <f t="shared" si="4"/>
        <v>0</v>
      </c>
      <c r="H40" s="35">
        <f t="shared" si="4"/>
        <v>0</v>
      </c>
      <c r="I40" s="35">
        <f t="shared" si="4"/>
        <v>0</v>
      </c>
      <c r="J40" s="35">
        <f t="shared" si="4"/>
        <v>0</v>
      </c>
      <c r="K40" s="35">
        <f t="shared" si="4"/>
        <v>0</v>
      </c>
      <c r="L40" s="35">
        <f t="shared" si="4"/>
        <v>0</v>
      </c>
      <c r="M40" s="35">
        <f t="shared" si="4"/>
        <v>0</v>
      </c>
      <c r="N40" s="35">
        <f t="shared" si="4"/>
        <v>0</v>
      </c>
      <c r="O40" s="35">
        <f t="shared" si="4"/>
        <v>0</v>
      </c>
    </row>
    <row r="41" spans="2:15" ht="16" customHeight="1" x14ac:dyDescent="0.35">
      <c r="B41" s="14" t="s">
        <v>786</v>
      </c>
      <c r="C41" s="14" t="s">
        <v>787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2:15" ht="16" customHeight="1" x14ac:dyDescent="0.35">
      <c r="B42" s="14" t="s">
        <v>788</v>
      </c>
      <c r="C42" s="14" t="s">
        <v>789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2:15" ht="16" customHeight="1" x14ac:dyDescent="0.35">
      <c r="B43" s="14" t="s">
        <v>790</v>
      </c>
      <c r="C43" s="14" t="s">
        <v>791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2:15" ht="16" customHeight="1" x14ac:dyDescent="0.35">
      <c r="B44" s="10"/>
      <c r="C44" s="11" t="s">
        <v>22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2:15" ht="16" customHeight="1" x14ac:dyDescent="0.35">
      <c r="B45" s="38"/>
      <c r="C45" s="34" t="s">
        <v>792</v>
      </c>
      <c r="D45" s="35">
        <f t="shared" ref="D45:O45" si="5">D47+D51</f>
        <v>-2021.37022</v>
      </c>
      <c r="E45" s="35">
        <f t="shared" si="5"/>
        <v>-3769.7522600000002</v>
      </c>
      <c r="F45" s="35">
        <f t="shared" si="5"/>
        <v>-11297.416429999999</v>
      </c>
      <c r="G45" s="35">
        <f t="shared" si="5"/>
        <v>-12828.98076</v>
      </c>
      <c r="H45" s="35">
        <f t="shared" si="5"/>
        <v>-14700.600719999999</v>
      </c>
      <c r="I45" s="35">
        <f t="shared" si="5"/>
        <v>-14899.48825</v>
      </c>
      <c r="J45" s="35">
        <f t="shared" si="5"/>
        <v>0</v>
      </c>
      <c r="K45" s="35">
        <f t="shared" si="5"/>
        <v>0</v>
      </c>
      <c r="L45" s="35">
        <f t="shared" si="5"/>
        <v>0</v>
      </c>
      <c r="M45" s="35">
        <f t="shared" si="5"/>
        <v>0</v>
      </c>
      <c r="N45" s="35">
        <f t="shared" si="5"/>
        <v>0</v>
      </c>
      <c r="O45" s="35">
        <f t="shared" si="5"/>
        <v>0</v>
      </c>
    </row>
    <row r="46" spans="2:15" ht="16" customHeight="1" x14ac:dyDescent="0.35">
      <c r="B46" s="10"/>
      <c r="C46" s="11" t="s">
        <v>22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2:15" ht="16" customHeight="1" x14ac:dyDescent="0.35">
      <c r="B47" s="38"/>
      <c r="C47" s="34" t="s">
        <v>793</v>
      </c>
      <c r="D47" s="35">
        <f t="shared" ref="D47:O47" si="6">D48+D49</f>
        <v>0.28559000000000001</v>
      </c>
      <c r="E47" s="35">
        <f t="shared" si="6"/>
        <v>0.33821000000000001</v>
      </c>
      <c r="F47" s="35">
        <f t="shared" si="6"/>
        <v>0.91951000000000005</v>
      </c>
      <c r="G47" s="35">
        <f t="shared" si="6"/>
        <v>2.3837700000000002</v>
      </c>
      <c r="H47" s="35">
        <f t="shared" si="6"/>
        <v>3.88246</v>
      </c>
      <c r="I47" s="35">
        <f t="shared" si="6"/>
        <v>3.88246</v>
      </c>
      <c r="J47" s="35">
        <f t="shared" si="6"/>
        <v>0</v>
      </c>
      <c r="K47" s="35">
        <f t="shared" si="6"/>
        <v>0</v>
      </c>
      <c r="L47" s="35">
        <f t="shared" si="6"/>
        <v>0</v>
      </c>
      <c r="M47" s="35">
        <f t="shared" si="6"/>
        <v>0</v>
      </c>
      <c r="N47" s="35">
        <f t="shared" si="6"/>
        <v>0</v>
      </c>
      <c r="O47" s="35">
        <f t="shared" si="6"/>
        <v>0</v>
      </c>
    </row>
    <row r="48" spans="2:15" ht="16" customHeight="1" x14ac:dyDescent="0.35">
      <c r="B48" s="14" t="s">
        <v>794</v>
      </c>
      <c r="C48" s="14" t="s">
        <v>795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2:15" ht="16" customHeight="1" x14ac:dyDescent="0.35">
      <c r="B49" s="14" t="s">
        <v>796</v>
      </c>
      <c r="C49" s="14" t="s">
        <v>797</v>
      </c>
      <c r="D49" s="15">
        <v>0.28559000000000001</v>
      </c>
      <c r="E49" s="15">
        <v>0.33821000000000001</v>
      </c>
      <c r="F49" s="15">
        <v>0.91951000000000005</v>
      </c>
      <c r="G49" s="15">
        <v>2.3837700000000002</v>
      </c>
      <c r="H49" s="15">
        <v>3.88246</v>
      </c>
      <c r="I49" s="15">
        <v>3.88246</v>
      </c>
      <c r="J49" s="15"/>
      <c r="K49" s="15"/>
      <c r="L49" s="15"/>
      <c r="M49" s="15"/>
      <c r="N49" s="15"/>
      <c r="O49" s="15"/>
    </row>
    <row r="50" spans="2:15" ht="16" customHeight="1" x14ac:dyDescent="0.35">
      <c r="B50" s="10"/>
      <c r="C50" s="11" t="s">
        <v>22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2:15" ht="16" customHeight="1" x14ac:dyDescent="0.35">
      <c r="B51" s="38"/>
      <c r="C51" s="34" t="s">
        <v>798</v>
      </c>
      <c r="D51" s="35">
        <f t="shared" ref="D51:O51" si="7">-(-(D52+D53)-D54)</f>
        <v>-2021.65581</v>
      </c>
      <c r="E51" s="35">
        <f t="shared" si="7"/>
        <v>-3770.0904700000001</v>
      </c>
      <c r="F51" s="35">
        <f t="shared" si="7"/>
        <v>-11298.335939999999</v>
      </c>
      <c r="G51" s="35">
        <f t="shared" si="7"/>
        <v>-12831.364530000001</v>
      </c>
      <c r="H51" s="35">
        <f t="shared" si="7"/>
        <v>-14704.483179999999</v>
      </c>
      <c r="I51" s="35">
        <f t="shared" si="7"/>
        <v>-14903.370710000001</v>
      </c>
      <c r="J51" s="35">
        <f t="shared" si="7"/>
        <v>0</v>
      </c>
      <c r="K51" s="35">
        <f t="shared" si="7"/>
        <v>0</v>
      </c>
      <c r="L51" s="35">
        <f t="shared" si="7"/>
        <v>0</v>
      </c>
      <c r="M51" s="35">
        <f t="shared" si="7"/>
        <v>0</v>
      </c>
      <c r="N51" s="35">
        <f t="shared" si="7"/>
        <v>0</v>
      </c>
      <c r="O51" s="35">
        <f t="shared" si="7"/>
        <v>0</v>
      </c>
    </row>
    <row r="52" spans="2:15" ht="16" customHeight="1" x14ac:dyDescent="0.35">
      <c r="B52" s="14" t="s">
        <v>799</v>
      </c>
      <c r="C52" s="14" t="s">
        <v>800</v>
      </c>
      <c r="D52" s="15">
        <v>-707.35176999999999</v>
      </c>
      <c r="E52" s="15">
        <v>-1368.0303100000001</v>
      </c>
      <c r="F52" s="15">
        <v>-7705.3443600000001</v>
      </c>
      <c r="G52" s="15">
        <v>-8360.9771400000009</v>
      </c>
      <c r="H52" s="15">
        <v>-8988.1359900000007</v>
      </c>
      <c r="I52" s="15">
        <v>-8988.1359900000007</v>
      </c>
      <c r="J52" s="15"/>
      <c r="K52" s="15"/>
      <c r="L52" s="15"/>
      <c r="M52" s="15"/>
      <c r="N52" s="15"/>
      <c r="O52" s="15"/>
    </row>
    <row r="53" spans="2:15" ht="16" customHeight="1" x14ac:dyDescent="0.35">
      <c r="B53" s="14" t="s">
        <v>801</v>
      </c>
      <c r="C53" s="14" t="s">
        <v>802</v>
      </c>
      <c r="D53" s="15">
        <v>-770.83529999999996</v>
      </c>
      <c r="E53" s="15">
        <v>-1310.21729</v>
      </c>
      <c r="F53" s="15">
        <v>-1921.03108</v>
      </c>
      <c r="G53" s="15">
        <v>-2458.9706000000001</v>
      </c>
      <c r="H53" s="15">
        <v>-3106.40103</v>
      </c>
      <c r="I53" s="15">
        <v>-3303.3584500000002</v>
      </c>
      <c r="J53" s="15"/>
      <c r="K53" s="15"/>
      <c r="L53" s="15"/>
      <c r="M53" s="15"/>
      <c r="N53" s="15"/>
      <c r="O53" s="15"/>
    </row>
    <row r="54" spans="2:15" ht="16" customHeight="1" x14ac:dyDescent="0.35">
      <c r="B54" s="14" t="s">
        <v>803</v>
      </c>
      <c r="C54" s="14" t="s">
        <v>804</v>
      </c>
      <c r="D54" s="15">
        <v>-543.46874000000003</v>
      </c>
      <c r="E54" s="15">
        <v>-1091.8428699999999</v>
      </c>
      <c r="F54" s="15">
        <v>-1671.9604999999999</v>
      </c>
      <c r="G54" s="15">
        <v>-2011.41679</v>
      </c>
      <c r="H54" s="15">
        <v>-2609.94616</v>
      </c>
      <c r="I54" s="15">
        <v>-2611.8762700000002</v>
      </c>
      <c r="J54" s="15"/>
      <c r="K54" s="15"/>
      <c r="L54" s="15"/>
      <c r="M54" s="15"/>
      <c r="N54" s="15"/>
      <c r="O54" s="15"/>
    </row>
    <row r="55" spans="2:15" ht="16" customHeight="1" x14ac:dyDescent="0.35">
      <c r="B55" s="10"/>
      <c r="C55" s="11" t="s">
        <v>22</v>
      </c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2:15" ht="16" customHeight="1" x14ac:dyDescent="0.35">
      <c r="B56" s="38"/>
      <c r="C56" s="34" t="s">
        <v>805</v>
      </c>
      <c r="D56" s="35">
        <f t="shared" ref="D56:O56" si="8">D57+D58</f>
        <v>-20.977399999999999</v>
      </c>
      <c r="E56" s="35">
        <f t="shared" si="8"/>
        <v>-102.71317000000001</v>
      </c>
      <c r="F56" s="35">
        <f t="shared" si="8"/>
        <v>-74.592079999999996</v>
      </c>
      <c r="G56" s="35">
        <f t="shared" si="8"/>
        <v>-85.555120000000002</v>
      </c>
      <c r="H56" s="35">
        <f t="shared" si="8"/>
        <v>-74.426760000000002</v>
      </c>
      <c r="I56" s="35">
        <f t="shared" si="8"/>
        <v>-74.99803</v>
      </c>
      <c r="J56" s="35">
        <f t="shared" si="8"/>
        <v>0</v>
      </c>
      <c r="K56" s="35">
        <f t="shared" si="8"/>
        <v>0</v>
      </c>
      <c r="L56" s="35">
        <f t="shared" si="8"/>
        <v>0</v>
      </c>
      <c r="M56" s="35">
        <f t="shared" si="8"/>
        <v>0</v>
      </c>
      <c r="N56" s="35">
        <f t="shared" si="8"/>
        <v>0</v>
      </c>
      <c r="O56" s="35">
        <f t="shared" si="8"/>
        <v>0</v>
      </c>
    </row>
    <row r="57" spans="2:15" ht="16" customHeight="1" x14ac:dyDescent="0.35">
      <c r="B57" s="14" t="s">
        <v>806</v>
      </c>
      <c r="C57" s="14" t="s">
        <v>805</v>
      </c>
      <c r="D57" s="15">
        <v>-20.977399999999999</v>
      </c>
      <c r="E57" s="15">
        <v>-102.71317000000001</v>
      </c>
      <c r="F57" s="15">
        <v>-74.592079999999996</v>
      </c>
      <c r="G57" s="15">
        <v>-85.555120000000002</v>
      </c>
      <c r="H57" s="15">
        <v>-74.426760000000002</v>
      </c>
      <c r="I57" s="15">
        <v>-74.99803</v>
      </c>
      <c r="J57" s="15"/>
      <c r="K57" s="15"/>
      <c r="L57" s="15"/>
      <c r="M57" s="15"/>
      <c r="N57" s="15"/>
      <c r="O57" s="15"/>
    </row>
    <row r="58" spans="2:15" ht="16" customHeight="1" x14ac:dyDescent="0.35">
      <c r="B58" s="14" t="s">
        <v>807</v>
      </c>
      <c r="C58" s="14" t="s">
        <v>808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</row>
    <row r="59" spans="2:15" ht="16" customHeight="1" x14ac:dyDescent="0.35">
      <c r="B59" s="10"/>
      <c r="C59" s="11" t="s">
        <v>22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</row>
    <row r="60" spans="2:15" ht="16" customHeight="1" x14ac:dyDescent="0.35">
      <c r="B60" s="14" t="s">
        <v>809</v>
      </c>
      <c r="C60" s="14" t="s">
        <v>810</v>
      </c>
      <c r="D60" s="15">
        <v>-710.61734000000001</v>
      </c>
      <c r="E60" s="15">
        <v>-738.55273</v>
      </c>
      <c r="F60" s="15">
        <v>-706.51495</v>
      </c>
      <c r="G60" s="15">
        <v>-3873.48254</v>
      </c>
      <c r="H60" s="15">
        <v>-4108.8074999999999</v>
      </c>
      <c r="I60" s="15">
        <v>-4631.3074999999999</v>
      </c>
      <c r="J60" s="15"/>
      <c r="K60" s="15"/>
      <c r="L60" s="15"/>
      <c r="M60" s="15"/>
      <c r="N60" s="15"/>
      <c r="O60" s="15"/>
    </row>
    <row r="61" spans="2:15" ht="16" customHeight="1" x14ac:dyDescent="0.35">
      <c r="B61" s="10"/>
      <c r="C61" s="11" t="s">
        <v>22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</row>
    <row r="62" spans="2:15" ht="16" customHeight="1" x14ac:dyDescent="0.35">
      <c r="B62" s="38"/>
      <c r="C62" s="34" t="s">
        <v>811</v>
      </c>
      <c r="D62" s="35">
        <f t="shared" ref="D62:O62" si="9">-(-(D63+D64)-D65)</f>
        <v>0</v>
      </c>
      <c r="E62" s="35">
        <f t="shared" si="9"/>
        <v>-5671.9005299999999</v>
      </c>
      <c r="F62" s="35">
        <f t="shared" si="9"/>
        <v>-24232.031139999999</v>
      </c>
      <c r="G62" s="35">
        <f t="shared" si="9"/>
        <v>-24809.36476</v>
      </c>
      <c r="H62" s="35">
        <f t="shared" si="9"/>
        <v>-24809.41908</v>
      </c>
      <c r="I62" s="35">
        <f t="shared" si="9"/>
        <v>-24787.832600000002</v>
      </c>
      <c r="J62" s="35">
        <f t="shared" si="9"/>
        <v>0</v>
      </c>
      <c r="K62" s="35">
        <f t="shared" si="9"/>
        <v>0</v>
      </c>
      <c r="L62" s="35">
        <f t="shared" si="9"/>
        <v>0</v>
      </c>
      <c r="M62" s="35">
        <f t="shared" si="9"/>
        <v>0</v>
      </c>
      <c r="N62" s="35">
        <f t="shared" si="9"/>
        <v>0</v>
      </c>
      <c r="O62" s="35">
        <f t="shared" si="9"/>
        <v>0</v>
      </c>
    </row>
    <row r="63" spans="2:15" ht="16" customHeight="1" x14ac:dyDescent="0.35">
      <c r="B63" s="14" t="s">
        <v>812</v>
      </c>
      <c r="C63" s="14" t="s">
        <v>813</v>
      </c>
      <c r="D63" s="15"/>
      <c r="E63" s="15">
        <v>-5671.9005299999999</v>
      </c>
      <c r="F63" s="15">
        <v>-24232.031139999999</v>
      </c>
      <c r="G63" s="15">
        <v>-24809.36476</v>
      </c>
      <c r="H63" s="15">
        <v>-24809.41908</v>
      </c>
      <c r="I63" s="15">
        <v>-24787.832600000002</v>
      </c>
      <c r="J63" s="15"/>
      <c r="K63" s="15"/>
      <c r="L63" s="15"/>
      <c r="M63" s="15"/>
      <c r="N63" s="15"/>
      <c r="O63" s="15"/>
    </row>
    <row r="64" spans="2:15" ht="16" customHeight="1" x14ac:dyDescent="0.35">
      <c r="B64" s="14" t="s">
        <v>814</v>
      </c>
      <c r="C64" s="14" t="s">
        <v>815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</row>
    <row r="65" spans="2:15" ht="16" customHeight="1" x14ac:dyDescent="0.35">
      <c r="B65" s="14" t="s">
        <v>816</v>
      </c>
      <c r="C65" s="14" t="s">
        <v>817</v>
      </c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</row>
    <row r="66" spans="2:15" ht="16" customHeight="1" x14ac:dyDescent="0.35">
      <c r="B66" s="10"/>
      <c r="C66" s="11" t="s">
        <v>22</v>
      </c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</row>
    <row r="67" spans="2:15" ht="16" customHeight="1" x14ac:dyDescent="0.35">
      <c r="B67" s="34" t="s">
        <v>818</v>
      </c>
      <c r="C67" s="34" t="s">
        <v>819</v>
      </c>
      <c r="D67" s="35">
        <f t="shared" ref="D67:O67" si="10">D68+D69</f>
        <v>-9519.3025400000006</v>
      </c>
      <c r="E67" s="35">
        <f t="shared" si="10"/>
        <v>-10250.966850000001</v>
      </c>
      <c r="F67" s="35">
        <f t="shared" si="10"/>
        <v>-22027.883259999999</v>
      </c>
      <c r="G67" s="35">
        <f t="shared" si="10"/>
        <v>-20870.514920000001</v>
      </c>
      <c r="H67" s="35">
        <f t="shared" si="10"/>
        <v>-29130.592549999998</v>
      </c>
      <c r="I67" s="35">
        <f t="shared" si="10"/>
        <v>-31521.609109999998</v>
      </c>
      <c r="J67" s="35">
        <f t="shared" si="10"/>
        <v>0</v>
      </c>
      <c r="K67" s="35">
        <f t="shared" si="10"/>
        <v>0</v>
      </c>
      <c r="L67" s="35">
        <f t="shared" si="10"/>
        <v>0</v>
      </c>
      <c r="M67" s="35">
        <f t="shared" si="10"/>
        <v>0</v>
      </c>
      <c r="N67" s="35">
        <f t="shared" si="10"/>
        <v>0</v>
      </c>
      <c r="O67" s="35">
        <f t="shared" si="10"/>
        <v>0</v>
      </c>
    </row>
    <row r="68" spans="2:15" ht="16" customHeight="1" x14ac:dyDescent="0.35">
      <c r="B68" s="14" t="s">
        <v>820</v>
      </c>
      <c r="C68" s="14" t="s">
        <v>821</v>
      </c>
      <c r="D68" s="15">
        <v>-8893.8208300000006</v>
      </c>
      <c r="E68" s="15">
        <v>-9498.0139400000007</v>
      </c>
      <c r="F68" s="15">
        <v>-21017.729719999999</v>
      </c>
      <c r="G68" s="15">
        <v>-18829.0743</v>
      </c>
      <c r="H68" s="15">
        <v>-25577.179359999998</v>
      </c>
      <c r="I68" s="15">
        <v>-27214.177729999999</v>
      </c>
      <c r="J68" s="15"/>
      <c r="K68" s="15"/>
      <c r="L68" s="15"/>
      <c r="M68" s="15"/>
      <c r="N68" s="15"/>
      <c r="O68" s="15"/>
    </row>
    <row r="69" spans="2:15" ht="16" customHeight="1" x14ac:dyDescent="0.35">
      <c r="B69" s="14" t="s">
        <v>822</v>
      </c>
      <c r="C69" s="14" t="s">
        <v>823</v>
      </c>
      <c r="D69" s="15">
        <v>-625.48171000000002</v>
      </c>
      <c r="E69" s="15">
        <v>-752.95290999999997</v>
      </c>
      <c r="F69" s="15">
        <v>-1010.15354</v>
      </c>
      <c r="G69" s="15">
        <v>-2041.4406200000001</v>
      </c>
      <c r="H69" s="15">
        <v>-3553.4131900000002</v>
      </c>
      <c r="I69" s="15">
        <v>-4307.43138</v>
      </c>
      <c r="J69" s="15"/>
      <c r="K69" s="15"/>
      <c r="L69" s="15"/>
      <c r="M69" s="15"/>
      <c r="N69" s="15"/>
      <c r="O69" s="15"/>
    </row>
    <row r="70" spans="2:15" ht="16" customHeight="1" x14ac:dyDescent="0.35">
      <c r="B70" s="10"/>
      <c r="C70" s="11" t="s">
        <v>22</v>
      </c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</row>
    <row r="71" spans="2:15" ht="16" customHeight="1" x14ac:dyDescent="0.35">
      <c r="B71" s="38"/>
      <c r="C71" s="34" t="s">
        <v>824</v>
      </c>
      <c r="D71" s="35">
        <f t="shared" ref="D71:O71" si="11">-(-(D72+D73)-D74)</f>
        <v>32753.4241</v>
      </c>
      <c r="E71" s="35">
        <f t="shared" si="11"/>
        <v>16171.79449</v>
      </c>
      <c r="F71" s="35">
        <f t="shared" si="11"/>
        <v>-8889.2028200000004</v>
      </c>
      <c r="G71" s="35">
        <f t="shared" si="11"/>
        <v>-59326.186170000001</v>
      </c>
      <c r="H71" s="35">
        <f t="shared" si="11"/>
        <v>-78503.521380000006</v>
      </c>
      <c r="I71" s="35">
        <f t="shared" si="11"/>
        <v>-91578.119120000003</v>
      </c>
      <c r="J71" s="35">
        <f t="shared" si="11"/>
        <v>0</v>
      </c>
      <c r="K71" s="35">
        <f t="shared" si="11"/>
        <v>0</v>
      </c>
      <c r="L71" s="35">
        <f t="shared" si="11"/>
        <v>0</v>
      </c>
      <c r="M71" s="35">
        <f t="shared" si="11"/>
        <v>0</v>
      </c>
      <c r="N71" s="35">
        <f t="shared" si="11"/>
        <v>0</v>
      </c>
      <c r="O71" s="35">
        <f t="shared" si="11"/>
        <v>0</v>
      </c>
    </row>
    <row r="72" spans="2:15" ht="16" customHeight="1" x14ac:dyDescent="0.35">
      <c r="B72" s="14" t="s">
        <v>825</v>
      </c>
      <c r="C72" s="14" t="s">
        <v>826</v>
      </c>
      <c r="D72" s="15">
        <v>-53.670079999999999</v>
      </c>
      <c r="E72" s="15">
        <v>15.86293</v>
      </c>
      <c r="F72" s="15">
        <v>-11.717499999999999</v>
      </c>
      <c r="G72" s="15">
        <v>-607.30091000000004</v>
      </c>
      <c r="H72" s="15">
        <v>-418.37396999999999</v>
      </c>
      <c r="I72" s="15">
        <v>458.06008000000003</v>
      </c>
      <c r="J72" s="15"/>
      <c r="K72" s="15"/>
      <c r="L72" s="15"/>
      <c r="M72" s="15"/>
      <c r="N72" s="15"/>
      <c r="O72" s="15"/>
    </row>
    <row r="73" spans="2:15" ht="16" customHeight="1" x14ac:dyDescent="0.35">
      <c r="B73" s="14" t="s">
        <v>827</v>
      </c>
      <c r="C73" s="14" t="s">
        <v>828</v>
      </c>
      <c r="D73" s="15">
        <v>32807.09418</v>
      </c>
      <c r="E73" s="15">
        <v>16155.931560000001</v>
      </c>
      <c r="F73" s="15">
        <v>-9338.0536300000003</v>
      </c>
      <c r="G73" s="15">
        <v>-59616.29722</v>
      </c>
      <c r="H73" s="15">
        <v>-79418.081940000004</v>
      </c>
      <c r="I73" s="15">
        <v>-93369.113729999997</v>
      </c>
      <c r="J73" s="15"/>
      <c r="K73" s="15"/>
      <c r="L73" s="15"/>
      <c r="M73" s="15"/>
      <c r="N73" s="15"/>
      <c r="O73" s="15"/>
    </row>
    <row r="74" spans="2:15" ht="16" customHeight="1" x14ac:dyDescent="0.35">
      <c r="B74" s="14" t="s">
        <v>829</v>
      </c>
      <c r="C74" s="14" t="s">
        <v>830</v>
      </c>
      <c r="D74" s="15"/>
      <c r="E74" s="15"/>
      <c r="F74" s="15">
        <v>460.56831</v>
      </c>
      <c r="G74" s="15">
        <v>897.41196000000002</v>
      </c>
      <c r="H74" s="15">
        <v>1332.93453</v>
      </c>
      <c r="I74" s="15">
        <v>1332.93453</v>
      </c>
      <c r="J74" s="15"/>
      <c r="K74" s="15"/>
      <c r="L74" s="15"/>
      <c r="M74" s="15"/>
      <c r="N74" s="15"/>
      <c r="O74" s="15"/>
    </row>
    <row r="75" spans="2:15" ht="16" customHeight="1" x14ac:dyDescent="0.35">
      <c r="B75" s="10"/>
      <c r="C75" s="11" t="s">
        <v>22</v>
      </c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2:15" ht="16" customHeight="1" x14ac:dyDescent="0.35">
      <c r="B76" s="38"/>
      <c r="C76" s="34" t="s">
        <v>831</v>
      </c>
      <c r="D76" s="35">
        <f t="shared" ref="D76:O76" si="12">D77+D78</f>
        <v>-91428.052660000001</v>
      </c>
      <c r="E76" s="35">
        <f t="shared" si="12"/>
        <v>-78831.227639999997</v>
      </c>
      <c r="F76" s="35">
        <f t="shared" si="12"/>
        <v>-59622.316330000001</v>
      </c>
      <c r="G76" s="35">
        <f t="shared" si="12"/>
        <v>-60128.657330000002</v>
      </c>
      <c r="H76" s="35">
        <f t="shared" si="12"/>
        <v>-42522.774440000001</v>
      </c>
      <c r="I76" s="35">
        <f t="shared" si="12"/>
        <v>-79942.55949</v>
      </c>
      <c r="J76" s="35">
        <f t="shared" si="12"/>
        <v>0</v>
      </c>
      <c r="K76" s="35">
        <f t="shared" si="12"/>
        <v>0</v>
      </c>
      <c r="L76" s="35">
        <f t="shared" si="12"/>
        <v>0</v>
      </c>
      <c r="M76" s="35">
        <f t="shared" si="12"/>
        <v>0</v>
      </c>
      <c r="N76" s="35">
        <f t="shared" si="12"/>
        <v>0</v>
      </c>
      <c r="O76" s="35">
        <f t="shared" si="12"/>
        <v>0</v>
      </c>
    </row>
    <row r="77" spans="2:15" ht="16" customHeight="1" x14ac:dyDescent="0.35">
      <c r="B77" s="14" t="s">
        <v>832</v>
      </c>
      <c r="C77" s="14" t="s">
        <v>833</v>
      </c>
      <c r="D77" s="15">
        <v>2240.3663299999998</v>
      </c>
      <c r="E77" s="15">
        <v>6273.7907699999996</v>
      </c>
      <c r="F77" s="15">
        <v>8490.9778200000001</v>
      </c>
      <c r="G77" s="15">
        <v>10556.874620000001</v>
      </c>
      <c r="H77" s="15">
        <v>8596.7953899999993</v>
      </c>
      <c r="I77" s="15">
        <v>-1459.6089099999999</v>
      </c>
      <c r="J77" s="15"/>
      <c r="K77" s="15"/>
      <c r="L77" s="15"/>
      <c r="M77" s="15"/>
      <c r="N77" s="15"/>
      <c r="O77" s="15"/>
    </row>
    <row r="78" spans="2:15" ht="16" customHeight="1" x14ac:dyDescent="0.35">
      <c r="B78" s="14" t="s">
        <v>834</v>
      </c>
      <c r="C78" s="14" t="s">
        <v>835</v>
      </c>
      <c r="D78" s="15">
        <v>-93668.418990000006</v>
      </c>
      <c r="E78" s="15">
        <v>-85105.018410000004</v>
      </c>
      <c r="F78" s="15">
        <v>-68113.294150000002</v>
      </c>
      <c r="G78" s="15">
        <v>-70685.531950000004</v>
      </c>
      <c r="H78" s="15">
        <v>-51119.56983</v>
      </c>
      <c r="I78" s="15">
        <v>-78482.950580000004</v>
      </c>
      <c r="J78" s="15"/>
      <c r="K78" s="15"/>
      <c r="L78" s="15"/>
      <c r="M78" s="15"/>
      <c r="N78" s="15"/>
      <c r="O78" s="15"/>
    </row>
    <row r="79" spans="2:15" ht="16" customHeight="1" x14ac:dyDescent="0.35">
      <c r="B79" s="10"/>
      <c r="C79" s="11" t="s">
        <v>22</v>
      </c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2:15" ht="16" customHeight="1" x14ac:dyDescent="0.35">
      <c r="B80" s="38"/>
      <c r="C80" s="34" t="s">
        <v>836</v>
      </c>
      <c r="D80" s="35">
        <f t="shared" ref="D80:O80" si="13">-(-(D67+D71)-D76)</f>
        <v>-68193.931100000002</v>
      </c>
      <c r="E80" s="35">
        <f t="shared" si="13"/>
        <v>-72910.399999999994</v>
      </c>
      <c r="F80" s="35">
        <f t="shared" si="13"/>
        <v>-90539.40241000001</v>
      </c>
      <c r="G80" s="35">
        <f t="shared" si="13"/>
        <v>-140325.35842</v>
      </c>
      <c r="H80" s="35">
        <f t="shared" si="13"/>
        <v>-150156.88837</v>
      </c>
      <c r="I80" s="35">
        <f t="shared" si="13"/>
        <v>-203042.28772000002</v>
      </c>
      <c r="J80" s="35">
        <f t="shared" si="13"/>
        <v>0</v>
      </c>
      <c r="K80" s="35">
        <f t="shared" si="13"/>
        <v>0</v>
      </c>
      <c r="L80" s="35">
        <f t="shared" si="13"/>
        <v>0</v>
      </c>
      <c r="M80" s="35">
        <f t="shared" si="13"/>
        <v>0</v>
      </c>
      <c r="N80" s="35">
        <f t="shared" si="13"/>
        <v>0</v>
      </c>
      <c r="O80" s="35">
        <f t="shared" si="13"/>
        <v>0</v>
      </c>
    </row>
    <row r="81" spans="2:15" ht="16" customHeight="1" x14ac:dyDescent="0.35">
      <c r="B81" s="10"/>
      <c r="C81" s="11" t="s">
        <v>22</v>
      </c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2:15" ht="16" customHeight="1" x14ac:dyDescent="0.35">
      <c r="B82" s="38"/>
      <c r="C82" s="34" t="s">
        <v>837</v>
      </c>
      <c r="D82" s="35">
        <f t="shared" ref="D82:O82" si="14">-(-(D84+D86)-D91-D96-D98)</f>
        <v>417.09717999999953</v>
      </c>
      <c r="E82" s="35">
        <f t="shared" si="14"/>
        <v>4519.3813500000006</v>
      </c>
      <c r="F82" s="35">
        <f t="shared" si="14"/>
        <v>-13182.617160000002</v>
      </c>
      <c r="G82" s="35">
        <f t="shared" si="14"/>
        <v>-6063.5603899999978</v>
      </c>
      <c r="H82" s="35">
        <f t="shared" si="14"/>
        <v>-9139.5804200000002</v>
      </c>
      <c r="I82" s="35">
        <f t="shared" si="14"/>
        <v>-9925.3622300000006</v>
      </c>
      <c r="J82" s="35">
        <f t="shared" si="14"/>
        <v>0</v>
      </c>
      <c r="K82" s="35">
        <f t="shared" si="14"/>
        <v>0</v>
      </c>
      <c r="L82" s="35">
        <f t="shared" si="14"/>
        <v>0</v>
      </c>
      <c r="M82" s="35">
        <f t="shared" si="14"/>
        <v>0</v>
      </c>
      <c r="N82" s="35">
        <f t="shared" si="14"/>
        <v>0</v>
      </c>
      <c r="O82" s="35">
        <f t="shared" si="14"/>
        <v>0</v>
      </c>
    </row>
    <row r="83" spans="2:15" ht="16" customHeight="1" x14ac:dyDescent="0.35">
      <c r="B83" s="10"/>
      <c r="C83" s="11" t="s">
        <v>22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</row>
    <row r="84" spans="2:15" ht="16" customHeight="1" x14ac:dyDescent="0.35">
      <c r="B84" s="14" t="s">
        <v>838</v>
      </c>
      <c r="C84" s="14" t="s">
        <v>839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2:15" ht="16" customHeight="1" x14ac:dyDescent="0.35">
      <c r="B85" s="10"/>
      <c r="C85" s="11" t="s">
        <v>22</v>
      </c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</row>
    <row r="86" spans="2:15" ht="16" customHeight="1" x14ac:dyDescent="0.35">
      <c r="B86" s="38"/>
      <c r="C86" s="34" t="s">
        <v>840</v>
      </c>
      <c r="D86" s="35">
        <f t="shared" ref="D86:O86" si="15">-(-(D87+D88)-D89)</f>
        <v>3958.0358999999999</v>
      </c>
      <c r="E86" s="35">
        <f t="shared" si="15"/>
        <v>10879.09663</v>
      </c>
      <c r="F86" s="35">
        <f t="shared" si="15"/>
        <v>7531.8026699999991</v>
      </c>
      <c r="G86" s="35">
        <f t="shared" si="15"/>
        <v>9926.0154900000016</v>
      </c>
      <c r="H86" s="35">
        <f t="shared" si="15"/>
        <v>6782.0288200000005</v>
      </c>
      <c r="I86" s="35">
        <f t="shared" si="15"/>
        <v>26345.225490000001</v>
      </c>
      <c r="J86" s="35">
        <f t="shared" si="15"/>
        <v>0</v>
      </c>
      <c r="K86" s="35">
        <f t="shared" si="15"/>
        <v>0</v>
      </c>
      <c r="L86" s="35">
        <f t="shared" si="15"/>
        <v>0</v>
      </c>
      <c r="M86" s="35">
        <f t="shared" si="15"/>
        <v>0</v>
      </c>
      <c r="N86" s="35">
        <f t="shared" si="15"/>
        <v>0</v>
      </c>
      <c r="O86" s="35">
        <f t="shared" si="15"/>
        <v>0</v>
      </c>
    </row>
    <row r="87" spans="2:15" ht="16" customHeight="1" x14ac:dyDescent="0.35">
      <c r="B87" s="14" t="s">
        <v>841</v>
      </c>
      <c r="C87" s="14" t="s">
        <v>842</v>
      </c>
      <c r="D87" s="15">
        <v>271.34870999999998</v>
      </c>
      <c r="E87" s="15">
        <v>336.38054</v>
      </c>
      <c r="F87" s="15">
        <v>-416.92014</v>
      </c>
      <c r="G87" s="15">
        <v>658.80290000000002</v>
      </c>
      <c r="H87" s="15">
        <v>-1057.03828</v>
      </c>
      <c r="I87" s="15">
        <v>-347.20756</v>
      </c>
      <c r="J87" s="15"/>
      <c r="K87" s="15"/>
      <c r="L87" s="15"/>
      <c r="M87" s="15"/>
      <c r="N87" s="15"/>
      <c r="O87" s="15"/>
    </row>
    <row r="88" spans="2:15" ht="16" customHeight="1" x14ac:dyDescent="0.35">
      <c r="B88" s="14" t="s">
        <v>843</v>
      </c>
      <c r="C88" s="14" t="s">
        <v>844</v>
      </c>
      <c r="D88" s="15">
        <v>4392.8658599999999</v>
      </c>
      <c r="E88" s="15">
        <v>4967.2746299999999</v>
      </c>
      <c r="F88" s="15">
        <v>2483.6412999999998</v>
      </c>
      <c r="G88" s="15">
        <v>2933.5634500000001</v>
      </c>
      <c r="H88" s="15">
        <v>2936.8966799999998</v>
      </c>
      <c r="I88" s="15">
        <v>4028.2208900000001</v>
      </c>
      <c r="J88" s="15"/>
      <c r="K88" s="15"/>
      <c r="L88" s="15"/>
      <c r="M88" s="15"/>
      <c r="N88" s="15"/>
      <c r="O88" s="15"/>
    </row>
    <row r="89" spans="2:15" ht="16" customHeight="1" x14ac:dyDescent="0.35">
      <c r="B89" s="14" t="s">
        <v>845</v>
      </c>
      <c r="C89" s="14" t="s">
        <v>846</v>
      </c>
      <c r="D89" s="15">
        <v>-706.17867000000001</v>
      </c>
      <c r="E89" s="15">
        <v>5575.44146</v>
      </c>
      <c r="F89" s="15">
        <v>5465.08151</v>
      </c>
      <c r="G89" s="15">
        <v>6333.6491400000004</v>
      </c>
      <c r="H89" s="15">
        <v>4902.1704200000004</v>
      </c>
      <c r="I89" s="15">
        <v>22664.212159999999</v>
      </c>
      <c r="J89" s="15"/>
      <c r="K89" s="15"/>
      <c r="L89" s="15"/>
      <c r="M89" s="15"/>
      <c r="N89" s="15"/>
      <c r="O89" s="15"/>
    </row>
    <row r="90" spans="2:15" ht="16" customHeight="1" x14ac:dyDescent="0.35">
      <c r="B90" s="10"/>
      <c r="C90" s="11" t="s">
        <v>22</v>
      </c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</row>
    <row r="91" spans="2:15" ht="16" customHeight="1" x14ac:dyDescent="0.35">
      <c r="B91" s="38"/>
      <c r="C91" s="34" t="s">
        <v>847</v>
      </c>
      <c r="D91" s="35">
        <f t="shared" ref="D91:O91" si="16">-(-(D92+D93)-D94)</f>
        <v>-2050.5124500000002</v>
      </c>
      <c r="E91" s="35">
        <f t="shared" si="16"/>
        <v>-3375.64957</v>
      </c>
      <c r="F91" s="35">
        <f t="shared" si="16"/>
        <v>-14499.1667</v>
      </c>
      <c r="G91" s="35">
        <f t="shared" si="16"/>
        <v>-8088.9707999999991</v>
      </c>
      <c r="H91" s="35">
        <f t="shared" si="16"/>
        <v>-5662.8189600000005</v>
      </c>
      <c r="I91" s="35">
        <f t="shared" si="16"/>
        <v>-26283.298600000002</v>
      </c>
      <c r="J91" s="35">
        <f t="shared" si="16"/>
        <v>0</v>
      </c>
      <c r="K91" s="35">
        <f t="shared" si="16"/>
        <v>0</v>
      </c>
      <c r="L91" s="35">
        <f t="shared" si="16"/>
        <v>0</v>
      </c>
      <c r="M91" s="35">
        <f t="shared" si="16"/>
        <v>0</v>
      </c>
      <c r="N91" s="35">
        <f t="shared" si="16"/>
        <v>0</v>
      </c>
      <c r="O91" s="35">
        <f t="shared" si="16"/>
        <v>0</v>
      </c>
    </row>
    <row r="92" spans="2:15" ht="16" customHeight="1" x14ac:dyDescent="0.35">
      <c r="B92" s="14" t="s">
        <v>848</v>
      </c>
      <c r="C92" s="14" t="s">
        <v>849</v>
      </c>
      <c r="D92" s="15">
        <v>5388.4233400000003</v>
      </c>
      <c r="E92" s="15">
        <v>878.73812999999996</v>
      </c>
      <c r="F92" s="15">
        <v>2642.7643499999999</v>
      </c>
      <c r="G92" s="15">
        <v>1328.2898399999999</v>
      </c>
      <c r="H92" s="15">
        <v>4494.4689399999997</v>
      </c>
      <c r="I92" s="15">
        <v>-7632.0098600000001</v>
      </c>
      <c r="J92" s="15"/>
      <c r="K92" s="15"/>
      <c r="L92" s="15"/>
      <c r="M92" s="15"/>
      <c r="N92" s="15"/>
      <c r="O92" s="15"/>
    </row>
    <row r="93" spans="2:15" ht="16" customHeight="1" x14ac:dyDescent="0.35">
      <c r="B93" s="14" t="s">
        <v>850</v>
      </c>
      <c r="C93" s="14" t="s">
        <v>636</v>
      </c>
      <c r="D93" s="15">
        <v>-58.073</v>
      </c>
      <c r="E93" s="15">
        <v>-28.448</v>
      </c>
      <c r="F93" s="15">
        <v>-29.661000000000001</v>
      </c>
      <c r="G93" s="15">
        <v>-27.576000000000001</v>
      </c>
      <c r="H93" s="15">
        <v>-29.824999999999999</v>
      </c>
      <c r="I93" s="15">
        <v>-6.0190000000000001</v>
      </c>
      <c r="J93" s="15"/>
      <c r="K93" s="15"/>
      <c r="L93" s="15"/>
      <c r="M93" s="15"/>
      <c r="N93" s="15"/>
      <c r="O93" s="15"/>
    </row>
    <row r="94" spans="2:15" ht="16" customHeight="1" x14ac:dyDescent="0.35">
      <c r="B94" s="14" t="s">
        <v>851</v>
      </c>
      <c r="C94" s="14" t="s">
        <v>852</v>
      </c>
      <c r="D94" s="15">
        <v>-7380.8627900000001</v>
      </c>
      <c r="E94" s="15">
        <v>-4225.9396999999999</v>
      </c>
      <c r="F94" s="15">
        <v>-17112.270049999999</v>
      </c>
      <c r="G94" s="15">
        <v>-9389.6846399999995</v>
      </c>
      <c r="H94" s="15">
        <v>-10127.4629</v>
      </c>
      <c r="I94" s="15">
        <v>-18645.26974</v>
      </c>
      <c r="J94" s="15"/>
      <c r="K94" s="15"/>
      <c r="L94" s="15"/>
      <c r="M94" s="15"/>
      <c r="N94" s="15"/>
      <c r="O94" s="15"/>
    </row>
    <row r="95" spans="2:15" ht="16" customHeight="1" x14ac:dyDescent="0.35">
      <c r="B95" s="10"/>
      <c r="C95" s="11" t="s">
        <v>22</v>
      </c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</row>
    <row r="96" spans="2:15" ht="16" customHeight="1" x14ac:dyDescent="0.35">
      <c r="B96" s="14" t="s">
        <v>853</v>
      </c>
      <c r="C96" s="14" t="s">
        <v>854</v>
      </c>
      <c r="D96" s="15">
        <v>-727.70987000000002</v>
      </c>
      <c r="E96" s="15">
        <v>-1341.3927100000001</v>
      </c>
      <c r="F96" s="15">
        <v>-3204.0261399999999</v>
      </c>
      <c r="G96" s="15">
        <v>-3392.85437</v>
      </c>
      <c r="H96" s="15">
        <v>-4916.4663200000005</v>
      </c>
      <c r="I96" s="15">
        <v>-4316.3533699999998</v>
      </c>
      <c r="J96" s="15"/>
      <c r="K96" s="15"/>
      <c r="L96" s="15"/>
      <c r="M96" s="15"/>
      <c r="N96" s="15"/>
      <c r="O96" s="15"/>
    </row>
    <row r="97" spans="2:15" ht="16" customHeight="1" x14ac:dyDescent="0.35">
      <c r="B97" s="10"/>
      <c r="C97" s="11" t="s">
        <v>22</v>
      </c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</row>
    <row r="98" spans="2:15" ht="16" customHeight="1" x14ac:dyDescent="0.35">
      <c r="B98" s="14" t="s">
        <v>855</v>
      </c>
      <c r="C98" s="14" t="s">
        <v>856</v>
      </c>
      <c r="D98" s="15">
        <v>-762.71640000000002</v>
      </c>
      <c r="E98" s="15">
        <v>-1642.673</v>
      </c>
      <c r="F98" s="15">
        <v>-3011.2269900000001</v>
      </c>
      <c r="G98" s="15">
        <v>-4507.7507100000003</v>
      </c>
      <c r="H98" s="15">
        <v>-5342.3239599999997</v>
      </c>
      <c r="I98" s="15">
        <v>-5670.9357499999996</v>
      </c>
      <c r="J98" s="15"/>
      <c r="K98" s="15"/>
      <c r="L98" s="15"/>
      <c r="M98" s="15"/>
      <c r="N98" s="15"/>
      <c r="O98" s="15"/>
    </row>
    <row r="99" spans="2:15" ht="16" customHeight="1" x14ac:dyDescent="0.35">
      <c r="B99" s="10"/>
      <c r="C99" s="11" t="s">
        <v>22</v>
      </c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</row>
    <row r="100" spans="2:15" ht="16" customHeight="1" x14ac:dyDescent="0.35">
      <c r="B100" s="38"/>
      <c r="C100" s="34" t="s">
        <v>857</v>
      </c>
      <c r="D100" s="35">
        <f t="shared" ref="D100:O100" si="17">D80+D82</f>
        <v>-67776.833920000005</v>
      </c>
      <c r="E100" s="35">
        <f t="shared" si="17"/>
        <v>-68391.018649999998</v>
      </c>
      <c r="F100" s="35">
        <f t="shared" si="17"/>
        <v>-103722.01957</v>
      </c>
      <c r="G100" s="35">
        <f t="shared" si="17"/>
        <v>-146388.91881</v>
      </c>
      <c r="H100" s="35">
        <f t="shared" si="17"/>
        <v>-159296.46879000001</v>
      </c>
      <c r="I100" s="35">
        <f t="shared" si="17"/>
        <v>-212967.64995000002</v>
      </c>
      <c r="J100" s="35">
        <f t="shared" si="17"/>
        <v>0</v>
      </c>
      <c r="K100" s="35">
        <f t="shared" si="17"/>
        <v>0</v>
      </c>
      <c r="L100" s="35">
        <f t="shared" si="17"/>
        <v>0</v>
      </c>
      <c r="M100" s="35">
        <f t="shared" si="17"/>
        <v>0</v>
      </c>
      <c r="N100" s="35">
        <f t="shared" si="17"/>
        <v>0</v>
      </c>
      <c r="O100" s="35">
        <f t="shared" si="17"/>
        <v>0</v>
      </c>
    </row>
    <row r="101" spans="2:15" ht="16" customHeight="1" x14ac:dyDescent="0.35">
      <c r="B101" s="10"/>
      <c r="C101" s="11" t="s">
        <v>22</v>
      </c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</row>
    <row r="102" spans="2:15" ht="16" customHeight="1" x14ac:dyDescent="0.35">
      <c r="B102" s="14" t="s">
        <v>858</v>
      </c>
      <c r="C102" s="14" t="s">
        <v>859</v>
      </c>
      <c r="D102" s="15">
        <v>-4128.7895399999998</v>
      </c>
      <c r="E102" s="15">
        <v>-7960.6789699999999</v>
      </c>
      <c r="F102" s="15">
        <v>-12286.7655</v>
      </c>
      <c r="G102" s="15">
        <v>-17289.673999999999</v>
      </c>
      <c r="H102" s="15">
        <v>-21114.303</v>
      </c>
      <c r="I102" s="15">
        <v>-21126.874110000001</v>
      </c>
      <c r="J102" s="15"/>
      <c r="K102" s="15"/>
      <c r="L102" s="15"/>
      <c r="M102" s="15"/>
      <c r="N102" s="15"/>
      <c r="O102" s="15"/>
    </row>
    <row r="103" spans="2:15" ht="16" customHeight="1" x14ac:dyDescent="0.35">
      <c r="B103" s="10"/>
      <c r="C103" s="11" t="s">
        <v>22</v>
      </c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</row>
    <row r="104" spans="2:15" ht="16" customHeight="1" x14ac:dyDescent="0.35">
      <c r="B104" s="39"/>
      <c r="C104" s="40" t="s">
        <v>860</v>
      </c>
      <c r="D104" s="24">
        <f t="shared" ref="D104:O104" si="18">D18+D20+D21+D23+D27+D31+D40+D45+D56+D60+D62+D100+D102</f>
        <v>-85437.76887</v>
      </c>
      <c r="E104" s="24">
        <f t="shared" si="18"/>
        <v>-97383.67048999999</v>
      </c>
      <c r="F104" s="24">
        <f t="shared" si="18"/>
        <v>-144492.91816</v>
      </c>
      <c r="G104" s="24">
        <f t="shared" si="18"/>
        <v>-163591.00167999999</v>
      </c>
      <c r="H104" s="24">
        <f t="shared" si="18"/>
        <v>-128463.39579000002</v>
      </c>
      <c r="I104" s="24">
        <f t="shared" si="18"/>
        <v>-150357.82340000002</v>
      </c>
      <c r="J104" s="24">
        <f t="shared" si="18"/>
        <v>0</v>
      </c>
      <c r="K104" s="24">
        <f t="shared" si="18"/>
        <v>0</v>
      </c>
      <c r="L104" s="24">
        <f t="shared" si="18"/>
        <v>0</v>
      </c>
      <c r="M104" s="24">
        <f t="shared" si="18"/>
        <v>0</v>
      </c>
      <c r="N104" s="24">
        <f t="shared" si="18"/>
        <v>0</v>
      </c>
      <c r="O104" s="24">
        <f t="shared" si="18"/>
        <v>0</v>
      </c>
    </row>
    <row r="105" spans="2:15" ht="16" customHeight="1" x14ac:dyDescent="0.35">
      <c r="B105" s="10"/>
      <c r="C105" s="11" t="s">
        <v>22</v>
      </c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</row>
    <row r="106" spans="2:15" ht="16" customHeight="1" x14ac:dyDescent="0.35">
      <c r="B106" s="38"/>
      <c r="C106" s="34" t="s">
        <v>861</v>
      </c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</row>
    <row r="107" spans="2:15" ht="16" customHeight="1" x14ac:dyDescent="0.35">
      <c r="B107" s="10"/>
      <c r="C107" s="11" t="s">
        <v>22</v>
      </c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</row>
    <row r="108" spans="2:15" ht="16" customHeight="1" x14ac:dyDescent="0.35">
      <c r="B108" s="38"/>
      <c r="C108" s="34" t="s">
        <v>862</v>
      </c>
      <c r="D108" s="35">
        <f t="shared" ref="D108:O108" si="19">-(-(D109+D110)-D111-D112-D113-D114)</f>
        <v>-9807.2502600000007</v>
      </c>
      <c r="E108" s="35">
        <f t="shared" si="19"/>
        <v>-23971.869690000003</v>
      </c>
      <c r="F108" s="35">
        <f t="shared" si="19"/>
        <v>-31434.645639999999</v>
      </c>
      <c r="G108" s="35">
        <f t="shared" si="19"/>
        <v>-42140.471659999996</v>
      </c>
      <c r="H108" s="35">
        <f t="shared" si="19"/>
        <v>-51492.21286</v>
      </c>
      <c r="I108" s="35">
        <f t="shared" si="19"/>
        <v>-54449.644639999999</v>
      </c>
      <c r="J108" s="35">
        <f t="shared" si="19"/>
        <v>0</v>
      </c>
      <c r="K108" s="35">
        <f t="shared" si="19"/>
        <v>0</v>
      </c>
      <c r="L108" s="35">
        <f t="shared" si="19"/>
        <v>0</v>
      </c>
      <c r="M108" s="35">
        <f t="shared" si="19"/>
        <v>0</v>
      </c>
      <c r="N108" s="35">
        <f t="shared" si="19"/>
        <v>0</v>
      </c>
      <c r="O108" s="35">
        <f t="shared" si="19"/>
        <v>0</v>
      </c>
    </row>
    <row r="109" spans="2:15" ht="16" customHeight="1" x14ac:dyDescent="0.35">
      <c r="B109" s="14" t="s">
        <v>863</v>
      </c>
      <c r="C109" s="14" t="s">
        <v>864</v>
      </c>
      <c r="D109" s="15">
        <v>-2397.2867000000001</v>
      </c>
      <c r="E109" s="15">
        <v>-10408.641600000001</v>
      </c>
      <c r="F109" s="15">
        <v>-12575.18065</v>
      </c>
      <c r="G109" s="15">
        <v>-16824.175729999999</v>
      </c>
      <c r="H109" s="15">
        <v>-19819.449710000001</v>
      </c>
      <c r="I109" s="15">
        <v>-21007.790659999999</v>
      </c>
      <c r="J109" s="15"/>
      <c r="K109" s="15"/>
      <c r="L109" s="15"/>
      <c r="M109" s="15"/>
      <c r="N109" s="15"/>
      <c r="O109" s="15"/>
    </row>
    <row r="110" spans="2:15" ht="16" customHeight="1" x14ac:dyDescent="0.35">
      <c r="B110" s="14" t="s">
        <v>865</v>
      </c>
      <c r="C110" s="14" t="s">
        <v>866</v>
      </c>
      <c r="D110" s="15">
        <v>-920.88388999999995</v>
      </c>
      <c r="E110" s="15">
        <v>-436.00810999999999</v>
      </c>
      <c r="F110" s="15">
        <v>-1271.08743</v>
      </c>
      <c r="G110" s="15">
        <v>-2088.16374</v>
      </c>
      <c r="H110" s="15">
        <v>-2215.3391200000001</v>
      </c>
      <c r="I110" s="15">
        <v>-2284.5775800000001</v>
      </c>
      <c r="J110" s="15"/>
      <c r="K110" s="15"/>
      <c r="L110" s="15"/>
      <c r="M110" s="15"/>
      <c r="N110" s="15"/>
      <c r="O110" s="15"/>
    </row>
    <row r="111" spans="2:15" ht="16" customHeight="1" x14ac:dyDescent="0.35">
      <c r="B111" s="14" t="s">
        <v>867</v>
      </c>
      <c r="C111" s="14" t="s">
        <v>868</v>
      </c>
      <c r="D111" s="15">
        <v>-618.02542000000005</v>
      </c>
      <c r="E111" s="15">
        <v>-996.34007999999994</v>
      </c>
      <c r="F111" s="15">
        <v>-1577.7777799999999</v>
      </c>
      <c r="G111" s="15">
        <v>-2012.75973</v>
      </c>
      <c r="H111" s="15">
        <v>-2154.8672900000001</v>
      </c>
      <c r="I111" s="15">
        <v>-2154.8672900000001</v>
      </c>
      <c r="J111" s="15"/>
      <c r="K111" s="15"/>
      <c r="L111" s="15"/>
      <c r="M111" s="15"/>
      <c r="N111" s="15"/>
      <c r="O111" s="15"/>
    </row>
    <row r="112" spans="2:15" ht="16" customHeight="1" x14ac:dyDescent="0.35">
      <c r="B112" s="14" t="s">
        <v>869</v>
      </c>
      <c r="C112" s="14" t="s">
        <v>870</v>
      </c>
      <c r="D112" s="15">
        <v>798.46083999999996</v>
      </c>
      <c r="E112" s="15">
        <v>794.11451999999997</v>
      </c>
      <c r="F112" s="15">
        <v>-110.17139</v>
      </c>
      <c r="G112" s="15">
        <v>-912.83731999999998</v>
      </c>
      <c r="H112" s="15">
        <v>-1943.0861600000001</v>
      </c>
      <c r="I112" s="15">
        <v>-2078.4702499999999</v>
      </c>
      <c r="J112" s="15"/>
      <c r="K112" s="15"/>
      <c r="L112" s="15"/>
      <c r="M112" s="15"/>
      <c r="N112" s="15"/>
      <c r="O112" s="15"/>
    </row>
    <row r="113" spans="2:15" ht="16" customHeight="1" x14ac:dyDescent="0.35">
      <c r="B113" s="14" t="s">
        <v>871</v>
      </c>
      <c r="C113" s="14" t="s">
        <v>872</v>
      </c>
      <c r="D113" s="15">
        <v>-6669.5150899999999</v>
      </c>
      <c r="E113" s="15">
        <v>-12924.994420000001</v>
      </c>
      <c r="F113" s="15">
        <v>-15900.428389999999</v>
      </c>
      <c r="G113" s="15">
        <v>-20302.53514</v>
      </c>
      <c r="H113" s="15">
        <v>-25359.470580000001</v>
      </c>
      <c r="I113" s="15">
        <v>-26923.938859999998</v>
      </c>
      <c r="J113" s="15"/>
      <c r="K113" s="15"/>
      <c r="L113" s="15"/>
      <c r="M113" s="15"/>
      <c r="N113" s="15"/>
      <c r="O113" s="15"/>
    </row>
    <row r="114" spans="2:15" ht="16" customHeight="1" x14ac:dyDescent="0.35">
      <c r="B114" s="14" t="s">
        <v>873</v>
      </c>
      <c r="C114" s="14" t="s">
        <v>874</v>
      </c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2:15" ht="16" customHeight="1" x14ac:dyDescent="0.35">
      <c r="B115" s="10"/>
      <c r="C115" s="11" t="s">
        <v>22</v>
      </c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</row>
    <row r="116" spans="2:15" ht="16" customHeight="1" x14ac:dyDescent="0.35">
      <c r="B116" s="38"/>
      <c r="C116" s="34" t="s">
        <v>875</v>
      </c>
      <c r="D116" s="35">
        <f t="shared" ref="D116:O116" si="20">-(-(D117+D118)-D119-D120)</f>
        <v>-584.32486000000006</v>
      </c>
      <c r="E116" s="35">
        <f t="shared" si="20"/>
        <v>-4117.9766199999995</v>
      </c>
      <c r="F116" s="35">
        <f t="shared" si="20"/>
        <v>-4955.6092700000008</v>
      </c>
      <c r="G116" s="35">
        <f t="shared" si="20"/>
        <v>-7286.1977299999999</v>
      </c>
      <c r="H116" s="35">
        <f t="shared" si="20"/>
        <v>-10639.06919</v>
      </c>
      <c r="I116" s="35">
        <f t="shared" si="20"/>
        <v>-11686.35714</v>
      </c>
      <c r="J116" s="35">
        <f t="shared" si="20"/>
        <v>0</v>
      </c>
      <c r="K116" s="35">
        <f t="shared" si="20"/>
        <v>0</v>
      </c>
      <c r="L116" s="35">
        <f t="shared" si="20"/>
        <v>0</v>
      </c>
      <c r="M116" s="35">
        <f t="shared" si="20"/>
        <v>0</v>
      </c>
      <c r="N116" s="35">
        <f t="shared" si="20"/>
        <v>0</v>
      </c>
      <c r="O116" s="35">
        <f t="shared" si="20"/>
        <v>0</v>
      </c>
    </row>
    <row r="117" spans="2:15" ht="16" customHeight="1" x14ac:dyDescent="0.35">
      <c r="B117" s="14" t="s">
        <v>876</v>
      </c>
      <c r="C117" s="14" t="s">
        <v>877</v>
      </c>
      <c r="D117" s="15">
        <v>-1172.8775700000001</v>
      </c>
      <c r="E117" s="15">
        <v>-586.46839999999997</v>
      </c>
      <c r="F117" s="15">
        <v>-586.46839999999997</v>
      </c>
      <c r="G117" s="15">
        <v>-586.46839999999997</v>
      </c>
      <c r="H117" s="15">
        <v>-586.46839999999997</v>
      </c>
      <c r="I117" s="15">
        <v>-586.46839999999997</v>
      </c>
      <c r="J117" s="15"/>
      <c r="K117" s="15"/>
      <c r="L117" s="15"/>
      <c r="M117" s="15"/>
      <c r="N117" s="15"/>
      <c r="O117" s="15"/>
    </row>
    <row r="118" spans="2:15" ht="16" customHeight="1" x14ac:dyDescent="0.35">
      <c r="B118" s="14" t="s">
        <v>878</v>
      </c>
      <c r="C118" s="14" t="s">
        <v>879</v>
      </c>
      <c r="D118" s="15">
        <v>-185.61215999999999</v>
      </c>
      <c r="E118" s="15">
        <v>-2176.61906</v>
      </c>
      <c r="F118" s="15">
        <v>-2879.1407100000001</v>
      </c>
      <c r="G118" s="15">
        <v>-3943.9647199999999</v>
      </c>
      <c r="H118" s="15">
        <v>-6961.8361800000002</v>
      </c>
      <c r="I118" s="15">
        <v>-7929.2918399999999</v>
      </c>
      <c r="J118" s="15"/>
      <c r="K118" s="15"/>
      <c r="L118" s="15"/>
      <c r="M118" s="15"/>
      <c r="N118" s="15"/>
      <c r="O118" s="15"/>
    </row>
    <row r="119" spans="2:15" ht="16" customHeight="1" x14ac:dyDescent="0.35">
      <c r="B119" s="14" t="s">
        <v>880</v>
      </c>
      <c r="C119" s="14" t="s">
        <v>881</v>
      </c>
      <c r="D119" s="15"/>
      <c r="E119" s="15">
        <v>-291.3125</v>
      </c>
      <c r="F119" s="15">
        <v>-291.3125</v>
      </c>
      <c r="G119" s="15">
        <v>-291.3125</v>
      </c>
      <c r="H119" s="15">
        <v>-291.3125</v>
      </c>
      <c r="I119" s="15">
        <v>-291.3125</v>
      </c>
      <c r="J119" s="15"/>
      <c r="K119" s="15"/>
      <c r="L119" s="15"/>
      <c r="M119" s="15"/>
      <c r="N119" s="15"/>
      <c r="O119" s="15"/>
    </row>
    <row r="120" spans="2:15" ht="16" customHeight="1" x14ac:dyDescent="0.35">
      <c r="B120" s="14" t="s">
        <v>882</v>
      </c>
      <c r="C120" s="14" t="s">
        <v>883</v>
      </c>
      <c r="D120" s="15">
        <v>774.16486999999995</v>
      </c>
      <c r="E120" s="15">
        <v>-1063.5766599999999</v>
      </c>
      <c r="F120" s="15">
        <v>-1198.6876600000001</v>
      </c>
      <c r="G120" s="15">
        <v>-2464.4521100000002</v>
      </c>
      <c r="H120" s="15">
        <v>-2799.4521100000002</v>
      </c>
      <c r="I120" s="15">
        <v>-2879.2844</v>
      </c>
      <c r="J120" s="15"/>
      <c r="K120" s="15"/>
      <c r="L120" s="15"/>
      <c r="M120" s="15"/>
      <c r="N120" s="15"/>
      <c r="O120" s="15"/>
    </row>
    <row r="121" spans="2:15" ht="16" customHeight="1" x14ac:dyDescent="0.35">
      <c r="B121" s="10"/>
      <c r="C121" s="11" t="s">
        <v>22</v>
      </c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</row>
    <row r="122" spans="2:15" ht="16" customHeight="1" x14ac:dyDescent="0.35">
      <c r="B122" s="38"/>
      <c r="C122" s="34" t="s">
        <v>884</v>
      </c>
      <c r="D122" s="35">
        <f t="shared" ref="D122:O122" si="21">D108+D116</f>
        <v>-10391.575120000001</v>
      </c>
      <c r="E122" s="35">
        <f t="shared" si="21"/>
        <v>-28089.846310000001</v>
      </c>
      <c r="F122" s="35">
        <f t="shared" si="21"/>
        <v>-36390.254910000003</v>
      </c>
      <c r="G122" s="35">
        <f t="shared" si="21"/>
        <v>-49426.669389999995</v>
      </c>
      <c r="H122" s="35">
        <f t="shared" si="21"/>
        <v>-62131.282050000002</v>
      </c>
      <c r="I122" s="35">
        <f t="shared" si="21"/>
        <v>-66136.001779999991</v>
      </c>
      <c r="J122" s="35">
        <f t="shared" si="21"/>
        <v>0</v>
      </c>
      <c r="K122" s="35">
        <f t="shared" si="21"/>
        <v>0</v>
      </c>
      <c r="L122" s="35">
        <f t="shared" si="21"/>
        <v>0</v>
      </c>
      <c r="M122" s="35">
        <f t="shared" si="21"/>
        <v>0</v>
      </c>
      <c r="N122" s="35">
        <f t="shared" si="21"/>
        <v>0</v>
      </c>
      <c r="O122" s="35">
        <f t="shared" si="21"/>
        <v>0</v>
      </c>
    </row>
    <row r="123" spans="2:15" ht="16" customHeight="1" x14ac:dyDescent="0.35">
      <c r="B123" s="10"/>
      <c r="C123" s="11" t="s">
        <v>22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</row>
    <row r="124" spans="2:15" ht="16" customHeight="1" x14ac:dyDescent="0.35">
      <c r="B124" s="38"/>
      <c r="C124" s="34" t="s">
        <v>885</v>
      </c>
      <c r="D124" s="35">
        <f t="shared" ref="D124:O124" si="22">D125+D126</f>
        <v>0</v>
      </c>
      <c r="E124" s="35">
        <f t="shared" si="22"/>
        <v>0</v>
      </c>
      <c r="F124" s="35">
        <f t="shared" si="22"/>
        <v>0</v>
      </c>
      <c r="G124" s="35">
        <f t="shared" si="22"/>
        <v>0</v>
      </c>
      <c r="H124" s="35">
        <f t="shared" si="22"/>
        <v>0</v>
      </c>
      <c r="I124" s="35">
        <f t="shared" si="22"/>
        <v>0</v>
      </c>
      <c r="J124" s="35">
        <f t="shared" si="22"/>
        <v>0</v>
      </c>
      <c r="K124" s="35">
        <f t="shared" si="22"/>
        <v>0</v>
      </c>
      <c r="L124" s="35">
        <f t="shared" si="22"/>
        <v>0</v>
      </c>
      <c r="M124" s="35">
        <f t="shared" si="22"/>
        <v>0</v>
      </c>
      <c r="N124" s="35">
        <f t="shared" si="22"/>
        <v>0</v>
      </c>
      <c r="O124" s="35">
        <f t="shared" si="22"/>
        <v>0</v>
      </c>
    </row>
    <row r="125" spans="2:15" ht="16" customHeight="1" x14ac:dyDescent="0.35">
      <c r="B125" s="14" t="s">
        <v>886</v>
      </c>
      <c r="C125" s="14" t="s">
        <v>887</v>
      </c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2:15" ht="16" customHeight="1" x14ac:dyDescent="0.35">
      <c r="B126" s="14" t="s">
        <v>888</v>
      </c>
      <c r="C126" s="14" t="s">
        <v>889</v>
      </c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2:15" ht="16" customHeight="1" x14ac:dyDescent="0.35">
      <c r="B127" s="10"/>
      <c r="C127" s="11" t="s">
        <v>22</v>
      </c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</row>
    <row r="128" spans="2:15" ht="16" customHeight="1" x14ac:dyDescent="0.35">
      <c r="B128" s="38"/>
      <c r="C128" s="34" t="s">
        <v>890</v>
      </c>
      <c r="D128" s="35">
        <f t="shared" ref="D128:O128" si="23">D122+D124</f>
        <v>-10391.575120000001</v>
      </c>
      <c r="E128" s="35">
        <f t="shared" si="23"/>
        <v>-28089.846310000001</v>
      </c>
      <c r="F128" s="35">
        <f t="shared" si="23"/>
        <v>-36390.254910000003</v>
      </c>
      <c r="G128" s="35">
        <f t="shared" si="23"/>
        <v>-49426.669389999995</v>
      </c>
      <c r="H128" s="35">
        <f t="shared" si="23"/>
        <v>-62131.282050000002</v>
      </c>
      <c r="I128" s="35">
        <f t="shared" si="23"/>
        <v>-66136.001779999991</v>
      </c>
      <c r="J128" s="35">
        <f t="shared" si="23"/>
        <v>0</v>
      </c>
      <c r="K128" s="35">
        <f t="shared" si="23"/>
        <v>0</v>
      </c>
      <c r="L128" s="35">
        <f t="shared" si="23"/>
        <v>0</v>
      </c>
      <c r="M128" s="35">
        <f t="shared" si="23"/>
        <v>0</v>
      </c>
      <c r="N128" s="35">
        <f t="shared" si="23"/>
        <v>0</v>
      </c>
      <c r="O128" s="35">
        <f t="shared" si="23"/>
        <v>0</v>
      </c>
    </row>
    <row r="129" spans="2:15" ht="16" customHeight="1" x14ac:dyDescent="0.35">
      <c r="B129" s="10"/>
      <c r="C129" s="11" t="s">
        <v>22</v>
      </c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</row>
    <row r="130" spans="2:15" ht="16" customHeight="1" x14ac:dyDescent="0.35">
      <c r="B130" s="34" t="s">
        <v>891</v>
      </c>
      <c r="C130" s="34" t="s">
        <v>892</v>
      </c>
      <c r="D130" s="35">
        <f t="shared" ref="D130:O130" si="24">D131+D132</f>
        <v>607.80867000000001</v>
      </c>
      <c r="E130" s="35">
        <f t="shared" si="24"/>
        <v>754.46866999999997</v>
      </c>
      <c r="F130" s="35">
        <f t="shared" si="24"/>
        <v>2902.2149199999999</v>
      </c>
      <c r="G130" s="35">
        <f t="shared" si="24"/>
        <v>2958.24244</v>
      </c>
      <c r="H130" s="35">
        <f t="shared" si="24"/>
        <v>3192.2789400000001</v>
      </c>
      <c r="I130" s="35">
        <f t="shared" si="24"/>
        <v>3191.9749700000002</v>
      </c>
      <c r="J130" s="35">
        <f t="shared" si="24"/>
        <v>0</v>
      </c>
      <c r="K130" s="35">
        <f t="shared" si="24"/>
        <v>0</v>
      </c>
      <c r="L130" s="35">
        <f t="shared" si="24"/>
        <v>0</v>
      </c>
      <c r="M130" s="35">
        <f t="shared" si="24"/>
        <v>0</v>
      </c>
      <c r="N130" s="35">
        <f t="shared" si="24"/>
        <v>0</v>
      </c>
      <c r="O130" s="35">
        <f t="shared" si="24"/>
        <v>0</v>
      </c>
    </row>
    <row r="131" spans="2:15" ht="16" customHeight="1" x14ac:dyDescent="0.35">
      <c r="B131" s="14" t="s">
        <v>893</v>
      </c>
      <c r="C131" s="14" t="s">
        <v>894</v>
      </c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2:15" ht="16" customHeight="1" x14ac:dyDescent="0.35">
      <c r="B132" s="14" t="s">
        <v>895</v>
      </c>
      <c r="C132" s="14" t="s">
        <v>896</v>
      </c>
      <c r="D132" s="15">
        <v>607.80867000000001</v>
      </c>
      <c r="E132" s="15">
        <v>754.46866999999997</v>
      </c>
      <c r="F132" s="15">
        <v>2902.2149199999999</v>
      </c>
      <c r="G132" s="15">
        <v>2958.24244</v>
      </c>
      <c r="H132" s="15">
        <v>3192.2789400000001</v>
      </c>
      <c r="I132" s="15">
        <v>3191.9749700000002</v>
      </c>
      <c r="J132" s="15"/>
      <c r="K132" s="15"/>
      <c r="L132" s="15"/>
      <c r="M132" s="15"/>
      <c r="N132" s="15"/>
      <c r="O132" s="15"/>
    </row>
    <row r="133" spans="2:15" ht="16" customHeight="1" x14ac:dyDescent="0.35">
      <c r="B133" s="10"/>
      <c r="C133" s="11" t="s">
        <v>22</v>
      </c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</row>
    <row r="134" spans="2:15" ht="16" customHeight="1" x14ac:dyDescent="0.35">
      <c r="B134" s="38"/>
      <c r="C134" s="34" t="s">
        <v>897</v>
      </c>
      <c r="D134" s="35">
        <f t="shared" ref="D134:O134" si="25">D128+D130</f>
        <v>-9783.766450000001</v>
      </c>
      <c r="E134" s="35">
        <f t="shared" si="25"/>
        <v>-27335.377640000002</v>
      </c>
      <c r="F134" s="35">
        <f t="shared" si="25"/>
        <v>-33488.039990000005</v>
      </c>
      <c r="G134" s="35">
        <f t="shared" si="25"/>
        <v>-46468.426949999994</v>
      </c>
      <c r="H134" s="35">
        <f t="shared" si="25"/>
        <v>-58939.003110000005</v>
      </c>
      <c r="I134" s="35">
        <f t="shared" si="25"/>
        <v>-62944.026809999988</v>
      </c>
      <c r="J134" s="35">
        <f t="shared" si="25"/>
        <v>0</v>
      </c>
      <c r="K134" s="35">
        <f t="shared" si="25"/>
        <v>0</v>
      </c>
      <c r="L134" s="35">
        <f t="shared" si="25"/>
        <v>0</v>
      </c>
      <c r="M134" s="35">
        <f t="shared" si="25"/>
        <v>0</v>
      </c>
      <c r="N134" s="35">
        <f t="shared" si="25"/>
        <v>0</v>
      </c>
      <c r="O134" s="35">
        <f t="shared" si="25"/>
        <v>0</v>
      </c>
    </row>
    <row r="135" spans="2:15" ht="16" customHeight="1" x14ac:dyDescent="0.35">
      <c r="B135" s="10"/>
      <c r="C135" s="11" t="s">
        <v>22</v>
      </c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</row>
    <row r="136" spans="2:15" ht="16" customHeight="1" x14ac:dyDescent="0.35">
      <c r="B136" s="38"/>
      <c r="C136" s="34" t="s">
        <v>898</v>
      </c>
      <c r="D136" s="35">
        <f t="shared" ref="D136:O136" si="26">D137+D138</f>
        <v>0</v>
      </c>
      <c r="E136" s="35">
        <f t="shared" si="26"/>
        <v>-427444.70051</v>
      </c>
      <c r="F136" s="35">
        <f t="shared" si="26"/>
        <v>-426391.13689999998</v>
      </c>
      <c r="G136" s="35">
        <f t="shared" si="26"/>
        <v>-426391.13639</v>
      </c>
      <c r="H136" s="35">
        <f t="shared" si="26"/>
        <v>-426391.13639</v>
      </c>
      <c r="I136" s="35">
        <f t="shared" si="26"/>
        <v>-427445</v>
      </c>
      <c r="J136" s="35">
        <f t="shared" si="26"/>
        <v>0</v>
      </c>
      <c r="K136" s="35">
        <f t="shared" si="26"/>
        <v>0</v>
      </c>
      <c r="L136" s="35">
        <f t="shared" si="26"/>
        <v>0</v>
      </c>
      <c r="M136" s="35">
        <f t="shared" si="26"/>
        <v>0</v>
      </c>
      <c r="N136" s="35">
        <f t="shared" si="26"/>
        <v>0</v>
      </c>
      <c r="O136" s="35">
        <f t="shared" si="26"/>
        <v>0</v>
      </c>
    </row>
    <row r="137" spans="2:15" ht="16" customHeight="1" x14ac:dyDescent="0.35">
      <c r="B137" s="14" t="s">
        <v>899</v>
      </c>
      <c r="C137" s="14" t="s">
        <v>900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2:15" ht="16" customHeight="1" x14ac:dyDescent="0.35">
      <c r="B138" s="14" t="s">
        <v>901</v>
      </c>
      <c r="C138" s="14" t="s">
        <v>902</v>
      </c>
      <c r="D138" s="15"/>
      <c r="E138" s="15">
        <v>-427444.70051</v>
      </c>
      <c r="F138" s="15">
        <v>-426391.13689999998</v>
      </c>
      <c r="G138" s="15">
        <v>-426391.13639</v>
      </c>
      <c r="H138" s="15">
        <v>-426391.13639</v>
      </c>
      <c r="I138" s="15">
        <v>-427445</v>
      </c>
      <c r="J138" s="15"/>
      <c r="K138" s="15"/>
      <c r="L138" s="15"/>
      <c r="M138" s="15"/>
      <c r="N138" s="15"/>
      <c r="O138" s="15"/>
    </row>
    <row r="139" spans="2:15" ht="16" customHeight="1" x14ac:dyDescent="0.35">
      <c r="B139" s="10"/>
      <c r="C139" s="11" t="s">
        <v>22</v>
      </c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</row>
    <row r="140" spans="2:15" ht="16" customHeight="1" x14ac:dyDescent="0.35">
      <c r="B140" s="38"/>
      <c r="C140" s="34" t="s">
        <v>903</v>
      </c>
      <c r="D140" s="35">
        <f t="shared" ref="D140:O140" si="27">D141+D142</f>
        <v>0</v>
      </c>
      <c r="E140" s="35">
        <f t="shared" si="27"/>
        <v>0</v>
      </c>
      <c r="F140" s="35">
        <f t="shared" si="27"/>
        <v>0</v>
      </c>
      <c r="G140" s="35">
        <f t="shared" si="27"/>
        <v>0</v>
      </c>
      <c r="H140" s="35">
        <f t="shared" si="27"/>
        <v>0</v>
      </c>
      <c r="I140" s="35">
        <f t="shared" si="27"/>
        <v>0</v>
      </c>
      <c r="J140" s="35">
        <f t="shared" si="27"/>
        <v>0</v>
      </c>
      <c r="K140" s="35">
        <f t="shared" si="27"/>
        <v>0</v>
      </c>
      <c r="L140" s="35">
        <f t="shared" si="27"/>
        <v>0</v>
      </c>
      <c r="M140" s="35">
        <f t="shared" si="27"/>
        <v>0</v>
      </c>
      <c r="N140" s="35">
        <f t="shared" si="27"/>
        <v>0</v>
      </c>
      <c r="O140" s="35">
        <f t="shared" si="27"/>
        <v>0</v>
      </c>
    </row>
    <row r="141" spans="2:15" ht="16" customHeight="1" x14ac:dyDescent="0.35">
      <c r="B141" s="14" t="s">
        <v>904</v>
      </c>
      <c r="C141" s="14" t="s">
        <v>905</v>
      </c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</row>
    <row r="142" spans="2:15" ht="16" customHeight="1" x14ac:dyDescent="0.35">
      <c r="B142" s="14" t="s">
        <v>906</v>
      </c>
      <c r="C142" s="14" t="s">
        <v>907</v>
      </c>
      <c r="D142" s="15">
        <f t="shared" ref="D142:O142" si="28">D143+D144</f>
        <v>0</v>
      </c>
      <c r="E142" s="15">
        <f t="shared" si="28"/>
        <v>0</v>
      </c>
      <c r="F142" s="15">
        <f t="shared" si="28"/>
        <v>0</v>
      </c>
      <c r="G142" s="15">
        <f t="shared" si="28"/>
        <v>0</v>
      </c>
      <c r="H142" s="15">
        <f t="shared" si="28"/>
        <v>0</v>
      </c>
      <c r="I142" s="15">
        <f t="shared" si="28"/>
        <v>0</v>
      </c>
      <c r="J142" s="15">
        <f t="shared" si="28"/>
        <v>0</v>
      </c>
      <c r="K142" s="15">
        <f t="shared" si="28"/>
        <v>0</v>
      </c>
      <c r="L142" s="15">
        <f t="shared" si="28"/>
        <v>0</v>
      </c>
      <c r="M142" s="15">
        <f t="shared" si="28"/>
        <v>0</v>
      </c>
      <c r="N142" s="15">
        <f t="shared" si="28"/>
        <v>0</v>
      </c>
      <c r="O142" s="15">
        <f t="shared" si="28"/>
        <v>0</v>
      </c>
    </row>
    <row r="143" spans="2:15" ht="16" customHeight="1" x14ac:dyDescent="0.35">
      <c r="B143" s="14" t="s">
        <v>908</v>
      </c>
      <c r="C143" s="14" t="s">
        <v>909</v>
      </c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</row>
    <row r="144" spans="2:15" ht="16" customHeight="1" x14ac:dyDescent="0.35">
      <c r="B144" s="14" t="s">
        <v>910</v>
      </c>
      <c r="C144" s="14" t="s">
        <v>911</v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2:15" ht="16" customHeight="1" x14ac:dyDescent="0.35">
      <c r="B145" s="10"/>
      <c r="C145" s="11" t="s">
        <v>22</v>
      </c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</row>
    <row r="146" spans="2:15" ht="16" customHeight="1" x14ac:dyDescent="0.35">
      <c r="B146" s="38"/>
      <c r="C146" s="34" t="s">
        <v>912</v>
      </c>
      <c r="D146" s="35">
        <f t="shared" ref="D146:O146" si="29">D147+D148</f>
        <v>0</v>
      </c>
      <c r="E146" s="35">
        <f t="shared" si="29"/>
        <v>-31.917999999999999</v>
      </c>
      <c r="F146" s="35">
        <f t="shared" si="29"/>
        <v>-31.917999999999999</v>
      </c>
      <c r="G146" s="35">
        <f t="shared" si="29"/>
        <v>-31.917999999999999</v>
      </c>
      <c r="H146" s="35">
        <f t="shared" si="29"/>
        <v>-32.159999999999997</v>
      </c>
      <c r="I146" s="35">
        <f t="shared" si="29"/>
        <v>-32.159999999999997</v>
      </c>
      <c r="J146" s="35">
        <f t="shared" si="29"/>
        <v>0</v>
      </c>
      <c r="K146" s="35">
        <f t="shared" si="29"/>
        <v>0</v>
      </c>
      <c r="L146" s="35">
        <f t="shared" si="29"/>
        <v>0</v>
      </c>
      <c r="M146" s="35">
        <f t="shared" si="29"/>
        <v>0</v>
      </c>
      <c r="N146" s="35">
        <f t="shared" si="29"/>
        <v>0</v>
      </c>
      <c r="O146" s="35">
        <f t="shared" si="29"/>
        <v>0</v>
      </c>
    </row>
    <row r="147" spans="2:15" ht="16" customHeight="1" x14ac:dyDescent="0.35">
      <c r="B147" s="14" t="s">
        <v>913</v>
      </c>
      <c r="C147" s="14" t="s">
        <v>914</v>
      </c>
      <c r="D147" s="15"/>
      <c r="E147" s="15"/>
      <c r="F147" s="15"/>
      <c r="G147" s="15">
        <v>0</v>
      </c>
      <c r="H147" s="15">
        <v>0</v>
      </c>
      <c r="I147" s="15">
        <v>0</v>
      </c>
      <c r="J147" s="15"/>
      <c r="K147" s="15"/>
      <c r="L147" s="15"/>
      <c r="M147" s="15"/>
      <c r="N147" s="15"/>
      <c r="O147" s="15"/>
    </row>
    <row r="148" spans="2:15" ht="16" customHeight="1" x14ac:dyDescent="0.35">
      <c r="B148" s="14" t="s">
        <v>915</v>
      </c>
      <c r="C148" s="14" t="s">
        <v>916</v>
      </c>
      <c r="D148" s="15"/>
      <c r="E148" s="15">
        <v>-31.917999999999999</v>
      </c>
      <c r="F148" s="15">
        <v>-31.917999999999999</v>
      </c>
      <c r="G148" s="15">
        <v>-31.917999999999999</v>
      </c>
      <c r="H148" s="15">
        <v>-32.159999999999997</v>
      </c>
      <c r="I148" s="15">
        <v>-32.159999999999997</v>
      </c>
      <c r="J148" s="15"/>
      <c r="K148" s="15"/>
      <c r="L148" s="15"/>
      <c r="M148" s="15"/>
      <c r="N148" s="15"/>
      <c r="O148" s="15"/>
    </row>
    <row r="149" spans="2:15" ht="16" customHeight="1" x14ac:dyDescent="0.35">
      <c r="B149" s="10"/>
      <c r="C149" s="11" t="s">
        <v>22</v>
      </c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</row>
    <row r="150" spans="2:15" ht="16" customHeight="1" x14ac:dyDescent="0.35">
      <c r="B150" s="38"/>
      <c r="C150" s="34" t="s">
        <v>917</v>
      </c>
      <c r="D150" s="35">
        <f t="shared" ref="D150:O150" si="30">D151+D152</f>
        <v>-5057.8783000000003</v>
      </c>
      <c r="E150" s="35">
        <f t="shared" si="30"/>
        <v>-9373.1724099999992</v>
      </c>
      <c r="F150" s="35">
        <f t="shared" si="30"/>
        <v>-12559.49979</v>
      </c>
      <c r="G150" s="35">
        <f t="shared" si="30"/>
        <v>-15792.04</v>
      </c>
      <c r="H150" s="35">
        <f t="shared" si="30"/>
        <v>-22554.72525</v>
      </c>
      <c r="I150" s="35">
        <f t="shared" si="30"/>
        <v>-30752.85052</v>
      </c>
      <c r="J150" s="35">
        <f t="shared" si="30"/>
        <v>0</v>
      </c>
      <c r="K150" s="35">
        <f t="shared" si="30"/>
        <v>0</v>
      </c>
      <c r="L150" s="35">
        <f t="shared" si="30"/>
        <v>0</v>
      </c>
      <c r="M150" s="35">
        <f t="shared" si="30"/>
        <v>0</v>
      </c>
      <c r="N150" s="35">
        <f t="shared" si="30"/>
        <v>0</v>
      </c>
      <c r="O150" s="35">
        <f t="shared" si="30"/>
        <v>0</v>
      </c>
    </row>
    <row r="151" spans="2:15" ht="16" customHeight="1" x14ac:dyDescent="0.35">
      <c r="B151" s="14" t="s">
        <v>918</v>
      </c>
      <c r="C151" s="14" t="s">
        <v>919</v>
      </c>
      <c r="D151" s="15">
        <v>-5057.8783000000003</v>
      </c>
      <c r="E151" s="15">
        <v>-9373.1724099999992</v>
      </c>
      <c r="F151" s="15">
        <v>-12559.49979</v>
      </c>
      <c r="G151" s="15">
        <v>-15792.04</v>
      </c>
      <c r="H151" s="15">
        <v>-22679.72525</v>
      </c>
      <c r="I151" s="15">
        <v>-30877.85052</v>
      </c>
      <c r="J151" s="15"/>
      <c r="K151" s="15"/>
      <c r="L151" s="15"/>
      <c r="M151" s="15"/>
      <c r="N151" s="15"/>
      <c r="O151" s="15"/>
    </row>
    <row r="152" spans="2:15" ht="16" customHeight="1" x14ac:dyDescent="0.35">
      <c r="B152" s="14" t="s">
        <v>920</v>
      </c>
      <c r="C152" s="14" t="s">
        <v>921</v>
      </c>
      <c r="D152" s="15"/>
      <c r="E152" s="15"/>
      <c r="F152" s="15"/>
      <c r="G152" s="15"/>
      <c r="H152" s="15">
        <v>125</v>
      </c>
      <c r="I152" s="15">
        <v>125</v>
      </c>
      <c r="J152" s="15"/>
      <c r="K152" s="15"/>
      <c r="L152" s="15"/>
      <c r="M152" s="15"/>
      <c r="N152" s="15"/>
      <c r="O152" s="15"/>
    </row>
    <row r="153" spans="2:15" ht="16" customHeight="1" x14ac:dyDescent="0.35">
      <c r="B153" s="10"/>
      <c r="C153" s="11" t="s">
        <v>22</v>
      </c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</row>
    <row r="154" spans="2:15" ht="16" customHeight="1" x14ac:dyDescent="0.35">
      <c r="B154" s="38"/>
      <c r="C154" s="34" t="s">
        <v>922</v>
      </c>
      <c r="D154" s="35">
        <f t="shared" ref="D154:O154" si="31">-(-D155)</f>
        <v>108.65206999999999</v>
      </c>
      <c r="E154" s="35">
        <f t="shared" si="31"/>
        <v>122.06649</v>
      </c>
      <c r="F154" s="35">
        <f t="shared" si="31"/>
        <v>-77.772049999999993</v>
      </c>
      <c r="G154" s="35">
        <f t="shared" si="31"/>
        <v>-561.54367000000002</v>
      </c>
      <c r="H154" s="35">
        <f t="shared" si="31"/>
        <v>-343.81135</v>
      </c>
      <c r="I154" s="35">
        <f t="shared" si="31"/>
        <v>-659.61910999999998</v>
      </c>
      <c r="J154" s="35">
        <f t="shared" si="31"/>
        <v>0</v>
      </c>
      <c r="K154" s="35">
        <f t="shared" si="31"/>
        <v>0</v>
      </c>
      <c r="L154" s="35">
        <f t="shared" si="31"/>
        <v>0</v>
      </c>
      <c r="M154" s="35">
        <f t="shared" si="31"/>
        <v>0</v>
      </c>
      <c r="N154" s="35">
        <f t="shared" si="31"/>
        <v>0</v>
      </c>
      <c r="O154" s="35">
        <f t="shared" si="31"/>
        <v>0</v>
      </c>
    </row>
    <row r="155" spans="2:15" ht="16" customHeight="1" x14ac:dyDescent="0.35">
      <c r="B155" s="14" t="s">
        <v>923</v>
      </c>
      <c r="C155" s="14" t="s">
        <v>924</v>
      </c>
      <c r="D155" s="15">
        <v>108.65206999999999</v>
      </c>
      <c r="E155" s="15">
        <v>122.06649</v>
      </c>
      <c r="F155" s="15">
        <v>-77.772049999999993</v>
      </c>
      <c r="G155" s="15">
        <v>-561.54367000000002</v>
      </c>
      <c r="H155" s="15">
        <v>-343.81135</v>
      </c>
      <c r="I155" s="15">
        <v>-659.61910999999998</v>
      </c>
      <c r="J155" s="15"/>
      <c r="K155" s="15"/>
      <c r="L155" s="15"/>
      <c r="M155" s="15"/>
      <c r="N155" s="15"/>
      <c r="O155" s="15"/>
    </row>
    <row r="156" spans="2:15" ht="16" customHeight="1" x14ac:dyDescent="0.35">
      <c r="B156" s="10"/>
      <c r="C156" s="11" t="s">
        <v>22</v>
      </c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</row>
    <row r="157" spans="2:15" ht="16" customHeight="1" x14ac:dyDescent="0.35">
      <c r="B157" s="38"/>
      <c r="C157" s="34" t="s">
        <v>925</v>
      </c>
      <c r="D157" s="35">
        <f t="shared" ref="D157:O157" si="32">D158+D159</f>
        <v>0</v>
      </c>
      <c r="E157" s="35">
        <f t="shared" si="32"/>
        <v>0</v>
      </c>
      <c r="F157" s="35">
        <f t="shared" si="32"/>
        <v>0</v>
      </c>
      <c r="G157" s="35">
        <f t="shared" si="32"/>
        <v>0</v>
      </c>
      <c r="H157" s="35">
        <f t="shared" si="32"/>
        <v>0</v>
      </c>
      <c r="I157" s="35">
        <f t="shared" si="32"/>
        <v>0</v>
      </c>
      <c r="J157" s="35">
        <f t="shared" si="32"/>
        <v>0</v>
      </c>
      <c r="K157" s="35">
        <f t="shared" si="32"/>
        <v>0</v>
      </c>
      <c r="L157" s="35">
        <f t="shared" si="32"/>
        <v>0</v>
      </c>
      <c r="M157" s="35">
        <f t="shared" si="32"/>
        <v>0</v>
      </c>
      <c r="N157" s="35">
        <f t="shared" si="32"/>
        <v>0</v>
      </c>
      <c r="O157" s="35">
        <f t="shared" si="32"/>
        <v>0</v>
      </c>
    </row>
    <row r="158" spans="2:15" ht="16" customHeight="1" x14ac:dyDescent="0.35">
      <c r="B158" s="14" t="s">
        <v>926</v>
      </c>
      <c r="C158" s="14" t="s">
        <v>927</v>
      </c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2:15" ht="16" customHeight="1" x14ac:dyDescent="0.35">
      <c r="B159" s="14" t="s">
        <v>928</v>
      </c>
      <c r="C159" s="14" t="s">
        <v>929</v>
      </c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2:15" ht="16" customHeight="1" x14ac:dyDescent="0.35">
      <c r="B160" s="10"/>
      <c r="C160" s="11" t="s">
        <v>22</v>
      </c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</row>
    <row r="161" spans="2:15" ht="16" customHeight="1" x14ac:dyDescent="0.35">
      <c r="B161" s="38"/>
      <c r="C161" s="34" t="s">
        <v>930</v>
      </c>
      <c r="D161" s="35">
        <f t="shared" ref="D161:O161" si="33">-(-D136-D140-D146-D150-D154-D157)</f>
        <v>-4949.2262300000002</v>
      </c>
      <c r="E161" s="35">
        <f t="shared" si="33"/>
        <v>-436727.72443</v>
      </c>
      <c r="F161" s="35">
        <f t="shared" si="33"/>
        <v>-439060.32673999999</v>
      </c>
      <c r="G161" s="35">
        <f t="shared" si="33"/>
        <v>-442776.63805999997</v>
      </c>
      <c r="H161" s="35">
        <f t="shared" si="33"/>
        <v>-449321.83298999997</v>
      </c>
      <c r="I161" s="35">
        <f t="shared" si="33"/>
        <v>-458889.62962999998</v>
      </c>
      <c r="J161" s="35">
        <f t="shared" si="33"/>
        <v>0</v>
      </c>
      <c r="K161" s="35">
        <f t="shared" si="33"/>
        <v>0</v>
      </c>
      <c r="L161" s="35">
        <f t="shared" si="33"/>
        <v>0</v>
      </c>
      <c r="M161" s="35">
        <f t="shared" si="33"/>
        <v>0</v>
      </c>
      <c r="N161" s="35">
        <f t="shared" si="33"/>
        <v>0</v>
      </c>
      <c r="O161" s="35">
        <f t="shared" si="33"/>
        <v>0</v>
      </c>
    </row>
    <row r="162" spans="2:15" ht="16" customHeight="1" x14ac:dyDescent="0.35">
      <c r="B162" s="10"/>
      <c r="C162" s="11" t="s">
        <v>22</v>
      </c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</row>
    <row r="163" spans="2:15" ht="16" customHeight="1" x14ac:dyDescent="0.35">
      <c r="B163" s="39"/>
      <c r="C163" s="40" t="s">
        <v>931</v>
      </c>
      <c r="D163" s="24">
        <f t="shared" ref="D163:O163" si="34">D134+D161</f>
        <v>-14732.992680000001</v>
      </c>
      <c r="E163" s="24">
        <f t="shared" si="34"/>
        <v>-464063.10207000002</v>
      </c>
      <c r="F163" s="24">
        <f t="shared" si="34"/>
        <v>-472548.36673000001</v>
      </c>
      <c r="G163" s="24">
        <f t="shared" si="34"/>
        <v>-489245.06500999996</v>
      </c>
      <c r="H163" s="24">
        <f t="shared" si="34"/>
        <v>-508260.83609999996</v>
      </c>
      <c r="I163" s="24">
        <f t="shared" si="34"/>
        <v>-521833.65643999999</v>
      </c>
      <c r="J163" s="24">
        <f t="shared" si="34"/>
        <v>0</v>
      </c>
      <c r="K163" s="24">
        <f t="shared" si="34"/>
        <v>0</v>
      </c>
      <c r="L163" s="24">
        <f t="shared" si="34"/>
        <v>0</v>
      </c>
      <c r="M163" s="24">
        <f t="shared" si="34"/>
        <v>0</v>
      </c>
      <c r="N163" s="24">
        <f t="shared" si="34"/>
        <v>0</v>
      </c>
      <c r="O163" s="24">
        <f t="shared" si="34"/>
        <v>0</v>
      </c>
    </row>
    <row r="164" spans="2:15" ht="16" customHeight="1" x14ac:dyDescent="0.35">
      <c r="B164" s="10"/>
      <c r="C164" s="11" t="s">
        <v>22</v>
      </c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</row>
    <row r="165" spans="2:15" ht="16" customHeight="1" x14ac:dyDescent="0.35">
      <c r="B165" s="38"/>
      <c r="C165" s="34" t="s">
        <v>932</v>
      </c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</row>
    <row r="166" spans="2:15" ht="16" customHeight="1" x14ac:dyDescent="0.35">
      <c r="B166" s="10"/>
      <c r="C166" s="11" t="s">
        <v>22</v>
      </c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</row>
    <row r="167" spans="2:15" ht="16" customHeight="1" x14ac:dyDescent="0.35">
      <c r="B167" s="38"/>
      <c r="C167" s="34" t="s">
        <v>933</v>
      </c>
      <c r="D167" s="35">
        <f t="shared" ref="D167:O167" si="35">-(-(D168+D169)-D170)</f>
        <v>0</v>
      </c>
      <c r="E167" s="35">
        <f t="shared" si="35"/>
        <v>0</v>
      </c>
      <c r="F167" s="35">
        <f t="shared" si="35"/>
        <v>0</v>
      </c>
      <c r="G167" s="35">
        <f t="shared" si="35"/>
        <v>0</v>
      </c>
      <c r="H167" s="35">
        <f t="shared" si="35"/>
        <v>0</v>
      </c>
      <c r="I167" s="35">
        <f t="shared" si="35"/>
        <v>0</v>
      </c>
      <c r="J167" s="35">
        <f t="shared" si="35"/>
        <v>0</v>
      </c>
      <c r="K167" s="35">
        <f t="shared" si="35"/>
        <v>0</v>
      </c>
      <c r="L167" s="35">
        <f t="shared" si="35"/>
        <v>0</v>
      </c>
      <c r="M167" s="35">
        <f t="shared" si="35"/>
        <v>0</v>
      </c>
      <c r="N167" s="35">
        <f t="shared" si="35"/>
        <v>0</v>
      </c>
      <c r="O167" s="35">
        <f t="shared" si="35"/>
        <v>0</v>
      </c>
    </row>
    <row r="168" spans="2:15" ht="16" customHeight="1" x14ac:dyDescent="0.35">
      <c r="B168" s="14" t="s">
        <v>934</v>
      </c>
      <c r="C168" s="14" t="s">
        <v>935</v>
      </c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2:15" ht="16" customHeight="1" x14ac:dyDescent="0.35">
      <c r="B169" s="14" t="s">
        <v>936</v>
      </c>
      <c r="C169" s="14" t="s">
        <v>937</v>
      </c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2:15" ht="16" customHeight="1" x14ac:dyDescent="0.35">
      <c r="B170" s="14" t="s">
        <v>938</v>
      </c>
      <c r="C170" s="14" t="s">
        <v>939</v>
      </c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2:15" ht="16" customHeight="1" x14ac:dyDescent="0.35">
      <c r="B171" s="10"/>
      <c r="C171" s="11" t="s">
        <v>22</v>
      </c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spans="2:15" ht="16" customHeight="1" x14ac:dyDescent="0.35">
      <c r="B172" s="38"/>
      <c r="C172" s="34" t="s">
        <v>940</v>
      </c>
      <c r="D172" s="35">
        <f t="shared" ref="D172:O172" si="36">D173+D174</f>
        <v>0</v>
      </c>
      <c r="E172" s="35">
        <f t="shared" si="36"/>
        <v>0</v>
      </c>
      <c r="F172" s="35">
        <f t="shared" si="36"/>
        <v>0</v>
      </c>
      <c r="G172" s="35">
        <f t="shared" si="36"/>
        <v>0</v>
      </c>
      <c r="H172" s="35">
        <f t="shared" si="36"/>
        <v>0</v>
      </c>
      <c r="I172" s="35">
        <f t="shared" si="36"/>
        <v>0</v>
      </c>
      <c r="J172" s="35">
        <f t="shared" si="36"/>
        <v>0</v>
      </c>
      <c r="K172" s="35">
        <f t="shared" si="36"/>
        <v>0</v>
      </c>
      <c r="L172" s="35">
        <f t="shared" si="36"/>
        <v>0</v>
      </c>
      <c r="M172" s="35">
        <f t="shared" si="36"/>
        <v>0</v>
      </c>
      <c r="N172" s="35">
        <f t="shared" si="36"/>
        <v>0</v>
      </c>
      <c r="O172" s="35">
        <f t="shared" si="36"/>
        <v>0</v>
      </c>
    </row>
    <row r="173" spans="2:15" ht="16" customHeight="1" x14ac:dyDescent="0.35">
      <c r="B173" s="14" t="s">
        <v>941</v>
      </c>
      <c r="C173" s="14" t="s">
        <v>942</v>
      </c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</row>
    <row r="174" spans="2:15" ht="16" customHeight="1" x14ac:dyDescent="0.35">
      <c r="B174" s="14" t="s">
        <v>943</v>
      </c>
      <c r="C174" s="14" t="s">
        <v>944</v>
      </c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</row>
    <row r="175" spans="2:15" ht="16" customHeight="1" x14ac:dyDescent="0.35">
      <c r="B175" s="10"/>
      <c r="C175" s="11" t="s">
        <v>22</v>
      </c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</row>
    <row r="176" spans="2:15" ht="16" customHeight="1" x14ac:dyDescent="0.35">
      <c r="B176" s="14" t="s">
        <v>945</v>
      </c>
      <c r="C176" s="14" t="s">
        <v>946</v>
      </c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2:15" ht="16" customHeight="1" x14ac:dyDescent="0.35">
      <c r="B177" s="10"/>
      <c r="C177" s="11" t="s">
        <v>22</v>
      </c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</row>
    <row r="178" spans="2:15" ht="16" customHeight="1" x14ac:dyDescent="0.35">
      <c r="B178" s="14" t="s">
        <v>947</v>
      </c>
      <c r="C178" s="14" t="s">
        <v>948</v>
      </c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2:15" ht="16" customHeight="1" x14ac:dyDescent="0.35">
      <c r="B179" s="10"/>
      <c r="C179" s="11" t="s">
        <v>22</v>
      </c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</row>
    <row r="180" spans="2:15" ht="16" customHeight="1" x14ac:dyDescent="0.35">
      <c r="B180" s="14" t="s">
        <v>949</v>
      </c>
      <c r="C180" s="14" t="s">
        <v>950</v>
      </c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2:15" ht="16" customHeight="1" x14ac:dyDescent="0.35">
      <c r="B181" s="10"/>
      <c r="C181" s="11" t="s">
        <v>22</v>
      </c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</row>
    <row r="182" spans="2:15" ht="16" customHeight="1" x14ac:dyDescent="0.35">
      <c r="B182" s="38"/>
      <c r="C182" s="34" t="s">
        <v>951</v>
      </c>
      <c r="D182" s="35">
        <f t="shared" ref="D182:O182" si="37">D183+D184</f>
        <v>0</v>
      </c>
      <c r="E182" s="35">
        <f t="shared" si="37"/>
        <v>0</v>
      </c>
      <c r="F182" s="35">
        <f t="shared" si="37"/>
        <v>0</v>
      </c>
      <c r="G182" s="35">
        <f t="shared" si="37"/>
        <v>0</v>
      </c>
      <c r="H182" s="35">
        <f t="shared" si="37"/>
        <v>0</v>
      </c>
      <c r="I182" s="35">
        <f t="shared" si="37"/>
        <v>0</v>
      </c>
      <c r="J182" s="35">
        <f t="shared" si="37"/>
        <v>0</v>
      </c>
      <c r="K182" s="35">
        <f t="shared" si="37"/>
        <v>0</v>
      </c>
      <c r="L182" s="35">
        <f t="shared" si="37"/>
        <v>0</v>
      </c>
      <c r="M182" s="35">
        <f t="shared" si="37"/>
        <v>0</v>
      </c>
      <c r="N182" s="35">
        <f t="shared" si="37"/>
        <v>0</v>
      </c>
      <c r="O182" s="35">
        <f t="shared" si="37"/>
        <v>0</v>
      </c>
    </row>
    <row r="183" spans="2:15" ht="16" customHeight="1" x14ac:dyDescent="0.35">
      <c r="B183" s="14" t="s">
        <v>952</v>
      </c>
      <c r="C183" s="14" t="s">
        <v>953</v>
      </c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2:15" ht="16" customHeight="1" x14ac:dyDescent="0.35">
      <c r="B184" s="14" t="s">
        <v>954</v>
      </c>
      <c r="C184" s="14" t="s">
        <v>955</v>
      </c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2:15" ht="16" customHeight="1" x14ac:dyDescent="0.35">
      <c r="B185" s="10"/>
      <c r="C185" s="11" t="s">
        <v>22</v>
      </c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</row>
    <row r="186" spans="2:15" ht="16" customHeight="1" x14ac:dyDescent="0.35">
      <c r="B186" s="38"/>
      <c r="C186" s="34" t="s">
        <v>956</v>
      </c>
      <c r="D186" s="35">
        <f t="shared" ref="D186:O186" si="38">-(-(D187+D188)-D189-D190-D191)</f>
        <v>92600</v>
      </c>
      <c r="E186" s="35">
        <f t="shared" si="38"/>
        <v>555700</v>
      </c>
      <c r="F186" s="35">
        <f t="shared" si="38"/>
        <v>607400</v>
      </c>
      <c r="G186" s="35">
        <f t="shared" si="38"/>
        <v>642549.91052000003</v>
      </c>
      <c r="H186" s="35">
        <f t="shared" si="38"/>
        <v>629199.91052000003</v>
      </c>
      <c r="I186" s="35">
        <f t="shared" si="38"/>
        <v>632699.91051999992</v>
      </c>
      <c r="J186" s="35">
        <f t="shared" si="38"/>
        <v>0</v>
      </c>
      <c r="K186" s="35">
        <f t="shared" si="38"/>
        <v>0</v>
      </c>
      <c r="L186" s="35">
        <f t="shared" si="38"/>
        <v>0</v>
      </c>
      <c r="M186" s="35">
        <f t="shared" si="38"/>
        <v>0</v>
      </c>
      <c r="N186" s="35">
        <f t="shared" si="38"/>
        <v>0</v>
      </c>
      <c r="O186" s="35">
        <f t="shared" si="38"/>
        <v>0</v>
      </c>
    </row>
    <row r="187" spans="2:15" ht="16" customHeight="1" x14ac:dyDescent="0.35">
      <c r="B187" s="14" t="s">
        <v>957</v>
      </c>
      <c r="C187" s="14" t="s">
        <v>958</v>
      </c>
      <c r="D187" s="15">
        <v>130700</v>
      </c>
      <c r="E187" s="15">
        <v>626200</v>
      </c>
      <c r="F187" s="15">
        <v>720801</v>
      </c>
      <c r="G187" s="15">
        <v>795751</v>
      </c>
      <c r="H187" s="15">
        <v>856151</v>
      </c>
      <c r="I187" s="15">
        <v>856151</v>
      </c>
      <c r="J187" s="15"/>
      <c r="K187" s="15"/>
      <c r="L187" s="15"/>
      <c r="M187" s="15"/>
      <c r="N187" s="15"/>
      <c r="O187" s="15"/>
    </row>
    <row r="188" spans="2:15" ht="16" customHeight="1" x14ac:dyDescent="0.35">
      <c r="B188" s="14" t="s">
        <v>959</v>
      </c>
      <c r="C188" s="14" t="s">
        <v>960</v>
      </c>
      <c r="D188" s="15"/>
      <c r="E188" s="15"/>
      <c r="F188" s="15">
        <v>177.40647999999999</v>
      </c>
      <c r="G188" s="15">
        <v>177.31700000000001</v>
      </c>
      <c r="H188" s="15">
        <v>177.31700000000001</v>
      </c>
      <c r="I188" s="15">
        <v>289.911</v>
      </c>
      <c r="J188" s="15"/>
      <c r="K188" s="15"/>
      <c r="L188" s="15"/>
      <c r="M188" s="15"/>
      <c r="N188" s="15"/>
      <c r="O188" s="15"/>
    </row>
    <row r="189" spans="2:15" ht="16" customHeight="1" x14ac:dyDescent="0.35">
      <c r="B189" s="14" t="s">
        <v>961</v>
      </c>
      <c r="C189" s="14" t="s">
        <v>962</v>
      </c>
      <c r="D189" s="15">
        <v>-38100</v>
      </c>
      <c r="E189" s="15">
        <v>-70500</v>
      </c>
      <c r="F189" s="15">
        <v>-113401</v>
      </c>
      <c r="G189" s="15">
        <v>-153201</v>
      </c>
      <c r="H189" s="15">
        <v>-226951</v>
      </c>
      <c r="I189" s="15">
        <v>-226951</v>
      </c>
      <c r="J189" s="15"/>
      <c r="K189" s="15"/>
      <c r="L189" s="15"/>
      <c r="M189" s="15"/>
      <c r="N189" s="15"/>
      <c r="O189" s="15"/>
    </row>
    <row r="190" spans="2:15" ht="16" customHeight="1" x14ac:dyDescent="0.35">
      <c r="B190" s="14" t="s">
        <v>963</v>
      </c>
      <c r="C190" s="14" t="s">
        <v>964</v>
      </c>
      <c r="D190" s="15"/>
      <c r="E190" s="15"/>
      <c r="F190" s="15">
        <v>-177.40647999999999</v>
      </c>
      <c r="G190" s="15">
        <v>-177.40647999999999</v>
      </c>
      <c r="H190" s="15">
        <v>-177.40647999999999</v>
      </c>
      <c r="I190" s="15">
        <v>-290.00047999999998</v>
      </c>
      <c r="J190" s="15"/>
      <c r="K190" s="15"/>
      <c r="L190" s="15"/>
      <c r="M190" s="15"/>
      <c r="N190" s="15"/>
      <c r="O190" s="15"/>
    </row>
    <row r="191" spans="2:15" ht="16" customHeight="1" x14ac:dyDescent="0.35">
      <c r="B191" s="14" t="s">
        <v>965</v>
      </c>
      <c r="C191" s="14" t="s">
        <v>966</v>
      </c>
      <c r="D191" s="15"/>
      <c r="E191" s="15"/>
      <c r="F191" s="15"/>
      <c r="G191" s="15">
        <v>0</v>
      </c>
      <c r="H191" s="15">
        <v>0</v>
      </c>
      <c r="I191" s="15">
        <v>3500</v>
      </c>
      <c r="J191" s="15"/>
      <c r="K191" s="15"/>
      <c r="L191" s="15"/>
      <c r="M191" s="15"/>
      <c r="N191" s="15"/>
      <c r="O191" s="15"/>
    </row>
    <row r="192" spans="2:15" ht="16" customHeight="1" x14ac:dyDescent="0.35">
      <c r="B192" s="10"/>
      <c r="C192" s="11" t="s">
        <v>22</v>
      </c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</row>
    <row r="193" spans="2:15" ht="16" customHeight="1" x14ac:dyDescent="0.35">
      <c r="B193" s="38"/>
      <c r="C193" s="34" t="s">
        <v>967</v>
      </c>
      <c r="D193" s="35">
        <f t="shared" ref="D193:O193" si="39">D195+D200+D204</f>
        <v>7245.4790899999998</v>
      </c>
      <c r="E193" s="35">
        <f t="shared" si="39"/>
        <v>9682.2098000000005</v>
      </c>
      <c r="F193" s="35">
        <f t="shared" si="39"/>
        <v>9656.0370999999977</v>
      </c>
      <c r="G193" s="35">
        <f t="shared" si="39"/>
        <v>9767.2168799999981</v>
      </c>
      <c r="H193" s="35">
        <f t="shared" si="39"/>
        <v>9251.8544899999979</v>
      </c>
      <c r="I193" s="35">
        <f t="shared" si="39"/>
        <v>12789.304500000006</v>
      </c>
      <c r="J193" s="35">
        <f t="shared" si="39"/>
        <v>0</v>
      </c>
      <c r="K193" s="35">
        <f t="shared" si="39"/>
        <v>0</v>
      </c>
      <c r="L193" s="35">
        <f t="shared" si="39"/>
        <v>0</v>
      </c>
      <c r="M193" s="35">
        <f t="shared" si="39"/>
        <v>0</v>
      </c>
      <c r="N193" s="35">
        <f t="shared" si="39"/>
        <v>0</v>
      </c>
      <c r="O193" s="35">
        <f t="shared" si="39"/>
        <v>0</v>
      </c>
    </row>
    <row r="194" spans="2:15" ht="16" customHeight="1" x14ac:dyDescent="0.35">
      <c r="B194" s="10"/>
      <c r="C194" s="11" t="s">
        <v>22</v>
      </c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</row>
    <row r="195" spans="2:15" ht="16" customHeight="1" x14ac:dyDescent="0.35">
      <c r="B195" s="38"/>
      <c r="C195" s="34" t="s">
        <v>968</v>
      </c>
      <c r="D195" s="35">
        <f t="shared" ref="D195:O195" si="40">-(-(D196+D197)-D198)</f>
        <v>11563.63091</v>
      </c>
      <c r="E195" s="35">
        <f t="shared" si="40"/>
        <v>18112.490590000001</v>
      </c>
      <c r="F195" s="35">
        <f t="shared" si="40"/>
        <v>22626.962029999999</v>
      </c>
      <c r="G195" s="35">
        <f t="shared" si="40"/>
        <v>27212.24584</v>
      </c>
      <c r="H195" s="35">
        <f t="shared" si="40"/>
        <v>31415.391970000001</v>
      </c>
      <c r="I195" s="35">
        <f t="shared" si="40"/>
        <v>34925.470610000004</v>
      </c>
      <c r="J195" s="35">
        <f t="shared" si="40"/>
        <v>0</v>
      </c>
      <c r="K195" s="35">
        <f t="shared" si="40"/>
        <v>0</v>
      </c>
      <c r="L195" s="35">
        <f t="shared" si="40"/>
        <v>0</v>
      </c>
      <c r="M195" s="35">
        <f t="shared" si="40"/>
        <v>0</v>
      </c>
      <c r="N195" s="35">
        <f t="shared" si="40"/>
        <v>0</v>
      </c>
      <c r="O195" s="35">
        <f t="shared" si="40"/>
        <v>0</v>
      </c>
    </row>
    <row r="196" spans="2:15" ht="16" customHeight="1" x14ac:dyDescent="0.35">
      <c r="B196" s="14" t="s">
        <v>969</v>
      </c>
      <c r="C196" s="14" t="s">
        <v>970</v>
      </c>
      <c r="D196" s="15">
        <v>11603.628909999999</v>
      </c>
      <c r="E196" s="15">
        <v>18152.488590000001</v>
      </c>
      <c r="F196" s="15">
        <v>22634.98329</v>
      </c>
      <c r="G196" s="15">
        <v>27016.833770000001</v>
      </c>
      <c r="H196" s="15">
        <v>31694.17945</v>
      </c>
      <c r="I196" s="15">
        <v>35217.571790000002</v>
      </c>
      <c r="J196" s="15"/>
      <c r="K196" s="15"/>
      <c r="L196" s="15"/>
      <c r="M196" s="15"/>
      <c r="N196" s="15"/>
      <c r="O196" s="15"/>
    </row>
    <row r="197" spans="2:15" ht="16" customHeight="1" x14ac:dyDescent="0.35">
      <c r="B197" s="14" t="s">
        <v>971</v>
      </c>
      <c r="C197" s="14" t="s">
        <v>972</v>
      </c>
      <c r="D197" s="15">
        <v>-39.997999999999998</v>
      </c>
      <c r="E197" s="15">
        <v>-39.997999999999998</v>
      </c>
      <c r="F197" s="15">
        <v>-8.0212599999999998</v>
      </c>
      <c r="G197" s="15">
        <v>195.41207</v>
      </c>
      <c r="H197" s="15">
        <v>-278.78748000000002</v>
      </c>
      <c r="I197" s="15">
        <v>-292.10118</v>
      </c>
      <c r="J197" s="15"/>
      <c r="K197" s="15"/>
      <c r="L197" s="15"/>
      <c r="M197" s="15"/>
      <c r="N197" s="15"/>
      <c r="O197" s="15"/>
    </row>
    <row r="198" spans="2:15" ht="16" customHeight="1" x14ac:dyDescent="0.35">
      <c r="B198" s="14" t="s">
        <v>973</v>
      </c>
      <c r="C198" s="14" t="s">
        <v>974</v>
      </c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</row>
    <row r="199" spans="2:15" ht="16" customHeight="1" x14ac:dyDescent="0.35">
      <c r="B199" s="10"/>
      <c r="C199" s="11" t="s">
        <v>22</v>
      </c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</row>
    <row r="200" spans="2:15" ht="16" customHeight="1" x14ac:dyDescent="0.35">
      <c r="B200" s="34" t="s">
        <v>975</v>
      </c>
      <c r="C200" s="34" t="s">
        <v>976</v>
      </c>
      <c r="D200" s="35">
        <f t="shared" ref="D200:O200" si="41">D201+D202</f>
        <v>-4276.4070499999998</v>
      </c>
      <c r="E200" s="35">
        <f t="shared" si="41"/>
        <v>-8293.2669800000003</v>
      </c>
      <c r="F200" s="35">
        <f t="shared" si="41"/>
        <v>-12823.550050000002</v>
      </c>
      <c r="G200" s="35">
        <f t="shared" si="41"/>
        <v>-17402.640040000002</v>
      </c>
      <c r="H200" s="35">
        <f t="shared" si="41"/>
        <v>-21898.765330000002</v>
      </c>
      <c r="I200" s="35">
        <f t="shared" si="41"/>
        <v>-21902.716959999998</v>
      </c>
      <c r="J200" s="35">
        <f t="shared" si="41"/>
        <v>0</v>
      </c>
      <c r="K200" s="35">
        <f t="shared" si="41"/>
        <v>0</v>
      </c>
      <c r="L200" s="35">
        <f t="shared" si="41"/>
        <v>0</v>
      </c>
      <c r="M200" s="35">
        <f t="shared" si="41"/>
        <v>0</v>
      </c>
      <c r="N200" s="35">
        <f t="shared" si="41"/>
        <v>0</v>
      </c>
      <c r="O200" s="35">
        <f t="shared" si="41"/>
        <v>0</v>
      </c>
    </row>
    <row r="201" spans="2:15" ht="16" customHeight="1" x14ac:dyDescent="0.35">
      <c r="B201" s="14" t="s">
        <v>977</v>
      </c>
      <c r="C201" s="14" t="s">
        <v>978</v>
      </c>
      <c r="D201" s="15">
        <v>-4819.8757900000001</v>
      </c>
      <c r="E201" s="15">
        <v>-9385.1098500000007</v>
      </c>
      <c r="F201" s="15">
        <v>-14495.510550000001</v>
      </c>
      <c r="G201" s="15">
        <v>-19414.056830000001</v>
      </c>
      <c r="H201" s="15">
        <v>-24508.711490000002</v>
      </c>
      <c r="I201" s="15">
        <v>-24514.593229999999</v>
      </c>
      <c r="J201" s="15"/>
      <c r="K201" s="15"/>
      <c r="L201" s="15"/>
      <c r="M201" s="15"/>
      <c r="N201" s="15"/>
      <c r="O201" s="15"/>
    </row>
    <row r="202" spans="2:15" ht="16" customHeight="1" x14ac:dyDescent="0.35">
      <c r="B202" s="14" t="s">
        <v>979</v>
      </c>
      <c r="C202" s="14" t="s">
        <v>980</v>
      </c>
      <c r="D202" s="15">
        <v>543.46874000000003</v>
      </c>
      <c r="E202" s="15">
        <v>1091.8428699999999</v>
      </c>
      <c r="F202" s="15">
        <v>1671.9604999999999</v>
      </c>
      <c r="G202" s="15">
        <v>2011.41679</v>
      </c>
      <c r="H202" s="15">
        <v>2609.94616</v>
      </c>
      <c r="I202" s="15">
        <v>2611.8762700000002</v>
      </c>
      <c r="J202" s="15"/>
      <c r="K202" s="15"/>
      <c r="L202" s="15"/>
      <c r="M202" s="15"/>
      <c r="N202" s="15"/>
      <c r="O202" s="15"/>
    </row>
    <row r="203" spans="2:15" ht="16" customHeight="1" x14ac:dyDescent="0.35">
      <c r="B203" s="10"/>
      <c r="C203" s="11" t="s">
        <v>22</v>
      </c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</row>
    <row r="204" spans="2:15" ht="16" customHeight="1" x14ac:dyDescent="0.35">
      <c r="B204" s="38"/>
      <c r="C204" s="34" t="s">
        <v>981</v>
      </c>
      <c r="D204" s="35">
        <f t="shared" ref="D204:O204" si="42">D206+D210</f>
        <v>-41.744770000000003</v>
      </c>
      <c r="E204" s="35">
        <f t="shared" si="42"/>
        <v>-137.01380999999998</v>
      </c>
      <c r="F204" s="35">
        <f t="shared" si="42"/>
        <v>-147.37488000000002</v>
      </c>
      <c r="G204" s="35">
        <f t="shared" si="42"/>
        <v>-42.388919999999999</v>
      </c>
      <c r="H204" s="35">
        <f t="shared" si="42"/>
        <v>-264.77215000000001</v>
      </c>
      <c r="I204" s="35">
        <f t="shared" si="42"/>
        <v>-233.44914999999997</v>
      </c>
      <c r="J204" s="35">
        <f t="shared" si="42"/>
        <v>0</v>
      </c>
      <c r="K204" s="35">
        <f t="shared" si="42"/>
        <v>0</v>
      </c>
      <c r="L204" s="35">
        <f t="shared" si="42"/>
        <v>0</v>
      </c>
      <c r="M204" s="35">
        <f t="shared" si="42"/>
        <v>0</v>
      </c>
      <c r="N204" s="35">
        <f t="shared" si="42"/>
        <v>0</v>
      </c>
      <c r="O204" s="35">
        <f t="shared" si="42"/>
        <v>0</v>
      </c>
    </row>
    <row r="205" spans="2:15" ht="16" customHeight="1" x14ac:dyDescent="0.35">
      <c r="B205" s="10"/>
      <c r="C205" s="11" t="s">
        <v>22</v>
      </c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</row>
    <row r="206" spans="2:15" ht="16" customHeight="1" x14ac:dyDescent="0.35">
      <c r="B206" s="38"/>
      <c r="C206" s="34" t="s">
        <v>982</v>
      </c>
      <c r="D206" s="35">
        <f t="shared" ref="D206:O206" si="43">D207+D208</f>
        <v>-37.750770000000003</v>
      </c>
      <c r="E206" s="35">
        <f t="shared" si="43"/>
        <v>-72.282809999999998</v>
      </c>
      <c r="F206" s="35">
        <f t="shared" si="43"/>
        <v>-113.90988</v>
      </c>
      <c r="G206" s="35">
        <f t="shared" si="43"/>
        <v>-152.73792</v>
      </c>
      <c r="H206" s="35">
        <f t="shared" si="43"/>
        <v>-195.41114999999999</v>
      </c>
      <c r="I206" s="35">
        <f t="shared" si="43"/>
        <v>-195.41114999999999</v>
      </c>
      <c r="J206" s="35">
        <f t="shared" si="43"/>
        <v>0</v>
      </c>
      <c r="K206" s="35">
        <f t="shared" si="43"/>
        <v>0</v>
      </c>
      <c r="L206" s="35">
        <f t="shared" si="43"/>
        <v>0</v>
      </c>
      <c r="M206" s="35">
        <f t="shared" si="43"/>
        <v>0</v>
      </c>
      <c r="N206" s="35">
        <f t="shared" si="43"/>
        <v>0</v>
      </c>
      <c r="O206" s="35">
        <f t="shared" si="43"/>
        <v>0</v>
      </c>
    </row>
    <row r="207" spans="2:15" ht="16" customHeight="1" x14ac:dyDescent="0.35">
      <c r="B207" s="14" t="s">
        <v>983</v>
      </c>
      <c r="C207" s="14" t="s">
        <v>984</v>
      </c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</row>
    <row r="208" spans="2:15" ht="16" customHeight="1" x14ac:dyDescent="0.35">
      <c r="B208" s="14" t="s">
        <v>985</v>
      </c>
      <c r="C208" s="14" t="s">
        <v>986</v>
      </c>
      <c r="D208" s="15">
        <v>-37.750770000000003</v>
      </c>
      <c r="E208" s="15">
        <v>-72.282809999999998</v>
      </c>
      <c r="F208" s="15">
        <v>-113.90988</v>
      </c>
      <c r="G208" s="15">
        <v>-152.73792</v>
      </c>
      <c r="H208" s="15">
        <v>-195.41114999999999</v>
      </c>
      <c r="I208" s="15">
        <v>-195.41114999999999</v>
      </c>
      <c r="J208" s="15"/>
      <c r="K208" s="15"/>
      <c r="L208" s="15"/>
      <c r="M208" s="15"/>
      <c r="N208" s="15"/>
      <c r="O208" s="15"/>
    </row>
    <row r="209" spans="2:15" ht="16" customHeight="1" x14ac:dyDescent="0.35">
      <c r="B209" s="10"/>
      <c r="C209" s="11" t="s">
        <v>22</v>
      </c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</row>
    <row r="210" spans="2:15" ht="16" customHeight="1" x14ac:dyDescent="0.35">
      <c r="B210" s="38"/>
      <c r="C210" s="34" t="s">
        <v>987</v>
      </c>
      <c r="D210" s="35">
        <f t="shared" ref="D210:O210" si="44">-(-(D211+D212)-D213)</f>
        <v>-3.9940000000000002</v>
      </c>
      <c r="E210" s="35">
        <f t="shared" si="44"/>
        <v>-64.730999999999995</v>
      </c>
      <c r="F210" s="35">
        <f t="shared" si="44"/>
        <v>-33.465000000000003</v>
      </c>
      <c r="G210" s="35">
        <f t="shared" si="44"/>
        <v>110.349</v>
      </c>
      <c r="H210" s="35">
        <f t="shared" si="44"/>
        <v>-69.361000000000004</v>
      </c>
      <c r="I210" s="35">
        <f t="shared" si="44"/>
        <v>-38.037999999999997</v>
      </c>
      <c r="J210" s="35">
        <f t="shared" si="44"/>
        <v>0</v>
      </c>
      <c r="K210" s="35">
        <f t="shared" si="44"/>
        <v>0</v>
      </c>
      <c r="L210" s="35">
        <f t="shared" si="44"/>
        <v>0</v>
      </c>
      <c r="M210" s="35">
        <f t="shared" si="44"/>
        <v>0</v>
      </c>
      <c r="N210" s="35">
        <f t="shared" si="44"/>
        <v>0</v>
      </c>
      <c r="O210" s="35">
        <f t="shared" si="44"/>
        <v>0</v>
      </c>
    </row>
    <row r="211" spans="2:15" ht="16" customHeight="1" x14ac:dyDescent="0.35">
      <c r="B211" s="14" t="s">
        <v>988</v>
      </c>
      <c r="C211" s="14" t="s">
        <v>989</v>
      </c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</row>
    <row r="212" spans="2:15" ht="16" customHeight="1" x14ac:dyDescent="0.35">
      <c r="B212" s="14" t="s">
        <v>990</v>
      </c>
      <c r="C212" s="14" t="s">
        <v>991</v>
      </c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</row>
    <row r="213" spans="2:15" ht="16" customHeight="1" x14ac:dyDescent="0.35">
      <c r="B213" s="14" t="s">
        <v>992</v>
      </c>
      <c r="C213" s="14" t="s">
        <v>993</v>
      </c>
      <c r="D213" s="15">
        <v>-3.9940000000000002</v>
      </c>
      <c r="E213" s="15">
        <v>-64.730999999999995</v>
      </c>
      <c r="F213" s="15">
        <v>-33.465000000000003</v>
      </c>
      <c r="G213" s="15">
        <v>110.349</v>
      </c>
      <c r="H213" s="15">
        <v>-69.361000000000004</v>
      </c>
      <c r="I213" s="15">
        <v>-38.037999999999997</v>
      </c>
      <c r="J213" s="15"/>
      <c r="K213" s="15"/>
      <c r="L213" s="15"/>
      <c r="M213" s="15"/>
      <c r="N213" s="15"/>
      <c r="O213" s="15"/>
    </row>
    <row r="214" spans="2:15" ht="16" customHeight="1" x14ac:dyDescent="0.35">
      <c r="B214" s="10"/>
      <c r="C214" s="11" t="s">
        <v>22</v>
      </c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</row>
    <row r="215" spans="2:15" ht="16" customHeight="1" x14ac:dyDescent="0.35">
      <c r="B215" s="39"/>
      <c r="C215" s="40" t="s">
        <v>994</v>
      </c>
      <c r="D215" s="24">
        <f t="shared" ref="D215:O215" si="45">D167+D172+D176+D178+D180+D182+D186+D193</f>
        <v>99845.479089999993</v>
      </c>
      <c r="E215" s="24">
        <f t="shared" si="45"/>
        <v>565382.20979999995</v>
      </c>
      <c r="F215" s="24">
        <f t="shared" si="45"/>
        <v>617056.03709999996</v>
      </c>
      <c r="G215" s="24">
        <f t="shared" si="45"/>
        <v>652317.1274</v>
      </c>
      <c r="H215" s="24">
        <f t="shared" si="45"/>
        <v>638451.76500999997</v>
      </c>
      <c r="I215" s="24">
        <f t="shared" si="45"/>
        <v>645489.21501999989</v>
      </c>
      <c r="J215" s="24">
        <f t="shared" si="45"/>
        <v>0</v>
      </c>
      <c r="K215" s="24">
        <f t="shared" si="45"/>
        <v>0</v>
      </c>
      <c r="L215" s="24">
        <f t="shared" si="45"/>
        <v>0</v>
      </c>
      <c r="M215" s="24">
        <f t="shared" si="45"/>
        <v>0</v>
      </c>
      <c r="N215" s="24">
        <f t="shared" si="45"/>
        <v>0</v>
      </c>
      <c r="O215" s="24">
        <f t="shared" si="45"/>
        <v>0</v>
      </c>
    </row>
    <row r="216" spans="2:15" ht="16" customHeight="1" x14ac:dyDescent="0.35">
      <c r="B216" s="10"/>
      <c r="C216" s="11" t="s">
        <v>22</v>
      </c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</row>
    <row r="217" spans="2:15" ht="16" customHeight="1" x14ac:dyDescent="0.35">
      <c r="B217" s="40" t="s">
        <v>995</v>
      </c>
      <c r="C217" s="40" t="s">
        <v>996</v>
      </c>
      <c r="D217" s="24">
        <f t="shared" ref="D217:O217" si="46">D104+D163+D215</f>
        <v>-325.28246000000217</v>
      </c>
      <c r="E217" s="24">
        <f t="shared" si="46"/>
        <v>3935.4372399999993</v>
      </c>
      <c r="F217" s="24">
        <f t="shared" si="46"/>
        <v>14.752209999947809</v>
      </c>
      <c r="G217" s="24">
        <f t="shared" si="46"/>
        <v>-518.93929000000935</v>
      </c>
      <c r="H217" s="24">
        <f t="shared" si="46"/>
        <v>1727.5331200000364</v>
      </c>
      <c r="I217" s="24">
        <f t="shared" si="46"/>
        <v>-26702.264820000157</v>
      </c>
      <c r="J217" s="24">
        <f t="shared" si="46"/>
        <v>0</v>
      </c>
      <c r="K217" s="24">
        <f t="shared" si="46"/>
        <v>0</v>
      </c>
      <c r="L217" s="24">
        <f t="shared" si="46"/>
        <v>0</v>
      </c>
      <c r="M217" s="24">
        <f t="shared" si="46"/>
        <v>0</v>
      </c>
      <c r="N217" s="24">
        <f t="shared" si="46"/>
        <v>0</v>
      </c>
      <c r="O217" s="24">
        <f t="shared" si="46"/>
        <v>0</v>
      </c>
    </row>
    <row r="218" spans="2:15" ht="16" customHeight="1" x14ac:dyDescent="0.35">
      <c r="B218" s="10"/>
      <c r="C218" s="11" t="s">
        <v>22</v>
      </c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</row>
    <row r="219" spans="2:15" ht="16" customHeight="1" x14ac:dyDescent="0.35">
      <c r="B219" s="14" t="s">
        <v>997</v>
      </c>
      <c r="C219" s="14" t="s">
        <v>998</v>
      </c>
      <c r="D219" s="15">
        <v>1931.7006699999999</v>
      </c>
      <c r="E219" s="15">
        <v>1931.7006699999999</v>
      </c>
      <c r="F219" s="15">
        <v>1931.7006699999999</v>
      </c>
      <c r="G219" s="15">
        <v>1931.7006699999999</v>
      </c>
      <c r="H219" s="15">
        <v>1931.7006699999999</v>
      </c>
      <c r="I219" s="15">
        <v>1931.7006699999999</v>
      </c>
      <c r="J219" s="15"/>
      <c r="K219" s="15"/>
      <c r="L219" s="15"/>
      <c r="M219" s="15"/>
      <c r="N219" s="15"/>
      <c r="O219" s="15"/>
    </row>
    <row r="220" spans="2:15" ht="16" customHeight="1" x14ac:dyDescent="0.35">
      <c r="B220" s="14" t="s">
        <v>999</v>
      </c>
      <c r="C220" s="14" t="s">
        <v>996</v>
      </c>
      <c r="D220" s="15">
        <f t="shared" ref="D220:O220" si="47">D222-D221-D219</f>
        <v>-325.37684999999988</v>
      </c>
      <c r="E220" s="15">
        <f t="shared" si="47"/>
        <v>3935.2457099999992</v>
      </c>
      <c r="F220" s="15">
        <f t="shared" si="47"/>
        <v>-9.1295800000000327</v>
      </c>
      <c r="G220" s="15">
        <f t="shared" si="47"/>
        <v>-493.6098199999999</v>
      </c>
      <c r="H220" s="15">
        <f t="shared" si="47"/>
        <v>1727.5347199999999</v>
      </c>
      <c r="I220" s="15">
        <f t="shared" si="47"/>
        <v>-25253.874199999998</v>
      </c>
      <c r="J220" s="15">
        <f t="shared" si="47"/>
        <v>0</v>
      </c>
      <c r="K220" s="15">
        <f t="shared" si="47"/>
        <v>0</v>
      </c>
      <c r="L220" s="15">
        <f t="shared" si="47"/>
        <v>0</v>
      </c>
      <c r="M220" s="15">
        <f t="shared" si="47"/>
        <v>0</v>
      </c>
      <c r="N220" s="15">
        <f t="shared" si="47"/>
        <v>0</v>
      </c>
      <c r="O220" s="15">
        <f t="shared" si="47"/>
        <v>0</v>
      </c>
    </row>
    <row r="221" spans="2:15" ht="16" customHeight="1" x14ac:dyDescent="0.35">
      <c r="B221" s="14" t="s">
        <v>1000</v>
      </c>
      <c r="C221" s="14" t="s">
        <v>1001</v>
      </c>
      <c r="D221" s="15">
        <v>-7.5963200000000004</v>
      </c>
      <c r="E221" s="15">
        <v>-3.6896399999999998</v>
      </c>
      <c r="F221" s="15">
        <v>-21.84487</v>
      </c>
      <c r="G221" s="15">
        <v>-15.42825</v>
      </c>
      <c r="H221" s="15">
        <v>-18.133299999999998</v>
      </c>
      <c r="I221" s="15">
        <v>-17.50836</v>
      </c>
      <c r="J221" s="15"/>
      <c r="K221" s="15"/>
      <c r="L221" s="15"/>
      <c r="M221" s="15"/>
      <c r="N221" s="15"/>
      <c r="O221" s="15"/>
    </row>
    <row r="222" spans="2:15" ht="16" customHeight="1" x14ac:dyDescent="0.35">
      <c r="B222" s="14" t="s">
        <v>1002</v>
      </c>
      <c r="C222" s="14" t="s">
        <v>1003</v>
      </c>
      <c r="D222" s="15">
        <v>1598.7275</v>
      </c>
      <c r="E222" s="15">
        <v>5863.2567399999998</v>
      </c>
      <c r="F222" s="15">
        <v>1900.72622</v>
      </c>
      <c r="G222" s="15">
        <v>1422.6626000000001</v>
      </c>
      <c r="H222" s="15">
        <v>3641.1020899999999</v>
      </c>
      <c r="I222" s="15">
        <v>-23339.68189</v>
      </c>
      <c r="J222" s="15"/>
      <c r="K222" s="15"/>
      <c r="L222" s="15"/>
      <c r="M222" s="15"/>
      <c r="N222" s="15"/>
      <c r="O222" s="15"/>
    </row>
    <row r="223" spans="2:15" ht="16" customHeight="1" x14ac:dyDescent="0.35">
      <c r="B223" s="10"/>
      <c r="C223" s="11" t="s">
        <v>22</v>
      </c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</row>
    <row r="224" spans="2:15" ht="16" customHeight="1" x14ac:dyDescent="0.35">
      <c r="B224" s="10"/>
      <c r="C224" s="11" t="s">
        <v>22</v>
      </c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</row>
    <row r="225" spans="2:15" ht="16" customHeight="1" x14ac:dyDescent="0.35">
      <c r="B225" s="41"/>
      <c r="C225" s="36" t="s">
        <v>751</v>
      </c>
      <c r="D225" s="37">
        <f t="shared" ref="D225:O225" si="48">D217-D220</f>
        <v>9.4389999997702034E-2</v>
      </c>
      <c r="E225" s="37">
        <f t="shared" si="48"/>
        <v>0.19153000000005704</v>
      </c>
      <c r="F225" s="37">
        <f t="shared" si="48"/>
        <v>23.881789999947841</v>
      </c>
      <c r="G225" s="37">
        <f t="shared" si="48"/>
        <v>-25.329470000009451</v>
      </c>
      <c r="H225" s="37">
        <f t="shared" si="48"/>
        <v>-1.5999999634459527E-3</v>
      </c>
      <c r="I225" s="37">
        <f t="shared" si="48"/>
        <v>-1448.3906200001584</v>
      </c>
      <c r="J225" s="37">
        <f t="shared" si="48"/>
        <v>0</v>
      </c>
      <c r="K225" s="37">
        <f t="shared" si="48"/>
        <v>0</v>
      </c>
      <c r="L225" s="37">
        <f t="shared" si="48"/>
        <v>0</v>
      </c>
      <c r="M225" s="37">
        <f t="shared" si="48"/>
        <v>0</v>
      </c>
      <c r="N225" s="37">
        <f t="shared" si="48"/>
        <v>0</v>
      </c>
      <c r="O225" s="37">
        <f t="shared" si="48"/>
        <v>0</v>
      </c>
    </row>
    <row r="226" spans="2:15" ht="16" customHeight="1" x14ac:dyDescent="0.35">
      <c r="B226" s="10"/>
      <c r="C226" s="11" t="s">
        <v>22</v>
      </c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</row>
    <row r="227" spans="2:15" ht="16" customHeight="1" x14ac:dyDescent="0.35">
      <c r="B227" s="10"/>
      <c r="C227" s="11" t="s">
        <v>22</v>
      </c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</row>
    <row r="228" spans="2:15" ht="16" customHeight="1" x14ac:dyDescent="0.35">
      <c r="B228" s="38"/>
      <c r="C228" s="34" t="s">
        <v>1004</v>
      </c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</row>
    <row r="229" spans="2:15" ht="16" customHeight="1" x14ac:dyDescent="0.35">
      <c r="B229" s="10"/>
      <c r="C229" s="11" t="s">
        <v>22</v>
      </c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</row>
    <row r="230" spans="2:15" ht="16" customHeight="1" x14ac:dyDescent="0.35">
      <c r="B230" s="42"/>
      <c r="C230" s="14" t="s">
        <v>890</v>
      </c>
      <c r="D230" s="15">
        <f t="shared" ref="D230:O230" si="49">D128</f>
        <v>-10391.575120000001</v>
      </c>
      <c r="E230" s="15">
        <f t="shared" si="49"/>
        <v>-28089.846310000001</v>
      </c>
      <c r="F230" s="15">
        <f t="shared" si="49"/>
        <v>-36390.254910000003</v>
      </c>
      <c r="G230" s="15">
        <f t="shared" si="49"/>
        <v>-49426.669389999995</v>
      </c>
      <c r="H230" s="15">
        <f t="shared" si="49"/>
        <v>-62131.282050000002</v>
      </c>
      <c r="I230" s="15">
        <f t="shared" si="49"/>
        <v>-66136.001779999991</v>
      </c>
      <c r="J230" s="15">
        <f t="shared" si="49"/>
        <v>0</v>
      </c>
      <c r="K230" s="15">
        <f t="shared" si="49"/>
        <v>0</v>
      </c>
      <c r="L230" s="15">
        <f t="shared" si="49"/>
        <v>0</v>
      </c>
      <c r="M230" s="15">
        <f t="shared" si="49"/>
        <v>0</v>
      </c>
      <c r="N230" s="15">
        <f t="shared" si="49"/>
        <v>0</v>
      </c>
      <c r="O230" s="15">
        <f t="shared" si="49"/>
        <v>0</v>
      </c>
    </row>
    <row r="231" spans="2:15" ht="16" customHeight="1" x14ac:dyDescent="0.35">
      <c r="B231" s="42"/>
      <c r="C231" s="14" t="s">
        <v>892</v>
      </c>
      <c r="D231" s="15">
        <f t="shared" ref="D231:O231" si="50">D130</f>
        <v>607.80867000000001</v>
      </c>
      <c r="E231" s="15">
        <f t="shared" si="50"/>
        <v>754.46866999999997</v>
      </c>
      <c r="F231" s="15">
        <f t="shared" si="50"/>
        <v>2902.2149199999999</v>
      </c>
      <c r="G231" s="15">
        <f t="shared" si="50"/>
        <v>2958.24244</v>
      </c>
      <c r="H231" s="15">
        <f t="shared" si="50"/>
        <v>3192.2789400000001</v>
      </c>
      <c r="I231" s="15">
        <f t="shared" si="50"/>
        <v>3191.9749700000002</v>
      </c>
      <c r="J231" s="15">
        <f t="shared" si="50"/>
        <v>0</v>
      </c>
      <c r="K231" s="15">
        <f t="shared" si="50"/>
        <v>0</v>
      </c>
      <c r="L231" s="15">
        <f t="shared" si="50"/>
        <v>0</v>
      </c>
      <c r="M231" s="15">
        <f t="shared" si="50"/>
        <v>0</v>
      </c>
      <c r="N231" s="15">
        <f t="shared" si="50"/>
        <v>0</v>
      </c>
      <c r="O231" s="15">
        <f t="shared" si="50"/>
        <v>0</v>
      </c>
    </row>
    <row r="232" spans="2:15" ht="16" customHeight="1" x14ac:dyDescent="0.35">
      <c r="B232" s="38"/>
      <c r="C232" s="34" t="s">
        <v>1005</v>
      </c>
      <c r="D232" s="35">
        <f t="shared" ref="D232:O232" si="51">D104+D230+D231</f>
        <v>-95221.535319999995</v>
      </c>
      <c r="E232" s="35">
        <f t="shared" si="51"/>
        <v>-124719.04812999998</v>
      </c>
      <c r="F232" s="35">
        <f t="shared" si="51"/>
        <v>-177980.95815000002</v>
      </c>
      <c r="G232" s="35">
        <f t="shared" si="51"/>
        <v>-210059.42862999998</v>
      </c>
      <c r="H232" s="35">
        <f t="shared" si="51"/>
        <v>-187402.39890000003</v>
      </c>
      <c r="I232" s="35">
        <f t="shared" si="51"/>
        <v>-213301.85021</v>
      </c>
      <c r="J232" s="35">
        <f t="shared" si="51"/>
        <v>0</v>
      </c>
      <c r="K232" s="35">
        <f t="shared" si="51"/>
        <v>0</v>
      </c>
      <c r="L232" s="35">
        <f t="shared" si="51"/>
        <v>0</v>
      </c>
      <c r="M232" s="35">
        <f t="shared" si="51"/>
        <v>0</v>
      </c>
      <c r="N232" s="35">
        <f t="shared" si="51"/>
        <v>0</v>
      </c>
      <c r="O232" s="35">
        <f t="shared" si="51"/>
        <v>0</v>
      </c>
    </row>
    <row r="233" spans="2:15" ht="16" customHeight="1" x14ac:dyDescent="0.35">
      <c r="B233" s="42"/>
      <c r="C233" s="14" t="s">
        <v>976</v>
      </c>
      <c r="D233" s="15">
        <f t="shared" ref="D233:O233" si="52">D200</f>
        <v>-4276.4070499999998</v>
      </c>
      <c r="E233" s="15">
        <f t="shared" si="52"/>
        <v>-8293.2669800000003</v>
      </c>
      <c r="F233" s="15">
        <f t="shared" si="52"/>
        <v>-12823.550050000002</v>
      </c>
      <c r="G233" s="15">
        <f t="shared" si="52"/>
        <v>-17402.640040000002</v>
      </c>
      <c r="H233" s="15">
        <f t="shared" si="52"/>
        <v>-21898.765330000002</v>
      </c>
      <c r="I233" s="15">
        <f t="shared" si="52"/>
        <v>-21902.716959999998</v>
      </c>
      <c r="J233" s="15">
        <f t="shared" si="52"/>
        <v>0</v>
      </c>
      <c r="K233" s="15">
        <f t="shared" si="52"/>
        <v>0</v>
      </c>
      <c r="L233" s="15">
        <f t="shared" si="52"/>
        <v>0</v>
      </c>
      <c r="M233" s="15">
        <f t="shared" si="52"/>
        <v>0</v>
      </c>
      <c r="N233" s="15">
        <f t="shared" si="52"/>
        <v>0</v>
      </c>
      <c r="O233" s="15">
        <f t="shared" si="52"/>
        <v>0</v>
      </c>
    </row>
    <row r="234" spans="2:15" ht="16" customHeight="1" x14ac:dyDescent="0.35">
      <c r="B234" s="38"/>
      <c r="C234" s="34" t="s">
        <v>1006</v>
      </c>
      <c r="D234" s="35">
        <f t="shared" ref="D234:O234" si="53">D232+D233</f>
        <v>-99497.94236999999</v>
      </c>
      <c r="E234" s="35">
        <f t="shared" si="53"/>
        <v>-133012.31510999997</v>
      </c>
      <c r="F234" s="35">
        <f t="shared" si="53"/>
        <v>-190804.50820000001</v>
      </c>
      <c r="G234" s="35">
        <f t="shared" si="53"/>
        <v>-227462.06866999998</v>
      </c>
      <c r="H234" s="35">
        <f t="shared" si="53"/>
        <v>-209301.16423000002</v>
      </c>
      <c r="I234" s="35">
        <f t="shared" si="53"/>
        <v>-235204.56716999999</v>
      </c>
      <c r="J234" s="35">
        <f t="shared" si="53"/>
        <v>0</v>
      </c>
      <c r="K234" s="35">
        <f t="shared" si="53"/>
        <v>0</v>
      </c>
      <c r="L234" s="35">
        <f t="shared" si="53"/>
        <v>0</v>
      </c>
      <c r="M234" s="35">
        <f t="shared" si="53"/>
        <v>0</v>
      </c>
      <c r="N234" s="35">
        <f t="shared" si="53"/>
        <v>0</v>
      </c>
      <c r="O234" s="35">
        <f t="shared" si="53"/>
        <v>0</v>
      </c>
    </row>
    <row r="235" spans="2:15" ht="16" customHeight="1" x14ac:dyDescent="0.35">
      <c r="B235" s="42"/>
      <c r="C235" s="14" t="s">
        <v>813</v>
      </c>
      <c r="D235" s="15">
        <f t="shared" ref="D235:O235" si="54">D63</f>
        <v>0</v>
      </c>
      <c r="E235" s="15">
        <f t="shared" si="54"/>
        <v>-5671.9005299999999</v>
      </c>
      <c r="F235" s="15">
        <f t="shared" si="54"/>
        <v>-24232.031139999999</v>
      </c>
      <c r="G235" s="15">
        <f t="shared" si="54"/>
        <v>-24809.36476</v>
      </c>
      <c r="H235" s="15">
        <f t="shared" si="54"/>
        <v>-24809.41908</v>
      </c>
      <c r="I235" s="15">
        <f t="shared" si="54"/>
        <v>-24787.832600000002</v>
      </c>
      <c r="J235" s="15">
        <f t="shared" si="54"/>
        <v>0</v>
      </c>
      <c r="K235" s="15">
        <f t="shared" si="54"/>
        <v>0</v>
      </c>
      <c r="L235" s="15">
        <f t="shared" si="54"/>
        <v>0</v>
      </c>
      <c r="M235" s="15">
        <f t="shared" si="54"/>
        <v>0</v>
      </c>
      <c r="N235" s="15">
        <f t="shared" si="54"/>
        <v>0</v>
      </c>
      <c r="O235" s="15">
        <f t="shared" si="54"/>
        <v>0</v>
      </c>
    </row>
    <row r="236" spans="2:15" ht="16" customHeight="1" x14ac:dyDescent="0.35">
      <c r="B236" s="38"/>
      <c r="C236" s="34" t="s">
        <v>1007</v>
      </c>
      <c r="D236" s="35">
        <f t="shared" ref="D236:O236" si="55">D234-D235</f>
        <v>-99497.94236999999</v>
      </c>
      <c r="E236" s="35">
        <f t="shared" si="55"/>
        <v>-127340.41457999997</v>
      </c>
      <c r="F236" s="35">
        <f t="shared" si="55"/>
        <v>-166572.47706</v>
      </c>
      <c r="G236" s="35">
        <f t="shared" si="55"/>
        <v>-202652.70390999998</v>
      </c>
      <c r="H236" s="35">
        <f t="shared" si="55"/>
        <v>-184491.74515000003</v>
      </c>
      <c r="I236" s="35">
        <f t="shared" si="55"/>
        <v>-210416.73457</v>
      </c>
      <c r="J236" s="35">
        <f t="shared" si="55"/>
        <v>0</v>
      </c>
      <c r="K236" s="35">
        <f t="shared" si="55"/>
        <v>0</v>
      </c>
      <c r="L236" s="35">
        <f t="shared" si="55"/>
        <v>0</v>
      </c>
      <c r="M236" s="35">
        <f t="shared" si="55"/>
        <v>0</v>
      </c>
      <c r="N236" s="35">
        <f t="shared" si="55"/>
        <v>0</v>
      </c>
      <c r="O236" s="35">
        <f t="shared" si="55"/>
        <v>0</v>
      </c>
    </row>
    <row r="237" spans="2:15" ht="16" customHeight="1" x14ac:dyDescent="0.35">
      <c r="B237" s="10"/>
      <c r="C237" s="11" t="s">
        <v>22</v>
      </c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</row>
    <row r="238" spans="2:15" ht="16" customHeight="1" x14ac:dyDescent="0.35">
      <c r="B238" s="43"/>
      <c r="C238" s="44" t="s">
        <v>1008</v>
      </c>
      <c r="D238" s="45">
        <v>5.330227754</v>
      </c>
      <c r="E238" s="45">
        <v>4.6361511489999998</v>
      </c>
      <c r="F238" s="45">
        <v>14.490205254999999</v>
      </c>
      <c r="G238" s="45">
        <v>-14.787218271</v>
      </c>
      <c r="H238" s="45">
        <v>-3.0680472249999999</v>
      </c>
      <c r="I238" s="45">
        <v>-2.2789017359999999</v>
      </c>
      <c r="J238" s="45"/>
      <c r="K238" s="45"/>
      <c r="L238" s="45"/>
      <c r="M238" s="45"/>
      <c r="N238" s="45"/>
      <c r="O238" s="45"/>
    </row>
    <row r="239" spans="2:15" ht="16" customHeight="1" x14ac:dyDescent="0.35">
      <c r="B239" s="43"/>
      <c r="C239" s="44" t="s">
        <v>1009</v>
      </c>
      <c r="D239" s="45">
        <v>3.7086532779999999</v>
      </c>
      <c r="E239" s="45">
        <v>2.5593256279999999</v>
      </c>
      <c r="F239" s="45">
        <v>2.9697195760000001</v>
      </c>
      <c r="G239" s="45">
        <v>4.134437267</v>
      </c>
      <c r="H239" s="45">
        <v>7.554129176</v>
      </c>
      <c r="I239" s="45">
        <v>-19.786414825000001</v>
      </c>
      <c r="J239" s="45"/>
      <c r="K239" s="45"/>
      <c r="L239" s="45"/>
      <c r="M239" s="45"/>
      <c r="N239" s="45"/>
      <c r="O239" s="45"/>
    </row>
    <row r="240" spans="2:15" ht="16" customHeight="1" x14ac:dyDescent="0.35">
      <c r="B240" s="43"/>
      <c r="C240" s="44" t="s">
        <v>1010</v>
      </c>
      <c r="D240" s="45">
        <v>-0.847099355</v>
      </c>
      <c r="E240" s="45">
        <v>-0.51480028499999997</v>
      </c>
      <c r="F240" s="45">
        <v>-0.42342552300000003</v>
      </c>
      <c r="G240" s="45">
        <v>-0.33837956200000002</v>
      </c>
      <c r="H240" s="45">
        <v>-0.22985065199999999</v>
      </c>
      <c r="I240" s="45">
        <v>-0.22962575099999999</v>
      </c>
      <c r="J240" s="45"/>
      <c r="K240" s="45"/>
      <c r="L240" s="45"/>
      <c r="M240" s="45"/>
      <c r="N240" s="45"/>
      <c r="O240" s="45"/>
    </row>
    <row r="241" spans="2:15" ht="16" customHeight="1" x14ac:dyDescent="0.35">
      <c r="B241" s="10"/>
      <c r="C241" s="11" t="s">
        <v>22</v>
      </c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</row>
  </sheetData>
  <mergeCells count="1">
    <mergeCell ref="B8:C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4FF3-9FE5-4222-AC02-893F166DC7F3}">
  <dimension ref="A3:Q241"/>
  <sheetViews>
    <sheetView showGridLines="0" workbookViewId="0">
      <pane ySplit="10" topLeftCell="A11" activePane="bottomLeft" state="frozen"/>
      <selection pane="bottomLeft" sqref="A1:A1048576"/>
    </sheetView>
  </sheetViews>
  <sheetFormatPr defaultColWidth="9.1796875" defaultRowHeight="16" customHeight="1" x14ac:dyDescent="0.35"/>
  <cols>
    <col min="1" max="1" width="3.1796875" style="1" customWidth="1"/>
    <col min="2" max="2" width="10.7265625" style="1" customWidth="1"/>
    <col min="3" max="3" width="55.7265625" style="1" customWidth="1"/>
    <col min="4" max="26" width="15.7265625" style="1" customWidth="1"/>
    <col min="27" max="16384" width="9.1796875" style="1"/>
  </cols>
  <sheetData>
    <row r="3" spans="1:17" ht="16" customHeight="1" x14ac:dyDescent="0.35">
      <c r="B3" s="2" t="s">
        <v>1011</v>
      </c>
    </row>
    <row r="4" spans="1:17" ht="16" customHeight="1" x14ac:dyDescent="0.35">
      <c r="B4" s="4" t="s">
        <v>270</v>
      </c>
    </row>
    <row r="5" spans="1:17" ht="16" customHeight="1" x14ac:dyDescent="0.35">
      <c r="B5" s="4" t="s">
        <v>271</v>
      </c>
    </row>
    <row r="6" spans="1:17" ht="16" customHeight="1" x14ac:dyDescent="0.35">
      <c r="A6" s="20" t="s">
        <v>1012</v>
      </c>
      <c r="B6" s="1" t="str">
        <f>REPLACE(A6,16,15,"QTD")</f>
        <v>Period length: QTD</v>
      </c>
    </row>
    <row r="7" spans="1:17" ht="16" customHeight="1" x14ac:dyDescent="0.35">
      <c r="A7" s="20"/>
      <c r="B7" s="1" t="s">
        <v>272</v>
      </c>
    </row>
    <row r="8" spans="1:17" ht="16" customHeight="1" x14ac:dyDescent="0.35">
      <c r="A8" s="20"/>
      <c r="B8" s="6">
        <v>46194.596241851854</v>
      </c>
      <c r="C8" s="6"/>
    </row>
    <row r="10" spans="1:17" ht="16" customHeight="1" thickBot="1" x14ac:dyDescent="0.5">
      <c r="B10" s="7"/>
      <c r="C10" s="7"/>
      <c r="D10" s="8" t="s">
        <v>3</v>
      </c>
      <c r="E10" s="8" t="s">
        <v>6</v>
      </c>
      <c r="F10" s="8" t="s">
        <v>9</v>
      </c>
      <c r="G10" s="8" t="s">
        <v>12</v>
      </c>
      <c r="H10" s="21" t="s">
        <v>268</v>
      </c>
      <c r="I10" s="9"/>
      <c r="J10" s="9"/>
      <c r="K10" s="9"/>
      <c r="L10" s="9"/>
      <c r="M10" s="9"/>
      <c r="N10" s="9"/>
      <c r="O10" s="9"/>
      <c r="P10" s="13"/>
      <c r="Q10" s="9"/>
    </row>
    <row r="11" spans="1:17" ht="16" customHeight="1" x14ac:dyDescent="0.45">
      <c r="B11" s="10"/>
      <c r="C11" s="11"/>
      <c r="D11" s="12"/>
      <c r="E11" s="12"/>
      <c r="F11" s="12"/>
      <c r="G11" s="12"/>
      <c r="H11" s="22"/>
      <c r="I11" s="13"/>
      <c r="J11" s="13"/>
      <c r="K11" s="13"/>
      <c r="L11" s="13"/>
      <c r="M11" s="13"/>
      <c r="N11" s="13"/>
      <c r="O11" s="13"/>
      <c r="P11" s="13"/>
      <c r="Q11" s="13"/>
    </row>
    <row r="12" spans="1:17" ht="16" customHeight="1" x14ac:dyDescent="0.35">
      <c r="B12" s="38"/>
      <c r="C12" s="34" t="s">
        <v>754</v>
      </c>
      <c r="D12" s="35"/>
      <c r="E12" s="35"/>
      <c r="F12" s="35"/>
      <c r="G12" s="35"/>
      <c r="H12" s="46"/>
    </row>
    <row r="13" spans="1:17" ht="16" customHeight="1" x14ac:dyDescent="0.35">
      <c r="B13" s="10"/>
      <c r="C13" s="11" t="s">
        <v>22</v>
      </c>
      <c r="D13" s="12"/>
      <c r="E13" s="12"/>
      <c r="F13" s="12"/>
      <c r="G13" s="12"/>
      <c r="H13" s="22"/>
    </row>
    <row r="14" spans="1:17" ht="16" customHeight="1" x14ac:dyDescent="0.35">
      <c r="B14" s="14" t="s">
        <v>755</v>
      </c>
      <c r="C14" s="14" t="s">
        <v>138</v>
      </c>
      <c r="D14" s="15">
        <v>-44159.610309999996</v>
      </c>
      <c r="E14" s="15">
        <v>77089.123550000004</v>
      </c>
      <c r="F14" s="15">
        <v>-32929.51324</v>
      </c>
      <c r="G14" s="15"/>
      <c r="H14" s="23">
        <f>SUM(D14:G14)</f>
        <v>0</v>
      </c>
    </row>
    <row r="15" spans="1:17" ht="16" customHeight="1" x14ac:dyDescent="0.35">
      <c r="B15" s="10"/>
      <c r="C15" s="11" t="s">
        <v>22</v>
      </c>
      <c r="D15" s="12"/>
      <c r="E15" s="12"/>
      <c r="F15" s="12"/>
      <c r="G15" s="12"/>
      <c r="H15" s="22"/>
    </row>
    <row r="16" spans="1:17" ht="16" customHeight="1" x14ac:dyDescent="0.35">
      <c r="B16" s="14" t="s">
        <v>756</v>
      </c>
      <c r="C16" s="14" t="s">
        <v>757</v>
      </c>
      <c r="D16" s="15">
        <v>32664.088049999998</v>
      </c>
      <c r="E16" s="15">
        <v>26738.916290000001</v>
      </c>
      <c r="F16" s="15">
        <v>-59403.00434</v>
      </c>
      <c r="G16" s="15"/>
      <c r="H16" s="23">
        <f>SUM(D16:G16)</f>
        <v>0</v>
      </c>
    </row>
    <row r="17" spans="2:8" ht="16" customHeight="1" x14ac:dyDescent="0.35">
      <c r="B17" s="10"/>
      <c r="C17" s="11" t="s">
        <v>22</v>
      </c>
      <c r="D17" s="12"/>
      <c r="E17" s="12"/>
      <c r="F17" s="12"/>
      <c r="G17" s="12"/>
      <c r="H17" s="22"/>
    </row>
    <row r="18" spans="2:8" ht="16" customHeight="1" x14ac:dyDescent="0.35">
      <c r="B18" s="34" t="s">
        <v>758</v>
      </c>
      <c r="C18" s="34" t="s">
        <v>126</v>
      </c>
      <c r="D18" s="35">
        <f>D14+D16</f>
        <v>-11495.522259999998</v>
      </c>
      <c r="E18" s="35">
        <f>E14+E16</f>
        <v>103828.03984000001</v>
      </c>
      <c r="F18" s="35">
        <f>F14+F16</f>
        <v>-92332.51758</v>
      </c>
      <c r="G18" s="35">
        <f>G14+G16</f>
        <v>0</v>
      </c>
      <c r="H18" s="46">
        <f>H14+H16</f>
        <v>0</v>
      </c>
    </row>
    <row r="19" spans="2:8" ht="16" customHeight="1" x14ac:dyDescent="0.35">
      <c r="B19" s="10"/>
      <c r="C19" s="11" t="s">
        <v>22</v>
      </c>
      <c r="D19" s="12"/>
      <c r="E19" s="12"/>
      <c r="F19" s="12"/>
      <c r="G19" s="12"/>
      <c r="H19" s="22"/>
    </row>
    <row r="20" spans="2:8" ht="16" customHeight="1" x14ac:dyDescent="0.35">
      <c r="B20" s="14" t="s">
        <v>759</v>
      </c>
      <c r="C20" s="14" t="s">
        <v>760</v>
      </c>
      <c r="D20" s="15">
        <v>12731.96443</v>
      </c>
      <c r="E20" s="15">
        <v>9352.1944700000004</v>
      </c>
      <c r="F20" s="15">
        <v>-22084.158899999999</v>
      </c>
      <c r="G20" s="15"/>
      <c r="H20" s="23">
        <f>SUM(D20:G20)</f>
        <v>0</v>
      </c>
    </row>
    <row r="21" spans="2:8" ht="16" customHeight="1" x14ac:dyDescent="0.35">
      <c r="B21" s="14" t="s">
        <v>761</v>
      </c>
      <c r="C21" s="14" t="s">
        <v>762</v>
      </c>
      <c r="D21" s="15">
        <v>12186.68432</v>
      </c>
      <c r="E21" s="15">
        <v>8088.5220799999997</v>
      </c>
      <c r="F21" s="15">
        <v>-20275.206399999999</v>
      </c>
      <c r="G21" s="15"/>
      <c r="H21" s="23">
        <f>SUM(D21:G21)</f>
        <v>0</v>
      </c>
    </row>
    <row r="22" spans="2:8" ht="16" customHeight="1" x14ac:dyDescent="0.35">
      <c r="B22" s="10"/>
      <c r="C22" s="11" t="s">
        <v>22</v>
      </c>
      <c r="D22" s="12"/>
      <c r="E22" s="12"/>
      <c r="F22" s="12"/>
      <c r="G22" s="12"/>
      <c r="H22" s="22"/>
    </row>
    <row r="23" spans="2:8" ht="16" customHeight="1" x14ac:dyDescent="0.35">
      <c r="B23" s="38"/>
      <c r="C23" s="34" t="s">
        <v>763</v>
      </c>
      <c r="D23" s="35">
        <f>D24+D25</f>
        <v>0</v>
      </c>
      <c r="E23" s="35">
        <f>E24+E25</f>
        <v>0</v>
      </c>
      <c r="F23" s="35">
        <f>F24+F25</f>
        <v>0</v>
      </c>
      <c r="G23" s="35">
        <f>G24+G25</f>
        <v>0</v>
      </c>
      <c r="H23" s="46">
        <f>H24+H25</f>
        <v>0</v>
      </c>
    </row>
    <row r="24" spans="2:8" ht="16" customHeight="1" x14ac:dyDescent="0.35">
      <c r="B24" s="14" t="s">
        <v>764</v>
      </c>
      <c r="C24" s="14" t="s">
        <v>112</v>
      </c>
      <c r="D24" s="15"/>
      <c r="E24" s="15"/>
      <c r="F24" s="15"/>
      <c r="G24" s="15"/>
      <c r="H24" s="23">
        <f>SUM(D24:G24)</f>
        <v>0</v>
      </c>
    </row>
    <row r="25" spans="2:8" ht="16" customHeight="1" x14ac:dyDescent="0.35">
      <c r="B25" s="14" t="s">
        <v>765</v>
      </c>
      <c r="C25" s="14" t="s">
        <v>110</v>
      </c>
      <c r="D25" s="15"/>
      <c r="E25" s="15"/>
      <c r="F25" s="15"/>
      <c r="G25" s="15"/>
      <c r="H25" s="23">
        <f>SUM(D25:G25)</f>
        <v>0</v>
      </c>
    </row>
    <row r="26" spans="2:8" ht="16" customHeight="1" x14ac:dyDescent="0.35">
      <c r="B26" s="10"/>
      <c r="C26" s="11" t="s">
        <v>22</v>
      </c>
      <c r="D26" s="12"/>
      <c r="E26" s="12"/>
      <c r="F26" s="12"/>
      <c r="G26" s="12"/>
      <c r="H26" s="22"/>
    </row>
    <row r="27" spans="2:8" ht="16" customHeight="1" x14ac:dyDescent="0.35">
      <c r="B27" s="38"/>
      <c r="C27" s="34" t="s">
        <v>766</v>
      </c>
      <c r="D27" s="35">
        <f>D28+D29</f>
        <v>-3884.3830799999996</v>
      </c>
      <c r="E27" s="35">
        <f>E28+E29</f>
        <v>-3660.0722700000001</v>
      </c>
      <c r="F27" s="35">
        <f>F28+F29</f>
        <v>7544.4553499999993</v>
      </c>
      <c r="G27" s="35">
        <f>G28+G29</f>
        <v>0</v>
      </c>
      <c r="H27" s="46">
        <f>H28+H29</f>
        <v>0</v>
      </c>
    </row>
    <row r="28" spans="2:8" ht="16" customHeight="1" x14ac:dyDescent="0.35">
      <c r="B28" s="14" t="s">
        <v>767</v>
      </c>
      <c r="C28" s="14" t="s">
        <v>768</v>
      </c>
      <c r="D28" s="15">
        <v>-4329.8530799999999</v>
      </c>
      <c r="E28" s="15">
        <v>-3960.0722700000001</v>
      </c>
      <c r="F28" s="15">
        <v>8289.9253499999995</v>
      </c>
      <c r="G28" s="15"/>
      <c r="H28" s="23">
        <f>SUM(D28:G28)</f>
        <v>0</v>
      </c>
    </row>
    <row r="29" spans="2:8" ht="16" customHeight="1" x14ac:dyDescent="0.35">
      <c r="B29" s="14" t="s">
        <v>769</v>
      </c>
      <c r="C29" s="14" t="s">
        <v>770</v>
      </c>
      <c r="D29" s="15">
        <v>445.47</v>
      </c>
      <c r="E29" s="15">
        <v>300</v>
      </c>
      <c r="F29" s="15">
        <v>-745.47</v>
      </c>
      <c r="G29" s="15"/>
      <c r="H29" s="23">
        <f>SUM(D29:G29)</f>
        <v>0</v>
      </c>
    </row>
    <row r="30" spans="2:8" ht="16" customHeight="1" x14ac:dyDescent="0.35">
      <c r="B30" s="10"/>
      <c r="C30" s="11" t="s">
        <v>22</v>
      </c>
      <c r="D30" s="12"/>
      <c r="E30" s="12"/>
      <c r="F30" s="12"/>
      <c r="G30" s="12"/>
      <c r="H30" s="22"/>
    </row>
    <row r="31" spans="2:8" ht="16" customHeight="1" x14ac:dyDescent="0.35">
      <c r="B31" s="38"/>
      <c r="C31" s="34" t="s">
        <v>771</v>
      </c>
      <c r="D31" s="35">
        <f>D32+D33+D34+D35+D36+D37+D38</f>
        <v>-1712.3218999999999</v>
      </c>
      <c r="E31" s="35">
        <f>E32+E33+E34+E35+E36+E37+E38</f>
        <v>2695.2214100000001</v>
      </c>
      <c r="F31" s="35">
        <f>F32+F33+F34+F35+F36+F37+F38</f>
        <v>-982.89951000000019</v>
      </c>
      <c r="G31" s="35">
        <f>G32+G33+G34+G35+G36+G37+G38</f>
        <v>0</v>
      </c>
      <c r="H31" s="46">
        <f>H32+H33+H34+H35+H36+H37+H38</f>
        <v>0</v>
      </c>
    </row>
    <row r="32" spans="2:8" ht="16" customHeight="1" x14ac:dyDescent="0.35">
      <c r="B32" s="14" t="s">
        <v>772</v>
      </c>
      <c r="C32" s="14" t="s">
        <v>88</v>
      </c>
      <c r="D32" s="15">
        <v>-2297.7528400000001</v>
      </c>
      <c r="E32" s="15">
        <v>-123.47956000000001</v>
      </c>
      <c r="F32" s="15">
        <v>2421.2323999999999</v>
      </c>
      <c r="G32" s="15"/>
      <c r="H32" s="23">
        <f t="shared" ref="H32:H38" si="0">SUM(D32:G32)</f>
        <v>0</v>
      </c>
    </row>
    <row r="33" spans="2:8" ht="16" customHeight="1" x14ac:dyDescent="0.35">
      <c r="B33" s="14" t="s">
        <v>773</v>
      </c>
      <c r="C33" s="14" t="s">
        <v>774</v>
      </c>
      <c r="D33" s="15">
        <v>13.050739999999999</v>
      </c>
      <c r="E33" s="15">
        <v>142.68575999999999</v>
      </c>
      <c r="F33" s="15">
        <v>-155.73650000000001</v>
      </c>
      <c r="G33" s="15"/>
      <c r="H33" s="23">
        <f t="shared" si="0"/>
        <v>0</v>
      </c>
    </row>
    <row r="34" spans="2:8" ht="16" customHeight="1" x14ac:dyDescent="0.35">
      <c r="B34" s="14" t="s">
        <v>775</v>
      </c>
      <c r="C34" s="14" t="s">
        <v>776</v>
      </c>
      <c r="D34" s="15">
        <v>-358</v>
      </c>
      <c r="E34" s="15">
        <v>40</v>
      </c>
      <c r="F34" s="15">
        <v>318</v>
      </c>
      <c r="G34" s="15"/>
      <c r="H34" s="23">
        <f t="shared" si="0"/>
        <v>0</v>
      </c>
    </row>
    <row r="35" spans="2:8" ht="16" customHeight="1" x14ac:dyDescent="0.35">
      <c r="B35" s="14" t="s">
        <v>777</v>
      </c>
      <c r="C35" s="14" t="s">
        <v>778</v>
      </c>
      <c r="D35" s="15"/>
      <c r="E35" s="15"/>
      <c r="F35" s="15"/>
      <c r="G35" s="15"/>
      <c r="H35" s="23">
        <f t="shared" si="0"/>
        <v>0</v>
      </c>
    </row>
    <row r="36" spans="2:8" ht="16" customHeight="1" x14ac:dyDescent="0.35">
      <c r="B36" s="14" t="s">
        <v>779</v>
      </c>
      <c r="C36" s="14" t="s">
        <v>780</v>
      </c>
      <c r="D36" s="15"/>
      <c r="E36" s="15"/>
      <c r="F36" s="15"/>
      <c r="G36" s="15"/>
      <c r="H36" s="23">
        <f t="shared" si="0"/>
        <v>0</v>
      </c>
    </row>
    <row r="37" spans="2:8" ht="16" customHeight="1" x14ac:dyDescent="0.35">
      <c r="B37" s="14" t="s">
        <v>781</v>
      </c>
      <c r="C37" s="14" t="s">
        <v>782</v>
      </c>
      <c r="D37" s="15">
        <v>930.38019999999995</v>
      </c>
      <c r="E37" s="15">
        <v>2636.01521</v>
      </c>
      <c r="F37" s="15">
        <v>-3566.3954100000001</v>
      </c>
      <c r="G37" s="15"/>
      <c r="H37" s="23">
        <f t="shared" si="0"/>
        <v>0</v>
      </c>
    </row>
    <row r="38" spans="2:8" ht="16" customHeight="1" x14ac:dyDescent="0.35">
      <c r="B38" s="14" t="s">
        <v>783</v>
      </c>
      <c r="C38" s="14" t="s">
        <v>784</v>
      </c>
      <c r="D38" s="15"/>
      <c r="E38" s="15"/>
      <c r="F38" s="15"/>
      <c r="G38" s="15"/>
      <c r="H38" s="23">
        <f t="shared" si="0"/>
        <v>0</v>
      </c>
    </row>
    <row r="39" spans="2:8" ht="16" customHeight="1" x14ac:dyDescent="0.35">
      <c r="B39" s="10"/>
      <c r="C39" s="11" t="s">
        <v>22</v>
      </c>
      <c r="D39" s="12"/>
      <c r="E39" s="12"/>
      <c r="F39" s="12"/>
      <c r="G39" s="12"/>
      <c r="H39" s="22"/>
    </row>
    <row r="40" spans="2:8" ht="16" customHeight="1" x14ac:dyDescent="0.35">
      <c r="B40" s="38"/>
      <c r="C40" s="34" t="s">
        <v>785</v>
      </c>
      <c r="D40" s="35">
        <f>-(-(D41+D42)-D43)</f>
        <v>0</v>
      </c>
      <c r="E40" s="35">
        <f>-(-(E41+E42)-E43)</f>
        <v>0</v>
      </c>
      <c r="F40" s="35">
        <f>-(-(F41+F42)-F43)</f>
        <v>0</v>
      </c>
      <c r="G40" s="35">
        <f>-(-(G41+G42)-G43)</f>
        <v>0</v>
      </c>
      <c r="H40" s="46">
        <f>-(-(H41+H42)-H43)</f>
        <v>0</v>
      </c>
    </row>
    <row r="41" spans="2:8" ht="16" customHeight="1" x14ac:dyDescent="0.35">
      <c r="B41" s="14" t="s">
        <v>786</v>
      </c>
      <c r="C41" s="14" t="s">
        <v>787</v>
      </c>
      <c r="D41" s="15"/>
      <c r="E41" s="15"/>
      <c r="F41" s="15"/>
      <c r="G41" s="15"/>
      <c r="H41" s="23">
        <f>SUM(D41:G41)</f>
        <v>0</v>
      </c>
    </row>
    <row r="42" spans="2:8" ht="16" customHeight="1" x14ac:dyDescent="0.35">
      <c r="B42" s="14" t="s">
        <v>788</v>
      </c>
      <c r="C42" s="14" t="s">
        <v>789</v>
      </c>
      <c r="D42" s="15"/>
      <c r="E42" s="15"/>
      <c r="F42" s="15"/>
      <c r="G42" s="15"/>
      <c r="H42" s="23">
        <f>SUM(D42:G42)</f>
        <v>0</v>
      </c>
    </row>
    <row r="43" spans="2:8" ht="16" customHeight="1" x14ac:dyDescent="0.35">
      <c r="B43" s="14" t="s">
        <v>790</v>
      </c>
      <c r="C43" s="14" t="s">
        <v>791</v>
      </c>
      <c r="D43" s="15"/>
      <c r="E43" s="15"/>
      <c r="F43" s="15"/>
      <c r="G43" s="15"/>
      <c r="H43" s="23">
        <f>SUM(D43:G43)</f>
        <v>0</v>
      </c>
    </row>
    <row r="44" spans="2:8" ht="16" customHeight="1" x14ac:dyDescent="0.35">
      <c r="B44" s="10"/>
      <c r="C44" s="11" t="s">
        <v>22</v>
      </c>
      <c r="D44" s="12"/>
      <c r="E44" s="12"/>
      <c r="F44" s="12"/>
      <c r="G44" s="12"/>
      <c r="H44" s="22"/>
    </row>
    <row r="45" spans="2:8" ht="16" customHeight="1" x14ac:dyDescent="0.35">
      <c r="B45" s="38"/>
      <c r="C45" s="34" t="s">
        <v>792</v>
      </c>
      <c r="D45" s="35">
        <f>D47+D51</f>
        <v>-11297.416429999999</v>
      </c>
      <c r="E45" s="35">
        <f>E47+E51</f>
        <v>-3602.0718199999997</v>
      </c>
      <c r="F45" s="35">
        <f>F47+F51</f>
        <v>14899.48825</v>
      </c>
      <c r="G45" s="35">
        <f>G47+G51</f>
        <v>0</v>
      </c>
      <c r="H45" s="46">
        <f>H47+H51</f>
        <v>0</v>
      </c>
    </row>
    <row r="46" spans="2:8" ht="16" customHeight="1" x14ac:dyDescent="0.35">
      <c r="B46" s="10"/>
      <c r="C46" s="11" t="s">
        <v>22</v>
      </c>
      <c r="D46" s="12"/>
      <c r="E46" s="12"/>
      <c r="F46" s="12"/>
      <c r="G46" s="12"/>
      <c r="H46" s="22"/>
    </row>
    <row r="47" spans="2:8" ht="16" customHeight="1" x14ac:dyDescent="0.35">
      <c r="B47" s="38"/>
      <c r="C47" s="34" t="s">
        <v>793</v>
      </c>
      <c r="D47" s="35">
        <f>D48+D49</f>
        <v>0.91951000000000005</v>
      </c>
      <c r="E47" s="35">
        <f>E48+E49</f>
        <v>2.9629500000000002</v>
      </c>
      <c r="F47" s="35">
        <f>F48+F49</f>
        <v>-3.88246</v>
      </c>
      <c r="G47" s="35">
        <f>G48+G49</f>
        <v>0</v>
      </c>
      <c r="H47" s="46">
        <f>H48+H49</f>
        <v>0</v>
      </c>
    </row>
    <row r="48" spans="2:8" ht="16" customHeight="1" x14ac:dyDescent="0.35">
      <c r="B48" s="14" t="s">
        <v>794</v>
      </c>
      <c r="C48" s="14" t="s">
        <v>795</v>
      </c>
      <c r="D48" s="15"/>
      <c r="E48" s="15"/>
      <c r="F48" s="15"/>
      <c r="G48" s="15"/>
      <c r="H48" s="23">
        <f>SUM(D48:G48)</f>
        <v>0</v>
      </c>
    </row>
    <row r="49" spans="2:8" ht="16" customHeight="1" x14ac:dyDescent="0.35">
      <c r="B49" s="14" t="s">
        <v>796</v>
      </c>
      <c r="C49" s="14" t="s">
        <v>797</v>
      </c>
      <c r="D49" s="15">
        <v>0.91951000000000005</v>
      </c>
      <c r="E49" s="15">
        <v>2.9629500000000002</v>
      </c>
      <c r="F49" s="15">
        <v>-3.88246</v>
      </c>
      <c r="G49" s="15"/>
      <c r="H49" s="23">
        <f>SUM(D49:G49)</f>
        <v>0</v>
      </c>
    </row>
    <row r="50" spans="2:8" ht="16" customHeight="1" x14ac:dyDescent="0.35">
      <c r="B50" s="10"/>
      <c r="C50" s="11" t="s">
        <v>22</v>
      </c>
      <c r="D50" s="12"/>
      <c r="E50" s="12"/>
      <c r="F50" s="12"/>
      <c r="G50" s="12"/>
      <c r="H50" s="22"/>
    </row>
    <row r="51" spans="2:8" ht="16" customHeight="1" x14ac:dyDescent="0.35">
      <c r="B51" s="38"/>
      <c r="C51" s="34" t="s">
        <v>798</v>
      </c>
      <c r="D51" s="35">
        <f>-(-(D52+D53)-D54)</f>
        <v>-11298.335939999999</v>
      </c>
      <c r="E51" s="35">
        <f>-(-(E52+E53)-E54)</f>
        <v>-3605.0347699999998</v>
      </c>
      <c r="F51" s="35">
        <f>-(-(F52+F53)-F54)</f>
        <v>14903.370710000001</v>
      </c>
      <c r="G51" s="35">
        <f>-(-(G52+G53)-G54)</f>
        <v>0</v>
      </c>
      <c r="H51" s="46">
        <f>-(-(H52+H53)-H54)</f>
        <v>0</v>
      </c>
    </row>
    <row r="52" spans="2:8" ht="16" customHeight="1" x14ac:dyDescent="0.35">
      <c r="B52" s="14" t="s">
        <v>799</v>
      </c>
      <c r="C52" s="14" t="s">
        <v>800</v>
      </c>
      <c r="D52" s="15">
        <v>-7705.3443600000001</v>
      </c>
      <c r="E52" s="15">
        <v>-1282.7916299999999</v>
      </c>
      <c r="F52" s="15">
        <v>8988.1359900000007</v>
      </c>
      <c r="G52" s="15"/>
      <c r="H52" s="23">
        <f>SUM(D52:G52)</f>
        <v>0</v>
      </c>
    </row>
    <row r="53" spans="2:8" ht="16" customHeight="1" x14ac:dyDescent="0.35">
      <c r="B53" s="14" t="s">
        <v>801</v>
      </c>
      <c r="C53" s="14" t="s">
        <v>802</v>
      </c>
      <c r="D53" s="15">
        <v>-1921.03108</v>
      </c>
      <c r="E53" s="15">
        <v>-1382.32737</v>
      </c>
      <c r="F53" s="15">
        <v>3303.3584500000002</v>
      </c>
      <c r="G53" s="15"/>
      <c r="H53" s="23">
        <f>SUM(D53:G53)</f>
        <v>0</v>
      </c>
    </row>
    <row r="54" spans="2:8" ht="16" customHeight="1" x14ac:dyDescent="0.35">
      <c r="B54" s="14" t="s">
        <v>803</v>
      </c>
      <c r="C54" s="14" t="s">
        <v>804</v>
      </c>
      <c r="D54" s="15">
        <v>-1671.9604999999999</v>
      </c>
      <c r="E54" s="15">
        <v>-939.91576999999995</v>
      </c>
      <c r="F54" s="15">
        <v>2611.8762700000002</v>
      </c>
      <c r="G54" s="15"/>
      <c r="H54" s="23">
        <f>SUM(D54:G54)</f>
        <v>0</v>
      </c>
    </row>
    <row r="55" spans="2:8" ht="16" customHeight="1" x14ac:dyDescent="0.35">
      <c r="B55" s="10"/>
      <c r="C55" s="11" t="s">
        <v>22</v>
      </c>
      <c r="D55" s="12"/>
      <c r="E55" s="12"/>
      <c r="F55" s="12"/>
      <c r="G55" s="12"/>
      <c r="H55" s="22"/>
    </row>
    <row r="56" spans="2:8" ht="16" customHeight="1" x14ac:dyDescent="0.35">
      <c r="B56" s="38"/>
      <c r="C56" s="34" t="s">
        <v>805</v>
      </c>
      <c r="D56" s="35">
        <f>D57+D58</f>
        <v>-74.592079999999996</v>
      </c>
      <c r="E56" s="35">
        <f>E57+E58</f>
        <v>-0.40594999999999998</v>
      </c>
      <c r="F56" s="35">
        <f>F57+F58</f>
        <v>74.99803</v>
      </c>
      <c r="G56" s="35">
        <f>G57+G58</f>
        <v>0</v>
      </c>
      <c r="H56" s="46">
        <f>H57+H58</f>
        <v>0</v>
      </c>
    </row>
    <row r="57" spans="2:8" ht="16" customHeight="1" x14ac:dyDescent="0.35">
      <c r="B57" s="14" t="s">
        <v>806</v>
      </c>
      <c r="C57" s="14" t="s">
        <v>805</v>
      </c>
      <c r="D57" s="15">
        <v>-74.592079999999996</v>
      </c>
      <c r="E57" s="15">
        <v>-0.40594999999999998</v>
      </c>
      <c r="F57" s="15">
        <v>74.99803</v>
      </c>
      <c r="G57" s="15"/>
      <c r="H57" s="23">
        <f>SUM(D57:G57)</f>
        <v>0</v>
      </c>
    </row>
    <row r="58" spans="2:8" ht="16" customHeight="1" x14ac:dyDescent="0.35">
      <c r="B58" s="14" t="s">
        <v>807</v>
      </c>
      <c r="C58" s="14" t="s">
        <v>808</v>
      </c>
      <c r="D58" s="15"/>
      <c r="E58" s="15"/>
      <c r="F58" s="15"/>
      <c r="G58" s="15"/>
      <c r="H58" s="23">
        <f>SUM(D58:G58)</f>
        <v>0</v>
      </c>
    </row>
    <row r="59" spans="2:8" ht="16" customHeight="1" x14ac:dyDescent="0.35">
      <c r="B59" s="10"/>
      <c r="C59" s="11" t="s">
        <v>22</v>
      </c>
      <c r="D59" s="12"/>
      <c r="E59" s="12"/>
      <c r="F59" s="12"/>
      <c r="G59" s="12"/>
      <c r="H59" s="22"/>
    </row>
    <row r="60" spans="2:8" ht="16" customHeight="1" x14ac:dyDescent="0.35">
      <c r="B60" s="14" t="s">
        <v>809</v>
      </c>
      <c r="C60" s="14" t="s">
        <v>810</v>
      </c>
      <c r="D60" s="15">
        <v>-706.51495</v>
      </c>
      <c r="E60" s="15">
        <v>-3924.7925500000001</v>
      </c>
      <c r="F60" s="15">
        <v>4631.3074999999999</v>
      </c>
      <c r="G60" s="15"/>
      <c r="H60" s="23">
        <f>SUM(D60:G60)</f>
        <v>0</v>
      </c>
    </row>
    <row r="61" spans="2:8" ht="16" customHeight="1" x14ac:dyDescent="0.35">
      <c r="B61" s="10"/>
      <c r="C61" s="11" t="s">
        <v>22</v>
      </c>
      <c r="D61" s="12"/>
      <c r="E61" s="12"/>
      <c r="F61" s="12"/>
      <c r="G61" s="12"/>
      <c r="H61" s="22"/>
    </row>
    <row r="62" spans="2:8" ht="16" customHeight="1" x14ac:dyDescent="0.35">
      <c r="B62" s="38"/>
      <c r="C62" s="34" t="s">
        <v>811</v>
      </c>
      <c r="D62" s="35">
        <f>-(-(D63+D64)-D65)</f>
        <v>-24232.031139999999</v>
      </c>
      <c r="E62" s="35">
        <f>-(-(E63+E64)-E65)</f>
        <v>-555.80146000000002</v>
      </c>
      <c r="F62" s="35">
        <f>-(-(F63+F64)-F65)</f>
        <v>24787.832600000002</v>
      </c>
      <c r="G62" s="35">
        <f>-(-(G63+G64)-G65)</f>
        <v>0</v>
      </c>
      <c r="H62" s="46">
        <f>-(-(H63+H64)-H65)</f>
        <v>0</v>
      </c>
    </row>
    <row r="63" spans="2:8" ht="16" customHeight="1" x14ac:dyDescent="0.35">
      <c r="B63" s="14" t="s">
        <v>812</v>
      </c>
      <c r="C63" s="14" t="s">
        <v>813</v>
      </c>
      <c r="D63" s="15">
        <v>-24232.031139999999</v>
      </c>
      <c r="E63" s="15">
        <v>-555.80146000000002</v>
      </c>
      <c r="F63" s="15">
        <v>24787.832600000002</v>
      </c>
      <c r="G63" s="15"/>
      <c r="H63" s="23">
        <f>SUM(D63:G63)</f>
        <v>0</v>
      </c>
    </row>
    <row r="64" spans="2:8" ht="16" customHeight="1" x14ac:dyDescent="0.35">
      <c r="B64" s="14" t="s">
        <v>814</v>
      </c>
      <c r="C64" s="14" t="s">
        <v>815</v>
      </c>
      <c r="D64" s="15"/>
      <c r="E64" s="15"/>
      <c r="F64" s="15"/>
      <c r="G64" s="15"/>
      <c r="H64" s="23">
        <f>SUM(D64:G64)</f>
        <v>0</v>
      </c>
    </row>
    <row r="65" spans="2:8" ht="16" customHeight="1" x14ac:dyDescent="0.35">
      <c r="B65" s="14" t="s">
        <v>816</v>
      </c>
      <c r="C65" s="14" t="s">
        <v>817</v>
      </c>
      <c r="D65" s="15"/>
      <c r="E65" s="15"/>
      <c r="F65" s="15"/>
      <c r="G65" s="15"/>
      <c r="H65" s="23">
        <f>SUM(D65:G65)</f>
        <v>0</v>
      </c>
    </row>
    <row r="66" spans="2:8" ht="16" customHeight="1" x14ac:dyDescent="0.35">
      <c r="B66" s="10"/>
      <c r="C66" s="11" t="s">
        <v>22</v>
      </c>
      <c r="D66" s="12"/>
      <c r="E66" s="12"/>
      <c r="F66" s="12"/>
      <c r="G66" s="12"/>
      <c r="H66" s="22"/>
    </row>
    <row r="67" spans="2:8" ht="16" customHeight="1" x14ac:dyDescent="0.35">
      <c r="B67" s="34" t="s">
        <v>818</v>
      </c>
      <c r="C67" s="34" t="s">
        <v>819</v>
      </c>
      <c r="D67" s="35">
        <f>D68+D69</f>
        <v>-22027.883259999999</v>
      </c>
      <c r="E67" s="35">
        <f>E68+E69</f>
        <v>-9493.7258500000007</v>
      </c>
      <c r="F67" s="35">
        <f>F68+F69</f>
        <v>31521.609109999998</v>
      </c>
      <c r="G67" s="35">
        <f>G68+G69</f>
        <v>0</v>
      </c>
      <c r="H67" s="46">
        <f>H68+H69</f>
        <v>0</v>
      </c>
    </row>
    <row r="68" spans="2:8" ht="16" customHeight="1" x14ac:dyDescent="0.35">
      <c r="B68" s="14" t="s">
        <v>820</v>
      </c>
      <c r="C68" s="14" t="s">
        <v>821</v>
      </c>
      <c r="D68" s="15">
        <v>-21017.729719999999</v>
      </c>
      <c r="E68" s="15">
        <v>-6196.4480100000001</v>
      </c>
      <c r="F68" s="15">
        <v>27214.177729999999</v>
      </c>
      <c r="G68" s="15"/>
      <c r="H68" s="23">
        <f>SUM(D68:G68)</f>
        <v>0</v>
      </c>
    </row>
    <row r="69" spans="2:8" ht="16" customHeight="1" x14ac:dyDescent="0.35">
      <c r="B69" s="14" t="s">
        <v>822</v>
      </c>
      <c r="C69" s="14" t="s">
        <v>823</v>
      </c>
      <c r="D69" s="15">
        <v>-1010.15354</v>
      </c>
      <c r="E69" s="15">
        <v>-3297.2778400000002</v>
      </c>
      <c r="F69" s="15">
        <v>4307.43138</v>
      </c>
      <c r="G69" s="15"/>
      <c r="H69" s="23">
        <f>SUM(D69:G69)</f>
        <v>0</v>
      </c>
    </row>
    <row r="70" spans="2:8" ht="16" customHeight="1" x14ac:dyDescent="0.35">
      <c r="B70" s="10"/>
      <c r="C70" s="11" t="s">
        <v>22</v>
      </c>
      <c r="D70" s="12"/>
      <c r="E70" s="12"/>
      <c r="F70" s="12"/>
      <c r="G70" s="12"/>
      <c r="H70" s="22"/>
    </row>
    <row r="71" spans="2:8" ht="16" customHeight="1" x14ac:dyDescent="0.35">
      <c r="B71" s="38"/>
      <c r="C71" s="34" t="s">
        <v>824</v>
      </c>
      <c r="D71" s="35">
        <f>-(-(D72+D73)-D74)</f>
        <v>-8889.2028200000004</v>
      </c>
      <c r="E71" s="35">
        <f>-(-(E72+E73)-E74)</f>
        <v>-82688.916300000012</v>
      </c>
      <c r="F71" s="35">
        <f>-(-(F72+F73)-F74)</f>
        <v>91578.119120000003</v>
      </c>
      <c r="G71" s="35">
        <f>-(-(G72+G73)-G74)</f>
        <v>0</v>
      </c>
      <c r="H71" s="46">
        <f>-(-(H72+H73)-H74)</f>
        <v>0</v>
      </c>
    </row>
    <row r="72" spans="2:8" ht="16" customHeight="1" x14ac:dyDescent="0.35">
      <c r="B72" s="14" t="s">
        <v>825</v>
      </c>
      <c r="C72" s="14" t="s">
        <v>826</v>
      </c>
      <c r="D72" s="15">
        <v>-11.717499999999999</v>
      </c>
      <c r="E72" s="15">
        <v>469.77758</v>
      </c>
      <c r="F72" s="15">
        <v>-458.06008000000003</v>
      </c>
      <c r="G72" s="15"/>
      <c r="H72" s="23">
        <f>SUM(D72:G72)</f>
        <v>0</v>
      </c>
    </row>
    <row r="73" spans="2:8" ht="16" customHeight="1" x14ac:dyDescent="0.35">
      <c r="B73" s="14" t="s">
        <v>827</v>
      </c>
      <c r="C73" s="14" t="s">
        <v>828</v>
      </c>
      <c r="D73" s="15">
        <v>-9338.0536300000003</v>
      </c>
      <c r="E73" s="15">
        <v>-84031.060100000002</v>
      </c>
      <c r="F73" s="15">
        <v>93369.113729999997</v>
      </c>
      <c r="G73" s="15"/>
      <c r="H73" s="23">
        <f>SUM(D73:G73)</f>
        <v>0</v>
      </c>
    </row>
    <row r="74" spans="2:8" ht="16" customHeight="1" x14ac:dyDescent="0.35">
      <c r="B74" s="14" t="s">
        <v>829</v>
      </c>
      <c r="C74" s="14" t="s">
        <v>830</v>
      </c>
      <c r="D74" s="15">
        <v>460.56831</v>
      </c>
      <c r="E74" s="15">
        <v>872.36622</v>
      </c>
      <c r="F74" s="15">
        <v>-1332.93453</v>
      </c>
      <c r="G74" s="15"/>
      <c r="H74" s="23">
        <f>SUM(D74:G74)</f>
        <v>0</v>
      </c>
    </row>
    <row r="75" spans="2:8" ht="16" customHeight="1" x14ac:dyDescent="0.35">
      <c r="B75" s="10"/>
      <c r="C75" s="11" t="s">
        <v>22</v>
      </c>
      <c r="D75" s="12"/>
      <c r="E75" s="12"/>
      <c r="F75" s="12"/>
      <c r="G75" s="12"/>
      <c r="H75" s="22"/>
    </row>
    <row r="76" spans="2:8" ht="16" customHeight="1" x14ac:dyDescent="0.35">
      <c r="B76" s="38"/>
      <c r="C76" s="34" t="s">
        <v>831</v>
      </c>
      <c r="D76" s="35">
        <f>D77+D78</f>
        <v>-59622.316330000001</v>
      </c>
      <c r="E76" s="35">
        <f>E77+E78</f>
        <v>-20320.243159999998</v>
      </c>
      <c r="F76" s="35">
        <f>F77+F78</f>
        <v>79942.55949</v>
      </c>
      <c r="G76" s="35">
        <f>G77+G78</f>
        <v>0</v>
      </c>
      <c r="H76" s="46">
        <f>H77+H78</f>
        <v>0</v>
      </c>
    </row>
    <row r="77" spans="2:8" ht="16" customHeight="1" x14ac:dyDescent="0.35">
      <c r="B77" s="14" t="s">
        <v>832</v>
      </c>
      <c r="C77" s="14" t="s">
        <v>833</v>
      </c>
      <c r="D77" s="15">
        <v>8490.9778200000001</v>
      </c>
      <c r="E77" s="15">
        <v>-9950.5867300000009</v>
      </c>
      <c r="F77" s="15">
        <v>1459.6089099999999</v>
      </c>
      <c r="G77" s="15"/>
      <c r="H77" s="23">
        <f>SUM(D77:G77)</f>
        <v>0</v>
      </c>
    </row>
    <row r="78" spans="2:8" ht="16" customHeight="1" x14ac:dyDescent="0.35">
      <c r="B78" s="14" t="s">
        <v>834</v>
      </c>
      <c r="C78" s="14" t="s">
        <v>835</v>
      </c>
      <c r="D78" s="15">
        <v>-68113.294150000002</v>
      </c>
      <c r="E78" s="15">
        <v>-10369.656429999999</v>
      </c>
      <c r="F78" s="15">
        <v>78482.950580000004</v>
      </c>
      <c r="G78" s="15"/>
      <c r="H78" s="23">
        <f>SUM(D78:G78)</f>
        <v>0</v>
      </c>
    </row>
    <row r="79" spans="2:8" ht="16" customHeight="1" x14ac:dyDescent="0.35">
      <c r="B79" s="10"/>
      <c r="C79" s="11" t="s">
        <v>22</v>
      </c>
      <c r="D79" s="12"/>
      <c r="E79" s="12"/>
      <c r="F79" s="12"/>
      <c r="G79" s="12"/>
      <c r="H79" s="22"/>
    </row>
    <row r="80" spans="2:8" ht="16" customHeight="1" x14ac:dyDescent="0.35">
      <c r="B80" s="38"/>
      <c r="C80" s="34" t="s">
        <v>836</v>
      </c>
      <c r="D80" s="35">
        <f>-(-(D67+D71)-D76)</f>
        <v>-90539.40241000001</v>
      </c>
      <c r="E80" s="35">
        <f>-(-(E67+E71)-E76)</f>
        <v>-112502.88531000001</v>
      </c>
      <c r="F80" s="35">
        <f>-(-(F67+F71)-F76)</f>
        <v>203042.28772000002</v>
      </c>
      <c r="G80" s="35">
        <f>-(-(G67+G71)-G76)</f>
        <v>0</v>
      </c>
      <c r="H80" s="46">
        <f>-(-(H67+H71)-H76)</f>
        <v>0</v>
      </c>
    </row>
    <row r="81" spans="2:8" ht="16" customHeight="1" x14ac:dyDescent="0.35">
      <c r="B81" s="10"/>
      <c r="C81" s="11" t="s">
        <v>22</v>
      </c>
      <c r="D81" s="12"/>
      <c r="E81" s="12"/>
      <c r="F81" s="12"/>
      <c r="G81" s="12"/>
      <c r="H81" s="22"/>
    </row>
    <row r="82" spans="2:8" ht="16" customHeight="1" x14ac:dyDescent="0.35">
      <c r="B82" s="38"/>
      <c r="C82" s="34" t="s">
        <v>837</v>
      </c>
      <c r="D82" s="35">
        <f>-(-(D84+D86)-D91-D96-D98)</f>
        <v>-13182.617160000002</v>
      </c>
      <c r="E82" s="35">
        <f>-(-(E84+E86)-E91-E96-E98)</f>
        <v>3257.2549299999996</v>
      </c>
      <c r="F82" s="35">
        <f>-(-(F84+F86)-F91-F96-F98)</f>
        <v>9925.3622300000006</v>
      </c>
      <c r="G82" s="35">
        <f>-(-(G84+G86)-G91-G96-G98)</f>
        <v>0</v>
      </c>
      <c r="H82" s="46">
        <f>-(-(H84+H86)-H91-H96-H98)</f>
        <v>0</v>
      </c>
    </row>
    <row r="83" spans="2:8" ht="16" customHeight="1" x14ac:dyDescent="0.35">
      <c r="B83" s="10"/>
      <c r="C83" s="11" t="s">
        <v>22</v>
      </c>
      <c r="D83" s="12"/>
      <c r="E83" s="12"/>
      <c r="F83" s="12"/>
      <c r="G83" s="12"/>
      <c r="H83" s="22"/>
    </row>
    <row r="84" spans="2:8" ht="16" customHeight="1" x14ac:dyDescent="0.35">
      <c r="B84" s="14" t="s">
        <v>838</v>
      </c>
      <c r="C84" s="14" t="s">
        <v>839</v>
      </c>
      <c r="D84" s="15"/>
      <c r="E84" s="15"/>
      <c r="F84" s="15"/>
      <c r="G84" s="15"/>
      <c r="H84" s="23">
        <f>SUM(D84:G84)</f>
        <v>0</v>
      </c>
    </row>
    <row r="85" spans="2:8" ht="16" customHeight="1" x14ac:dyDescent="0.35">
      <c r="B85" s="10"/>
      <c r="C85" s="11" t="s">
        <v>22</v>
      </c>
      <c r="D85" s="12"/>
      <c r="E85" s="12"/>
      <c r="F85" s="12"/>
      <c r="G85" s="12"/>
      <c r="H85" s="22"/>
    </row>
    <row r="86" spans="2:8" ht="16" customHeight="1" x14ac:dyDescent="0.35">
      <c r="B86" s="38"/>
      <c r="C86" s="34" t="s">
        <v>840</v>
      </c>
      <c r="D86" s="35">
        <f>-(-(D87+D88)-D89)</f>
        <v>7531.8026699999991</v>
      </c>
      <c r="E86" s="35">
        <f>-(-(E87+E88)-E89)</f>
        <v>18813.42282</v>
      </c>
      <c r="F86" s="35">
        <f>-(-(F87+F88)-F89)</f>
        <v>-26345.225490000001</v>
      </c>
      <c r="G86" s="35">
        <f>-(-(G87+G88)-G89)</f>
        <v>0</v>
      </c>
      <c r="H86" s="46">
        <f>-(-(H87+H88)-H89)</f>
        <v>0</v>
      </c>
    </row>
    <row r="87" spans="2:8" ht="16" customHeight="1" x14ac:dyDescent="0.35">
      <c r="B87" s="14" t="s">
        <v>841</v>
      </c>
      <c r="C87" s="14" t="s">
        <v>842</v>
      </c>
      <c r="D87" s="15">
        <v>-416.92014</v>
      </c>
      <c r="E87" s="15">
        <v>69.712580000000003</v>
      </c>
      <c r="F87" s="15">
        <v>347.20756</v>
      </c>
      <c r="G87" s="15"/>
      <c r="H87" s="23">
        <f>SUM(D87:G87)</f>
        <v>0</v>
      </c>
    </row>
    <row r="88" spans="2:8" ht="16" customHeight="1" x14ac:dyDescent="0.35">
      <c r="B88" s="14" t="s">
        <v>843</v>
      </c>
      <c r="C88" s="14" t="s">
        <v>844</v>
      </c>
      <c r="D88" s="15">
        <v>2483.6412999999998</v>
      </c>
      <c r="E88" s="15">
        <v>1544.5795900000001</v>
      </c>
      <c r="F88" s="15">
        <v>-4028.2208900000001</v>
      </c>
      <c r="G88" s="15"/>
      <c r="H88" s="23">
        <f>SUM(D88:G88)</f>
        <v>0</v>
      </c>
    </row>
    <row r="89" spans="2:8" ht="16" customHeight="1" x14ac:dyDescent="0.35">
      <c r="B89" s="14" t="s">
        <v>845</v>
      </c>
      <c r="C89" s="14" t="s">
        <v>846</v>
      </c>
      <c r="D89" s="15">
        <v>5465.08151</v>
      </c>
      <c r="E89" s="15">
        <v>17199.130649999999</v>
      </c>
      <c r="F89" s="15">
        <v>-22664.212159999999</v>
      </c>
      <c r="G89" s="15"/>
      <c r="H89" s="23">
        <f>SUM(D89:G89)</f>
        <v>0</v>
      </c>
    </row>
    <row r="90" spans="2:8" ht="16" customHeight="1" x14ac:dyDescent="0.35">
      <c r="B90" s="10"/>
      <c r="C90" s="11" t="s">
        <v>22</v>
      </c>
      <c r="D90" s="12"/>
      <c r="E90" s="12"/>
      <c r="F90" s="12"/>
      <c r="G90" s="12"/>
      <c r="H90" s="22"/>
    </row>
    <row r="91" spans="2:8" ht="16" customHeight="1" x14ac:dyDescent="0.35">
      <c r="B91" s="38"/>
      <c r="C91" s="34" t="s">
        <v>847</v>
      </c>
      <c r="D91" s="35">
        <f>-(-(D92+D93)-D94)</f>
        <v>-14499.1667</v>
      </c>
      <c r="E91" s="35">
        <f>-(-(E92+E93)-E94)</f>
        <v>-11784.1319</v>
      </c>
      <c r="F91" s="35">
        <f>-(-(F92+F93)-F94)</f>
        <v>26283.298600000002</v>
      </c>
      <c r="G91" s="35">
        <f>-(-(G92+G93)-G94)</f>
        <v>0</v>
      </c>
      <c r="H91" s="46">
        <f>-(-(H92+H93)-H94)</f>
        <v>0</v>
      </c>
    </row>
    <row r="92" spans="2:8" ht="16" customHeight="1" x14ac:dyDescent="0.35">
      <c r="B92" s="14" t="s">
        <v>848</v>
      </c>
      <c r="C92" s="14" t="s">
        <v>849</v>
      </c>
      <c r="D92" s="15">
        <v>2642.7643499999999</v>
      </c>
      <c r="E92" s="15">
        <v>-10274.77421</v>
      </c>
      <c r="F92" s="15">
        <v>7632.0098600000001</v>
      </c>
      <c r="G92" s="15"/>
      <c r="H92" s="23">
        <f>SUM(D92:G92)</f>
        <v>0</v>
      </c>
    </row>
    <row r="93" spans="2:8" ht="16" customHeight="1" x14ac:dyDescent="0.35">
      <c r="B93" s="14" t="s">
        <v>850</v>
      </c>
      <c r="C93" s="14" t="s">
        <v>636</v>
      </c>
      <c r="D93" s="15">
        <v>-29.661000000000001</v>
      </c>
      <c r="E93" s="15">
        <v>23.641999999999999</v>
      </c>
      <c r="F93" s="15">
        <v>6.0190000000000001</v>
      </c>
      <c r="G93" s="15"/>
      <c r="H93" s="23">
        <f>SUM(D93:G93)</f>
        <v>0</v>
      </c>
    </row>
    <row r="94" spans="2:8" ht="16" customHeight="1" x14ac:dyDescent="0.35">
      <c r="B94" s="14" t="s">
        <v>851</v>
      </c>
      <c r="C94" s="14" t="s">
        <v>852</v>
      </c>
      <c r="D94" s="15">
        <v>-17112.270049999999</v>
      </c>
      <c r="E94" s="15">
        <v>-1532.9996900000001</v>
      </c>
      <c r="F94" s="15">
        <v>18645.26974</v>
      </c>
      <c r="G94" s="15"/>
      <c r="H94" s="23">
        <f>SUM(D94:G94)</f>
        <v>0</v>
      </c>
    </row>
    <row r="95" spans="2:8" ht="16" customHeight="1" x14ac:dyDescent="0.35">
      <c r="B95" s="10"/>
      <c r="C95" s="11" t="s">
        <v>22</v>
      </c>
      <c r="D95" s="12"/>
      <c r="E95" s="12"/>
      <c r="F95" s="12"/>
      <c r="G95" s="12"/>
      <c r="H95" s="22"/>
    </row>
    <row r="96" spans="2:8" ht="16" customHeight="1" x14ac:dyDescent="0.35">
      <c r="B96" s="14" t="s">
        <v>853</v>
      </c>
      <c r="C96" s="14" t="s">
        <v>854</v>
      </c>
      <c r="D96" s="15">
        <v>-3204.0261399999999</v>
      </c>
      <c r="E96" s="15">
        <v>-1112.3272300000001</v>
      </c>
      <c r="F96" s="15">
        <v>4316.3533699999998</v>
      </c>
      <c r="G96" s="15"/>
      <c r="H96" s="23">
        <f>SUM(D96:G96)</f>
        <v>0</v>
      </c>
    </row>
    <row r="97" spans="2:8" ht="16" customHeight="1" x14ac:dyDescent="0.35">
      <c r="B97" s="10"/>
      <c r="C97" s="11" t="s">
        <v>22</v>
      </c>
      <c r="D97" s="12"/>
      <c r="E97" s="12"/>
      <c r="F97" s="12"/>
      <c r="G97" s="12"/>
      <c r="H97" s="22"/>
    </row>
    <row r="98" spans="2:8" ht="16" customHeight="1" x14ac:dyDescent="0.35">
      <c r="B98" s="14" t="s">
        <v>855</v>
      </c>
      <c r="C98" s="14" t="s">
        <v>856</v>
      </c>
      <c r="D98" s="15">
        <v>-3011.2269900000001</v>
      </c>
      <c r="E98" s="15">
        <v>-2659.70876</v>
      </c>
      <c r="F98" s="15">
        <v>5670.9357499999996</v>
      </c>
      <c r="G98" s="15"/>
      <c r="H98" s="23">
        <f>SUM(D98:G98)</f>
        <v>0</v>
      </c>
    </row>
    <row r="99" spans="2:8" ht="16" customHeight="1" x14ac:dyDescent="0.35">
      <c r="B99" s="10"/>
      <c r="C99" s="11" t="s">
        <v>22</v>
      </c>
      <c r="D99" s="12"/>
      <c r="E99" s="12"/>
      <c r="F99" s="12"/>
      <c r="G99" s="12"/>
      <c r="H99" s="22"/>
    </row>
    <row r="100" spans="2:8" ht="16" customHeight="1" x14ac:dyDescent="0.35">
      <c r="B100" s="38"/>
      <c r="C100" s="34" t="s">
        <v>857</v>
      </c>
      <c r="D100" s="35">
        <f>D80+D82</f>
        <v>-103722.01957</v>
      </c>
      <c r="E100" s="35">
        <f>E80+E82</f>
        <v>-109245.63038000002</v>
      </c>
      <c r="F100" s="35">
        <f>F80+F82</f>
        <v>212967.64995000002</v>
      </c>
      <c r="G100" s="35">
        <f>G80+G82</f>
        <v>0</v>
      </c>
      <c r="H100" s="46">
        <f>H80+H82</f>
        <v>0</v>
      </c>
    </row>
    <row r="101" spans="2:8" ht="16" customHeight="1" x14ac:dyDescent="0.35">
      <c r="B101" s="10"/>
      <c r="C101" s="11" t="s">
        <v>22</v>
      </c>
      <c r="D101" s="12"/>
      <c r="E101" s="12"/>
      <c r="F101" s="12"/>
      <c r="G101" s="12"/>
      <c r="H101" s="22"/>
    </row>
    <row r="102" spans="2:8" ht="16" customHeight="1" x14ac:dyDescent="0.35">
      <c r="B102" s="14" t="s">
        <v>858</v>
      </c>
      <c r="C102" s="14" t="s">
        <v>859</v>
      </c>
      <c r="D102" s="15">
        <v>-12286.7655</v>
      </c>
      <c r="E102" s="15">
        <v>-8840.1086099999993</v>
      </c>
      <c r="F102" s="15">
        <v>21126.874110000001</v>
      </c>
      <c r="G102" s="15"/>
      <c r="H102" s="23">
        <f>SUM(D102:G102)</f>
        <v>0</v>
      </c>
    </row>
    <row r="103" spans="2:8" ht="16" customHeight="1" x14ac:dyDescent="0.35">
      <c r="B103" s="10"/>
      <c r="C103" s="11" t="s">
        <v>22</v>
      </c>
      <c r="D103" s="12"/>
      <c r="E103" s="12"/>
      <c r="F103" s="12"/>
      <c r="G103" s="12"/>
      <c r="H103" s="22"/>
    </row>
    <row r="104" spans="2:8" ht="16" customHeight="1" x14ac:dyDescent="0.35">
      <c r="B104" s="39"/>
      <c r="C104" s="40" t="s">
        <v>860</v>
      </c>
      <c r="D104" s="24">
        <f>D18+D20+D21+D23+D27+D31+D40+D45+D56+D60+D62+D100+D102</f>
        <v>-144492.91816</v>
      </c>
      <c r="E104" s="24">
        <f>E18+E20+E21+E23+E27+E31+E40+E45+E56+E60+E62+E100+E102</f>
        <v>-5864.905240000011</v>
      </c>
      <c r="F104" s="24">
        <f>F18+F20+F21+F23+F27+F31+F40+F45+F56+F60+F62+F100+F102</f>
        <v>150357.82340000002</v>
      </c>
      <c r="G104" s="24">
        <f>G18+G20+G21+G23+G27+G31+G40+G45+G56+G60+G62+G100+G102</f>
        <v>0</v>
      </c>
      <c r="H104" s="24">
        <f>H18+H20+H21+H23+H27+H31+H40+H45+H56+H60+H62+H100+H102</f>
        <v>0</v>
      </c>
    </row>
    <row r="105" spans="2:8" ht="16" customHeight="1" x14ac:dyDescent="0.35">
      <c r="B105" s="10"/>
      <c r="C105" s="11" t="s">
        <v>22</v>
      </c>
      <c r="D105" s="12"/>
      <c r="E105" s="12"/>
      <c r="F105" s="12"/>
      <c r="G105" s="12"/>
      <c r="H105" s="22"/>
    </row>
    <row r="106" spans="2:8" ht="16" customHeight="1" x14ac:dyDescent="0.35">
      <c r="B106" s="38"/>
      <c r="C106" s="34" t="s">
        <v>861</v>
      </c>
      <c r="D106" s="35"/>
      <c r="E106" s="35"/>
      <c r="F106" s="35"/>
      <c r="G106" s="35"/>
      <c r="H106" s="46"/>
    </row>
    <row r="107" spans="2:8" ht="16" customHeight="1" x14ac:dyDescent="0.35">
      <c r="B107" s="10"/>
      <c r="C107" s="11" t="s">
        <v>22</v>
      </c>
      <c r="D107" s="12"/>
      <c r="E107" s="12"/>
      <c r="F107" s="12"/>
      <c r="G107" s="12"/>
      <c r="H107" s="22"/>
    </row>
    <row r="108" spans="2:8" ht="16" customHeight="1" x14ac:dyDescent="0.35">
      <c r="B108" s="38"/>
      <c r="C108" s="34" t="s">
        <v>862</v>
      </c>
      <c r="D108" s="35">
        <f>-(-(D109+D110)-D111-D112-D113-D114)</f>
        <v>-31434.645639999999</v>
      </c>
      <c r="E108" s="35">
        <f>-(-(E109+E110)-E111-E112-E113-E114)</f>
        <v>-23014.999</v>
      </c>
      <c r="F108" s="35">
        <f>-(-(F109+F110)-F111-F112-F113-F114)</f>
        <v>54449.644639999999</v>
      </c>
      <c r="G108" s="35">
        <f>-(-(G109+G110)-G111-G112-G113-G114)</f>
        <v>0</v>
      </c>
      <c r="H108" s="46">
        <f>-(-(H109+H110)-H111-H112-H113-H114)</f>
        <v>0</v>
      </c>
    </row>
    <row r="109" spans="2:8" ht="16" customHeight="1" x14ac:dyDescent="0.35">
      <c r="B109" s="14" t="s">
        <v>863</v>
      </c>
      <c r="C109" s="14" t="s">
        <v>864</v>
      </c>
      <c r="D109" s="15">
        <v>-12575.18065</v>
      </c>
      <c r="E109" s="15">
        <v>-8432.6100100000003</v>
      </c>
      <c r="F109" s="15">
        <v>21007.790659999999</v>
      </c>
      <c r="G109" s="15"/>
      <c r="H109" s="23">
        <f t="shared" ref="H109:H114" si="1">SUM(D109:G109)</f>
        <v>0</v>
      </c>
    </row>
    <row r="110" spans="2:8" ht="16" customHeight="1" x14ac:dyDescent="0.35">
      <c r="B110" s="14" t="s">
        <v>865</v>
      </c>
      <c r="C110" s="14" t="s">
        <v>866</v>
      </c>
      <c r="D110" s="15">
        <v>-1271.08743</v>
      </c>
      <c r="E110" s="15">
        <v>-1013.49015</v>
      </c>
      <c r="F110" s="15">
        <v>2284.5775800000001</v>
      </c>
      <c r="G110" s="15"/>
      <c r="H110" s="23">
        <f t="shared" si="1"/>
        <v>0</v>
      </c>
    </row>
    <row r="111" spans="2:8" ht="16" customHeight="1" x14ac:dyDescent="0.35">
      <c r="B111" s="14" t="s">
        <v>867</v>
      </c>
      <c r="C111" s="14" t="s">
        <v>868</v>
      </c>
      <c r="D111" s="15">
        <v>-1577.7777799999999</v>
      </c>
      <c r="E111" s="15">
        <v>-577.08951000000002</v>
      </c>
      <c r="F111" s="15">
        <v>2154.8672900000001</v>
      </c>
      <c r="G111" s="15"/>
      <c r="H111" s="23">
        <f t="shared" si="1"/>
        <v>0</v>
      </c>
    </row>
    <row r="112" spans="2:8" ht="16" customHeight="1" x14ac:dyDescent="0.35">
      <c r="B112" s="14" t="s">
        <v>869</v>
      </c>
      <c r="C112" s="14" t="s">
        <v>870</v>
      </c>
      <c r="D112" s="15">
        <v>-110.17139</v>
      </c>
      <c r="E112" s="15">
        <v>-1968.2988600000001</v>
      </c>
      <c r="F112" s="15">
        <v>2078.4702499999999</v>
      </c>
      <c r="G112" s="15"/>
      <c r="H112" s="23">
        <f t="shared" si="1"/>
        <v>0</v>
      </c>
    </row>
    <row r="113" spans="2:8" ht="16" customHeight="1" x14ac:dyDescent="0.35">
      <c r="B113" s="14" t="s">
        <v>871</v>
      </c>
      <c r="C113" s="14" t="s">
        <v>872</v>
      </c>
      <c r="D113" s="15">
        <v>-15900.428389999999</v>
      </c>
      <c r="E113" s="15">
        <v>-11023.510469999999</v>
      </c>
      <c r="F113" s="15">
        <v>26923.938859999998</v>
      </c>
      <c r="G113" s="15"/>
      <c r="H113" s="23">
        <f t="shared" si="1"/>
        <v>0</v>
      </c>
    </row>
    <row r="114" spans="2:8" ht="16" customHeight="1" x14ac:dyDescent="0.35">
      <c r="B114" s="14" t="s">
        <v>873</v>
      </c>
      <c r="C114" s="14" t="s">
        <v>874</v>
      </c>
      <c r="D114" s="15"/>
      <c r="E114" s="15"/>
      <c r="F114" s="15"/>
      <c r="G114" s="15"/>
      <c r="H114" s="23">
        <f t="shared" si="1"/>
        <v>0</v>
      </c>
    </row>
    <row r="115" spans="2:8" ht="16" customHeight="1" x14ac:dyDescent="0.35">
      <c r="B115" s="10"/>
      <c r="C115" s="11" t="s">
        <v>22</v>
      </c>
      <c r="D115" s="12"/>
      <c r="E115" s="12"/>
      <c r="F115" s="12"/>
      <c r="G115" s="12"/>
      <c r="H115" s="22"/>
    </row>
    <row r="116" spans="2:8" ht="16" customHeight="1" x14ac:dyDescent="0.35">
      <c r="B116" s="38"/>
      <c r="C116" s="34" t="s">
        <v>875</v>
      </c>
      <c r="D116" s="35">
        <f>-(-(D117+D118)-D119-D120)</f>
        <v>-4955.6092700000008</v>
      </c>
      <c r="E116" s="35">
        <f>-(-(E117+E118)-E119-E120)</f>
        <v>-6730.7478700000001</v>
      </c>
      <c r="F116" s="35">
        <f>-(-(F117+F118)-F119-F120)</f>
        <v>11686.35714</v>
      </c>
      <c r="G116" s="35">
        <f>-(-(G117+G118)-G119-G120)</f>
        <v>0</v>
      </c>
      <c r="H116" s="46">
        <f>-(-(H117+H118)-H119-H120)</f>
        <v>0</v>
      </c>
    </row>
    <row r="117" spans="2:8" ht="16" customHeight="1" x14ac:dyDescent="0.35">
      <c r="B117" s="14" t="s">
        <v>876</v>
      </c>
      <c r="C117" s="14" t="s">
        <v>877</v>
      </c>
      <c r="D117" s="15">
        <v>-586.46839999999997</v>
      </c>
      <c r="E117" s="15">
        <v>0</v>
      </c>
      <c r="F117" s="15">
        <v>586.46839999999997</v>
      </c>
      <c r="G117" s="15"/>
      <c r="H117" s="23">
        <f>SUM(D117:G117)</f>
        <v>0</v>
      </c>
    </row>
    <row r="118" spans="2:8" ht="16" customHeight="1" x14ac:dyDescent="0.35">
      <c r="B118" s="14" t="s">
        <v>878</v>
      </c>
      <c r="C118" s="14" t="s">
        <v>879</v>
      </c>
      <c r="D118" s="15">
        <v>-2879.1407100000001</v>
      </c>
      <c r="E118" s="15">
        <v>-5050.1511300000002</v>
      </c>
      <c r="F118" s="15">
        <v>7929.2918399999999</v>
      </c>
      <c r="G118" s="15"/>
      <c r="H118" s="23">
        <f>SUM(D118:G118)</f>
        <v>0</v>
      </c>
    </row>
    <row r="119" spans="2:8" ht="16" customHeight="1" x14ac:dyDescent="0.35">
      <c r="B119" s="14" t="s">
        <v>880</v>
      </c>
      <c r="C119" s="14" t="s">
        <v>881</v>
      </c>
      <c r="D119" s="15">
        <v>-291.3125</v>
      </c>
      <c r="E119" s="15">
        <v>0</v>
      </c>
      <c r="F119" s="15">
        <v>291.3125</v>
      </c>
      <c r="G119" s="15"/>
      <c r="H119" s="23">
        <f>SUM(D119:G119)</f>
        <v>0</v>
      </c>
    </row>
    <row r="120" spans="2:8" ht="16" customHeight="1" x14ac:dyDescent="0.35">
      <c r="B120" s="14" t="s">
        <v>882</v>
      </c>
      <c r="C120" s="14" t="s">
        <v>883</v>
      </c>
      <c r="D120" s="15">
        <v>-1198.6876600000001</v>
      </c>
      <c r="E120" s="15">
        <v>-1680.59674</v>
      </c>
      <c r="F120" s="15">
        <v>2879.2844</v>
      </c>
      <c r="G120" s="15"/>
      <c r="H120" s="23">
        <f>SUM(D120:G120)</f>
        <v>0</v>
      </c>
    </row>
    <row r="121" spans="2:8" ht="16" customHeight="1" x14ac:dyDescent="0.35">
      <c r="B121" s="10"/>
      <c r="C121" s="11" t="s">
        <v>22</v>
      </c>
      <c r="D121" s="12"/>
      <c r="E121" s="12"/>
      <c r="F121" s="12"/>
      <c r="G121" s="12"/>
      <c r="H121" s="22"/>
    </row>
    <row r="122" spans="2:8" ht="16" customHeight="1" x14ac:dyDescent="0.35">
      <c r="B122" s="38"/>
      <c r="C122" s="34" t="s">
        <v>884</v>
      </c>
      <c r="D122" s="35">
        <f>D108+D116</f>
        <v>-36390.254910000003</v>
      </c>
      <c r="E122" s="35">
        <f>E108+E116</f>
        <v>-29745.746869999999</v>
      </c>
      <c r="F122" s="35">
        <f>F108+F116</f>
        <v>66136.001779999991</v>
      </c>
      <c r="G122" s="35">
        <f>G108+G116</f>
        <v>0</v>
      </c>
      <c r="H122" s="46">
        <f>H108+H116</f>
        <v>0</v>
      </c>
    </row>
    <row r="123" spans="2:8" ht="16" customHeight="1" x14ac:dyDescent="0.35">
      <c r="B123" s="10"/>
      <c r="C123" s="11" t="s">
        <v>22</v>
      </c>
      <c r="D123" s="12"/>
      <c r="E123" s="12"/>
      <c r="F123" s="12"/>
      <c r="G123" s="12"/>
      <c r="H123" s="22"/>
    </row>
    <row r="124" spans="2:8" ht="16" customHeight="1" x14ac:dyDescent="0.35">
      <c r="B124" s="38"/>
      <c r="C124" s="34" t="s">
        <v>885</v>
      </c>
      <c r="D124" s="35">
        <f>D125+D126</f>
        <v>0</v>
      </c>
      <c r="E124" s="35">
        <f>E125+E126</f>
        <v>0</v>
      </c>
      <c r="F124" s="35">
        <f>F125+F126</f>
        <v>0</v>
      </c>
      <c r="G124" s="35">
        <f>G125+G126</f>
        <v>0</v>
      </c>
      <c r="H124" s="46">
        <f>H125+H126</f>
        <v>0</v>
      </c>
    </row>
    <row r="125" spans="2:8" ht="16" customHeight="1" x14ac:dyDescent="0.35">
      <c r="B125" s="14" t="s">
        <v>886</v>
      </c>
      <c r="C125" s="14" t="s">
        <v>887</v>
      </c>
      <c r="D125" s="15"/>
      <c r="E125" s="15"/>
      <c r="F125" s="15"/>
      <c r="G125" s="15"/>
      <c r="H125" s="23">
        <f>SUM(D125:G125)</f>
        <v>0</v>
      </c>
    </row>
    <row r="126" spans="2:8" ht="16" customHeight="1" x14ac:dyDescent="0.35">
      <c r="B126" s="14" t="s">
        <v>888</v>
      </c>
      <c r="C126" s="14" t="s">
        <v>889</v>
      </c>
      <c r="D126" s="15"/>
      <c r="E126" s="15"/>
      <c r="F126" s="15"/>
      <c r="G126" s="15"/>
      <c r="H126" s="23">
        <f>SUM(D126:G126)</f>
        <v>0</v>
      </c>
    </row>
    <row r="127" spans="2:8" ht="16" customHeight="1" x14ac:dyDescent="0.35">
      <c r="B127" s="10"/>
      <c r="C127" s="11" t="s">
        <v>22</v>
      </c>
      <c r="D127" s="12"/>
      <c r="E127" s="12"/>
      <c r="F127" s="12"/>
      <c r="G127" s="12"/>
      <c r="H127" s="22"/>
    </row>
    <row r="128" spans="2:8" ht="16" customHeight="1" x14ac:dyDescent="0.35">
      <c r="B128" s="38"/>
      <c r="C128" s="34" t="s">
        <v>890</v>
      </c>
      <c r="D128" s="35">
        <f>D122+D124</f>
        <v>-36390.254910000003</v>
      </c>
      <c r="E128" s="35">
        <f>E122+E124</f>
        <v>-29745.746869999999</v>
      </c>
      <c r="F128" s="35">
        <f>F122+F124</f>
        <v>66136.001779999991</v>
      </c>
      <c r="G128" s="35">
        <f>G122+G124</f>
        <v>0</v>
      </c>
      <c r="H128" s="46">
        <f>H122+H124</f>
        <v>0</v>
      </c>
    </row>
    <row r="129" spans="2:8" ht="16" customHeight="1" x14ac:dyDescent="0.35">
      <c r="B129" s="10"/>
      <c r="C129" s="11" t="s">
        <v>22</v>
      </c>
      <c r="D129" s="12"/>
      <c r="E129" s="12"/>
      <c r="F129" s="12"/>
      <c r="G129" s="12"/>
      <c r="H129" s="22"/>
    </row>
    <row r="130" spans="2:8" ht="16" customHeight="1" x14ac:dyDescent="0.35">
      <c r="B130" s="34" t="s">
        <v>891</v>
      </c>
      <c r="C130" s="34" t="s">
        <v>892</v>
      </c>
      <c r="D130" s="35">
        <f>D131+D132</f>
        <v>2902.2149199999999</v>
      </c>
      <c r="E130" s="35">
        <f>E131+E132</f>
        <v>289.76004999999998</v>
      </c>
      <c r="F130" s="35">
        <f>F131+F132</f>
        <v>-3191.9749700000002</v>
      </c>
      <c r="G130" s="35">
        <f>G131+G132</f>
        <v>0</v>
      </c>
      <c r="H130" s="46">
        <f>H131+H132</f>
        <v>0</v>
      </c>
    </row>
    <row r="131" spans="2:8" ht="16" customHeight="1" x14ac:dyDescent="0.35">
      <c r="B131" s="14" t="s">
        <v>893</v>
      </c>
      <c r="C131" s="14" t="s">
        <v>894</v>
      </c>
      <c r="D131" s="15"/>
      <c r="E131" s="15"/>
      <c r="F131" s="15"/>
      <c r="G131" s="15"/>
      <c r="H131" s="23">
        <f>SUM(D131:G131)</f>
        <v>0</v>
      </c>
    </row>
    <row r="132" spans="2:8" ht="16" customHeight="1" x14ac:dyDescent="0.35">
      <c r="B132" s="14" t="s">
        <v>895</v>
      </c>
      <c r="C132" s="14" t="s">
        <v>896</v>
      </c>
      <c r="D132" s="15">
        <v>2902.2149199999999</v>
      </c>
      <c r="E132" s="15">
        <v>289.76004999999998</v>
      </c>
      <c r="F132" s="15">
        <v>-3191.9749700000002</v>
      </c>
      <c r="G132" s="15"/>
      <c r="H132" s="23">
        <f>SUM(D132:G132)</f>
        <v>0</v>
      </c>
    </row>
    <row r="133" spans="2:8" ht="16" customHeight="1" x14ac:dyDescent="0.35">
      <c r="B133" s="10"/>
      <c r="C133" s="11" t="s">
        <v>22</v>
      </c>
      <c r="D133" s="12"/>
      <c r="E133" s="12"/>
      <c r="F133" s="12"/>
      <c r="G133" s="12"/>
      <c r="H133" s="22"/>
    </row>
    <row r="134" spans="2:8" ht="16" customHeight="1" x14ac:dyDescent="0.35">
      <c r="B134" s="38"/>
      <c r="C134" s="34" t="s">
        <v>897</v>
      </c>
      <c r="D134" s="35">
        <f>D128+D130</f>
        <v>-33488.039990000005</v>
      </c>
      <c r="E134" s="35">
        <f>E128+E130</f>
        <v>-29455.986819999998</v>
      </c>
      <c r="F134" s="35">
        <f>F128+F130</f>
        <v>62944.026809999988</v>
      </c>
      <c r="G134" s="35">
        <f>G128+G130</f>
        <v>0</v>
      </c>
      <c r="H134" s="46">
        <f>H128+H130</f>
        <v>0</v>
      </c>
    </row>
    <row r="135" spans="2:8" ht="16" customHeight="1" x14ac:dyDescent="0.35">
      <c r="B135" s="10"/>
      <c r="C135" s="11" t="s">
        <v>22</v>
      </c>
      <c r="D135" s="12"/>
      <c r="E135" s="12"/>
      <c r="F135" s="12"/>
      <c r="G135" s="12"/>
      <c r="H135" s="22"/>
    </row>
    <row r="136" spans="2:8" ht="16" customHeight="1" x14ac:dyDescent="0.35">
      <c r="B136" s="38"/>
      <c r="C136" s="34" t="s">
        <v>898</v>
      </c>
      <c r="D136" s="35">
        <f>D137+D138</f>
        <v>-426391.13689999998</v>
      </c>
      <c r="E136" s="35">
        <f>E137+E138</f>
        <v>-1053.8631</v>
      </c>
      <c r="F136" s="35">
        <f>F137+F138</f>
        <v>427445</v>
      </c>
      <c r="G136" s="35">
        <f>G137+G138</f>
        <v>0</v>
      </c>
      <c r="H136" s="46">
        <f>H137+H138</f>
        <v>0</v>
      </c>
    </row>
    <row r="137" spans="2:8" ht="16" customHeight="1" x14ac:dyDescent="0.35">
      <c r="B137" s="14" t="s">
        <v>899</v>
      </c>
      <c r="C137" s="14" t="s">
        <v>900</v>
      </c>
      <c r="D137" s="15"/>
      <c r="E137" s="15"/>
      <c r="F137" s="15"/>
      <c r="G137" s="15"/>
      <c r="H137" s="23">
        <f>SUM(D137:G137)</f>
        <v>0</v>
      </c>
    </row>
    <row r="138" spans="2:8" ht="16" customHeight="1" x14ac:dyDescent="0.35">
      <c r="B138" s="14" t="s">
        <v>901</v>
      </c>
      <c r="C138" s="14" t="s">
        <v>902</v>
      </c>
      <c r="D138" s="15">
        <v>-426391.13689999998</v>
      </c>
      <c r="E138" s="15">
        <v>-1053.8631</v>
      </c>
      <c r="F138" s="15">
        <v>427445</v>
      </c>
      <c r="G138" s="15"/>
      <c r="H138" s="23">
        <f>SUM(D138:G138)</f>
        <v>0</v>
      </c>
    </row>
    <row r="139" spans="2:8" ht="16" customHeight="1" x14ac:dyDescent="0.35">
      <c r="B139" s="10"/>
      <c r="C139" s="11" t="s">
        <v>22</v>
      </c>
      <c r="D139" s="12"/>
      <c r="E139" s="12"/>
      <c r="F139" s="12"/>
      <c r="G139" s="12"/>
      <c r="H139" s="22"/>
    </row>
    <row r="140" spans="2:8" ht="16" customHeight="1" x14ac:dyDescent="0.35">
      <c r="B140" s="38"/>
      <c r="C140" s="34" t="s">
        <v>903</v>
      </c>
      <c r="D140" s="35">
        <f>D141+D142</f>
        <v>0</v>
      </c>
      <c r="E140" s="35">
        <f>E141+E142</f>
        <v>0</v>
      </c>
      <c r="F140" s="35">
        <f>F141+F142</f>
        <v>0</v>
      </c>
      <c r="G140" s="35">
        <f>G141+G142</f>
        <v>0</v>
      </c>
      <c r="H140" s="46">
        <f>H141+H142</f>
        <v>0</v>
      </c>
    </row>
    <row r="141" spans="2:8" ht="16" customHeight="1" x14ac:dyDescent="0.35">
      <c r="B141" s="14" t="s">
        <v>904</v>
      </c>
      <c r="C141" s="14" t="s">
        <v>905</v>
      </c>
      <c r="D141" s="15"/>
      <c r="E141" s="15"/>
      <c r="F141" s="15"/>
      <c r="G141" s="15"/>
      <c r="H141" s="23">
        <f>SUM(D141:G141)</f>
        <v>0</v>
      </c>
    </row>
    <row r="142" spans="2:8" ht="16" customHeight="1" x14ac:dyDescent="0.35">
      <c r="B142" s="14" t="s">
        <v>906</v>
      </c>
      <c r="C142" s="14" t="s">
        <v>907</v>
      </c>
      <c r="D142" s="15">
        <f>D143+D144</f>
        <v>0</v>
      </c>
      <c r="E142" s="15">
        <f>E143+E144</f>
        <v>0</v>
      </c>
      <c r="F142" s="15">
        <f>F143+F144</f>
        <v>0</v>
      </c>
      <c r="G142" s="15">
        <f>G143+G144</f>
        <v>0</v>
      </c>
      <c r="H142" s="23">
        <f>H143+H144</f>
        <v>0</v>
      </c>
    </row>
    <row r="143" spans="2:8" ht="16" customHeight="1" x14ac:dyDescent="0.35">
      <c r="B143" s="14" t="s">
        <v>908</v>
      </c>
      <c r="C143" s="14" t="s">
        <v>909</v>
      </c>
      <c r="D143" s="15"/>
      <c r="E143" s="15"/>
      <c r="F143" s="15"/>
      <c r="G143" s="15"/>
      <c r="H143" s="23">
        <f>SUM(D143:G143)</f>
        <v>0</v>
      </c>
    </row>
    <row r="144" spans="2:8" ht="16" customHeight="1" x14ac:dyDescent="0.35">
      <c r="B144" s="14" t="s">
        <v>910</v>
      </c>
      <c r="C144" s="14" t="s">
        <v>911</v>
      </c>
      <c r="D144" s="15"/>
      <c r="E144" s="15"/>
      <c r="F144" s="15"/>
      <c r="G144" s="15"/>
      <c r="H144" s="23">
        <f>SUM(D144:G144)</f>
        <v>0</v>
      </c>
    </row>
    <row r="145" spans="2:8" ht="16" customHeight="1" x14ac:dyDescent="0.35">
      <c r="B145" s="10"/>
      <c r="C145" s="11" t="s">
        <v>22</v>
      </c>
      <c r="D145" s="12"/>
      <c r="E145" s="12"/>
      <c r="F145" s="12"/>
      <c r="G145" s="12"/>
      <c r="H145" s="22"/>
    </row>
    <row r="146" spans="2:8" ht="16" customHeight="1" x14ac:dyDescent="0.35">
      <c r="B146" s="38"/>
      <c r="C146" s="34" t="s">
        <v>912</v>
      </c>
      <c r="D146" s="35">
        <f>D147+D148</f>
        <v>-31.917999999999999</v>
      </c>
      <c r="E146" s="35">
        <f>E147+E148</f>
        <v>-0.24199999999999999</v>
      </c>
      <c r="F146" s="35">
        <f>F147+F148</f>
        <v>32.159999999999997</v>
      </c>
      <c r="G146" s="35">
        <f>G147+G148</f>
        <v>0</v>
      </c>
      <c r="H146" s="46">
        <f>H147+H148</f>
        <v>0</v>
      </c>
    </row>
    <row r="147" spans="2:8" ht="16" customHeight="1" x14ac:dyDescent="0.35">
      <c r="B147" s="14" t="s">
        <v>913</v>
      </c>
      <c r="C147" s="14" t="s">
        <v>914</v>
      </c>
      <c r="D147" s="15"/>
      <c r="E147" s="15">
        <v>0</v>
      </c>
      <c r="F147" s="15">
        <v>0</v>
      </c>
      <c r="G147" s="15"/>
      <c r="H147" s="23">
        <f>SUM(D147:G147)</f>
        <v>0</v>
      </c>
    </row>
    <row r="148" spans="2:8" ht="16" customHeight="1" x14ac:dyDescent="0.35">
      <c r="B148" s="14" t="s">
        <v>915</v>
      </c>
      <c r="C148" s="14" t="s">
        <v>916</v>
      </c>
      <c r="D148" s="15">
        <v>-31.917999999999999</v>
      </c>
      <c r="E148" s="15">
        <v>-0.24199999999999999</v>
      </c>
      <c r="F148" s="15">
        <v>32.159999999999997</v>
      </c>
      <c r="G148" s="15"/>
      <c r="H148" s="23">
        <f>SUM(D148:G148)</f>
        <v>0</v>
      </c>
    </row>
    <row r="149" spans="2:8" ht="16" customHeight="1" x14ac:dyDescent="0.35">
      <c r="B149" s="10"/>
      <c r="C149" s="11" t="s">
        <v>22</v>
      </c>
      <c r="D149" s="12"/>
      <c r="E149" s="12"/>
      <c r="F149" s="12"/>
      <c r="G149" s="12"/>
      <c r="H149" s="22"/>
    </row>
    <row r="150" spans="2:8" ht="16" customHeight="1" x14ac:dyDescent="0.35">
      <c r="B150" s="38"/>
      <c r="C150" s="34" t="s">
        <v>917</v>
      </c>
      <c r="D150" s="35">
        <f>D151+D152</f>
        <v>-12559.49979</v>
      </c>
      <c r="E150" s="35">
        <f>E151+E152</f>
        <v>-18193.350729999998</v>
      </c>
      <c r="F150" s="35">
        <f>F151+F152</f>
        <v>30752.85052</v>
      </c>
      <c r="G150" s="35">
        <f>G151+G152</f>
        <v>0</v>
      </c>
      <c r="H150" s="46">
        <f>H151+H152</f>
        <v>0</v>
      </c>
    </row>
    <row r="151" spans="2:8" ht="16" customHeight="1" x14ac:dyDescent="0.35">
      <c r="B151" s="14" t="s">
        <v>918</v>
      </c>
      <c r="C151" s="14" t="s">
        <v>919</v>
      </c>
      <c r="D151" s="15">
        <v>-12559.49979</v>
      </c>
      <c r="E151" s="15">
        <v>-18318.350729999998</v>
      </c>
      <c r="F151" s="15">
        <v>30877.85052</v>
      </c>
      <c r="G151" s="15"/>
      <c r="H151" s="23">
        <f>SUM(D151:G151)</f>
        <v>0</v>
      </c>
    </row>
    <row r="152" spans="2:8" ht="16" customHeight="1" x14ac:dyDescent="0.35">
      <c r="B152" s="14" t="s">
        <v>920</v>
      </c>
      <c r="C152" s="14" t="s">
        <v>921</v>
      </c>
      <c r="D152" s="15"/>
      <c r="E152" s="15">
        <v>125</v>
      </c>
      <c r="F152" s="15">
        <v>-125</v>
      </c>
      <c r="G152" s="15"/>
      <c r="H152" s="23">
        <f>SUM(D152:G152)</f>
        <v>0</v>
      </c>
    </row>
    <row r="153" spans="2:8" ht="16" customHeight="1" x14ac:dyDescent="0.35">
      <c r="B153" s="10"/>
      <c r="C153" s="11" t="s">
        <v>22</v>
      </c>
      <c r="D153" s="12"/>
      <c r="E153" s="12"/>
      <c r="F153" s="12"/>
      <c r="G153" s="12"/>
      <c r="H153" s="22"/>
    </row>
    <row r="154" spans="2:8" ht="16" customHeight="1" x14ac:dyDescent="0.35">
      <c r="B154" s="38"/>
      <c r="C154" s="34" t="s">
        <v>922</v>
      </c>
      <c r="D154" s="35">
        <f>-(-D155)</f>
        <v>-77.772049999999993</v>
      </c>
      <c r="E154" s="35">
        <f>-(-E155)</f>
        <v>-581.84706000000006</v>
      </c>
      <c r="F154" s="35">
        <f>-(-F155)</f>
        <v>659.61910999999998</v>
      </c>
      <c r="G154" s="35">
        <f>-(-G155)</f>
        <v>0</v>
      </c>
      <c r="H154" s="46">
        <f>-(-H155)</f>
        <v>0</v>
      </c>
    </row>
    <row r="155" spans="2:8" ht="16" customHeight="1" x14ac:dyDescent="0.35">
      <c r="B155" s="14" t="s">
        <v>923</v>
      </c>
      <c r="C155" s="14" t="s">
        <v>924</v>
      </c>
      <c r="D155" s="15">
        <v>-77.772049999999993</v>
      </c>
      <c r="E155" s="15">
        <v>-581.84706000000006</v>
      </c>
      <c r="F155" s="15">
        <v>659.61910999999998</v>
      </c>
      <c r="G155" s="15"/>
      <c r="H155" s="23">
        <f>SUM(D155:G155)</f>
        <v>0</v>
      </c>
    </row>
    <row r="156" spans="2:8" ht="16" customHeight="1" x14ac:dyDescent="0.35">
      <c r="B156" s="10"/>
      <c r="C156" s="11" t="s">
        <v>22</v>
      </c>
      <c r="D156" s="12"/>
      <c r="E156" s="12"/>
      <c r="F156" s="12"/>
      <c r="G156" s="12"/>
      <c r="H156" s="22"/>
    </row>
    <row r="157" spans="2:8" ht="16" customHeight="1" x14ac:dyDescent="0.35">
      <c r="B157" s="38"/>
      <c r="C157" s="34" t="s">
        <v>925</v>
      </c>
      <c r="D157" s="35">
        <f>D158+D159</f>
        <v>0</v>
      </c>
      <c r="E157" s="35">
        <f>E158+E159</f>
        <v>0</v>
      </c>
      <c r="F157" s="35">
        <f>F158+F159</f>
        <v>0</v>
      </c>
      <c r="G157" s="35">
        <f>G158+G159</f>
        <v>0</v>
      </c>
      <c r="H157" s="46">
        <f>H158+H159</f>
        <v>0</v>
      </c>
    </row>
    <row r="158" spans="2:8" ht="16" customHeight="1" x14ac:dyDescent="0.35">
      <c r="B158" s="14" t="s">
        <v>926</v>
      </c>
      <c r="C158" s="14" t="s">
        <v>927</v>
      </c>
      <c r="D158" s="15"/>
      <c r="E158" s="15"/>
      <c r="F158" s="15"/>
      <c r="G158" s="15"/>
      <c r="H158" s="23">
        <f>SUM(D158:G158)</f>
        <v>0</v>
      </c>
    </row>
    <row r="159" spans="2:8" ht="16" customHeight="1" x14ac:dyDescent="0.35">
      <c r="B159" s="14" t="s">
        <v>928</v>
      </c>
      <c r="C159" s="14" t="s">
        <v>929</v>
      </c>
      <c r="D159" s="15"/>
      <c r="E159" s="15"/>
      <c r="F159" s="15"/>
      <c r="G159" s="15"/>
      <c r="H159" s="23">
        <f>SUM(D159:G159)</f>
        <v>0</v>
      </c>
    </row>
    <row r="160" spans="2:8" ht="16" customHeight="1" x14ac:dyDescent="0.35">
      <c r="B160" s="10"/>
      <c r="C160" s="11" t="s">
        <v>22</v>
      </c>
      <c r="D160" s="12"/>
      <c r="E160" s="12"/>
      <c r="F160" s="12"/>
      <c r="G160" s="12"/>
      <c r="H160" s="22"/>
    </row>
    <row r="161" spans="2:8" ht="16" customHeight="1" x14ac:dyDescent="0.35">
      <c r="B161" s="38"/>
      <c r="C161" s="34" t="s">
        <v>930</v>
      </c>
      <c r="D161" s="35">
        <f>-(-D136-D140-D146-D150-D154-D157)</f>
        <v>-439060.32673999999</v>
      </c>
      <c r="E161" s="35">
        <f>-(-E136-E140-E146-E150-E154-E157)</f>
        <v>-19829.302889999999</v>
      </c>
      <c r="F161" s="35">
        <f>-(-F136-F140-F146-F150-F154-F157)</f>
        <v>458889.62962999998</v>
      </c>
      <c r="G161" s="35">
        <f>-(-G136-G140-G146-G150-G154-G157)</f>
        <v>0</v>
      </c>
      <c r="H161" s="46">
        <f>-(-H136-H140-H146-H150-H154-H157)</f>
        <v>0</v>
      </c>
    </row>
    <row r="162" spans="2:8" ht="16" customHeight="1" x14ac:dyDescent="0.35">
      <c r="B162" s="10"/>
      <c r="C162" s="11" t="s">
        <v>22</v>
      </c>
      <c r="D162" s="12"/>
      <c r="E162" s="12"/>
      <c r="F162" s="12"/>
      <c r="G162" s="12"/>
      <c r="H162" s="22"/>
    </row>
    <row r="163" spans="2:8" ht="16" customHeight="1" x14ac:dyDescent="0.35">
      <c r="B163" s="39"/>
      <c r="C163" s="40" t="s">
        <v>931</v>
      </c>
      <c r="D163" s="24">
        <f>D134+D161</f>
        <v>-472548.36673000001</v>
      </c>
      <c r="E163" s="24">
        <f>E134+E161</f>
        <v>-49285.289709999997</v>
      </c>
      <c r="F163" s="24">
        <f>F134+F161</f>
        <v>521833.65643999999</v>
      </c>
      <c r="G163" s="24">
        <f>G134+G161</f>
        <v>0</v>
      </c>
      <c r="H163" s="24">
        <f>H134+H161</f>
        <v>0</v>
      </c>
    </row>
    <row r="164" spans="2:8" ht="16" customHeight="1" x14ac:dyDescent="0.35">
      <c r="B164" s="10"/>
      <c r="C164" s="11" t="s">
        <v>22</v>
      </c>
      <c r="D164" s="12"/>
      <c r="E164" s="12"/>
      <c r="F164" s="12"/>
      <c r="G164" s="12"/>
      <c r="H164" s="22"/>
    </row>
    <row r="165" spans="2:8" ht="16" customHeight="1" x14ac:dyDescent="0.35">
      <c r="B165" s="38"/>
      <c r="C165" s="34" t="s">
        <v>932</v>
      </c>
      <c r="D165" s="35"/>
      <c r="E165" s="35"/>
      <c r="F165" s="35"/>
      <c r="G165" s="35"/>
      <c r="H165" s="46"/>
    </row>
    <row r="166" spans="2:8" ht="16" customHeight="1" x14ac:dyDescent="0.35">
      <c r="B166" s="10"/>
      <c r="C166" s="11" t="s">
        <v>22</v>
      </c>
      <c r="D166" s="12"/>
      <c r="E166" s="12"/>
      <c r="F166" s="12"/>
      <c r="G166" s="12"/>
      <c r="H166" s="22"/>
    </row>
    <row r="167" spans="2:8" ht="16" customHeight="1" x14ac:dyDescent="0.35">
      <c r="B167" s="38"/>
      <c r="C167" s="34" t="s">
        <v>933</v>
      </c>
      <c r="D167" s="35">
        <f>-(-(D168+D169)-D170)</f>
        <v>0</v>
      </c>
      <c r="E167" s="35">
        <f>-(-(E168+E169)-E170)</f>
        <v>0</v>
      </c>
      <c r="F167" s="35">
        <f>-(-(F168+F169)-F170)</f>
        <v>0</v>
      </c>
      <c r="G167" s="35">
        <f>-(-(G168+G169)-G170)</f>
        <v>0</v>
      </c>
      <c r="H167" s="46">
        <f>-(-(H168+H169)-H170)</f>
        <v>0</v>
      </c>
    </row>
    <row r="168" spans="2:8" ht="16" customHeight="1" x14ac:dyDescent="0.35">
      <c r="B168" s="14" t="s">
        <v>934</v>
      </c>
      <c r="C168" s="14" t="s">
        <v>935</v>
      </c>
      <c r="D168" s="15"/>
      <c r="E168" s="15"/>
      <c r="F168" s="15"/>
      <c r="G168" s="15"/>
      <c r="H168" s="23">
        <f>SUM(D168:G168)</f>
        <v>0</v>
      </c>
    </row>
    <row r="169" spans="2:8" ht="16" customHeight="1" x14ac:dyDescent="0.35">
      <c r="B169" s="14" t="s">
        <v>936</v>
      </c>
      <c r="C169" s="14" t="s">
        <v>937</v>
      </c>
      <c r="D169" s="15"/>
      <c r="E169" s="15"/>
      <c r="F169" s="15"/>
      <c r="G169" s="15"/>
      <c r="H169" s="23">
        <f>SUM(D169:G169)</f>
        <v>0</v>
      </c>
    </row>
    <row r="170" spans="2:8" ht="16" customHeight="1" x14ac:dyDescent="0.35">
      <c r="B170" s="14" t="s">
        <v>938</v>
      </c>
      <c r="C170" s="14" t="s">
        <v>939</v>
      </c>
      <c r="D170" s="15"/>
      <c r="E170" s="15"/>
      <c r="F170" s="15"/>
      <c r="G170" s="15"/>
      <c r="H170" s="23">
        <f>SUM(D170:G170)</f>
        <v>0</v>
      </c>
    </row>
    <row r="171" spans="2:8" ht="16" customHeight="1" x14ac:dyDescent="0.35">
      <c r="B171" s="10"/>
      <c r="C171" s="11" t="s">
        <v>22</v>
      </c>
      <c r="D171" s="12"/>
      <c r="E171" s="12"/>
      <c r="F171" s="12"/>
      <c r="G171" s="12"/>
      <c r="H171" s="22"/>
    </row>
    <row r="172" spans="2:8" ht="16" customHeight="1" x14ac:dyDescent="0.35">
      <c r="B172" s="38"/>
      <c r="C172" s="34" t="s">
        <v>940</v>
      </c>
      <c r="D172" s="35">
        <f>D173+D174</f>
        <v>0</v>
      </c>
      <c r="E172" s="35">
        <f>E173+E174</f>
        <v>0</v>
      </c>
      <c r="F172" s="35">
        <f>F173+F174</f>
        <v>0</v>
      </c>
      <c r="G172" s="35">
        <f>G173+G174</f>
        <v>0</v>
      </c>
      <c r="H172" s="46">
        <f>H173+H174</f>
        <v>0</v>
      </c>
    </row>
    <row r="173" spans="2:8" ht="16" customHeight="1" x14ac:dyDescent="0.35">
      <c r="B173" s="14" t="s">
        <v>941</v>
      </c>
      <c r="C173" s="14" t="s">
        <v>942</v>
      </c>
      <c r="D173" s="15"/>
      <c r="E173" s="15"/>
      <c r="F173" s="15"/>
      <c r="G173" s="15"/>
      <c r="H173" s="23">
        <f>SUM(D173:G173)</f>
        <v>0</v>
      </c>
    </row>
    <row r="174" spans="2:8" ht="16" customHeight="1" x14ac:dyDescent="0.35">
      <c r="B174" s="14" t="s">
        <v>943</v>
      </c>
      <c r="C174" s="14" t="s">
        <v>944</v>
      </c>
      <c r="D174" s="15"/>
      <c r="E174" s="15"/>
      <c r="F174" s="15"/>
      <c r="G174" s="15"/>
      <c r="H174" s="23">
        <f>SUM(D174:G174)</f>
        <v>0</v>
      </c>
    </row>
    <row r="175" spans="2:8" ht="16" customHeight="1" x14ac:dyDescent="0.35">
      <c r="B175" s="10"/>
      <c r="C175" s="11" t="s">
        <v>22</v>
      </c>
      <c r="D175" s="12"/>
      <c r="E175" s="12"/>
      <c r="F175" s="12"/>
      <c r="G175" s="12"/>
      <c r="H175" s="22"/>
    </row>
    <row r="176" spans="2:8" ht="16" customHeight="1" x14ac:dyDescent="0.35">
      <c r="B176" s="14" t="s">
        <v>945</v>
      </c>
      <c r="C176" s="14" t="s">
        <v>946</v>
      </c>
      <c r="D176" s="15"/>
      <c r="E176" s="15"/>
      <c r="F176" s="15"/>
      <c r="G176" s="15"/>
      <c r="H176" s="23">
        <f>SUM(D176:G176)</f>
        <v>0</v>
      </c>
    </row>
    <row r="177" spans="2:8" ht="16" customHeight="1" x14ac:dyDescent="0.35">
      <c r="B177" s="10"/>
      <c r="C177" s="11" t="s">
        <v>22</v>
      </c>
      <c r="D177" s="12"/>
      <c r="E177" s="12"/>
      <c r="F177" s="12"/>
      <c r="G177" s="12"/>
      <c r="H177" s="22"/>
    </row>
    <row r="178" spans="2:8" ht="16" customHeight="1" x14ac:dyDescent="0.35">
      <c r="B178" s="14" t="s">
        <v>947</v>
      </c>
      <c r="C178" s="14" t="s">
        <v>948</v>
      </c>
      <c r="D178" s="15"/>
      <c r="E178" s="15"/>
      <c r="F178" s="15"/>
      <c r="G178" s="15"/>
      <c r="H178" s="23">
        <f>SUM(D178:G178)</f>
        <v>0</v>
      </c>
    </row>
    <row r="179" spans="2:8" ht="16" customHeight="1" x14ac:dyDescent="0.35">
      <c r="B179" s="10"/>
      <c r="C179" s="11" t="s">
        <v>22</v>
      </c>
      <c r="D179" s="12"/>
      <c r="E179" s="12"/>
      <c r="F179" s="12"/>
      <c r="G179" s="12"/>
      <c r="H179" s="22"/>
    </row>
    <row r="180" spans="2:8" ht="16" customHeight="1" x14ac:dyDescent="0.35">
      <c r="B180" s="14" t="s">
        <v>949</v>
      </c>
      <c r="C180" s="14" t="s">
        <v>950</v>
      </c>
      <c r="D180" s="15"/>
      <c r="E180" s="15"/>
      <c r="F180" s="15"/>
      <c r="G180" s="15"/>
      <c r="H180" s="23">
        <f>SUM(D180:G180)</f>
        <v>0</v>
      </c>
    </row>
    <row r="181" spans="2:8" ht="16" customHeight="1" x14ac:dyDescent="0.35">
      <c r="B181" s="10"/>
      <c r="C181" s="11" t="s">
        <v>22</v>
      </c>
      <c r="D181" s="12"/>
      <c r="E181" s="12"/>
      <c r="F181" s="12"/>
      <c r="G181" s="12"/>
      <c r="H181" s="22"/>
    </row>
    <row r="182" spans="2:8" ht="16" customHeight="1" x14ac:dyDescent="0.35">
      <c r="B182" s="38"/>
      <c r="C182" s="34" t="s">
        <v>951</v>
      </c>
      <c r="D182" s="35">
        <f>D183+D184</f>
        <v>0</v>
      </c>
      <c r="E182" s="35">
        <f>E183+E184</f>
        <v>0</v>
      </c>
      <c r="F182" s="35">
        <f>F183+F184</f>
        <v>0</v>
      </c>
      <c r="G182" s="35">
        <f>G183+G184</f>
        <v>0</v>
      </c>
      <c r="H182" s="46">
        <f>H183+H184</f>
        <v>0</v>
      </c>
    </row>
    <row r="183" spans="2:8" ht="16" customHeight="1" x14ac:dyDescent="0.35">
      <c r="B183" s="14" t="s">
        <v>952</v>
      </c>
      <c r="C183" s="14" t="s">
        <v>953</v>
      </c>
      <c r="D183" s="15"/>
      <c r="E183" s="15"/>
      <c r="F183" s="15"/>
      <c r="G183" s="15"/>
      <c r="H183" s="23">
        <f>SUM(D183:G183)</f>
        <v>0</v>
      </c>
    </row>
    <row r="184" spans="2:8" ht="16" customHeight="1" x14ac:dyDescent="0.35">
      <c r="B184" s="14" t="s">
        <v>954</v>
      </c>
      <c r="C184" s="14" t="s">
        <v>955</v>
      </c>
      <c r="D184" s="15"/>
      <c r="E184" s="15"/>
      <c r="F184" s="15"/>
      <c r="G184" s="15"/>
      <c r="H184" s="23">
        <f>SUM(D184:G184)</f>
        <v>0</v>
      </c>
    </row>
    <row r="185" spans="2:8" ht="16" customHeight="1" x14ac:dyDescent="0.35">
      <c r="B185" s="10"/>
      <c r="C185" s="11" t="s">
        <v>22</v>
      </c>
      <c r="D185" s="12"/>
      <c r="E185" s="12"/>
      <c r="F185" s="12"/>
      <c r="G185" s="12"/>
      <c r="H185" s="22"/>
    </row>
    <row r="186" spans="2:8" ht="16" customHeight="1" x14ac:dyDescent="0.35">
      <c r="B186" s="38"/>
      <c r="C186" s="34" t="s">
        <v>956</v>
      </c>
      <c r="D186" s="35">
        <f>-(-(D187+D188)-D189-D190-D191)</f>
        <v>607400</v>
      </c>
      <c r="E186" s="35">
        <f>-(-(E187+E188)-E189-E190-E191)</f>
        <v>25299.910519999987</v>
      </c>
      <c r="F186" s="35">
        <f>-(-(F187+F188)-F189-F190-F191)</f>
        <v>-632699.91051999992</v>
      </c>
      <c r="G186" s="35">
        <f>-(-(G187+G188)-G189-G190-G191)</f>
        <v>0</v>
      </c>
      <c r="H186" s="46">
        <f>-(-(H187+H188)-H189-H190-H191)</f>
        <v>0</v>
      </c>
    </row>
    <row r="187" spans="2:8" ht="16" customHeight="1" x14ac:dyDescent="0.35">
      <c r="B187" s="14" t="s">
        <v>957</v>
      </c>
      <c r="C187" s="14" t="s">
        <v>958</v>
      </c>
      <c r="D187" s="15">
        <v>720801</v>
      </c>
      <c r="E187" s="15">
        <v>135350</v>
      </c>
      <c r="F187" s="15">
        <v>-856151</v>
      </c>
      <c r="G187" s="15"/>
      <c r="H187" s="23">
        <f>SUM(D187:G187)</f>
        <v>0</v>
      </c>
    </row>
    <row r="188" spans="2:8" ht="16" customHeight="1" x14ac:dyDescent="0.35">
      <c r="B188" s="14" t="s">
        <v>959</v>
      </c>
      <c r="C188" s="14" t="s">
        <v>960</v>
      </c>
      <c r="D188" s="15">
        <v>177.40647999999999</v>
      </c>
      <c r="E188" s="15">
        <v>112.50452</v>
      </c>
      <c r="F188" s="15">
        <v>-289.911</v>
      </c>
      <c r="G188" s="15"/>
      <c r="H188" s="23">
        <f>SUM(D188:G188)</f>
        <v>0</v>
      </c>
    </row>
    <row r="189" spans="2:8" ht="16" customHeight="1" x14ac:dyDescent="0.35">
      <c r="B189" s="14" t="s">
        <v>961</v>
      </c>
      <c r="C189" s="14" t="s">
        <v>962</v>
      </c>
      <c r="D189" s="15">
        <v>-113401</v>
      </c>
      <c r="E189" s="15">
        <v>-113550</v>
      </c>
      <c r="F189" s="15">
        <v>226951</v>
      </c>
      <c r="G189" s="15"/>
      <c r="H189" s="23">
        <f>SUM(D189:G189)</f>
        <v>0</v>
      </c>
    </row>
    <row r="190" spans="2:8" ht="16" customHeight="1" x14ac:dyDescent="0.35">
      <c r="B190" s="14" t="s">
        <v>963</v>
      </c>
      <c r="C190" s="14" t="s">
        <v>964</v>
      </c>
      <c r="D190" s="15">
        <v>-177.40647999999999</v>
      </c>
      <c r="E190" s="15">
        <v>-112.59399999999999</v>
      </c>
      <c r="F190" s="15">
        <v>290.00047999999998</v>
      </c>
      <c r="G190" s="15"/>
      <c r="H190" s="23">
        <f>SUM(D190:G190)</f>
        <v>0</v>
      </c>
    </row>
    <row r="191" spans="2:8" ht="16" customHeight="1" x14ac:dyDescent="0.35">
      <c r="B191" s="14" t="s">
        <v>965</v>
      </c>
      <c r="C191" s="14" t="s">
        <v>966</v>
      </c>
      <c r="D191" s="15"/>
      <c r="E191" s="15">
        <v>3500</v>
      </c>
      <c r="F191" s="15">
        <v>-3500</v>
      </c>
      <c r="G191" s="15"/>
      <c r="H191" s="23">
        <f>SUM(D191:G191)</f>
        <v>0</v>
      </c>
    </row>
    <row r="192" spans="2:8" ht="16" customHeight="1" x14ac:dyDescent="0.35">
      <c r="B192" s="10"/>
      <c r="C192" s="11" t="s">
        <v>22</v>
      </c>
      <c r="D192" s="12"/>
      <c r="E192" s="12"/>
      <c r="F192" s="12"/>
      <c r="G192" s="12"/>
      <c r="H192" s="22"/>
    </row>
    <row r="193" spans="2:8" ht="16" customHeight="1" x14ac:dyDescent="0.35">
      <c r="B193" s="38"/>
      <c r="C193" s="34" t="s">
        <v>967</v>
      </c>
      <c r="D193" s="35">
        <f>D195+D200+D204</f>
        <v>9656.0370999999977</v>
      </c>
      <c r="E193" s="35">
        <f>E195+E200+E204</f>
        <v>3133.2673999999997</v>
      </c>
      <c r="F193" s="35">
        <f>F195+F200+F204</f>
        <v>-12789.304500000006</v>
      </c>
      <c r="G193" s="35">
        <f>G195+G200+G204</f>
        <v>0</v>
      </c>
      <c r="H193" s="46">
        <f>H195+H200+H204</f>
        <v>0</v>
      </c>
    </row>
    <row r="194" spans="2:8" ht="16" customHeight="1" x14ac:dyDescent="0.35">
      <c r="B194" s="10"/>
      <c r="C194" s="11" t="s">
        <v>22</v>
      </c>
      <c r="D194" s="12"/>
      <c r="E194" s="12"/>
      <c r="F194" s="12"/>
      <c r="G194" s="12"/>
      <c r="H194" s="22"/>
    </row>
    <row r="195" spans="2:8" ht="16" customHeight="1" x14ac:dyDescent="0.35">
      <c r="B195" s="38"/>
      <c r="C195" s="34" t="s">
        <v>968</v>
      </c>
      <c r="D195" s="35">
        <f>-(-(D196+D197)-D198)</f>
        <v>22626.962029999999</v>
      </c>
      <c r="E195" s="35">
        <f>-(-(E196+E197)-E198)</f>
        <v>12298.50858</v>
      </c>
      <c r="F195" s="35">
        <f>-(-(F196+F197)-F198)</f>
        <v>-34925.470610000004</v>
      </c>
      <c r="G195" s="35">
        <f>-(-(G196+G197)-G198)</f>
        <v>0</v>
      </c>
      <c r="H195" s="46">
        <f>-(-(H196+H197)-H198)</f>
        <v>0</v>
      </c>
    </row>
    <row r="196" spans="2:8" ht="16" customHeight="1" x14ac:dyDescent="0.35">
      <c r="B196" s="14" t="s">
        <v>969</v>
      </c>
      <c r="C196" s="14" t="s">
        <v>970</v>
      </c>
      <c r="D196" s="15">
        <v>22634.98329</v>
      </c>
      <c r="E196" s="15">
        <v>12582.5885</v>
      </c>
      <c r="F196" s="15">
        <v>-35217.571790000002</v>
      </c>
      <c r="G196" s="15"/>
      <c r="H196" s="23">
        <f>SUM(D196:G196)</f>
        <v>0</v>
      </c>
    </row>
    <row r="197" spans="2:8" ht="16" customHeight="1" x14ac:dyDescent="0.35">
      <c r="B197" s="14" t="s">
        <v>971</v>
      </c>
      <c r="C197" s="14" t="s">
        <v>972</v>
      </c>
      <c r="D197" s="15">
        <v>-8.0212599999999998</v>
      </c>
      <c r="E197" s="15">
        <v>-284.07992000000002</v>
      </c>
      <c r="F197" s="15">
        <v>292.10118</v>
      </c>
      <c r="G197" s="15"/>
      <c r="H197" s="23">
        <f>SUM(D197:G197)</f>
        <v>0</v>
      </c>
    </row>
    <row r="198" spans="2:8" ht="16" customHeight="1" x14ac:dyDescent="0.35">
      <c r="B198" s="14" t="s">
        <v>973</v>
      </c>
      <c r="C198" s="14" t="s">
        <v>974</v>
      </c>
      <c r="D198" s="15"/>
      <c r="E198" s="15"/>
      <c r="F198" s="15"/>
      <c r="G198" s="15"/>
      <c r="H198" s="23">
        <f>SUM(D198:G198)</f>
        <v>0</v>
      </c>
    </row>
    <row r="199" spans="2:8" ht="16" customHeight="1" x14ac:dyDescent="0.35">
      <c r="B199" s="10"/>
      <c r="C199" s="11" t="s">
        <v>22</v>
      </c>
      <c r="D199" s="12"/>
      <c r="E199" s="12"/>
      <c r="F199" s="12"/>
      <c r="G199" s="12"/>
      <c r="H199" s="22"/>
    </row>
    <row r="200" spans="2:8" ht="16" customHeight="1" x14ac:dyDescent="0.35">
      <c r="B200" s="34" t="s">
        <v>975</v>
      </c>
      <c r="C200" s="34" t="s">
        <v>976</v>
      </c>
      <c r="D200" s="35">
        <f>D201+D202</f>
        <v>-12823.550050000002</v>
      </c>
      <c r="E200" s="35">
        <f>E201+E202</f>
        <v>-9079.1669099999999</v>
      </c>
      <c r="F200" s="35">
        <f>F201+F202</f>
        <v>21902.716959999998</v>
      </c>
      <c r="G200" s="35">
        <f>G201+G202</f>
        <v>0</v>
      </c>
      <c r="H200" s="46">
        <f>H201+H202</f>
        <v>0</v>
      </c>
    </row>
    <row r="201" spans="2:8" ht="16" customHeight="1" x14ac:dyDescent="0.35">
      <c r="B201" s="14" t="s">
        <v>977</v>
      </c>
      <c r="C201" s="14" t="s">
        <v>978</v>
      </c>
      <c r="D201" s="15">
        <v>-14495.510550000001</v>
      </c>
      <c r="E201" s="15">
        <v>-10019.08268</v>
      </c>
      <c r="F201" s="15">
        <v>24514.593229999999</v>
      </c>
      <c r="G201" s="15"/>
      <c r="H201" s="23">
        <f>SUM(D201:G201)</f>
        <v>0</v>
      </c>
    </row>
    <row r="202" spans="2:8" ht="16" customHeight="1" x14ac:dyDescent="0.35">
      <c r="B202" s="14" t="s">
        <v>979</v>
      </c>
      <c r="C202" s="14" t="s">
        <v>980</v>
      </c>
      <c r="D202" s="15">
        <v>1671.9604999999999</v>
      </c>
      <c r="E202" s="15">
        <v>939.91576999999995</v>
      </c>
      <c r="F202" s="15">
        <v>-2611.8762700000002</v>
      </c>
      <c r="G202" s="15"/>
      <c r="H202" s="23">
        <f>SUM(D202:G202)</f>
        <v>0</v>
      </c>
    </row>
    <row r="203" spans="2:8" ht="16" customHeight="1" x14ac:dyDescent="0.35">
      <c r="B203" s="10"/>
      <c r="C203" s="11" t="s">
        <v>22</v>
      </c>
      <c r="D203" s="12"/>
      <c r="E203" s="12"/>
      <c r="F203" s="12"/>
      <c r="G203" s="12"/>
      <c r="H203" s="22"/>
    </row>
    <row r="204" spans="2:8" ht="16" customHeight="1" x14ac:dyDescent="0.35">
      <c r="B204" s="38"/>
      <c r="C204" s="34" t="s">
        <v>981</v>
      </c>
      <c r="D204" s="35">
        <f>D206+D210</f>
        <v>-147.37488000000002</v>
      </c>
      <c r="E204" s="35">
        <f>E206+E210</f>
        <v>-86.074270000000013</v>
      </c>
      <c r="F204" s="35">
        <f>F206+F210</f>
        <v>233.44914999999997</v>
      </c>
      <c r="G204" s="35">
        <f>G206+G210</f>
        <v>0</v>
      </c>
      <c r="H204" s="46">
        <f>H206+H210</f>
        <v>0</v>
      </c>
    </row>
    <row r="205" spans="2:8" ht="16" customHeight="1" x14ac:dyDescent="0.35">
      <c r="B205" s="10"/>
      <c r="C205" s="11" t="s">
        <v>22</v>
      </c>
      <c r="D205" s="12"/>
      <c r="E205" s="12"/>
      <c r="F205" s="12"/>
      <c r="G205" s="12"/>
      <c r="H205" s="22"/>
    </row>
    <row r="206" spans="2:8" ht="16" customHeight="1" x14ac:dyDescent="0.35">
      <c r="B206" s="38"/>
      <c r="C206" s="34" t="s">
        <v>982</v>
      </c>
      <c r="D206" s="35">
        <f>D207+D208</f>
        <v>-113.90988</v>
      </c>
      <c r="E206" s="35">
        <f>E207+E208</f>
        <v>-81.501270000000005</v>
      </c>
      <c r="F206" s="35">
        <f>F207+F208</f>
        <v>195.41114999999999</v>
      </c>
      <c r="G206" s="35">
        <f>G207+G208</f>
        <v>0</v>
      </c>
      <c r="H206" s="46">
        <f>H207+H208</f>
        <v>0</v>
      </c>
    </row>
    <row r="207" spans="2:8" ht="16" customHeight="1" x14ac:dyDescent="0.35">
      <c r="B207" s="14" t="s">
        <v>983</v>
      </c>
      <c r="C207" s="14" t="s">
        <v>984</v>
      </c>
      <c r="D207" s="15"/>
      <c r="E207" s="15"/>
      <c r="F207" s="15"/>
      <c r="G207" s="15"/>
      <c r="H207" s="23">
        <f>SUM(D207:G207)</f>
        <v>0</v>
      </c>
    </row>
    <row r="208" spans="2:8" ht="16" customHeight="1" x14ac:dyDescent="0.35">
      <c r="B208" s="14" t="s">
        <v>985</v>
      </c>
      <c r="C208" s="14" t="s">
        <v>986</v>
      </c>
      <c r="D208" s="15">
        <v>-113.90988</v>
      </c>
      <c r="E208" s="15">
        <v>-81.501270000000005</v>
      </c>
      <c r="F208" s="15">
        <v>195.41114999999999</v>
      </c>
      <c r="G208" s="15"/>
      <c r="H208" s="23">
        <f>SUM(D208:G208)</f>
        <v>0</v>
      </c>
    </row>
    <row r="209" spans="2:8" ht="16" customHeight="1" x14ac:dyDescent="0.35">
      <c r="B209" s="10"/>
      <c r="C209" s="11" t="s">
        <v>22</v>
      </c>
      <c r="D209" s="12"/>
      <c r="E209" s="12"/>
      <c r="F209" s="12"/>
      <c r="G209" s="12"/>
      <c r="H209" s="22"/>
    </row>
    <row r="210" spans="2:8" ht="16" customHeight="1" x14ac:dyDescent="0.35">
      <c r="B210" s="38"/>
      <c r="C210" s="34" t="s">
        <v>987</v>
      </c>
      <c r="D210" s="35">
        <f>-(-(D211+D212)-D213)</f>
        <v>-33.465000000000003</v>
      </c>
      <c r="E210" s="35">
        <f>-(-(E211+E212)-E213)</f>
        <v>-4.5730000000000004</v>
      </c>
      <c r="F210" s="35">
        <f>-(-(F211+F212)-F213)</f>
        <v>38.037999999999997</v>
      </c>
      <c r="G210" s="35">
        <f>-(-(G211+G212)-G213)</f>
        <v>0</v>
      </c>
      <c r="H210" s="46">
        <f>-(-(H211+H212)-H213)</f>
        <v>0</v>
      </c>
    </row>
    <row r="211" spans="2:8" ht="16" customHeight="1" x14ac:dyDescent="0.35">
      <c r="B211" s="14" t="s">
        <v>988</v>
      </c>
      <c r="C211" s="14" t="s">
        <v>989</v>
      </c>
      <c r="D211" s="15"/>
      <c r="E211" s="15"/>
      <c r="F211" s="15"/>
      <c r="G211" s="15"/>
      <c r="H211" s="23">
        <f>SUM(D211:G211)</f>
        <v>0</v>
      </c>
    </row>
    <row r="212" spans="2:8" ht="16" customHeight="1" x14ac:dyDescent="0.35">
      <c r="B212" s="14" t="s">
        <v>990</v>
      </c>
      <c r="C212" s="14" t="s">
        <v>991</v>
      </c>
      <c r="D212" s="15"/>
      <c r="E212" s="15"/>
      <c r="F212" s="15"/>
      <c r="G212" s="15"/>
      <c r="H212" s="23">
        <f>SUM(D212:G212)</f>
        <v>0</v>
      </c>
    </row>
    <row r="213" spans="2:8" ht="16" customHeight="1" x14ac:dyDescent="0.35">
      <c r="B213" s="14" t="s">
        <v>992</v>
      </c>
      <c r="C213" s="14" t="s">
        <v>993</v>
      </c>
      <c r="D213" s="15">
        <v>-33.465000000000003</v>
      </c>
      <c r="E213" s="15">
        <v>-4.5730000000000004</v>
      </c>
      <c r="F213" s="15">
        <v>38.037999999999997</v>
      </c>
      <c r="G213" s="15"/>
      <c r="H213" s="23">
        <f>SUM(D213:G213)</f>
        <v>0</v>
      </c>
    </row>
    <row r="214" spans="2:8" ht="16" customHeight="1" x14ac:dyDescent="0.35">
      <c r="B214" s="10"/>
      <c r="C214" s="11" t="s">
        <v>22</v>
      </c>
      <c r="D214" s="12"/>
      <c r="E214" s="12"/>
      <c r="F214" s="12"/>
      <c r="G214" s="12"/>
      <c r="H214" s="22"/>
    </row>
    <row r="215" spans="2:8" ht="16" customHeight="1" x14ac:dyDescent="0.35">
      <c r="B215" s="39"/>
      <c r="C215" s="40" t="s">
        <v>994</v>
      </c>
      <c r="D215" s="24">
        <f>D167+D172+D176+D178+D180+D182+D186+D193</f>
        <v>617056.03709999996</v>
      </c>
      <c r="E215" s="24">
        <f>E167+E172+E176+E178+E180+E182+E186+E193</f>
        <v>28433.177919999987</v>
      </c>
      <c r="F215" s="24">
        <f>F167+F172+F176+F178+F180+F182+F186+F193</f>
        <v>-645489.21501999989</v>
      </c>
      <c r="G215" s="24">
        <f>G167+G172+G176+G178+G180+G182+G186+G193</f>
        <v>0</v>
      </c>
      <c r="H215" s="24">
        <f>H167+H172+H176+H178+H180+H182+H186+H193</f>
        <v>0</v>
      </c>
    </row>
    <row r="216" spans="2:8" ht="16" customHeight="1" x14ac:dyDescent="0.35">
      <c r="B216" s="10"/>
      <c r="C216" s="11" t="s">
        <v>22</v>
      </c>
      <c r="D216" s="12"/>
      <c r="E216" s="12"/>
      <c r="F216" s="12"/>
      <c r="G216" s="12"/>
      <c r="H216" s="22"/>
    </row>
    <row r="217" spans="2:8" ht="16" customHeight="1" x14ac:dyDescent="0.35">
      <c r="B217" s="40" t="s">
        <v>995</v>
      </c>
      <c r="C217" s="40" t="s">
        <v>996</v>
      </c>
      <c r="D217" s="24">
        <f>D104+D163+D215</f>
        <v>14.752209999947809</v>
      </c>
      <c r="E217" s="24">
        <f>E104+E163+E215</f>
        <v>-26717.017030000017</v>
      </c>
      <c r="F217" s="24">
        <f>F104+F163+F215</f>
        <v>26702.264820000157</v>
      </c>
      <c r="G217" s="24">
        <f>G104+G163+G215</f>
        <v>0</v>
      </c>
      <c r="H217" s="24">
        <f>H104+H163+H215</f>
        <v>0</v>
      </c>
    </row>
    <row r="218" spans="2:8" ht="16" customHeight="1" x14ac:dyDescent="0.35">
      <c r="B218" s="10"/>
      <c r="C218" s="11" t="s">
        <v>22</v>
      </c>
      <c r="D218" s="12"/>
      <c r="E218" s="12"/>
      <c r="F218" s="12"/>
      <c r="G218" s="12"/>
      <c r="H218" s="22"/>
    </row>
    <row r="219" spans="2:8" ht="16" customHeight="1" x14ac:dyDescent="0.35">
      <c r="B219" s="14" t="s">
        <v>997</v>
      </c>
      <c r="C219" s="14" t="s">
        <v>998</v>
      </c>
      <c r="D219" s="15">
        <v>1931.7006699999999</v>
      </c>
      <c r="E219" s="15">
        <v>0</v>
      </c>
      <c r="F219" s="15">
        <v>-1931.7006699999999</v>
      </c>
      <c r="G219" s="15"/>
      <c r="H219" s="23">
        <f>SUM(D219:G219)</f>
        <v>0</v>
      </c>
    </row>
    <row r="220" spans="2:8" ht="16" customHeight="1" x14ac:dyDescent="0.35">
      <c r="B220" s="14" t="s">
        <v>999</v>
      </c>
      <c r="C220" s="14" t="s">
        <v>996</v>
      </c>
      <c r="D220" s="15">
        <f>D222-D221-D219</f>
        <v>-9.1295800000000327</v>
      </c>
      <c r="E220" s="15">
        <f>E222-E221-E219</f>
        <v>-23344.018400000001</v>
      </c>
      <c r="F220" s="15">
        <f>F222-F221-F219</f>
        <v>1914.1923099999999</v>
      </c>
      <c r="G220" s="15">
        <f>G222-G221-G219</f>
        <v>0</v>
      </c>
      <c r="H220" s="23">
        <f>H222-H221-H219</f>
        <v>-21438.955669999999</v>
      </c>
    </row>
    <row r="221" spans="2:8" ht="16" customHeight="1" x14ac:dyDescent="0.35">
      <c r="B221" s="14" t="s">
        <v>1000</v>
      </c>
      <c r="C221" s="14" t="s">
        <v>1001</v>
      </c>
      <c r="D221" s="15">
        <v>-21.84487</v>
      </c>
      <c r="E221" s="15">
        <v>4.3365099999999996</v>
      </c>
      <c r="F221" s="15">
        <v>17.50836</v>
      </c>
      <c r="G221" s="15"/>
      <c r="H221" s="23">
        <f>SUM(D221:G221)</f>
        <v>0</v>
      </c>
    </row>
    <row r="222" spans="2:8" ht="16" customHeight="1" x14ac:dyDescent="0.35">
      <c r="B222" s="14" t="s">
        <v>1002</v>
      </c>
      <c r="C222" s="14" t="s">
        <v>1003</v>
      </c>
      <c r="D222" s="15">
        <v>1900.72622</v>
      </c>
      <c r="E222" s="15">
        <v>-23339.68189</v>
      </c>
      <c r="F222" s="15"/>
      <c r="G222" s="15"/>
      <c r="H222" s="23">
        <f>SUM(D222:G222)</f>
        <v>-21438.955669999999</v>
      </c>
    </row>
    <row r="223" spans="2:8" ht="16" customHeight="1" x14ac:dyDescent="0.35">
      <c r="B223" s="10"/>
      <c r="C223" s="11" t="s">
        <v>22</v>
      </c>
      <c r="D223" s="12"/>
      <c r="E223" s="12"/>
      <c r="F223" s="12"/>
      <c r="G223" s="12"/>
      <c r="H223" s="22"/>
    </row>
    <row r="224" spans="2:8" ht="16" customHeight="1" x14ac:dyDescent="0.35">
      <c r="B224" s="10"/>
      <c r="C224" s="11" t="s">
        <v>22</v>
      </c>
      <c r="D224" s="12"/>
      <c r="E224" s="12"/>
      <c r="F224" s="12"/>
      <c r="G224" s="12"/>
      <c r="H224" s="22"/>
    </row>
    <row r="225" spans="2:8" ht="16" customHeight="1" x14ac:dyDescent="0.35">
      <c r="B225" s="41"/>
      <c r="C225" s="36" t="s">
        <v>751</v>
      </c>
      <c r="D225" s="37">
        <f>D217-D220</f>
        <v>23.881789999947841</v>
      </c>
      <c r="E225" s="37">
        <f>E217-E220</f>
        <v>-3372.9986300000164</v>
      </c>
      <c r="F225" s="37">
        <f>F217-F220</f>
        <v>24788.072510000158</v>
      </c>
      <c r="G225" s="37">
        <f>G217-G220</f>
        <v>0</v>
      </c>
      <c r="H225" s="47">
        <f>H217-H220</f>
        <v>21438.955669999999</v>
      </c>
    </row>
    <row r="226" spans="2:8" ht="16" customHeight="1" x14ac:dyDescent="0.35">
      <c r="B226" s="10"/>
      <c r="C226" s="11" t="s">
        <v>22</v>
      </c>
      <c r="D226" s="12"/>
      <c r="E226" s="12"/>
      <c r="F226" s="12"/>
      <c r="G226" s="12"/>
      <c r="H226" s="22"/>
    </row>
    <row r="227" spans="2:8" ht="16" customHeight="1" x14ac:dyDescent="0.35">
      <c r="B227" s="10"/>
      <c r="C227" s="11" t="s">
        <v>22</v>
      </c>
      <c r="D227" s="12"/>
      <c r="E227" s="12"/>
      <c r="F227" s="12"/>
      <c r="G227" s="12"/>
      <c r="H227" s="22"/>
    </row>
    <row r="228" spans="2:8" ht="16" customHeight="1" x14ac:dyDescent="0.35">
      <c r="B228" s="38"/>
      <c r="C228" s="34" t="s">
        <v>1004</v>
      </c>
      <c r="D228" s="35"/>
      <c r="E228" s="35"/>
      <c r="F228" s="35"/>
      <c r="G228" s="35"/>
      <c r="H228" s="46"/>
    </row>
    <row r="229" spans="2:8" ht="16" customHeight="1" x14ac:dyDescent="0.35">
      <c r="B229" s="10"/>
      <c r="C229" s="11" t="s">
        <v>22</v>
      </c>
      <c r="D229" s="12"/>
      <c r="E229" s="12"/>
      <c r="F229" s="12"/>
      <c r="G229" s="12"/>
      <c r="H229" s="22"/>
    </row>
    <row r="230" spans="2:8" ht="16" customHeight="1" x14ac:dyDescent="0.35">
      <c r="B230" s="42"/>
      <c r="C230" s="14" t="s">
        <v>890</v>
      </c>
      <c r="D230" s="15">
        <f>D128</f>
        <v>-36390.254910000003</v>
      </c>
      <c r="E230" s="15">
        <f>E128</f>
        <v>-29745.746869999999</v>
      </c>
      <c r="F230" s="15">
        <f>F128</f>
        <v>66136.001779999991</v>
      </c>
      <c r="G230" s="15">
        <f>G128</f>
        <v>0</v>
      </c>
      <c r="H230" s="23">
        <f>H128</f>
        <v>0</v>
      </c>
    </row>
    <row r="231" spans="2:8" ht="16" customHeight="1" x14ac:dyDescent="0.35">
      <c r="B231" s="42"/>
      <c r="C231" s="14" t="s">
        <v>892</v>
      </c>
      <c r="D231" s="15">
        <f>D130</f>
        <v>2902.2149199999999</v>
      </c>
      <c r="E231" s="15">
        <f>E130</f>
        <v>289.76004999999998</v>
      </c>
      <c r="F231" s="15">
        <f>F130</f>
        <v>-3191.9749700000002</v>
      </c>
      <c r="G231" s="15">
        <f>G130</f>
        <v>0</v>
      </c>
      <c r="H231" s="23">
        <f>H130</f>
        <v>0</v>
      </c>
    </row>
    <row r="232" spans="2:8" ht="16" customHeight="1" x14ac:dyDescent="0.35">
      <c r="B232" s="38"/>
      <c r="C232" s="34" t="s">
        <v>1005</v>
      </c>
      <c r="D232" s="35">
        <f>D104+D230+D231</f>
        <v>-177980.95815000002</v>
      </c>
      <c r="E232" s="35">
        <f>E104+E230+E231</f>
        <v>-35320.892060000013</v>
      </c>
      <c r="F232" s="35">
        <f>F104+F230+F231</f>
        <v>213301.85021</v>
      </c>
      <c r="G232" s="35">
        <f>G104+G230+G231</f>
        <v>0</v>
      </c>
      <c r="H232" s="46">
        <f>H104+H230+H231</f>
        <v>0</v>
      </c>
    </row>
    <row r="233" spans="2:8" ht="16" customHeight="1" x14ac:dyDescent="0.35">
      <c r="B233" s="42"/>
      <c r="C233" s="14" t="s">
        <v>976</v>
      </c>
      <c r="D233" s="15">
        <f>D200</f>
        <v>-12823.550050000002</v>
      </c>
      <c r="E233" s="15">
        <f>E200</f>
        <v>-9079.1669099999999</v>
      </c>
      <c r="F233" s="15">
        <f>F200</f>
        <v>21902.716959999998</v>
      </c>
      <c r="G233" s="15">
        <f>G200</f>
        <v>0</v>
      </c>
      <c r="H233" s="23">
        <f>H200</f>
        <v>0</v>
      </c>
    </row>
    <row r="234" spans="2:8" ht="16" customHeight="1" x14ac:dyDescent="0.35">
      <c r="B234" s="38"/>
      <c r="C234" s="34" t="s">
        <v>1006</v>
      </c>
      <c r="D234" s="35">
        <f>D232+D233</f>
        <v>-190804.50820000001</v>
      </c>
      <c r="E234" s="35">
        <f>E232+E233</f>
        <v>-44400.058970000013</v>
      </c>
      <c r="F234" s="35">
        <f>F232+F233</f>
        <v>235204.56716999999</v>
      </c>
      <c r="G234" s="35">
        <f>G232+G233</f>
        <v>0</v>
      </c>
      <c r="H234" s="46">
        <f>H232+H233</f>
        <v>0</v>
      </c>
    </row>
    <row r="235" spans="2:8" ht="16" customHeight="1" x14ac:dyDescent="0.35">
      <c r="B235" s="42"/>
      <c r="C235" s="14" t="s">
        <v>813</v>
      </c>
      <c r="D235" s="15">
        <f>D63</f>
        <v>-24232.031139999999</v>
      </c>
      <c r="E235" s="15">
        <f>E63</f>
        <v>-555.80146000000002</v>
      </c>
      <c r="F235" s="15">
        <f>F63</f>
        <v>24787.832600000002</v>
      </c>
      <c r="G235" s="15">
        <f>G63</f>
        <v>0</v>
      </c>
      <c r="H235" s="23">
        <f>H63</f>
        <v>0</v>
      </c>
    </row>
    <row r="236" spans="2:8" ht="16" customHeight="1" x14ac:dyDescent="0.35">
      <c r="B236" s="38"/>
      <c r="C236" s="34" t="s">
        <v>1007</v>
      </c>
      <c r="D236" s="35">
        <f>D234-D235</f>
        <v>-166572.47706</v>
      </c>
      <c r="E236" s="35">
        <f>E234-E235</f>
        <v>-43844.25751000001</v>
      </c>
      <c r="F236" s="35">
        <f>F234-F235</f>
        <v>210416.73457</v>
      </c>
      <c r="G236" s="35">
        <f>G234-G235</f>
        <v>0</v>
      </c>
      <c r="H236" s="46">
        <f>H234-H235</f>
        <v>0</v>
      </c>
    </row>
    <row r="237" spans="2:8" ht="16" customHeight="1" x14ac:dyDescent="0.35">
      <c r="B237" s="10"/>
      <c r="C237" s="11" t="s">
        <v>22</v>
      </c>
      <c r="D237" s="12"/>
      <c r="E237" s="12"/>
      <c r="F237" s="12"/>
      <c r="G237" s="12"/>
      <c r="H237" s="22"/>
    </row>
    <row r="238" spans="2:8" ht="16" customHeight="1" x14ac:dyDescent="0.35">
      <c r="B238" s="43"/>
      <c r="C238" s="44" t="s">
        <v>1008</v>
      </c>
      <c r="D238" s="45">
        <v>14.490205254999999</v>
      </c>
      <c r="E238" s="45">
        <v>-0.42227762000000002</v>
      </c>
      <c r="F238" s="45">
        <v>-2.2789017359999999</v>
      </c>
      <c r="G238" s="45"/>
      <c r="H238" s="48">
        <f>SUM(D238:G238)</f>
        <v>11.789025899</v>
      </c>
    </row>
    <row r="239" spans="2:8" ht="16" customHeight="1" x14ac:dyDescent="0.35">
      <c r="B239" s="43"/>
      <c r="C239" s="44" t="s">
        <v>1009</v>
      </c>
      <c r="D239" s="45">
        <v>2.9697195760000001</v>
      </c>
      <c r="E239" s="45">
        <v>-0.49950262899999998</v>
      </c>
      <c r="F239" s="45">
        <v>-19.786414825000001</v>
      </c>
      <c r="G239" s="45"/>
      <c r="H239" s="48">
        <f>SUM(D239:G239)</f>
        <v>-17.316197878000001</v>
      </c>
    </row>
    <row r="240" spans="2:8" ht="16" customHeight="1" x14ac:dyDescent="0.35">
      <c r="B240" s="43"/>
      <c r="C240" s="44" t="s">
        <v>1010</v>
      </c>
      <c r="D240" s="45">
        <v>-0.42342552300000003</v>
      </c>
      <c r="E240" s="45">
        <v>-7.7395964999999997E-2</v>
      </c>
      <c r="F240" s="45">
        <v>-0.22962575099999999</v>
      </c>
      <c r="G240" s="45"/>
      <c r="H240" s="48">
        <f>SUM(D240:G240)</f>
        <v>-0.73044723900000008</v>
      </c>
    </row>
    <row r="241" spans="2:8" ht="16" customHeight="1" x14ac:dyDescent="0.35">
      <c r="B241" s="10"/>
      <c r="C241" s="11" t="s">
        <v>22</v>
      </c>
      <c r="D241" s="12"/>
      <c r="E241" s="12"/>
      <c r="F241" s="12"/>
      <c r="G241" s="12"/>
      <c r="H241" s="22"/>
    </row>
  </sheetData>
  <mergeCells count="1">
    <mergeCell ref="B8:C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DE4A-173E-4AF4-9BDE-CCFBACBC9370}">
  <dimension ref="A3:Q380"/>
  <sheetViews>
    <sheetView showGridLines="0" workbookViewId="0">
      <pane xSplit="3" ySplit="10" topLeftCell="D11" activePane="bottomRight" state="frozen"/>
      <selection pane="topRight" activeCell="D1" sqref="D1"/>
      <selection pane="bottomLeft" activeCell="A7" sqref="A7"/>
      <selection pane="bottomRight" activeCell="B4" sqref="B4:C4"/>
    </sheetView>
  </sheetViews>
  <sheetFormatPr defaultColWidth="9.1796875" defaultRowHeight="16" customHeight="1" x14ac:dyDescent="0.35"/>
  <cols>
    <col min="1" max="1" width="2.453125" style="1" customWidth="1"/>
    <col min="2" max="2" width="10.7265625" style="1" customWidth="1"/>
    <col min="3" max="3" width="55.7265625" style="1" customWidth="1"/>
    <col min="4" max="15" width="14.7265625" style="1" customWidth="1"/>
    <col min="16" max="16" width="15.7265625" style="1" customWidth="1"/>
    <col min="17" max="26" width="14.7265625" style="1" customWidth="1"/>
    <col min="27" max="16384" width="9.1796875" style="1"/>
  </cols>
  <sheetData>
    <row r="3" spans="1:17" ht="16" customHeight="1" x14ac:dyDescent="0.35">
      <c r="B3" s="2" t="s">
        <v>1013</v>
      </c>
      <c r="E3" s="49"/>
      <c r="F3" s="50"/>
    </row>
    <row r="4" spans="1:17" ht="16" customHeight="1" x14ac:dyDescent="0.35">
      <c r="B4" s="33" t="s">
        <v>270</v>
      </c>
      <c r="C4" s="33"/>
    </row>
    <row r="5" spans="1:17" ht="16" customHeight="1" x14ac:dyDescent="0.35">
      <c r="B5" s="4" t="s">
        <v>271</v>
      </c>
    </row>
    <row r="6" spans="1:17" ht="16" customHeight="1" x14ac:dyDescent="0.35">
      <c r="A6" s="27" t="s">
        <v>1014</v>
      </c>
      <c r="B6" s="1" t="str">
        <f>REPLACE(A6,16,7,"MTD")</f>
        <v>Period length: MTD</v>
      </c>
    </row>
    <row r="7" spans="1:17" ht="16" customHeight="1" x14ac:dyDescent="0.35">
      <c r="A7" s="27"/>
      <c r="B7" s="4" t="s">
        <v>272</v>
      </c>
    </row>
    <row r="8" spans="1:17" ht="16" customHeight="1" x14ac:dyDescent="0.35">
      <c r="B8" s="6">
        <v>46194.596241851854</v>
      </c>
      <c r="C8" s="6"/>
    </row>
    <row r="9" spans="1:17" ht="16" customHeight="1" x14ac:dyDescent="0.35">
      <c r="B9" s="51"/>
    </row>
    <row r="10" spans="1:17" ht="16" customHeight="1" thickBot="1" x14ac:dyDescent="0.5">
      <c r="B10" s="7"/>
      <c r="C10" s="28"/>
      <c r="D10" s="8" t="s">
        <v>273</v>
      </c>
      <c r="E10" s="8" t="s">
        <v>274</v>
      </c>
      <c r="F10" s="8" t="s">
        <v>275</v>
      </c>
      <c r="G10" s="8" t="s">
        <v>276</v>
      </c>
      <c r="H10" s="8" t="s">
        <v>5</v>
      </c>
      <c r="I10" s="8" t="s">
        <v>277</v>
      </c>
      <c r="J10" s="8" t="s">
        <v>278</v>
      </c>
      <c r="K10" s="8" t="s">
        <v>279</v>
      </c>
      <c r="L10" s="8" t="s">
        <v>280</v>
      </c>
      <c r="M10" s="8" t="s">
        <v>281</v>
      </c>
      <c r="N10" s="8" t="s">
        <v>282</v>
      </c>
      <c r="O10" s="8" t="s">
        <v>283</v>
      </c>
      <c r="P10" s="21" t="s">
        <v>268</v>
      </c>
      <c r="Q10" s="9"/>
    </row>
    <row r="11" spans="1:17" ht="16" customHeight="1" x14ac:dyDescent="0.45">
      <c r="B11" s="10"/>
      <c r="C11" s="11"/>
      <c r="D11" s="29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22"/>
      <c r="Q11" s="13"/>
    </row>
    <row r="12" spans="1:17" ht="16" customHeight="1" x14ac:dyDescent="0.45">
      <c r="B12" s="38"/>
      <c r="C12" s="34" t="s">
        <v>754</v>
      </c>
      <c r="D12" s="52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46"/>
      <c r="Q12" s="13"/>
    </row>
    <row r="13" spans="1:17" ht="16" customHeight="1" x14ac:dyDescent="0.45">
      <c r="B13" s="10"/>
      <c r="C13" s="11" t="s">
        <v>22</v>
      </c>
      <c r="D13" s="29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22"/>
      <c r="Q13" s="13"/>
    </row>
    <row r="14" spans="1:17" ht="16" customHeight="1" x14ac:dyDescent="0.45">
      <c r="B14" s="14" t="s">
        <v>755</v>
      </c>
      <c r="C14" s="14" t="s">
        <v>138</v>
      </c>
      <c r="D14" s="30">
        <v>-28371.471969999999</v>
      </c>
      <c r="E14" s="15">
        <v>-19753.337950000001</v>
      </c>
      <c r="F14" s="15">
        <v>3965.1996100000001</v>
      </c>
      <c r="G14" s="15">
        <v>13720.927009999999</v>
      </c>
      <c r="H14" s="15">
        <v>31168.959719999999</v>
      </c>
      <c r="I14" s="15">
        <v>32199.236819999998</v>
      </c>
      <c r="J14" s="15">
        <v>-32929.51324</v>
      </c>
      <c r="K14" s="15"/>
      <c r="L14" s="15"/>
      <c r="M14" s="15"/>
      <c r="N14" s="15"/>
      <c r="O14" s="15"/>
      <c r="P14" s="23">
        <f>SUM(D14:O14)</f>
        <v>0</v>
      </c>
      <c r="Q14" s="13"/>
    </row>
    <row r="15" spans="1:17" ht="16" customHeight="1" x14ac:dyDescent="0.45">
      <c r="B15" s="10"/>
      <c r="C15" s="11" t="s">
        <v>22</v>
      </c>
      <c r="D15" s="29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22"/>
      <c r="Q15" s="13"/>
    </row>
    <row r="16" spans="1:17" ht="16" customHeight="1" x14ac:dyDescent="0.45">
      <c r="B16" s="14" t="s">
        <v>756</v>
      </c>
      <c r="C16" s="14" t="s">
        <v>757</v>
      </c>
      <c r="D16" s="30">
        <v>9704.7382099999995</v>
      </c>
      <c r="E16" s="15">
        <v>10953.233270000001</v>
      </c>
      <c r="F16" s="15">
        <v>12006.11657</v>
      </c>
      <c r="G16" s="15">
        <v>11479.181210000001</v>
      </c>
      <c r="H16" s="15">
        <v>15259.73508</v>
      </c>
      <c r="I16" s="15">
        <v>0</v>
      </c>
      <c r="J16" s="15">
        <v>-59403.00434</v>
      </c>
      <c r="K16" s="15"/>
      <c r="L16" s="15"/>
      <c r="M16" s="15"/>
      <c r="N16" s="15"/>
      <c r="O16" s="15"/>
      <c r="P16" s="23">
        <f>SUM(D16:O16)</f>
        <v>0</v>
      </c>
      <c r="Q16" s="13"/>
    </row>
    <row r="17" spans="2:17" ht="16" customHeight="1" x14ac:dyDescent="0.45">
      <c r="B17" s="10"/>
      <c r="C17" s="11" t="s">
        <v>22</v>
      </c>
      <c r="D17" s="29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22"/>
      <c r="Q17" s="13"/>
    </row>
    <row r="18" spans="2:17" ht="16" customHeight="1" x14ac:dyDescent="0.45">
      <c r="B18" s="34" t="s">
        <v>758</v>
      </c>
      <c r="C18" s="34" t="s">
        <v>126</v>
      </c>
      <c r="D18" s="52">
        <f t="shared" ref="D18:P18" si="0">D14+D16</f>
        <v>-18666.733759999999</v>
      </c>
      <c r="E18" s="35">
        <f t="shared" si="0"/>
        <v>-8800.1046800000004</v>
      </c>
      <c r="F18" s="35">
        <f t="shared" si="0"/>
        <v>15971.31618</v>
      </c>
      <c r="G18" s="35">
        <f t="shared" si="0"/>
        <v>25200.108220000002</v>
      </c>
      <c r="H18" s="35">
        <f t="shared" si="0"/>
        <v>46428.694799999997</v>
      </c>
      <c r="I18" s="35">
        <f t="shared" si="0"/>
        <v>32199.236819999998</v>
      </c>
      <c r="J18" s="35">
        <f t="shared" si="0"/>
        <v>-92332.51758</v>
      </c>
      <c r="K18" s="35">
        <f t="shared" si="0"/>
        <v>0</v>
      </c>
      <c r="L18" s="35">
        <f t="shared" si="0"/>
        <v>0</v>
      </c>
      <c r="M18" s="35">
        <f t="shared" si="0"/>
        <v>0</v>
      </c>
      <c r="N18" s="35">
        <f t="shared" si="0"/>
        <v>0</v>
      </c>
      <c r="O18" s="35">
        <f t="shared" si="0"/>
        <v>0</v>
      </c>
      <c r="P18" s="46">
        <f t="shared" si="0"/>
        <v>0</v>
      </c>
      <c r="Q18" s="13"/>
    </row>
    <row r="19" spans="2:17" ht="16" customHeight="1" x14ac:dyDescent="0.45">
      <c r="B19" s="10"/>
      <c r="C19" s="11" t="s">
        <v>22</v>
      </c>
      <c r="D19" s="29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2"/>
      <c r="Q19" s="13"/>
    </row>
    <row r="20" spans="2:17" ht="16" customHeight="1" x14ac:dyDescent="0.45">
      <c r="B20" s="14" t="s">
        <v>759</v>
      </c>
      <c r="C20" s="14" t="s">
        <v>760</v>
      </c>
      <c r="D20" s="30">
        <v>4146.2315799999997</v>
      </c>
      <c r="E20" s="15">
        <v>4166.2963399999999</v>
      </c>
      <c r="F20" s="15">
        <v>4419.4365100000005</v>
      </c>
      <c r="G20" s="15">
        <v>4446.7296299999998</v>
      </c>
      <c r="H20" s="15">
        <v>4905.4648399999996</v>
      </c>
      <c r="I20" s="15">
        <v>0</v>
      </c>
      <c r="J20" s="15">
        <v>-22084.158899999999</v>
      </c>
      <c r="K20" s="15"/>
      <c r="L20" s="15"/>
      <c r="M20" s="15"/>
      <c r="N20" s="15"/>
      <c r="O20" s="15"/>
      <c r="P20" s="23">
        <f>SUM(D20:O20)</f>
        <v>0</v>
      </c>
      <c r="Q20" s="13"/>
    </row>
    <row r="21" spans="2:17" ht="16" customHeight="1" x14ac:dyDescent="0.45">
      <c r="B21" s="14" t="s">
        <v>761</v>
      </c>
      <c r="C21" s="14" t="s">
        <v>762</v>
      </c>
      <c r="D21" s="30">
        <v>4101.9775200000004</v>
      </c>
      <c r="E21" s="15">
        <v>4077.9609999999998</v>
      </c>
      <c r="F21" s="15">
        <v>4006.7458000000001</v>
      </c>
      <c r="G21" s="15">
        <v>4185.37716</v>
      </c>
      <c r="H21" s="15">
        <v>3903.1449200000002</v>
      </c>
      <c r="I21" s="15">
        <v>0</v>
      </c>
      <c r="J21" s="15">
        <v>-20275.206399999999</v>
      </c>
      <c r="K21" s="15"/>
      <c r="L21" s="15"/>
      <c r="M21" s="15"/>
      <c r="N21" s="15"/>
      <c r="O21" s="15"/>
      <c r="P21" s="23">
        <f>SUM(D21:O21)</f>
        <v>0</v>
      </c>
      <c r="Q21" s="13"/>
    </row>
    <row r="22" spans="2:17" ht="16" customHeight="1" x14ac:dyDescent="0.45">
      <c r="B22" s="10"/>
      <c r="C22" s="11" t="s">
        <v>22</v>
      </c>
      <c r="D22" s="29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22"/>
      <c r="Q22" s="13"/>
    </row>
    <row r="23" spans="2:17" ht="16" customHeight="1" x14ac:dyDescent="0.45">
      <c r="B23" s="38"/>
      <c r="C23" s="34" t="s">
        <v>763</v>
      </c>
      <c r="D23" s="52">
        <f t="shared" ref="D23:P23" si="1">D24+D25</f>
        <v>0</v>
      </c>
      <c r="E23" s="35">
        <f t="shared" si="1"/>
        <v>0</v>
      </c>
      <c r="F23" s="35">
        <f t="shared" si="1"/>
        <v>0</v>
      </c>
      <c r="G23" s="35">
        <f t="shared" si="1"/>
        <v>0</v>
      </c>
      <c r="H23" s="35">
        <f t="shared" si="1"/>
        <v>0</v>
      </c>
      <c r="I23" s="35">
        <f t="shared" si="1"/>
        <v>0</v>
      </c>
      <c r="J23" s="35">
        <f t="shared" si="1"/>
        <v>0</v>
      </c>
      <c r="K23" s="35">
        <f t="shared" si="1"/>
        <v>0</v>
      </c>
      <c r="L23" s="35">
        <f t="shared" si="1"/>
        <v>0</v>
      </c>
      <c r="M23" s="35">
        <f t="shared" si="1"/>
        <v>0</v>
      </c>
      <c r="N23" s="35">
        <f t="shared" si="1"/>
        <v>0</v>
      </c>
      <c r="O23" s="35">
        <f t="shared" si="1"/>
        <v>0</v>
      </c>
      <c r="P23" s="46">
        <f t="shared" si="1"/>
        <v>0</v>
      </c>
      <c r="Q23" s="13"/>
    </row>
    <row r="24" spans="2:17" ht="16" customHeight="1" x14ac:dyDescent="0.45">
      <c r="B24" s="14" t="s">
        <v>764</v>
      </c>
      <c r="C24" s="14" t="s">
        <v>112</v>
      </c>
      <c r="D24" s="30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23">
        <f>SUM(D24:O24)</f>
        <v>0</v>
      </c>
      <c r="Q24" s="13"/>
    </row>
    <row r="25" spans="2:17" ht="16" customHeight="1" x14ac:dyDescent="0.45">
      <c r="B25" s="14" t="s">
        <v>765</v>
      </c>
      <c r="C25" s="14" t="s">
        <v>110</v>
      </c>
      <c r="D25" s="30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23">
        <f>SUM(D25:O25)</f>
        <v>0</v>
      </c>
      <c r="Q25" s="13"/>
    </row>
    <row r="26" spans="2:17" ht="16" customHeight="1" x14ac:dyDescent="0.45">
      <c r="B26" s="10"/>
      <c r="C26" s="11" t="s">
        <v>22</v>
      </c>
      <c r="D26" s="29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22"/>
      <c r="Q26" s="13"/>
    </row>
    <row r="27" spans="2:17" ht="16" customHeight="1" x14ac:dyDescent="0.45">
      <c r="B27" s="38"/>
      <c r="C27" s="34" t="s">
        <v>766</v>
      </c>
      <c r="D27" s="52">
        <f t="shared" ref="D27:P27" si="2">D28+D29</f>
        <v>-1558.45775</v>
      </c>
      <c r="E27" s="35">
        <f t="shared" si="2"/>
        <v>856.65120000000002</v>
      </c>
      <c r="F27" s="35">
        <f t="shared" si="2"/>
        <v>-3182.5765300000003</v>
      </c>
      <c r="G27" s="35">
        <f t="shared" si="2"/>
        <v>-1404.16569</v>
      </c>
      <c r="H27" s="35">
        <f t="shared" si="2"/>
        <v>-2255.9065799999998</v>
      </c>
      <c r="I27" s="35">
        <f t="shared" si="2"/>
        <v>0</v>
      </c>
      <c r="J27" s="35">
        <f t="shared" si="2"/>
        <v>7544.4553499999993</v>
      </c>
      <c r="K27" s="35">
        <f t="shared" si="2"/>
        <v>0</v>
      </c>
      <c r="L27" s="35">
        <f t="shared" si="2"/>
        <v>0</v>
      </c>
      <c r="M27" s="35">
        <f t="shared" si="2"/>
        <v>0</v>
      </c>
      <c r="N27" s="35">
        <f t="shared" si="2"/>
        <v>0</v>
      </c>
      <c r="O27" s="35">
        <f t="shared" si="2"/>
        <v>0</v>
      </c>
      <c r="P27" s="46">
        <f t="shared" si="2"/>
        <v>0</v>
      </c>
      <c r="Q27" s="13"/>
    </row>
    <row r="28" spans="2:17" ht="16" customHeight="1" x14ac:dyDescent="0.45">
      <c r="B28" s="14" t="s">
        <v>767</v>
      </c>
      <c r="C28" s="14" t="s">
        <v>768</v>
      </c>
      <c r="D28" s="30">
        <v>-1558.45775</v>
      </c>
      <c r="E28" s="15">
        <v>-1159.8188</v>
      </c>
      <c r="F28" s="15">
        <v>-1611.57653</v>
      </c>
      <c r="G28" s="15">
        <v>-1709.16569</v>
      </c>
      <c r="H28" s="15">
        <v>-2250.9065799999998</v>
      </c>
      <c r="I28" s="15">
        <v>0</v>
      </c>
      <c r="J28" s="15">
        <v>8289.9253499999995</v>
      </c>
      <c r="K28" s="15"/>
      <c r="L28" s="15"/>
      <c r="M28" s="15"/>
      <c r="N28" s="15"/>
      <c r="O28" s="15"/>
      <c r="P28" s="23">
        <f>SUM(D28:O28)</f>
        <v>0</v>
      </c>
      <c r="Q28" s="13"/>
    </row>
    <row r="29" spans="2:17" ht="16" customHeight="1" x14ac:dyDescent="0.45">
      <c r="B29" s="14" t="s">
        <v>769</v>
      </c>
      <c r="C29" s="14" t="s">
        <v>770</v>
      </c>
      <c r="D29" s="30"/>
      <c r="E29" s="15">
        <v>2016.47</v>
      </c>
      <c r="F29" s="15">
        <v>-1571</v>
      </c>
      <c r="G29" s="15">
        <v>305</v>
      </c>
      <c r="H29" s="15">
        <v>-5</v>
      </c>
      <c r="I29" s="15">
        <v>0</v>
      </c>
      <c r="J29" s="15">
        <v>-745.47</v>
      </c>
      <c r="K29" s="15"/>
      <c r="L29" s="15"/>
      <c r="M29" s="15"/>
      <c r="N29" s="15"/>
      <c r="O29" s="15"/>
      <c r="P29" s="23">
        <f>SUM(D29:O29)</f>
        <v>0</v>
      </c>
      <c r="Q29" s="13"/>
    </row>
    <row r="30" spans="2:17" ht="16" customHeight="1" x14ac:dyDescent="0.45">
      <c r="B30" s="10"/>
      <c r="C30" s="11" t="s">
        <v>22</v>
      </c>
      <c r="D30" s="29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22"/>
      <c r="Q30" s="13"/>
    </row>
    <row r="31" spans="2:17" ht="16" customHeight="1" x14ac:dyDescent="0.45">
      <c r="B31" s="38"/>
      <c r="C31" s="34" t="s">
        <v>771</v>
      </c>
      <c r="D31" s="52">
        <f t="shared" ref="D31:P31" si="3">D32+D33+D34+D35+D36+D37+D38</f>
        <v>1197.80196</v>
      </c>
      <c r="E31" s="35">
        <f t="shared" si="3"/>
        <v>-270.6775899999999</v>
      </c>
      <c r="F31" s="35">
        <f t="shared" si="3"/>
        <v>-2639.4462699999999</v>
      </c>
      <c r="G31" s="35">
        <f t="shared" si="3"/>
        <v>1430.5034800000001</v>
      </c>
      <c r="H31" s="35">
        <f t="shared" si="3"/>
        <v>974.25776999999994</v>
      </c>
      <c r="I31" s="35">
        <f t="shared" si="3"/>
        <v>290.46016000000003</v>
      </c>
      <c r="J31" s="35">
        <f t="shared" si="3"/>
        <v>-982.89951000000019</v>
      </c>
      <c r="K31" s="35">
        <f t="shared" si="3"/>
        <v>0</v>
      </c>
      <c r="L31" s="35">
        <f t="shared" si="3"/>
        <v>0</v>
      </c>
      <c r="M31" s="35">
        <f t="shared" si="3"/>
        <v>0</v>
      </c>
      <c r="N31" s="35">
        <f t="shared" si="3"/>
        <v>0</v>
      </c>
      <c r="O31" s="35">
        <f t="shared" si="3"/>
        <v>0</v>
      </c>
      <c r="P31" s="46">
        <f t="shared" si="3"/>
        <v>0</v>
      </c>
      <c r="Q31" s="13"/>
    </row>
    <row r="32" spans="2:17" ht="16" customHeight="1" x14ac:dyDescent="0.45">
      <c r="B32" s="14" t="s">
        <v>772</v>
      </c>
      <c r="C32" s="14" t="s">
        <v>88</v>
      </c>
      <c r="D32" s="30">
        <v>-392.74966999999998</v>
      </c>
      <c r="E32" s="15">
        <v>-135.30799999999999</v>
      </c>
      <c r="F32" s="15">
        <v>-1769.69517</v>
      </c>
      <c r="G32" s="15">
        <v>37.824710000000003</v>
      </c>
      <c r="H32" s="15">
        <v>-90.679270000000002</v>
      </c>
      <c r="I32" s="15">
        <v>-70.625</v>
      </c>
      <c r="J32" s="15">
        <v>2421.2323999999999</v>
      </c>
      <c r="K32" s="15"/>
      <c r="L32" s="15"/>
      <c r="M32" s="15"/>
      <c r="N32" s="15"/>
      <c r="O32" s="15"/>
      <c r="P32" s="23">
        <f t="shared" ref="P32:P38" si="4">SUM(D32:O32)</f>
        <v>0</v>
      </c>
      <c r="Q32" s="13"/>
    </row>
    <row r="33" spans="2:17" ht="16" customHeight="1" x14ac:dyDescent="0.45">
      <c r="B33" s="14" t="s">
        <v>773</v>
      </c>
      <c r="C33" s="14" t="s">
        <v>774</v>
      </c>
      <c r="D33" s="30">
        <v>-3.7576100000000001</v>
      </c>
      <c r="E33" s="15">
        <v>0.66424000000000005</v>
      </c>
      <c r="F33" s="15">
        <v>16.144110000000001</v>
      </c>
      <c r="G33" s="15">
        <v>143.35</v>
      </c>
      <c r="H33" s="15">
        <v>-2.1911399999999999</v>
      </c>
      <c r="I33" s="15">
        <v>1.5268999999999999</v>
      </c>
      <c r="J33" s="15">
        <v>-155.73650000000001</v>
      </c>
      <c r="K33" s="15"/>
      <c r="L33" s="15"/>
      <c r="M33" s="15"/>
      <c r="N33" s="15"/>
      <c r="O33" s="15"/>
      <c r="P33" s="23">
        <f t="shared" si="4"/>
        <v>0</v>
      </c>
      <c r="Q33" s="13"/>
    </row>
    <row r="34" spans="2:17" ht="16" customHeight="1" x14ac:dyDescent="0.45">
      <c r="B34" s="14" t="s">
        <v>775</v>
      </c>
      <c r="C34" s="14" t="s">
        <v>776</v>
      </c>
      <c r="D34" s="30">
        <v>450</v>
      </c>
      <c r="E34" s="15">
        <v>-808</v>
      </c>
      <c r="F34" s="15">
        <v>0</v>
      </c>
      <c r="G34" s="15">
        <v>0</v>
      </c>
      <c r="H34" s="15">
        <v>0</v>
      </c>
      <c r="I34" s="15">
        <v>40</v>
      </c>
      <c r="J34" s="15">
        <v>318</v>
      </c>
      <c r="K34" s="15"/>
      <c r="L34" s="15"/>
      <c r="M34" s="15"/>
      <c r="N34" s="15"/>
      <c r="O34" s="15"/>
      <c r="P34" s="23">
        <f t="shared" si="4"/>
        <v>0</v>
      </c>
      <c r="Q34" s="13"/>
    </row>
    <row r="35" spans="2:17" ht="16" customHeight="1" x14ac:dyDescent="0.45">
      <c r="B35" s="14" t="s">
        <v>777</v>
      </c>
      <c r="C35" s="14" t="s">
        <v>778</v>
      </c>
      <c r="D35" s="3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23">
        <f t="shared" si="4"/>
        <v>0</v>
      </c>
      <c r="Q35" s="13"/>
    </row>
    <row r="36" spans="2:17" ht="16" customHeight="1" x14ac:dyDescent="0.45">
      <c r="B36" s="14" t="s">
        <v>779</v>
      </c>
      <c r="C36" s="14" t="s">
        <v>780</v>
      </c>
      <c r="D36" s="30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23">
        <f t="shared" si="4"/>
        <v>0</v>
      </c>
      <c r="Q36" s="13"/>
    </row>
    <row r="37" spans="2:17" ht="16" customHeight="1" x14ac:dyDescent="0.45">
      <c r="B37" s="14" t="s">
        <v>781</v>
      </c>
      <c r="C37" s="14" t="s">
        <v>782</v>
      </c>
      <c r="D37" s="30">
        <v>1144.30924</v>
      </c>
      <c r="E37" s="15">
        <v>671.96617000000003</v>
      </c>
      <c r="F37" s="15">
        <v>-885.89521000000002</v>
      </c>
      <c r="G37" s="15">
        <v>1249.3287700000001</v>
      </c>
      <c r="H37" s="15">
        <v>1067.1281799999999</v>
      </c>
      <c r="I37" s="15">
        <v>319.55826000000002</v>
      </c>
      <c r="J37" s="15">
        <v>-3566.3954100000001</v>
      </c>
      <c r="K37" s="15"/>
      <c r="L37" s="15"/>
      <c r="M37" s="15"/>
      <c r="N37" s="15"/>
      <c r="O37" s="15"/>
      <c r="P37" s="23">
        <f t="shared" si="4"/>
        <v>0</v>
      </c>
      <c r="Q37" s="13"/>
    </row>
    <row r="38" spans="2:17" ht="16" customHeight="1" x14ac:dyDescent="0.45">
      <c r="B38" s="14" t="s">
        <v>783</v>
      </c>
      <c r="C38" s="14" t="s">
        <v>784</v>
      </c>
      <c r="D38" s="30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23">
        <f t="shared" si="4"/>
        <v>0</v>
      </c>
      <c r="Q38" s="13"/>
    </row>
    <row r="39" spans="2:17" ht="16" customHeight="1" x14ac:dyDescent="0.45">
      <c r="B39" s="10"/>
      <c r="C39" s="11" t="s">
        <v>22</v>
      </c>
      <c r="D39" s="29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22"/>
      <c r="Q39" s="13"/>
    </row>
    <row r="40" spans="2:17" ht="16" customHeight="1" x14ac:dyDescent="0.45">
      <c r="B40" s="38"/>
      <c r="C40" s="34" t="s">
        <v>785</v>
      </c>
      <c r="D40" s="52">
        <f t="shared" ref="D40:P40" si="5">-(-(D41+D42)-D43)</f>
        <v>0</v>
      </c>
      <c r="E40" s="35">
        <f t="shared" si="5"/>
        <v>0</v>
      </c>
      <c r="F40" s="35">
        <f t="shared" si="5"/>
        <v>0</v>
      </c>
      <c r="G40" s="35">
        <f t="shared" si="5"/>
        <v>0</v>
      </c>
      <c r="H40" s="35">
        <f t="shared" si="5"/>
        <v>0</v>
      </c>
      <c r="I40" s="35">
        <f t="shared" si="5"/>
        <v>0</v>
      </c>
      <c r="J40" s="35">
        <f t="shared" si="5"/>
        <v>0</v>
      </c>
      <c r="K40" s="35">
        <f t="shared" si="5"/>
        <v>0</v>
      </c>
      <c r="L40" s="35">
        <f t="shared" si="5"/>
        <v>0</v>
      </c>
      <c r="M40" s="35">
        <f t="shared" si="5"/>
        <v>0</v>
      </c>
      <c r="N40" s="35">
        <f t="shared" si="5"/>
        <v>0</v>
      </c>
      <c r="O40" s="35">
        <f t="shared" si="5"/>
        <v>0</v>
      </c>
      <c r="P40" s="46">
        <f t="shared" si="5"/>
        <v>0</v>
      </c>
      <c r="Q40" s="13"/>
    </row>
    <row r="41" spans="2:17" ht="16" customHeight="1" x14ac:dyDescent="0.45">
      <c r="B41" s="14" t="s">
        <v>786</v>
      </c>
      <c r="C41" s="14" t="s">
        <v>787</v>
      </c>
      <c r="D41" s="30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23">
        <f>SUM(D41:O41)</f>
        <v>0</v>
      </c>
      <c r="Q41" s="13"/>
    </row>
    <row r="42" spans="2:17" ht="16" customHeight="1" x14ac:dyDescent="0.45">
      <c r="B42" s="14" t="s">
        <v>788</v>
      </c>
      <c r="C42" s="14" t="s">
        <v>789</v>
      </c>
      <c r="D42" s="30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23">
        <f>SUM(D42:O42)</f>
        <v>0</v>
      </c>
      <c r="Q42" s="13"/>
    </row>
    <row r="43" spans="2:17" ht="16" customHeight="1" x14ac:dyDescent="0.45">
      <c r="B43" s="14" t="s">
        <v>790</v>
      </c>
      <c r="C43" s="14" t="s">
        <v>791</v>
      </c>
      <c r="D43" s="30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23">
        <f>SUM(D43:O43)</f>
        <v>0</v>
      </c>
      <c r="Q43" s="13"/>
    </row>
    <row r="44" spans="2:17" ht="16" customHeight="1" x14ac:dyDescent="0.45">
      <c r="B44" s="10"/>
      <c r="C44" s="11" t="s">
        <v>22</v>
      </c>
      <c r="D44" s="29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22"/>
      <c r="Q44" s="13"/>
    </row>
    <row r="45" spans="2:17" ht="16" customHeight="1" x14ac:dyDescent="0.45">
      <c r="B45" s="38"/>
      <c r="C45" s="34" t="s">
        <v>792</v>
      </c>
      <c r="D45" s="52">
        <f t="shared" ref="D45:P45" si="6">D47+D51</f>
        <v>-2021.37022</v>
      </c>
      <c r="E45" s="35">
        <f t="shared" si="6"/>
        <v>-1748.38204</v>
      </c>
      <c r="F45" s="35">
        <f t="shared" si="6"/>
        <v>-7527.66417</v>
      </c>
      <c r="G45" s="35">
        <f t="shared" si="6"/>
        <v>-1531.5643300000002</v>
      </c>
      <c r="H45" s="35">
        <f t="shared" si="6"/>
        <v>-1871.6199600000002</v>
      </c>
      <c r="I45" s="35">
        <f t="shared" si="6"/>
        <v>-198.88753000000003</v>
      </c>
      <c r="J45" s="35">
        <f t="shared" si="6"/>
        <v>14899.48825</v>
      </c>
      <c r="K45" s="35">
        <f t="shared" si="6"/>
        <v>0</v>
      </c>
      <c r="L45" s="35">
        <f t="shared" si="6"/>
        <v>0</v>
      </c>
      <c r="M45" s="35">
        <f t="shared" si="6"/>
        <v>0</v>
      </c>
      <c r="N45" s="35">
        <f t="shared" si="6"/>
        <v>0</v>
      </c>
      <c r="O45" s="35">
        <f t="shared" si="6"/>
        <v>0</v>
      </c>
      <c r="P45" s="46">
        <f t="shared" si="6"/>
        <v>0</v>
      </c>
      <c r="Q45" s="13"/>
    </row>
    <row r="46" spans="2:17" ht="16" customHeight="1" x14ac:dyDescent="0.45">
      <c r="B46" s="10"/>
      <c r="C46" s="11" t="s">
        <v>22</v>
      </c>
      <c r="D46" s="29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22"/>
      <c r="Q46" s="13"/>
    </row>
    <row r="47" spans="2:17" ht="16" customHeight="1" x14ac:dyDescent="0.45">
      <c r="B47" s="38"/>
      <c r="C47" s="34" t="s">
        <v>793</v>
      </c>
      <c r="D47" s="52">
        <f t="shared" ref="D47:P47" si="7">D48+D49</f>
        <v>0.28559000000000001</v>
      </c>
      <c r="E47" s="35">
        <f t="shared" si="7"/>
        <v>5.262E-2</v>
      </c>
      <c r="F47" s="35">
        <f t="shared" si="7"/>
        <v>0.58130000000000004</v>
      </c>
      <c r="G47" s="35">
        <f t="shared" si="7"/>
        <v>1.4642599999999999</v>
      </c>
      <c r="H47" s="35">
        <f t="shared" si="7"/>
        <v>1.4986900000000001</v>
      </c>
      <c r="I47" s="35">
        <f t="shared" si="7"/>
        <v>0</v>
      </c>
      <c r="J47" s="35">
        <f t="shared" si="7"/>
        <v>-3.88246</v>
      </c>
      <c r="K47" s="35">
        <f t="shared" si="7"/>
        <v>0</v>
      </c>
      <c r="L47" s="35">
        <f t="shared" si="7"/>
        <v>0</v>
      </c>
      <c r="M47" s="35">
        <f t="shared" si="7"/>
        <v>0</v>
      </c>
      <c r="N47" s="35">
        <f t="shared" si="7"/>
        <v>0</v>
      </c>
      <c r="O47" s="35">
        <f t="shared" si="7"/>
        <v>0</v>
      </c>
      <c r="P47" s="46">
        <f t="shared" si="7"/>
        <v>0</v>
      </c>
      <c r="Q47" s="13"/>
    </row>
    <row r="48" spans="2:17" ht="16" customHeight="1" x14ac:dyDescent="0.45">
      <c r="B48" s="14" t="s">
        <v>794</v>
      </c>
      <c r="C48" s="14" t="s">
        <v>795</v>
      </c>
      <c r="D48" s="30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23">
        <f>SUM(D48:O48)</f>
        <v>0</v>
      </c>
      <c r="Q48" s="13"/>
    </row>
    <row r="49" spans="2:17" ht="16" customHeight="1" x14ac:dyDescent="0.45">
      <c r="B49" s="14" t="s">
        <v>796</v>
      </c>
      <c r="C49" s="14" t="s">
        <v>797</v>
      </c>
      <c r="D49" s="30">
        <v>0.28559000000000001</v>
      </c>
      <c r="E49" s="15">
        <v>5.262E-2</v>
      </c>
      <c r="F49" s="15">
        <v>0.58130000000000004</v>
      </c>
      <c r="G49" s="15">
        <v>1.4642599999999999</v>
      </c>
      <c r="H49" s="15">
        <v>1.4986900000000001</v>
      </c>
      <c r="I49" s="15">
        <v>0</v>
      </c>
      <c r="J49" s="15">
        <v>-3.88246</v>
      </c>
      <c r="K49" s="15"/>
      <c r="L49" s="15"/>
      <c r="M49" s="15"/>
      <c r="N49" s="15"/>
      <c r="O49" s="15"/>
      <c r="P49" s="23">
        <f>SUM(D49:O49)</f>
        <v>0</v>
      </c>
      <c r="Q49" s="13"/>
    </row>
    <row r="50" spans="2:17" ht="16" customHeight="1" x14ac:dyDescent="0.45">
      <c r="B50" s="10"/>
      <c r="C50" s="11" t="s">
        <v>22</v>
      </c>
      <c r="D50" s="29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22"/>
      <c r="Q50" s="13"/>
    </row>
    <row r="51" spans="2:17" ht="16" customHeight="1" x14ac:dyDescent="0.45">
      <c r="B51" s="38"/>
      <c r="C51" s="34" t="s">
        <v>798</v>
      </c>
      <c r="D51" s="52">
        <f t="shared" ref="D51:P51" si="8">-(-(D52+D53)-D54)</f>
        <v>-2021.65581</v>
      </c>
      <c r="E51" s="35">
        <f t="shared" si="8"/>
        <v>-1748.4346599999999</v>
      </c>
      <c r="F51" s="35">
        <f t="shared" si="8"/>
        <v>-7528.2454699999998</v>
      </c>
      <c r="G51" s="35">
        <f t="shared" si="8"/>
        <v>-1533.0285900000001</v>
      </c>
      <c r="H51" s="35">
        <f t="shared" si="8"/>
        <v>-1873.1186500000001</v>
      </c>
      <c r="I51" s="35">
        <f t="shared" si="8"/>
        <v>-198.88753000000003</v>
      </c>
      <c r="J51" s="35">
        <f t="shared" si="8"/>
        <v>14903.370710000001</v>
      </c>
      <c r="K51" s="35">
        <f t="shared" si="8"/>
        <v>0</v>
      </c>
      <c r="L51" s="35">
        <f t="shared" si="8"/>
        <v>0</v>
      </c>
      <c r="M51" s="35">
        <f t="shared" si="8"/>
        <v>0</v>
      </c>
      <c r="N51" s="35">
        <f t="shared" si="8"/>
        <v>0</v>
      </c>
      <c r="O51" s="35">
        <f t="shared" si="8"/>
        <v>0</v>
      </c>
      <c r="P51" s="46">
        <f t="shared" si="8"/>
        <v>0</v>
      </c>
      <c r="Q51" s="13"/>
    </row>
    <row r="52" spans="2:17" ht="16" customHeight="1" x14ac:dyDescent="0.45">
      <c r="B52" s="14" t="s">
        <v>799</v>
      </c>
      <c r="C52" s="14" t="s">
        <v>800</v>
      </c>
      <c r="D52" s="30">
        <v>-707.35176999999999</v>
      </c>
      <c r="E52" s="15">
        <v>-660.67854</v>
      </c>
      <c r="F52" s="15">
        <v>-6337.31405</v>
      </c>
      <c r="G52" s="15">
        <v>-655.63278000000003</v>
      </c>
      <c r="H52" s="15">
        <v>-627.15885000000003</v>
      </c>
      <c r="I52" s="15">
        <v>0</v>
      </c>
      <c r="J52" s="15">
        <v>8988.1359900000007</v>
      </c>
      <c r="K52" s="15"/>
      <c r="L52" s="15"/>
      <c r="M52" s="15"/>
      <c r="N52" s="15"/>
      <c r="O52" s="15"/>
      <c r="P52" s="23">
        <f>SUM(D52:O52)</f>
        <v>0</v>
      </c>
      <c r="Q52" s="13"/>
    </row>
    <row r="53" spans="2:17" ht="16" customHeight="1" x14ac:dyDescent="0.45">
      <c r="B53" s="14" t="s">
        <v>801</v>
      </c>
      <c r="C53" s="14" t="s">
        <v>802</v>
      </c>
      <c r="D53" s="30">
        <v>-770.83529999999996</v>
      </c>
      <c r="E53" s="15">
        <v>-539.38198999999997</v>
      </c>
      <c r="F53" s="15">
        <v>-610.81379000000004</v>
      </c>
      <c r="G53" s="15">
        <v>-537.93952000000002</v>
      </c>
      <c r="H53" s="15">
        <v>-647.43043</v>
      </c>
      <c r="I53" s="15">
        <v>-196.95742000000001</v>
      </c>
      <c r="J53" s="15">
        <v>3303.3584500000002</v>
      </c>
      <c r="K53" s="15"/>
      <c r="L53" s="15"/>
      <c r="M53" s="15"/>
      <c r="N53" s="15"/>
      <c r="O53" s="15"/>
      <c r="P53" s="23">
        <f>SUM(D53:O53)</f>
        <v>0</v>
      </c>
      <c r="Q53" s="13"/>
    </row>
    <row r="54" spans="2:17" ht="16" customHeight="1" x14ac:dyDescent="0.45">
      <c r="B54" s="14" t="s">
        <v>803</v>
      </c>
      <c r="C54" s="14" t="s">
        <v>804</v>
      </c>
      <c r="D54" s="30">
        <v>-543.46874000000003</v>
      </c>
      <c r="E54" s="15">
        <v>-548.37413000000004</v>
      </c>
      <c r="F54" s="15">
        <v>-580.11762999999996</v>
      </c>
      <c r="G54" s="15">
        <v>-339.45629000000002</v>
      </c>
      <c r="H54" s="15">
        <v>-598.52936999999997</v>
      </c>
      <c r="I54" s="15">
        <v>-1.93011</v>
      </c>
      <c r="J54" s="15">
        <v>2611.8762700000002</v>
      </c>
      <c r="K54" s="15"/>
      <c r="L54" s="15"/>
      <c r="M54" s="15"/>
      <c r="N54" s="15"/>
      <c r="O54" s="15"/>
      <c r="P54" s="23">
        <f>SUM(D54:O54)</f>
        <v>0</v>
      </c>
      <c r="Q54" s="13"/>
    </row>
    <row r="55" spans="2:17" ht="16" customHeight="1" x14ac:dyDescent="0.45">
      <c r="B55" s="10"/>
      <c r="C55" s="11" t="s">
        <v>22</v>
      </c>
      <c r="D55" s="29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22"/>
      <c r="Q55" s="13"/>
    </row>
    <row r="56" spans="2:17" ht="16" customHeight="1" x14ac:dyDescent="0.45">
      <c r="B56" s="38"/>
      <c r="C56" s="34" t="s">
        <v>805</v>
      </c>
      <c r="D56" s="52">
        <f t="shared" ref="D56:P56" si="9">D57+D58</f>
        <v>-20.977399999999999</v>
      </c>
      <c r="E56" s="35">
        <f t="shared" si="9"/>
        <v>-81.735770000000002</v>
      </c>
      <c r="F56" s="35">
        <f t="shared" si="9"/>
        <v>28.121089999999999</v>
      </c>
      <c r="G56" s="35">
        <f t="shared" si="9"/>
        <v>-10.963039999999999</v>
      </c>
      <c r="H56" s="35">
        <f t="shared" si="9"/>
        <v>11.128360000000001</v>
      </c>
      <c r="I56" s="35">
        <f t="shared" si="9"/>
        <v>-0.57126999999999994</v>
      </c>
      <c r="J56" s="35">
        <f t="shared" si="9"/>
        <v>74.99803</v>
      </c>
      <c r="K56" s="35">
        <f t="shared" si="9"/>
        <v>0</v>
      </c>
      <c r="L56" s="35">
        <f t="shared" si="9"/>
        <v>0</v>
      </c>
      <c r="M56" s="35">
        <f t="shared" si="9"/>
        <v>0</v>
      </c>
      <c r="N56" s="35">
        <f t="shared" si="9"/>
        <v>0</v>
      </c>
      <c r="O56" s="35">
        <f t="shared" si="9"/>
        <v>0</v>
      </c>
      <c r="P56" s="46">
        <f t="shared" si="9"/>
        <v>0</v>
      </c>
      <c r="Q56" s="13"/>
    </row>
    <row r="57" spans="2:17" ht="16" customHeight="1" x14ac:dyDescent="0.45">
      <c r="B57" s="14" t="s">
        <v>806</v>
      </c>
      <c r="C57" s="14" t="s">
        <v>805</v>
      </c>
      <c r="D57" s="30">
        <v>-20.977399999999999</v>
      </c>
      <c r="E57" s="15">
        <v>-81.735770000000002</v>
      </c>
      <c r="F57" s="15">
        <v>28.121089999999999</v>
      </c>
      <c r="G57" s="15">
        <v>-10.963039999999999</v>
      </c>
      <c r="H57" s="15">
        <v>11.128360000000001</v>
      </c>
      <c r="I57" s="15">
        <v>-0.57126999999999994</v>
      </c>
      <c r="J57" s="15">
        <v>74.99803</v>
      </c>
      <c r="K57" s="15"/>
      <c r="L57" s="15"/>
      <c r="M57" s="15"/>
      <c r="N57" s="15"/>
      <c r="O57" s="15"/>
      <c r="P57" s="23">
        <f>SUM(D57:O57)</f>
        <v>0</v>
      </c>
      <c r="Q57" s="13"/>
    </row>
    <row r="58" spans="2:17" ht="16" customHeight="1" x14ac:dyDescent="0.45">
      <c r="B58" s="14" t="s">
        <v>807</v>
      </c>
      <c r="C58" s="14" t="s">
        <v>808</v>
      </c>
      <c r="D58" s="30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23">
        <f>SUM(D58:O58)</f>
        <v>0</v>
      </c>
      <c r="Q58" s="13"/>
    </row>
    <row r="59" spans="2:17" ht="16" customHeight="1" x14ac:dyDescent="0.45">
      <c r="B59" s="10"/>
      <c r="C59" s="11" t="s">
        <v>22</v>
      </c>
      <c r="D59" s="29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22"/>
      <c r="Q59" s="13"/>
    </row>
    <row r="60" spans="2:17" ht="16" customHeight="1" x14ac:dyDescent="0.45">
      <c r="B60" s="14" t="s">
        <v>809</v>
      </c>
      <c r="C60" s="14" t="s">
        <v>810</v>
      </c>
      <c r="D60" s="30">
        <v>-710.61734000000001</v>
      </c>
      <c r="E60" s="15">
        <v>-27.935390000000002</v>
      </c>
      <c r="F60" s="15">
        <v>32.037779999999998</v>
      </c>
      <c r="G60" s="15">
        <v>-3166.9675900000002</v>
      </c>
      <c r="H60" s="15">
        <v>-235.32496</v>
      </c>
      <c r="I60" s="15">
        <v>-522.5</v>
      </c>
      <c r="J60" s="15">
        <v>4631.3074999999999</v>
      </c>
      <c r="K60" s="15"/>
      <c r="L60" s="15"/>
      <c r="M60" s="15"/>
      <c r="N60" s="15"/>
      <c r="O60" s="15"/>
      <c r="P60" s="23">
        <f>SUM(D60:O60)</f>
        <v>0</v>
      </c>
      <c r="Q60" s="13"/>
    </row>
    <row r="61" spans="2:17" ht="16" customHeight="1" x14ac:dyDescent="0.45">
      <c r="B61" s="10"/>
      <c r="C61" s="11" t="s">
        <v>22</v>
      </c>
      <c r="D61" s="29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22"/>
      <c r="Q61" s="13"/>
    </row>
    <row r="62" spans="2:17" ht="16" customHeight="1" x14ac:dyDescent="0.45">
      <c r="B62" s="38"/>
      <c r="C62" s="34" t="s">
        <v>811</v>
      </c>
      <c r="D62" s="52">
        <f t="shared" ref="D62:P62" si="10">-(-(D63+D64)-D65)</f>
        <v>0</v>
      </c>
      <c r="E62" s="35">
        <f t="shared" si="10"/>
        <v>-5671.9005299999999</v>
      </c>
      <c r="F62" s="35">
        <f t="shared" si="10"/>
        <v>-18560.13061</v>
      </c>
      <c r="G62" s="35">
        <f t="shared" si="10"/>
        <v>-577.33362</v>
      </c>
      <c r="H62" s="35">
        <f t="shared" si="10"/>
        <v>-5.432E-2</v>
      </c>
      <c r="I62" s="35">
        <f t="shared" si="10"/>
        <v>21.586480000000002</v>
      </c>
      <c r="J62" s="35">
        <f t="shared" si="10"/>
        <v>24787.832600000002</v>
      </c>
      <c r="K62" s="35">
        <f t="shared" si="10"/>
        <v>0</v>
      </c>
      <c r="L62" s="35">
        <f t="shared" si="10"/>
        <v>0</v>
      </c>
      <c r="M62" s="35">
        <f t="shared" si="10"/>
        <v>0</v>
      </c>
      <c r="N62" s="35">
        <f t="shared" si="10"/>
        <v>0</v>
      </c>
      <c r="O62" s="35">
        <f t="shared" si="10"/>
        <v>0</v>
      </c>
      <c r="P62" s="46">
        <f t="shared" si="10"/>
        <v>0</v>
      </c>
      <c r="Q62" s="13"/>
    </row>
    <row r="63" spans="2:17" ht="16" customHeight="1" x14ac:dyDescent="0.45">
      <c r="B63" s="14" t="s">
        <v>812</v>
      </c>
      <c r="C63" s="14" t="s">
        <v>813</v>
      </c>
      <c r="D63" s="30"/>
      <c r="E63" s="15">
        <v>-5671.9005299999999</v>
      </c>
      <c r="F63" s="15">
        <v>-18560.13061</v>
      </c>
      <c r="G63" s="15">
        <v>-577.33362</v>
      </c>
      <c r="H63" s="15">
        <v>-5.432E-2</v>
      </c>
      <c r="I63" s="15">
        <v>21.586480000000002</v>
      </c>
      <c r="J63" s="15">
        <v>24787.832600000002</v>
      </c>
      <c r="K63" s="15"/>
      <c r="L63" s="15"/>
      <c r="M63" s="15"/>
      <c r="N63" s="15"/>
      <c r="O63" s="15"/>
      <c r="P63" s="23">
        <f>SUM(D63:O63)</f>
        <v>0</v>
      </c>
      <c r="Q63" s="13"/>
    </row>
    <row r="64" spans="2:17" ht="16" customHeight="1" x14ac:dyDescent="0.45">
      <c r="B64" s="14" t="s">
        <v>814</v>
      </c>
      <c r="C64" s="14" t="s">
        <v>815</v>
      </c>
      <c r="D64" s="30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23">
        <f>SUM(D64:O64)</f>
        <v>0</v>
      </c>
      <c r="Q64" s="13"/>
    </row>
    <row r="65" spans="2:17" ht="16" customHeight="1" x14ac:dyDescent="0.45">
      <c r="B65" s="14" t="s">
        <v>816</v>
      </c>
      <c r="C65" s="14" t="s">
        <v>817</v>
      </c>
      <c r="D65" s="30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23">
        <f>SUM(D65:O65)</f>
        <v>0</v>
      </c>
      <c r="Q65" s="13"/>
    </row>
    <row r="66" spans="2:17" ht="16" customHeight="1" x14ac:dyDescent="0.45">
      <c r="B66" s="10"/>
      <c r="C66" s="11" t="s">
        <v>22</v>
      </c>
      <c r="D66" s="29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22"/>
      <c r="Q66" s="13"/>
    </row>
    <row r="67" spans="2:17" ht="16" customHeight="1" x14ac:dyDescent="0.45">
      <c r="B67" s="34" t="s">
        <v>818</v>
      </c>
      <c r="C67" s="34" t="s">
        <v>819</v>
      </c>
      <c r="D67" s="52">
        <f t="shared" ref="D67:P67" si="11">D68+D69</f>
        <v>-9519.3025400000006</v>
      </c>
      <c r="E67" s="35">
        <f t="shared" si="11"/>
        <v>-731.66431</v>
      </c>
      <c r="F67" s="35">
        <f t="shared" si="11"/>
        <v>-11776.91641</v>
      </c>
      <c r="G67" s="35">
        <f t="shared" si="11"/>
        <v>1157.36834</v>
      </c>
      <c r="H67" s="35">
        <f t="shared" si="11"/>
        <v>-8260.0776299999998</v>
      </c>
      <c r="I67" s="35">
        <f t="shared" si="11"/>
        <v>-2391.01656</v>
      </c>
      <c r="J67" s="35">
        <f t="shared" si="11"/>
        <v>31521.609109999998</v>
      </c>
      <c r="K67" s="35">
        <f t="shared" si="11"/>
        <v>0</v>
      </c>
      <c r="L67" s="35">
        <f t="shared" si="11"/>
        <v>0</v>
      </c>
      <c r="M67" s="35">
        <f t="shared" si="11"/>
        <v>0</v>
      </c>
      <c r="N67" s="35">
        <f t="shared" si="11"/>
        <v>0</v>
      </c>
      <c r="O67" s="35">
        <f t="shared" si="11"/>
        <v>0</v>
      </c>
      <c r="P67" s="46">
        <f t="shared" si="11"/>
        <v>0</v>
      </c>
      <c r="Q67" s="13"/>
    </row>
    <row r="68" spans="2:17" ht="16" customHeight="1" x14ac:dyDescent="0.45">
      <c r="B68" s="14" t="s">
        <v>820</v>
      </c>
      <c r="C68" s="14" t="s">
        <v>821</v>
      </c>
      <c r="D68" s="30">
        <v>-8893.8208300000006</v>
      </c>
      <c r="E68" s="15">
        <v>-604.19311000000005</v>
      </c>
      <c r="F68" s="15">
        <v>-11519.71578</v>
      </c>
      <c r="G68" s="15">
        <v>2188.65542</v>
      </c>
      <c r="H68" s="15">
        <v>-6748.1050599999999</v>
      </c>
      <c r="I68" s="15">
        <v>-1636.99837</v>
      </c>
      <c r="J68" s="15">
        <v>27214.177729999999</v>
      </c>
      <c r="K68" s="15"/>
      <c r="L68" s="15"/>
      <c r="M68" s="15"/>
      <c r="N68" s="15"/>
      <c r="O68" s="15"/>
      <c r="P68" s="23">
        <f>SUM(D68:O68)</f>
        <v>0</v>
      </c>
      <c r="Q68" s="13"/>
    </row>
    <row r="69" spans="2:17" ht="16" customHeight="1" x14ac:dyDescent="0.45">
      <c r="B69" s="14" t="s">
        <v>822</v>
      </c>
      <c r="C69" s="14" t="s">
        <v>823</v>
      </c>
      <c r="D69" s="30">
        <v>-625.48171000000002</v>
      </c>
      <c r="E69" s="15">
        <v>-127.4712</v>
      </c>
      <c r="F69" s="15">
        <v>-257.20062999999999</v>
      </c>
      <c r="G69" s="15">
        <v>-1031.2870800000001</v>
      </c>
      <c r="H69" s="15">
        <v>-1511.9725699999999</v>
      </c>
      <c r="I69" s="15">
        <v>-754.01819</v>
      </c>
      <c r="J69" s="15">
        <v>4307.43138</v>
      </c>
      <c r="K69" s="15"/>
      <c r="L69" s="15"/>
      <c r="M69" s="15"/>
      <c r="N69" s="15"/>
      <c r="O69" s="15"/>
      <c r="P69" s="23">
        <f>SUM(D69:O69)</f>
        <v>0</v>
      </c>
      <c r="Q69" s="13"/>
    </row>
    <row r="70" spans="2:17" ht="16" customHeight="1" x14ac:dyDescent="0.45">
      <c r="B70" s="10"/>
      <c r="C70" s="11" t="s">
        <v>22</v>
      </c>
      <c r="D70" s="29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2"/>
      <c r="Q70" s="13"/>
    </row>
    <row r="71" spans="2:17" ht="16" customHeight="1" x14ac:dyDescent="0.45">
      <c r="B71" s="38"/>
      <c r="C71" s="34" t="s">
        <v>824</v>
      </c>
      <c r="D71" s="52">
        <f t="shared" ref="D71:P71" si="12">-(-(D72+D73)-D74)</f>
        <v>32753.4241</v>
      </c>
      <c r="E71" s="35">
        <f t="shared" si="12"/>
        <v>-16581.62961</v>
      </c>
      <c r="F71" s="35">
        <f t="shared" si="12"/>
        <v>-25060.997310000002</v>
      </c>
      <c r="G71" s="35">
        <f t="shared" si="12"/>
        <v>-50436.983349999995</v>
      </c>
      <c r="H71" s="35">
        <f t="shared" si="12"/>
        <v>-19177.335209999997</v>
      </c>
      <c r="I71" s="35">
        <f t="shared" si="12"/>
        <v>-13074.597739999999</v>
      </c>
      <c r="J71" s="35">
        <f t="shared" si="12"/>
        <v>91578.119120000003</v>
      </c>
      <c r="K71" s="35">
        <f t="shared" si="12"/>
        <v>0</v>
      </c>
      <c r="L71" s="35">
        <f t="shared" si="12"/>
        <v>0</v>
      </c>
      <c r="M71" s="35">
        <f t="shared" si="12"/>
        <v>0</v>
      </c>
      <c r="N71" s="35">
        <f t="shared" si="12"/>
        <v>0</v>
      </c>
      <c r="O71" s="35">
        <f t="shared" si="12"/>
        <v>0</v>
      </c>
      <c r="P71" s="46">
        <f t="shared" si="12"/>
        <v>0</v>
      </c>
      <c r="Q71" s="13"/>
    </row>
    <row r="72" spans="2:17" ht="16" customHeight="1" x14ac:dyDescent="0.45">
      <c r="B72" s="14" t="s">
        <v>825</v>
      </c>
      <c r="C72" s="14" t="s">
        <v>826</v>
      </c>
      <c r="D72" s="30">
        <v>-53.670079999999999</v>
      </c>
      <c r="E72" s="15">
        <v>69.533010000000004</v>
      </c>
      <c r="F72" s="15">
        <v>-27.58043</v>
      </c>
      <c r="G72" s="15">
        <v>-595.58340999999996</v>
      </c>
      <c r="H72" s="15">
        <v>188.92694</v>
      </c>
      <c r="I72" s="15">
        <v>876.43404999999996</v>
      </c>
      <c r="J72" s="15">
        <v>-458.06008000000003</v>
      </c>
      <c r="K72" s="15"/>
      <c r="L72" s="15"/>
      <c r="M72" s="15"/>
      <c r="N72" s="15"/>
      <c r="O72" s="15"/>
      <c r="P72" s="23">
        <f>SUM(D72:O72)</f>
        <v>0</v>
      </c>
      <c r="Q72" s="13"/>
    </row>
    <row r="73" spans="2:17" ht="16" customHeight="1" x14ac:dyDescent="0.45">
      <c r="B73" s="14" t="s">
        <v>827</v>
      </c>
      <c r="C73" s="14" t="s">
        <v>828</v>
      </c>
      <c r="D73" s="30">
        <v>32807.09418</v>
      </c>
      <c r="E73" s="15">
        <v>-16651.162619999999</v>
      </c>
      <c r="F73" s="15">
        <v>-25493.985189999999</v>
      </c>
      <c r="G73" s="15">
        <v>-50278.243589999998</v>
      </c>
      <c r="H73" s="15">
        <v>-19801.78472</v>
      </c>
      <c r="I73" s="15">
        <v>-13951.031789999999</v>
      </c>
      <c r="J73" s="15">
        <v>93369.113729999997</v>
      </c>
      <c r="K73" s="15"/>
      <c r="L73" s="15"/>
      <c r="M73" s="15"/>
      <c r="N73" s="15"/>
      <c r="O73" s="15"/>
      <c r="P73" s="23">
        <f>SUM(D73:O73)</f>
        <v>0</v>
      </c>
      <c r="Q73" s="13"/>
    </row>
    <row r="74" spans="2:17" ht="16" customHeight="1" x14ac:dyDescent="0.45">
      <c r="B74" s="14" t="s">
        <v>829</v>
      </c>
      <c r="C74" s="14" t="s">
        <v>830</v>
      </c>
      <c r="D74" s="30"/>
      <c r="E74" s="15"/>
      <c r="F74" s="15">
        <v>460.56831</v>
      </c>
      <c r="G74" s="15">
        <v>436.84365000000003</v>
      </c>
      <c r="H74" s="15">
        <v>435.52256999999997</v>
      </c>
      <c r="I74" s="15">
        <v>0</v>
      </c>
      <c r="J74" s="15">
        <v>-1332.93453</v>
      </c>
      <c r="K74" s="15"/>
      <c r="L74" s="15"/>
      <c r="M74" s="15"/>
      <c r="N74" s="15"/>
      <c r="O74" s="15"/>
      <c r="P74" s="23">
        <f>SUM(D74:O74)</f>
        <v>0</v>
      </c>
      <c r="Q74" s="13"/>
    </row>
    <row r="75" spans="2:17" ht="16" customHeight="1" x14ac:dyDescent="0.45">
      <c r="B75" s="10"/>
      <c r="C75" s="11" t="s">
        <v>22</v>
      </c>
      <c r="D75" s="29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22"/>
      <c r="Q75" s="13"/>
    </row>
    <row r="76" spans="2:17" ht="16" customHeight="1" x14ac:dyDescent="0.45">
      <c r="B76" s="38"/>
      <c r="C76" s="34" t="s">
        <v>831</v>
      </c>
      <c r="D76" s="52">
        <f t="shared" ref="D76:P76" si="13">D77+D78</f>
        <v>-91428.052660000001</v>
      </c>
      <c r="E76" s="35">
        <f t="shared" si="13"/>
        <v>12596.82502</v>
      </c>
      <c r="F76" s="35">
        <f t="shared" si="13"/>
        <v>19208.91131</v>
      </c>
      <c r="G76" s="35">
        <f t="shared" si="13"/>
        <v>-506.34099999999989</v>
      </c>
      <c r="H76" s="35">
        <f t="shared" si="13"/>
        <v>17605.882890000001</v>
      </c>
      <c r="I76" s="35">
        <f t="shared" si="13"/>
        <v>-37419.785049999999</v>
      </c>
      <c r="J76" s="35">
        <f t="shared" si="13"/>
        <v>79942.55949</v>
      </c>
      <c r="K76" s="35">
        <f t="shared" si="13"/>
        <v>0</v>
      </c>
      <c r="L76" s="35">
        <f t="shared" si="13"/>
        <v>0</v>
      </c>
      <c r="M76" s="35">
        <f t="shared" si="13"/>
        <v>0</v>
      </c>
      <c r="N76" s="35">
        <f t="shared" si="13"/>
        <v>0</v>
      </c>
      <c r="O76" s="35">
        <f t="shared" si="13"/>
        <v>0</v>
      </c>
      <c r="P76" s="46">
        <f t="shared" si="13"/>
        <v>0</v>
      </c>
      <c r="Q76" s="13"/>
    </row>
    <row r="77" spans="2:17" ht="16" customHeight="1" x14ac:dyDescent="0.45">
      <c r="B77" s="14" t="s">
        <v>832</v>
      </c>
      <c r="C77" s="14" t="s">
        <v>833</v>
      </c>
      <c r="D77" s="30">
        <v>2240.3663299999998</v>
      </c>
      <c r="E77" s="15">
        <v>4033.4244399999998</v>
      </c>
      <c r="F77" s="15">
        <v>2217.18705</v>
      </c>
      <c r="G77" s="15">
        <v>2065.8968</v>
      </c>
      <c r="H77" s="15">
        <v>-1960.0792300000001</v>
      </c>
      <c r="I77" s="15">
        <v>-10056.4043</v>
      </c>
      <c r="J77" s="15">
        <v>1459.6089099999999</v>
      </c>
      <c r="K77" s="15"/>
      <c r="L77" s="15"/>
      <c r="M77" s="15"/>
      <c r="N77" s="15"/>
      <c r="O77" s="15"/>
      <c r="P77" s="23">
        <f>SUM(D77:O77)</f>
        <v>0</v>
      </c>
      <c r="Q77" s="13"/>
    </row>
    <row r="78" spans="2:17" ht="16" customHeight="1" x14ac:dyDescent="0.45">
      <c r="B78" s="14" t="s">
        <v>834</v>
      </c>
      <c r="C78" s="14" t="s">
        <v>835</v>
      </c>
      <c r="D78" s="30">
        <v>-93668.418990000006</v>
      </c>
      <c r="E78" s="15">
        <v>8563.4005799999995</v>
      </c>
      <c r="F78" s="15">
        <v>16991.724259999999</v>
      </c>
      <c r="G78" s="15">
        <v>-2572.2377999999999</v>
      </c>
      <c r="H78" s="15">
        <v>19565.96212</v>
      </c>
      <c r="I78" s="15">
        <v>-27363.38075</v>
      </c>
      <c r="J78" s="15">
        <v>78482.950580000004</v>
      </c>
      <c r="K78" s="15"/>
      <c r="L78" s="15"/>
      <c r="M78" s="15"/>
      <c r="N78" s="15"/>
      <c r="O78" s="15"/>
      <c r="P78" s="23">
        <f>SUM(D78:O78)</f>
        <v>0</v>
      </c>
      <c r="Q78" s="13"/>
    </row>
    <row r="79" spans="2:17" ht="16" customHeight="1" x14ac:dyDescent="0.45">
      <c r="B79" s="10"/>
      <c r="C79" s="11" t="s">
        <v>22</v>
      </c>
      <c r="D79" s="29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22"/>
      <c r="Q79" s="13"/>
    </row>
    <row r="80" spans="2:17" ht="16" customHeight="1" x14ac:dyDescent="0.45">
      <c r="B80" s="38"/>
      <c r="C80" s="34" t="s">
        <v>836</v>
      </c>
      <c r="D80" s="52">
        <f t="shared" ref="D80:P80" si="14">-(-(D67+D71)-D76)</f>
        <v>-68193.931100000002</v>
      </c>
      <c r="E80" s="35">
        <f t="shared" si="14"/>
        <v>-4716.4688999999998</v>
      </c>
      <c r="F80" s="35">
        <f t="shared" si="14"/>
        <v>-17629.002410000005</v>
      </c>
      <c r="G80" s="35">
        <f t="shared" si="14"/>
        <v>-49785.956009999994</v>
      </c>
      <c r="H80" s="35">
        <f t="shared" si="14"/>
        <v>-9831.5299499999965</v>
      </c>
      <c r="I80" s="35">
        <f t="shared" si="14"/>
        <v>-52885.39935</v>
      </c>
      <c r="J80" s="35">
        <f t="shared" si="14"/>
        <v>203042.28772000002</v>
      </c>
      <c r="K80" s="35">
        <f t="shared" si="14"/>
        <v>0</v>
      </c>
      <c r="L80" s="35">
        <f t="shared" si="14"/>
        <v>0</v>
      </c>
      <c r="M80" s="35">
        <f t="shared" si="14"/>
        <v>0</v>
      </c>
      <c r="N80" s="35">
        <f t="shared" si="14"/>
        <v>0</v>
      </c>
      <c r="O80" s="35">
        <f t="shared" si="14"/>
        <v>0</v>
      </c>
      <c r="P80" s="46">
        <f t="shared" si="14"/>
        <v>0</v>
      </c>
      <c r="Q80" s="13"/>
    </row>
    <row r="81" spans="2:17" ht="16" customHeight="1" x14ac:dyDescent="0.45">
      <c r="B81" s="10"/>
      <c r="C81" s="11" t="s">
        <v>22</v>
      </c>
      <c r="D81" s="29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22"/>
      <c r="Q81" s="13"/>
    </row>
    <row r="82" spans="2:17" ht="16" customHeight="1" x14ac:dyDescent="0.45">
      <c r="B82" s="38"/>
      <c r="C82" s="34" t="s">
        <v>837</v>
      </c>
      <c r="D82" s="52">
        <f t="shared" ref="D82:P82" si="15">-(-(D84+D86)-D91-D96-D98)</f>
        <v>417.09717999999953</v>
      </c>
      <c r="E82" s="35">
        <f t="shared" si="15"/>
        <v>4102.284169999999</v>
      </c>
      <c r="F82" s="35">
        <f t="shared" si="15"/>
        <v>-17701.998509999998</v>
      </c>
      <c r="G82" s="35">
        <f t="shared" si="15"/>
        <v>7119.0567700000001</v>
      </c>
      <c r="H82" s="35">
        <f t="shared" si="15"/>
        <v>-3076.0200300000001</v>
      </c>
      <c r="I82" s="35">
        <f t="shared" si="15"/>
        <v>-785.78180999999654</v>
      </c>
      <c r="J82" s="35">
        <f t="shared" si="15"/>
        <v>9925.3622300000006</v>
      </c>
      <c r="K82" s="35">
        <f t="shared" si="15"/>
        <v>0</v>
      </c>
      <c r="L82" s="35">
        <f t="shared" si="15"/>
        <v>0</v>
      </c>
      <c r="M82" s="35">
        <f t="shared" si="15"/>
        <v>0</v>
      </c>
      <c r="N82" s="35">
        <f t="shared" si="15"/>
        <v>0</v>
      </c>
      <c r="O82" s="35">
        <f t="shared" si="15"/>
        <v>0</v>
      </c>
      <c r="P82" s="46">
        <f t="shared" si="15"/>
        <v>0</v>
      </c>
      <c r="Q82" s="13"/>
    </row>
    <row r="83" spans="2:17" ht="16" customHeight="1" x14ac:dyDescent="0.45">
      <c r="B83" s="10"/>
      <c r="C83" s="11" t="s">
        <v>22</v>
      </c>
      <c r="D83" s="29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22"/>
      <c r="Q83" s="13"/>
    </row>
    <row r="84" spans="2:17" ht="16" customHeight="1" x14ac:dyDescent="0.45">
      <c r="B84" s="14" t="s">
        <v>838</v>
      </c>
      <c r="C84" s="14" t="s">
        <v>839</v>
      </c>
      <c r="D84" s="30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23">
        <f>SUM(D84:O84)</f>
        <v>0</v>
      </c>
      <c r="Q84" s="13"/>
    </row>
    <row r="85" spans="2:17" ht="16" customHeight="1" x14ac:dyDescent="0.45">
      <c r="B85" s="10"/>
      <c r="C85" s="11" t="s">
        <v>22</v>
      </c>
      <c r="D85" s="29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22"/>
      <c r="Q85" s="13"/>
    </row>
    <row r="86" spans="2:17" ht="16" customHeight="1" x14ac:dyDescent="0.45">
      <c r="B86" s="38"/>
      <c r="C86" s="34" t="s">
        <v>840</v>
      </c>
      <c r="D86" s="52">
        <f t="shared" ref="D86:P86" si="16">-(-(D87+D88)-D89)</f>
        <v>3958.0358999999999</v>
      </c>
      <c r="E86" s="35">
        <f t="shared" si="16"/>
        <v>6921.0607300000001</v>
      </c>
      <c r="F86" s="35">
        <f t="shared" si="16"/>
        <v>-3347.29396</v>
      </c>
      <c r="G86" s="35">
        <f t="shared" si="16"/>
        <v>2394.2128200000002</v>
      </c>
      <c r="H86" s="35">
        <f t="shared" si="16"/>
        <v>-3143.9866700000002</v>
      </c>
      <c r="I86" s="35">
        <f t="shared" si="16"/>
        <v>19563.196670000001</v>
      </c>
      <c r="J86" s="35">
        <f t="shared" si="16"/>
        <v>-26345.225490000001</v>
      </c>
      <c r="K86" s="35">
        <f t="shared" si="16"/>
        <v>0</v>
      </c>
      <c r="L86" s="35">
        <f t="shared" si="16"/>
        <v>0</v>
      </c>
      <c r="M86" s="35">
        <f t="shared" si="16"/>
        <v>0</v>
      </c>
      <c r="N86" s="35">
        <f t="shared" si="16"/>
        <v>0</v>
      </c>
      <c r="O86" s="35">
        <f t="shared" si="16"/>
        <v>0</v>
      </c>
      <c r="P86" s="46">
        <f t="shared" si="16"/>
        <v>0</v>
      </c>
      <c r="Q86" s="13"/>
    </row>
    <row r="87" spans="2:17" ht="16" customHeight="1" x14ac:dyDescent="0.45">
      <c r="B87" s="14" t="s">
        <v>841</v>
      </c>
      <c r="C87" s="14" t="s">
        <v>842</v>
      </c>
      <c r="D87" s="30">
        <v>271.34870999999998</v>
      </c>
      <c r="E87" s="15">
        <v>65.031829999999999</v>
      </c>
      <c r="F87" s="15">
        <v>-753.30068000000006</v>
      </c>
      <c r="G87" s="15">
        <v>1075.7230400000001</v>
      </c>
      <c r="H87" s="15">
        <v>-1715.8411799999999</v>
      </c>
      <c r="I87" s="15">
        <v>709.83072000000004</v>
      </c>
      <c r="J87" s="15">
        <v>347.20756</v>
      </c>
      <c r="K87" s="15"/>
      <c r="L87" s="15"/>
      <c r="M87" s="15"/>
      <c r="N87" s="15"/>
      <c r="O87" s="15"/>
      <c r="P87" s="23">
        <f>SUM(D87:O87)</f>
        <v>0</v>
      </c>
      <c r="Q87" s="13"/>
    </row>
    <row r="88" spans="2:17" ht="16" customHeight="1" x14ac:dyDescent="0.45">
      <c r="B88" s="14" t="s">
        <v>843</v>
      </c>
      <c r="C88" s="14" t="s">
        <v>844</v>
      </c>
      <c r="D88" s="30">
        <v>4392.8658599999999</v>
      </c>
      <c r="E88" s="15">
        <v>574.40877</v>
      </c>
      <c r="F88" s="15">
        <v>-2483.6333300000001</v>
      </c>
      <c r="G88" s="15">
        <v>449.92214999999999</v>
      </c>
      <c r="H88" s="15">
        <v>3.3332299999999999</v>
      </c>
      <c r="I88" s="15">
        <v>1091.32421</v>
      </c>
      <c r="J88" s="15">
        <v>-4028.2208900000001</v>
      </c>
      <c r="K88" s="15"/>
      <c r="L88" s="15"/>
      <c r="M88" s="15"/>
      <c r="N88" s="15"/>
      <c r="O88" s="15"/>
      <c r="P88" s="23">
        <f>SUM(D88:O88)</f>
        <v>0</v>
      </c>
      <c r="Q88" s="13"/>
    </row>
    <row r="89" spans="2:17" ht="16" customHeight="1" x14ac:dyDescent="0.45">
      <c r="B89" s="14" t="s">
        <v>845</v>
      </c>
      <c r="C89" s="14" t="s">
        <v>846</v>
      </c>
      <c r="D89" s="30">
        <v>-706.17867000000001</v>
      </c>
      <c r="E89" s="15">
        <v>6281.6201300000002</v>
      </c>
      <c r="F89" s="15">
        <v>-110.35995</v>
      </c>
      <c r="G89" s="15">
        <v>868.56763000000001</v>
      </c>
      <c r="H89" s="15">
        <v>-1431.4787200000001</v>
      </c>
      <c r="I89" s="15">
        <v>17762.041740000001</v>
      </c>
      <c r="J89" s="15">
        <v>-22664.212159999999</v>
      </c>
      <c r="K89" s="15"/>
      <c r="L89" s="15"/>
      <c r="M89" s="15"/>
      <c r="N89" s="15"/>
      <c r="O89" s="15"/>
      <c r="P89" s="23">
        <f>SUM(D89:O89)</f>
        <v>0</v>
      </c>
      <c r="Q89" s="13"/>
    </row>
    <row r="90" spans="2:17" ht="16" customHeight="1" x14ac:dyDescent="0.45">
      <c r="B90" s="10"/>
      <c r="C90" s="11" t="s">
        <v>22</v>
      </c>
      <c r="D90" s="29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2"/>
      <c r="Q90" s="13"/>
    </row>
    <row r="91" spans="2:17" ht="16" customHeight="1" x14ac:dyDescent="0.45">
      <c r="B91" s="38"/>
      <c r="C91" s="34" t="s">
        <v>847</v>
      </c>
      <c r="D91" s="52">
        <f t="shared" ref="D91:P91" si="17">-(-(D92+D93)-D94)</f>
        <v>-2050.5124500000002</v>
      </c>
      <c r="E91" s="35">
        <f t="shared" si="17"/>
        <v>-1325.1371199999999</v>
      </c>
      <c r="F91" s="35">
        <f t="shared" si="17"/>
        <v>-11123.51713</v>
      </c>
      <c r="G91" s="35">
        <f t="shared" si="17"/>
        <v>6410.1958999999997</v>
      </c>
      <c r="H91" s="35">
        <f t="shared" si="17"/>
        <v>2426.15184</v>
      </c>
      <c r="I91" s="35">
        <f t="shared" si="17"/>
        <v>-20620.479639999998</v>
      </c>
      <c r="J91" s="35">
        <f t="shared" si="17"/>
        <v>26283.298600000002</v>
      </c>
      <c r="K91" s="35">
        <f t="shared" si="17"/>
        <v>0</v>
      </c>
      <c r="L91" s="35">
        <f t="shared" si="17"/>
        <v>0</v>
      </c>
      <c r="M91" s="35">
        <f t="shared" si="17"/>
        <v>0</v>
      </c>
      <c r="N91" s="35">
        <f t="shared" si="17"/>
        <v>0</v>
      </c>
      <c r="O91" s="35">
        <f t="shared" si="17"/>
        <v>0</v>
      </c>
      <c r="P91" s="46">
        <f t="shared" si="17"/>
        <v>0</v>
      </c>
      <c r="Q91" s="13"/>
    </row>
    <row r="92" spans="2:17" ht="16" customHeight="1" x14ac:dyDescent="0.45">
      <c r="B92" s="14" t="s">
        <v>848</v>
      </c>
      <c r="C92" s="14" t="s">
        <v>849</v>
      </c>
      <c r="D92" s="30">
        <v>5388.4233400000003</v>
      </c>
      <c r="E92" s="15">
        <v>-4509.6852099999996</v>
      </c>
      <c r="F92" s="15">
        <v>1764.02622</v>
      </c>
      <c r="G92" s="15">
        <v>-1314.47451</v>
      </c>
      <c r="H92" s="15">
        <v>3166.1790999999998</v>
      </c>
      <c r="I92" s="15">
        <v>-12126.478800000001</v>
      </c>
      <c r="J92" s="15">
        <v>7632.0098600000001</v>
      </c>
      <c r="K92" s="15"/>
      <c r="L92" s="15"/>
      <c r="M92" s="15"/>
      <c r="N92" s="15"/>
      <c r="O92" s="15"/>
      <c r="P92" s="23">
        <f>SUM(D92:O92)</f>
        <v>0</v>
      </c>
      <c r="Q92" s="13"/>
    </row>
    <row r="93" spans="2:17" ht="16" customHeight="1" x14ac:dyDescent="0.45">
      <c r="B93" s="14" t="s">
        <v>850</v>
      </c>
      <c r="C93" s="14" t="s">
        <v>636</v>
      </c>
      <c r="D93" s="30">
        <v>-58.073</v>
      </c>
      <c r="E93" s="15">
        <v>29.625</v>
      </c>
      <c r="F93" s="15">
        <v>-1.2130000000000001</v>
      </c>
      <c r="G93" s="15">
        <v>2.085</v>
      </c>
      <c r="H93" s="15">
        <v>-2.2490000000000001</v>
      </c>
      <c r="I93" s="15">
        <v>23.806000000000001</v>
      </c>
      <c r="J93" s="15">
        <v>6.0190000000000001</v>
      </c>
      <c r="K93" s="15"/>
      <c r="L93" s="15"/>
      <c r="M93" s="15"/>
      <c r="N93" s="15"/>
      <c r="O93" s="15"/>
      <c r="P93" s="23">
        <f>SUM(D93:O93)</f>
        <v>0</v>
      </c>
      <c r="Q93" s="13"/>
    </row>
    <row r="94" spans="2:17" ht="16" customHeight="1" x14ac:dyDescent="0.45">
      <c r="B94" s="14" t="s">
        <v>851</v>
      </c>
      <c r="C94" s="14" t="s">
        <v>852</v>
      </c>
      <c r="D94" s="30">
        <v>-7380.8627900000001</v>
      </c>
      <c r="E94" s="15">
        <v>3154.9230899999998</v>
      </c>
      <c r="F94" s="15">
        <v>-12886.33035</v>
      </c>
      <c r="G94" s="15">
        <v>7722.5854099999997</v>
      </c>
      <c r="H94" s="15">
        <v>-737.77826000000005</v>
      </c>
      <c r="I94" s="15">
        <v>-8517.8068399999993</v>
      </c>
      <c r="J94" s="15">
        <v>18645.26974</v>
      </c>
      <c r="K94" s="15"/>
      <c r="L94" s="15"/>
      <c r="M94" s="15"/>
      <c r="N94" s="15"/>
      <c r="O94" s="15"/>
      <c r="P94" s="23">
        <f>SUM(D94:O94)</f>
        <v>0</v>
      </c>
      <c r="Q94" s="13"/>
    </row>
    <row r="95" spans="2:17" ht="16" customHeight="1" x14ac:dyDescent="0.45">
      <c r="B95" s="10"/>
      <c r="C95" s="11" t="s">
        <v>22</v>
      </c>
      <c r="D95" s="29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22"/>
      <c r="Q95" s="13"/>
    </row>
    <row r="96" spans="2:17" ht="16" customHeight="1" x14ac:dyDescent="0.45">
      <c r="B96" s="14" t="s">
        <v>853</v>
      </c>
      <c r="C96" s="14" t="s">
        <v>854</v>
      </c>
      <c r="D96" s="30">
        <v>-727.70987000000002</v>
      </c>
      <c r="E96" s="15">
        <v>-613.68284000000006</v>
      </c>
      <c r="F96" s="15">
        <v>-1862.6334300000001</v>
      </c>
      <c r="G96" s="15">
        <v>-188.82822999999999</v>
      </c>
      <c r="H96" s="15">
        <v>-1523.61195</v>
      </c>
      <c r="I96" s="15">
        <v>600.11294999999996</v>
      </c>
      <c r="J96" s="15">
        <v>4316.3533699999998</v>
      </c>
      <c r="K96" s="15"/>
      <c r="L96" s="15"/>
      <c r="M96" s="15"/>
      <c r="N96" s="15"/>
      <c r="O96" s="15"/>
      <c r="P96" s="23">
        <f>SUM(D96:O96)</f>
        <v>0</v>
      </c>
      <c r="Q96" s="13"/>
    </row>
    <row r="97" spans="2:17" ht="16" customHeight="1" x14ac:dyDescent="0.45">
      <c r="B97" s="10"/>
      <c r="C97" s="11" t="s">
        <v>22</v>
      </c>
      <c r="D97" s="29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22"/>
      <c r="Q97" s="13"/>
    </row>
    <row r="98" spans="2:17" ht="16" customHeight="1" x14ac:dyDescent="0.45">
      <c r="B98" s="14" t="s">
        <v>855</v>
      </c>
      <c r="C98" s="14" t="s">
        <v>856</v>
      </c>
      <c r="D98" s="30">
        <v>-762.71640000000002</v>
      </c>
      <c r="E98" s="15">
        <v>-879.95659999999998</v>
      </c>
      <c r="F98" s="15">
        <v>-1368.5539900000001</v>
      </c>
      <c r="G98" s="15">
        <v>-1496.5237199999999</v>
      </c>
      <c r="H98" s="15">
        <v>-834.57325000000003</v>
      </c>
      <c r="I98" s="15">
        <v>-328.61178999999998</v>
      </c>
      <c r="J98" s="15">
        <v>5670.9357499999996</v>
      </c>
      <c r="K98" s="15"/>
      <c r="L98" s="15"/>
      <c r="M98" s="15"/>
      <c r="N98" s="15"/>
      <c r="O98" s="15"/>
      <c r="P98" s="23">
        <f>SUM(D98:O98)</f>
        <v>0</v>
      </c>
      <c r="Q98" s="13"/>
    </row>
    <row r="99" spans="2:17" ht="16" customHeight="1" x14ac:dyDescent="0.45">
      <c r="B99" s="10"/>
      <c r="C99" s="11" t="s">
        <v>22</v>
      </c>
      <c r="D99" s="29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22"/>
      <c r="Q99" s="13"/>
    </row>
    <row r="100" spans="2:17" ht="16" customHeight="1" x14ac:dyDescent="0.45">
      <c r="B100" s="38"/>
      <c r="C100" s="34" t="s">
        <v>857</v>
      </c>
      <c r="D100" s="52">
        <f t="shared" ref="D100:P100" si="18">D80+D82</f>
        <v>-67776.833920000005</v>
      </c>
      <c r="E100" s="35">
        <f t="shared" si="18"/>
        <v>-614.18473000000085</v>
      </c>
      <c r="F100" s="35">
        <f t="shared" si="18"/>
        <v>-35331.000920000006</v>
      </c>
      <c r="G100" s="35">
        <f t="shared" si="18"/>
        <v>-42666.899239999992</v>
      </c>
      <c r="H100" s="35">
        <f t="shared" si="18"/>
        <v>-12907.549979999996</v>
      </c>
      <c r="I100" s="35">
        <f t="shared" si="18"/>
        <v>-53671.181159999993</v>
      </c>
      <c r="J100" s="35">
        <f t="shared" si="18"/>
        <v>212967.64995000002</v>
      </c>
      <c r="K100" s="35">
        <f t="shared" si="18"/>
        <v>0</v>
      </c>
      <c r="L100" s="35">
        <f t="shared" si="18"/>
        <v>0</v>
      </c>
      <c r="M100" s="35">
        <f t="shared" si="18"/>
        <v>0</v>
      </c>
      <c r="N100" s="35">
        <f t="shared" si="18"/>
        <v>0</v>
      </c>
      <c r="O100" s="35">
        <f t="shared" si="18"/>
        <v>0</v>
      </c>
      <c r="P100" s="46">
        <f t="shared" si="18"/>
        <v>0</v>
      </c>
      <c r="Q100" s="13"/>
    </row>
    <row r="101" spans="2:17" ht="16" customHeight="1" x14ac:dyDescent="0.45">
      <c r="B101" s="10"/>
      <c r="C101" s="11" t="s">
        <v>22</v>
      </c>
      <c r="D101" s="29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22"/>
      <c r="Q101" s="13"/>
    </row>
    <row r="102" spans="2:17" ht="16" customHeight="1" x14ac:dyDescent="0.45">
      <c r="B102" s="14" t="s">
        <v>858</v>
      </c>
      <c r="C102" s="14" t="s">
        <v>859</v>
      </c>
      <c r="D102" s="30">
        <v>-4128.7895399999998</v>
      </c>
      <c r="E102" s="15">
        <v>-3831.8894300000002</v>
      </c>
      <c r="F102" s="15">
        <v>-4326.0865299999996</v>
      </c>
      <c r="G102" s="15">
        <v>-5002.9084999999995</v>
      </c>
      <c r="H102" s="15">
        <v>-3824.6289999999999</v>
      </c>
      <c r="I102" s="15">
        <v>-12.571109999999999</v>
      </c>
      <c r="J102" s="15">
        <v>21126.874110000001</v>
      </c>
      <c r="K102" s="15"/>
      <c r="L102" s="15"/>
      <c r="M102" s="15"/>
      <c r="N102" s="15"/>
      <c r="O102" s="15"/>
      <c r="P102" s="23">
        <f>SUM(D102:O102)</f>
        <v>0</v>
      </c>
      <c r="Q102" s="13"/>
    </row>
    <row r="103" spans="2:17" ht="16" customHeight="1" x14ac:dyDescent="0.45">
      <c r="B103" s="10"/>
      <c r="C103" s="11" t="s">
        <v>22</v>
      </c>
      <c r="D103" s="29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22"/>
      <c r="Q103" s="13"/>
    </row>
    <row r="104" spans="2:17" ht="16" customHeight="1" x14ac:dyDescent="0.45">
      <c r="B104" s="39"/>
      <c r="C104" s="40" t="s">
        <v>860</v>
      </c>
      <c r="D104" s="53">
        <f t="shared" ref="D104:P104" si="19">D18+D20+D21+D23+D27+D31+D40+D45+D56+D60+D62+D100+D102</f>
        <v>-85437.76887</v>
      </c>
      <c r="E104" s="24">
        <f t="shared" si="19"/>
        <v>-11945.901620000001</v>
      </c>
      <c r="F104" s="24">
        <f t="shared" si="19"/>
        <v>-47109.247670000004</v>
      </c>
      <c r="G104" s="24">
        <f t="shared" si="19"/>
        <v>-19098.083519999993</v>
      </c>
      <c r="H104" s="24">
        <f t="shared" si="19"/>
        <v>35127.605889999992</v>
      </c>
      <c r="I104" s="24">
        <f t="shared" si="19"/>
        <v>-21894.427609999995</v>
      </c>
      <c r="J104" s="24">
        <f t="shared" si="19"/>
        <v>150357.82340000002</v>
      </c>
      <c r="K104" s="24">
        <f t="shared" si="19"/>
        <v>0</v>
      </c>
      <c r="L104" s="24">
        <f t="shared" si="19"/>
        <v>0</v>
      </c>
      <c r="M104" s="24">
        <f t="shared" si="19"/>
        <v>0</v>
      </c>
      <c r="N104" s="24">
        <f t="shared" si="19"/>
        <v>0</v>
      </c>
      <c r="O104" s="24">
        <f t="shared" si="19"/>
        <v>0</v>
      </c>
      <c r="P104" s="24">
        <f t="shared" si="19"/>
        <v>0</v>
      </c>
      <c r="Q104" s="13"/>
    </row>
    <row r="105" spans="2:17" ht="16" customHeight="1" x14ac:dyDescent="0.45">
      <c r="B105" s="10"/>
      <c r="C105" s="11" t="s">
        <v>22</v>
      </c>
      <c r="D105" s="29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22"/>
      <c r="Q105" s="13"/>
    </row>
    <row r="106" spans="2:17" ht="16" customHeight="1" x14ac:dyDescent="0.45">
      <c r="B106" s="38"/>
      <c r="C106" s="34" t="s">
        <v>861</v>
      </c>
      <c r="D106" s="52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46"/>
      <c r="Q106" s="13"/>
    </row>
    <row r="107" spans="2:17" ht="16" customHeight="1" x14ac:dyDescent="0.45">
      <c r="B107" s="10"/>
      <c r="C107" s="11" t="s">
        <v>22</v>
      </c>
      <c r="D107" s="29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22"/>
      <c r="Q107" s="13"/>
    </row>
    <row r="108" spans="2:17" ht="16" customHeight="1" x14ac:dyDescent="0.45">
      <c r="B108" s="38"/>
      <c r="C108" s="34" t="s">
        <v>862</v>
      </c>
      <c r="D108" s="52">
        <f t="shared" ref="D108:P108" si="20">-(-(D109+D110)-D111-D112-D113-D114)</f>
        <v>-9807.2502600000007</v>
      </c>
      <c r="E108" s="35">
        <f t="shared" si="20"/>
        <v>-14164.619429999999</v>
      </c>
      <c r="F108" s="35">
        <f t="shared" si="20"/>
        <v>-7462.7759500000002</v>
      </c>
      <c r="G108" s="35">
        <f t="shared" si="20"/>
        <v>-10705.82602</v>
      </c>
      <c r="H108" s="35">
        <f t="shared" si="20"/>
        <v>-9351.7412000000004</v>
      </c>
      <c r="I108" s="35">
        <f t="shared" si="20"/>
        <v>-2957.4317799999999</v>
      </c>
      <c r="J108" s="35">
        <f t="shared" si="20"/>
        <v>54449.644639999999</v>
      </c>
      <c r="K108" s="35">
        <f t="shared" si="20"/>
        <v>0</v>
      </c>
      <c r="L108" s="35">
        <f t="shared" si="20"/>
        <v>0</v>
      </c>
      <c r="M108" s="35">
        <f t="shared" si="20"/>
        <v>0</v>
      </c>
      <c r="N108" s="35">
        <f t="shared" si="20"/>
        <v>0</v>
      </c>
      <c r="O108" s="35">
        <f t="shared" si="20"/>
        <v>0</v>
      </c>
      <c r="P108" s="46">
        <f t="shared" si="20"/>
        <v>0</v>
      </c>
      <c r="Q108" s="13"/>
    </row>
    <row r="109" spans="2:17" ht="16" customHeight="1" x14ac:dyDescent="0.45">
      <c r="B109" s="14" t="s">
        <v>863</v>
      </c>
      <c r="C109" s="14" t="s">
        <v>864</v>
      </c>
      <c r="D109" s="30">
        <v>-2397.2867000000001</v>
      </c>
      <c r="E109" s="15">
        <v>-8011.3549000000003</v>
      </c>
      <c r="F109" s="15">
        <v>-2166.5390499999999</v>
      </c>
      <c r="G109" s="15">
        <v>-4248.9950799999997</v>
      </c>
      <c r="H109" s="15">
        <v>-2995.2739799999999</v>
      </c>
      <c r="I109" s="15">
        <v>-1188.34095</v>
      </c>
      <c r="J109" s="15">
        <v>21007.790659999999</v>
      </c>
      <c r="K109" s="15"/>
      <c r="L109" s="15"/>
      <c r="M109" s="15"/>
      <c r="N109" s="15"/>
      <c r="O109" s="15"/>
      <c r="P109" s="23">
        <f t="shared" ref="P109:P114" si="21">SUM(D109:O109)</f>
        <v>0</v>
      </c>
      <c r="Q109" s="13"/>
    </row>
    <row r="110" spans="2:17" ht="16" customHeight="1" x14ac:dyDescent="0.45">
      <c r="B110" s="14" t="s">
        <v>865</v>
      </c>
      <c r="C110" s="14" t="s">
        <v>866</v>
      </c>
      <c r="D110" s="30">
        <v>-920.88388999999995</v>
      </c>
      <c r="E110" s="15">
        <v>484.87578000000002</v>
      </c>
      <c r="F110" s="15">
        <v>-835.07932000000005</v>
      </c>
      <c r="G110" s="15">
        <v>-817.07631000000003</v>
      </c>
      <c r="H110" s="15">
        <v>-127.17538</v>
      </c>
      <c r="I110" s="15">
        <v>-69.238460000000003</v>
      </c>
      <c r="J110" s="15">
        <v>2284.5775800000001</v>
      </c>
      <c r="K110" s="15"/>
      <c r="L110" s="15"/>
      <c r="M110" s="15"/>
      <c r="N110" s="15"/>
      <c r="O110" s="15"/>
      <c r="P110" s="23">
        <f t="shared" si="21"/>
        <v>0</v>
      </c>
      <c r="Q110" s="13"/>
    </row>
    <row r="111" spans="2:17" ht="16" customHeight="1" x14ac:dyDescent="0.45">
      <c r="B111" s="14" t="s">
        <v>867</v>
      </c>
      <c r="C111" s="14" t="s">
        <v>868</v>
      </c>
      <c r="D111" s="30">
        <v>-618.02542000000005</v>
      </c>
      <c r="E111" s="15">
        <v>-378.31466</v>
      </c>
      <c r="F111" s="15">
        <v>-581.43769999999995</v>
      </c>
      <c r="G111" s="15">
        <v>-434.98194999999998</v>
      </c>
      <c r="H111" s="15">
        <v>-142.10756000000001</v>
      </c>
      <c r="I111" s="15">
        <v>0</v>
      </c>
      <c r="J111" s="15">
        <v>2154.8672900000001</v>
      </c>
      <c r="K111" s="15"/>
      <c r="L111" s="15"/>
      <c r="M111" s="15"/>
      <c r="N111" s="15"/>
      <c r="O111" s="15"/>
      <c r="P111" s="23">
        <f t="shared" si="21"/>
        <v>0</v>
      </c>
      <c r="Q111" s="13"/>
    </row>
    <row r="112" spans="2:17" ht="16" customHeight="1" x14ac:dyDescent="0.45">
      <c r="B112" s="14" t="s">
        <v>869</v>
      </c>
      <c r="C112" s="14" t="s">
        <v>870</v>
      </c>
      <c r="D112" s="30">
        <v>798.46083999999996</v>
      </c>
      <c r="E112" s="15">
        <v>-4.3463200000000004</v>
      </c>
      <c r="F112" s="15">
        <v>-904.28590999999994</v>
      </c>
      <c r="G112" s="15">
        <v>-802.66593</v>
      </c>
      <c r="H112" s="15">
        <v>-1030.24884</v>
      </c>
      <c r="I112" s="15">
        <v>-135.38408999999999</v>
      </c>
      <c r="J112" s="15">
        <v>2078.4702499999999</v>
      </c>
      <c r="K112" s="15"/>
      <c r="L112" s="15"/>
      <c r="M112" s="15"/>
      <c r="N112" s="15"/>
      <c r="O112" s="15"/>
      <c r="P112" s="23">
        <f t="shared" si="21"/>
        <v>0</v>
      </c>
      <c r="Q112" s="13"/>
    </row>
    <row r="113" spans="2:17" ht="16" customHeight="1" x14ac:dyDescent="0.45">
      <c r="B113" s="14" t="s">
        <v>871</v>
      </c>
      <c r="C113" s="14" t="s">
        <v>872</v>
      </c>
      <c r="D113" s="30">
        <v>-6669.5150899999999</v>
      </c>
      <c r="E113" s="15">
        <v>-6255.4793300000001</v>
      </c>
      <c r="F113" s="15">
        <v>-2975.43397</v>
      </c>
      <c r="G113" s="15">
        <v>-4402.1067499999999</v>
      </c>
      <c r="H113" s="15">
        <v>-5056.9354400000002</v>
      </c>
      <c r="I113" s="15">
        <v>-1564.46828</v>
      </c>
      <c r="J113" s="15">
        <v>26923.938859999998</v>
      </c>
      <c r="K113" s="15"/>
      <c r="L113" s="15"/>
      <c r="M113" s="15"/>
      <c r="N113" s="15"/>
      <c r="O113" s="15"/>
      <c r="P113" s="23">
        <f t="shared" si="21"/>
        <v>0</v>
      </c>
      <c r="Q113" s="13"/>
    </row>
    <row r="114" spans="2:17" ht="16" customHeight="1" x14ac:dyDescent="0.45">
      <c r="B114" s="14" t="s">
        <v>873</v>
      </c>
      <c r="C114" s="14" t="s">
        <v>874</v>
      </c>
      <c r="D114" s="30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23">
        <f t="shared" si="21"/>
        <v>0</v>
      </c>
      <c r="Q114" s="13"/>
    </row>
    <row r="115" spans="2:17" ht="16" customHeight="1" x14ac:dyDescent="0.45">
      <c r="B115" s="10"/>
      <c r="C115" s="11" t="s">
        <v>22</v>
      </c>
      <c r="D115" s="29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22"/>
      <c r="Q115" s="13"/>
    </row>
    <row r="116" spans="2:17" ht="16" customHeight="1" x14ac:dyDescent="0.45">
      <c r="B116" s="38"/>
      <c r="C116" s="34" t="s">
        <v>875</v>
      </c>
      <c r="D116" s="52">
        <f t="shared" ref="D116:P116" si="22">-(-(D117+D118)-D119-D120)</f>
        <v>-584.32486000000006</v>
      </c>
      <c r="E116" s="35">
        <f t="shared" si="22"/>
        <v>-3533.6517599999997</v>
      </c>
      <c r="F116" s="35">
        <f t="shared" si="22"/>
        <v>-837.63265000000001</v>
      </c>
      <c r="G116" s="35">
        <f t="shared" si="22"/>
        <v>-2330.5884599999999</v>
      </c>
      <c r="H116" s="35">
        <f t="shared" si="22"/>
        <v>-3352.8714599999998</v>
      </c>
      <c r="I116" s="35">
        <f t="shared" si="22"/>
        <v>-1047.2879499999999</v>
      </c>
      <c r="J116" s="35">
        <f t="shared" si="22"/>
        <v>11686.35714</v>
      </c>
      <c r="K116" s="35">
        <f t="shared" si="22"/>
        <v>0</v>
      </c>
      <c r="L116" s="35">
        <f t="shared" si="22"/>
        <v>0</v>
      </c>
      <c r="M116" s="35">
        <f t="shared" si="22"/>
        <v>0</v>
      </c>
      <c r="N116" s="35">
        <f t="shared" si="22"/>
        <v>0</v>
      </c>
      <c r="O116" s="35">
        <f t="shared" si="22"/>
        <v>0</v>
      </c>
      <c r="P116" s="46">
        <f t="shared" si="22"/>
        <v>0</v>
      </c>
      <c r="Q116" s="13"/>
    </row>
    <row r="117" spans="2:17" ht="16" customHeight="1" x14ac:dyDescent="0.45">
      <c r="B117" s="14" t="s">
        <v>876</v>
      </c>
      <c r="C117" s="14" t="s">
        <v>877</v>
      </c>
      <c r="D117" s="30">
        <v>-1172.8775700000001</v>
      </c>
      <c r="E117" s="15">
        <v>586.40917000000002</v>
      </c>
      <c r="F117" s="15">
        <v>0</v>
      </c>
      <c r="G117" s="15">
        <v>0</v>
      </c>
      <c r="H117" s="15">
        <v>0</v>
      </c>
      <c r="I117" s="15">
        <v>0</v>
      </c>
      <c r="J117" s="15">
        <v>586.46839999999997</v>
      </c>
      <c r="K117" s="15"/>
      <c r="L117" s="15"/>
      <c r="M117" s="15"/>
      <c r="N117" s="15"/>
      <c r="O117" s="15"/>
      <c r="P117" s="23">
        <f>SUM(D117:O117)</f>
        <v>0</v>
      </c>
      <c r="Q117" s="13"/>
    </row>
    <row r="118" spans="2:17" ht="16" customHeight="1" x14ac:dyDescent="0.45">
      <c r="B118" s="14" t="s">
        <v>878</v>
      </c>
      <c r="C118" s="14" t="s">
        <v>879</v>
      </c>
      <c r="D118" s="30">
        <v>-185.61215999999999</v>
      </c>
      <c r="E118" s="15">
        <v>-1991.0069000000001</v>
      </c>
      <c r="F118" s="15">
        <v>-702.52165000000002</v>
      </c>
      <c r="G118" s="15">
        <v>-1064.82401</v>
      </c>
      <c r="H118" s="15">
        <v>-3017.8714599999998</v>
      </c>
      <c r="I118" s="15">
        <v>-967.45565999999997</v>
      </c>
      <c r="J118" s="15">
        <v>7929.2918399999999</v>
      </c>
      <c r="K118" s="15"/>
      <c r="L118" s="15"/>
      <c r="M118" s="15"/>
      <c r="N118" s="15"/>
      <c r="O118" s="15"/>
      <c r="P118" s="23">
        <f>SUM(D118:O118)</f>
        <v>0</v>
      </c>
      <c r="Q118" s="13"/>
    </row>
    <row r="119" spans="2:17" ht="16" customHeight="1" x14ac:dyDescent="0.45">
      <c r="B119" s="14" t="s">
        <v>880</v>
      </c>
      <c r="C119" s="14" t="s">
        <v>881</v>
      </c>
      <c r="D119" s="30"/>
      <c r="E119" s="15">
        <v>-291.3125</v>
      </c>
      <c r="F119" s="15">
        <v>0</v>
      </c>
      <c r="G119" s="15">
        <v>0</v>
      </c>
      <c r="H119" s="15">
        <v>0</v>
      </c>
      <c r="I119" s="15">
        <v>0</v>
      </c>
      <c r="J119" s="15">
        <v>291.3125</v>
      </c>
      <c r="K119" s="15"/>
      <c r="L119" s="15"/>
      <c r="M119" s="15"/>
      <c r="N119" s="15"/>
      <c r="O119" s="15"/>
      <c r="P119" s="23">
        <f>SUM(D119:O119)</f>
        <v>0</v>
      </c>
      <c r="Q119" s="13"/>
    </row>
    <row r="120" spans="2:17" ht="16" customHeight="1" x14ac:dyDescent="0.45">
      <c r="B120" s="14" t="s">
        <v>882</v>
      </c>
      <c r="C120" s="14" t="s">
        <v>883</v>
      </c>
      <c r="D120" s="30">
        <v>774.16486999999995</v>
      </c>
      <c r="E120" s="15">
        <v>-1837.74153</v>
      </c>
      <c r="F120" s="15">
        <v>-135.11099999999999</v>
      </c>
      <c r="G120" s="15">
        <v>-1265.7644499999999</v>
      </c>
      <c r="H120" s="15">
        <v>-335</v>
      </c>
      <c r="I120" s="15">
        <v>-79.83229</v>
      </c>
      <c r="J120" s="15">
        <v>2879.2844</v>
      </c>
      <c r="K120" s="15"/>
      <c r="L120" s="15"/>
      <c r="M120" s="15"/>
      <c r="N120" s="15"/>
      <c r="O120" s="15"/>
      <c r="P120" s="23">
        <f>SUM(D120:O120)</f>
        <v>0</v>
      </c>
      <c r="Q120" s="13"/>
    </row>
    <row r="121" spans="2:17" ht="16" customHeight="1" x14ac:dyDescent="0.45">
      <c r="B121" s="10"/>
      <c r="C121" s="11" t="s">
        <v>22</v>
      </c>
      <c r="D121" s="29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22"/>
      <c r="Q121" s="13"/>
    </row>
    <row r="122" spans="2:17" ht="16" customHeight="1" x14ac:dyDescent="0.45">
      <c r="B122" s="38"/>
      <c r="C122" s="34" t="s">
        <v>884</v>
      </c>
      <c r="D122" s="52">
        <f t="shared" ref="D122:P122" si="23">D108+D116</f>
        <v>-10391.575120000001</v>
      </c>
      <c r="E122" s="35">
        <f t="shared" si="23"/>
        <v>-17698.271189999999</v>
      </c>
      <c r="F122" s="35">
        <f t="shared" si="23"/>
        <v>-8300.4086000000007</v>
      </c>
      <c r="G122" s="35">
        <f t="shared" si="23"/>
        <v>-13036.414479999999</v>
      </c>
      <c r="H122" s="35">
        <f t="shared" si="23"/>
        <v>-12704.612660000001</v>
      </c>
      <c r="I122" s="35">
        <f t="shared" si="23"/>
        <v>-4004.7197299999998</v>
      </c>
      <c r="J122" s="35">
        <f t="shared" si="23"/>
        <v>66136.001779999991</v>
      </c>
      <c r="K122" s="35">
        <f t="shared" si="23"/>
        <v>0</v>
      </c>
      <c r="L122" s="35">
        <f t="shared" si="23"/>
        <v>0</v>
      </c>
      <c r="M122" s="35">
        <f t="shared" si="23"/>
        <v>0</v>
      </c>
      <c r="N122" s="35">
        <f t="shared" si="23"/>
        <v>0</v>
      </c>
      <c r="O122" s="35">
        <f t="shared" si="23"/>
        <v>0</v>
      </c>
      <c r="P122" s="46">
        <f t="shared" si="23"/>
        <v>0</v>
      </c>
      <c r="Q122" s="13"/>
    </row>
    <row r="123" spans="2:17" ht="16" customHeight="1" x14ac:dyDescent="0.45">
      <c r="B123" s="10"/>
      <c r="C123" s="11" t="s">
        <v>22</v>
      </c>
      <c r="D123" s="29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22"/>
      <c r="Q123" s="13"/>
    </row>
    <row r="124" spans="2:17" ht="16" customHeight="1" x14ac:dyDescent="0.45">
      <c r="B124" s="38"/>
      <c r="C124" s="34" t="s">
        <v>885</v>
      </c>
      <c r="D124" s="52">
        <f t="shared" ref="D124:P124" si="24">D125+D126</f>
        <v>0</v>
      </c>
      <c r="E124" s="35">
        <f t="shared" si="24"/>
        <v>0</v>
      </c>
      <c r="F124" s="35">
        <f t="shared" si="24"/>
        <v>0</v>
      </c>
      <c r="G124" s="35">
        <f t="shared" si="24"/>
        <v>0</v>
      </c>
      <c r="H124" s="35">
        <f t="shared" si="24"/>
        <v>0</v>
      </c>
      <c r="I124" s="35">
        <f t="shared" si="24"/>
        <v>0</v>
      </c>
      <c r="J124" s="35">
        <f t="shared" si="24"/>
        <v>0</v>
      </c>
      <c r="K124" s="35">
        <f t="shared" si="24"/>
        <v>0</v>
      </c>
      <c r="L124" s="35">
        <f t="shared" si="24"/>
        <v>0</v>
      </c>
      <c r="M124" s="35">
        <f t="shared" si="24"/>
        <v>0</v>
      </c>
      <c r="N124" s="35">
        <f t="shared" si="24"/>
        <v>0</v>
      </c>
      <c r="O124" s="35">
        <f t="shared" si="24"/>
        <v>0</v>
      </c>
      <c r="P124" s="46">
        <f t="shared" si="24"/>
        <v>0</v>
      </c>
      <c r="Q124" s="13"/>
    </row>
    <row r="125" spans="2:17" ht="16" customHeight="1" x14ac:dyDescent="0.45">
      <c r="B125" s="14" t="s">
        <v>886</v>
      </c>
      <c r="C125" s="14" t="s">
        <v>887</v>
      </c>
      <c r="D125" s="30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23">
        <f>SUM(D125:O125)</f>
        <v>0</v>
      </c>
      <c r="Q125" s="13"/>
    </row>
    <row r="126" spans="2:17" ht="16" customHeight="1" x14ac:dyDescent="0.45">
      <c r="B126" s="14" t="s">
        <v>888</v>
      </c>
      <c r="C126" s="14" t="s">
        <v>889</v>
      </c>
      <c r="D126" s="30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23">
        <f>SUM(D126:O126)</f>
        <v>0</v>
      </c>
      <c r="Q126" s="13"/>
    </row>
    <row r="127" spans="2:17" ht="16" customHeight="1" x14ac:dyDescent="0.45">
      <c r="B127" s="10"/>
      <c r="C127" s="11" t="s">
        <v>22</v>
      </c>
      <c r="D127" s="29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22"/>
      <c r="Q127" s="13"/>
    </row>
    <row r="128" spans="2:17" ht="16" customHeight="1" x14ac:dyDescent="0.45">
      <c r="B128" s="38"/>
      <c r="C128" s="34" t="s">
        <v>890</v>
      </c>
      <c r="D128" s="52">
        <f t="shared" ref="D128:P128" si="25">D122+D124</f>
        <v>-10391.575120000001</v>
      </c>
      <c r="E128" s="35">
        <f t="shared" si="25"/>
        <v>-17698.271189999999</v>
      </c>
      <c r="F128" s="35">
        <f t="shared" si="25"/>
        <v>-8300.4086000000007</v>
      </c>
      <c r="G128" s="35">
        <f t="shared" si="25"/>
        <v>-13036.414479999999</v>
      </c>
      <c r="H128" s="35">
        <f t="shared" si="25"/>
        <v>-12704.612660000001</v>
      </c>
      <c r="I128" s="35">
        <f t="shared" si="25"/>
        <v>-4004.7197299999998</v>
      </c>
      <c r="J128" s="35">
        <f t="shared" si="25"/>
        <v>66136.001779999991</v>
      </c>
      <c r="K128" s="35">
        <f t="shared" si="25"/>
        <v>0</v>
      </c>
      <c r="L128" s="35">
        <f t="shared" si="25"/>
        <v>0</v>
      </c>
      <c r="M128" s="35">
        <f t="shared" si="25"/>
        <v>0</v>
      </c>
      <c r="N128" s="35">
        <f t="shared" si="25"/>
        <v>0</v>
      </c>
      <c r="O128" s="35">
        <f t="shared" si="25"/>
        <v>0</v>
      </c>
      <c r="P128" s="46">
        <f t="shared" si="25"/>
        <v>0</v>
      </c>
      <c r="Q128" s="13"/>
    </row>
    <row r="129" spans="2:17" ht="16" customHeight="1" x14ac:dyDescent="0.45">
      <c r="B129" s="10"/>
      <c r="C129" s="11" t="s">
        <v>22</v>
      </c>
      <c r="D129" s="29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22"/>
      <c r="Q129" s="13"/>
    </row>
    <row r="130" spans="2:17" ht="16" customHeight="1" x14ac:dyDescent="0.45">
      <c r="B130" s="34" t="s">
        <v>891</v>
      </c>
      <c r="C130" s="34" t="s">
        <v>892</v>
      </c>
      <c r="D130" s="52">
        <f t="shared" ref="D130:P130" si="26">D131+D132</f>
        <v>607.80867000000001</v>
      </c>
      <c r="E130" s="35">
        <f t="shared" si="26"/>
        <v>146.66</v>
      </c>
      <c r="F130" s="35">
        <f t="shared" si="26"/>
        <v>2147.7462500000001</v>
      </c>
      <c r="G130" s="35">
        <f t="shared" si="26"/>
        <v>56.027520000000003</v>
      </c>
      <c r="H130" s="35">
        <f t="shared" si="26"/>
        <v>234.03649999999999</v>
      </c>
      <c r="I130" s="35">
        <f t="shared" si="26"/>
        <v>-0.30397000000000002</v>
      </c>
      <c r="J130" s="35">
        <f t="shared" si="26"/>
        <v>-3191.9749700000002</v>
      </c>
      <c r="K130" s="35">
        <f t="shared" si="26"/>
        <v>0</v>
      </c>
      <c r="L130" s="35">
        <f t="shared" si="26"/>
        <v>0</v>
      </c>
      <c r="M130" s="35">
        <f t="shared" si="26"/>
        <v>0</v>
      </c>
      <c r="N130" s="35">
        <f t="shared" si="26"/>
        <v>0</v>
      </c>
      <c r="O130" s="35">
        <f t="shared" si="26"/>
        <v>0</v>
      </c>
      <c r="P130" s="46">
        <f t="shared" si="26"/>
        <v>0</v>
      </c>
      <c r="Q130" s="13"/>
    </row>
    <row r="131" spans="2:17" ht="16" customHeight="1" x14ac:dyDescent="0.45">
      <c r="B131" s="14" t="s">
        <v>893</v>
      </c>
      <c r="C131" s="14" t="s">
        <v>894</v>
      </c>
      <c r="D131" s="30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23">
        <f>SUM(D131:O131)</f>
        <v>0</v>
      </c>
      <c r="Q131" s="13"/>
    </row>
    <row r="132" spans="2:17" ht="16" customHeight="1" x14ac:dyDescent="0.45">
      <c r="B132" s="14" t="s">
        <v>895</v>
      </c>
      <c r="C132" s="14" t="s">
        <v>896</v>
      </c>
      <c r="D132" s="30">
        <v>607.80867000000001</v>
      </c>
      <c r="E132" s="15">
        <v>146.66</v>
      </c>
      <c r="F132" s="15">
        <v>2147.7462500000001</v>
      </c>
      <c r="G132" s="15">
        <v>56.027520000000003</v>
      </c>
      <c r="H132" s="15">
        <v>234.03649999999999</v>
      </c>
      <c r="I132" s="15">
        <v>-0.30397000000000002</v>
      </c>
      <c r="J132" s="15">
        <v>-3191.9749700000002</v>
      </c>
      <c r="K132" s="15"/>
      <c r="L132" s="15"/>
      <c r="M132" s="15"/>
      <c r="N132" s="15"/>
      <c r="O132" s="15"/>
      <c r="P132" s="23">
        <f>SUM(D132:O132)</f>
        <v>0</v>
      </c>
      <c r="Q132" s="13"/>
    </row>
    <row r="133" spans="2:17" ht="16" customHeight="1" x14ac:dyDescent="0.45">
      <c r="B133" s="10"/>
      <c r="C133" s="11" t="s">
        <v>22</v>
      </c>
      <c r="D133" s="29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22"/>
      <c r="Q133" s="13"/>
    </row>
    <row r="134" spans="2:17" ht="16" customHeight="1" x14ac:dyDescent="0.45">
      <c r="B134" s="38"/>
      <c r="C134" s="34" t="s">
        <v>897</v>
      </c>
      <c r="D134" s="52">
        <f t="shared" ref="D134:P134" si="27">D128+D130</f>
        <v>-9783.766450000001</v>
      </c>
      <c r="E134" s="35">
        <f t="shared" si="27"/>
        <v>-17551.61119</v>
      </c>
      <c r="F134" s="35">
        <f t="shared" si="27"/>
        <v>-6152.6623500000005</v>
      </c>
      <c r="G134" s="35">
        <f t="shared" si="27"/>
        <v>-12980.38696</v>
      </c>
      <c r="H134" s="35">
        <f t="shared" si="27"/>
        <v>-12470.576160000001</v>
      </c>
      <c r="I134" s="35">
        <f t="shared" si="27"/>
        <v>-4005.0236999999997</v>
      </c>
      <c r="J134" s="35">
        <f t="shared" si="27"/>
        <v>62944.026809999988</v>
      </c>
      <c r="K134" s="35">
        <f t="shared" si="27"/>
        <v>0</v>
      </c>
      <c r="L134" s="35">
        <f t="shared" si="27"/>
        <v>0</v>
      </c>
      <c r="M134" s="35">
        <f t="shared" si="27"/>
        <v>0</v>
      </c>
      <c r="N134" s="35">
        <f t="shared" si="27"/>
        <v>0</v>
      </c>
      <c r="O134" s="35">
        <f t="shared" si="27"/>
        <v>0</v>
      </c>
      <c r="P134" s="46">
        <f t="shared" si="27"/>
        <v>0</v>
      </c>
      <c r="Q134" s="13"/>
    </row>
    <row r="135" spans="2:17" ht="16" customHeight="1" x14ac:dyDescent="0.45">
      <c r="B135" s="10"/>
      <c r="C135" s="11" t="s">
        <v>22</v>
      </c>
      <c r="D135" s="29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22"/>
      <c r="Q135" s="13"/>
    </row>
    <row r="136" spans="2:17" ht="16" customHeight="1" x14ac:dyDescent="0.45">
      <c r="B136" s="38"/>
      <c r="C136" s="34" t="s">
        <v>898</v>
      </c>
      <c r="D136" s="52">
        <f t="shared" ref="D136:P136" si="28">D137+D138</f>
        <v>0</v>
      </c>
      <c r="E136" s="35">
        <f t="shared" si="28"/>
        <v>-427444.70051</v>
      </c>
      <c r="F136" s="35">
        <f t="shared" si="28"/>
        <v>1053.5636099999999</v>
      </c>
      <c r="G136" s="35">
        <f t="shared" si="28"/>
        <v>5.1000000000000004E-4</v>
      </c>
      <c r="H136" s="35">
        <f t="shared" si="28"/>
        <v>0</v>
      </c>
      <c r="I136" s="35">
        <f t="shared" si="28"/>
        <v>-1053.8636100000001</v>
      </c>
      <c r="J136" s="35">
        <f t="shared" si="28"/>
        <v>427445</v>
      </c>
      <c r="K136" s="35">
        <f t="shared" si="28"/>
        <v>0</v>
      </c>
      <c r="L136" s="35">
        <f t="shared" si="28"/>
        <v>0</v>
      </c>
      <c r="M136" s="35">
        <f t="shared" si="28"/>
        <v>0</v>
      </c>
      <c r="N136" s="35">
        <f t="shared" si="28"/>
        <v>0</v>
      </c>
      <c r="O136" s="35">
        <f t="shared" si="28"/>
        <v>0</v>
      </c>
      <c r="P136" s="46">
        <f t="shared" si="28"/>
        <v>0</v>
      </c>
      <c r="Q136" s="13"/>
    </row>
    <row r="137" spans="2:17" ht="16" customHeight="1" x14ac:dyDescent="0.45">
      <c r="B137" s="14" t="s">
        <v>899</v>
      </c>
      <c r="C137" s="14" t="s">
        <v>900</v>
      </c>
      <c r="D137" s="30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23">
        <f>SUM(D137:O137)</f>
        <v>0</v>
      </c>
      <c r="Q137" s="13"/>
    </row>
    <row r="138" spans="2:17" ht="16" customHeight="1" x14ac:dyDescent="0.45">
      <c r="B138" s="14" t="s">
        <v>901</v>
      </c>
      <c r="C138" s="14" t="s">
        <v>902</v>
      </c>
      <c r="D138" s="30"/>
      <c r="E138" s="15">
        <v>-427444.70051</v>
      </c>
      <c r="F138" s="15">
        <v>1053.5636099999999</v>
      </c>
      <c r="G138" s="15">
        <v>5.1000000000000004E-4</v>
      </c>
      <c r="H138" s="15">
        <v>0</v>
      </c>
      <c r="I138" s="15">
        <v>-1053.8636100000001</v>
      </c>
      <c r="J138" s="15">
        <v>427445</v>
      </c>
      <c r="K138" s="15"/>
      <c r="L138" s="15"/>
      <c r="M138" s="15"/>
      <c r="N138" s="15"/>
      <c r="O138" s="15"/>
      <c r="P138" s="23">
        <f>SUM(D138:O138)</f>
        <v>0</v>
      </c>
      <c r="Q138" s="13"/>
    </row>
    <row r="139" spans="2:17" ht="16" customHeight="1" x14ac:dyDescent="0.45">
      <c r="B139" s="10"/>
      <c r="C139" s="11" t="s">
        <v>22</v>
      </c>
      <c r="D139" s="29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22"/>
      <c r="Q139" s="13"/>
    </row>
    <row r="140" spans="2:17" ht="16" customHeight="1" x14ac:dyDescent="0.45">
      <c r="B140" s="38"/>
      <c r="C140" s="34" t="s">
        <v>903</v>
      </c>
      <c r="D140" s="52">
        <f t="shared" ref="D140:P140" si="29">D141+D142</f>
        <v>0</v>
      </c>
      <c r="E140" s="35">
        <f t="shared" si="29"/>
        <v>0</v>
      </c>
      <c r="F140" s="35">
        <f t="shared" si="29"/>
        <v>0</v>
      </c>
      <c r="G140" s="35">
        <f t="shared" si="29"/>
        <v>0</v>
      </c>
      <c r="H140" s="35">
        <f t="shared" si="29"/>
        <v>0</v>
      </c>
      <c r="I140" s="35">
        <f t="shared" si="29"/>
        <v>0</v>
      </c>
      <c r="J140" s="35">
        <f t="shared" si="29"/>
        <v>0</v>
      </c>
      <c r="K140" s="35">
        <f t="shared" si="29"/>
        <v>0</v>
      </c>
      <c r="L140" s="35">
        <f t="shared" si="29"/>
        <v>0</v>
      </c>
      <c r="M140" s="35">
        <f t="shared" si="29"/>
        <v>0</v>
      </c>
      <c r="N140" s="35">
        <f t="shared" si="29"/>
        <v>0</v>
      </c>
      <c r="O140" s="35">
        <f t="shared" si="29"/>
        <v>0</v>
      </c>
      <c r="P140" s="46">
        <f t="shared" si="29"/>
        <v>0</v>
      </c>
      <c r="Q140" s="13"/>
    </row>
    <row r="141" spans="2:17" ht="16" customHeight="1" x14ac:dyDescent="0.45">
      <c r="B141" s="14" t="s">
        <v>904</v>
      </c>
      <c r="C141" s="14" t="s">
        <v>905</v>
      </c>
      <c r="D141" s="30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23">
        <f>SUM(D141:O141)</f>
        <v>0</v>
      </c>
      <c r="Q141" s="13"/>
    </row>
    <row r="142" spans="2:17" ht="16" customHeight="1" x14ac:dyDescent="0.45">
      <c r="B142" s="14" t="s">
        <v>906</v>
      </c>
      <c r="C142" s="14" t="s">
        <v>907</v>
      </c>
      <c r="D142" s="30">
        <f t="shared" ref="D142:P142" si="30">D143+D144</f>
        <v>0</v>
      </c>
      <c r="E142" s="15">
        <f t="shared" si="30"/>
        <v>0</v>
      </c>
      <c r="F142" s="15">
        <f t="shared" si="30"/>
        <v>0</v>
      </c>
      <c r="G142" s="15">
        <f t="shared" si="30"/>
        <v>0</v>
      </c>
      <c r="H142" s="15">
        <f t="shared" si="30"/>
        <v>0</v>
      </c>
      <c r="I142" s="15">
        <f t="shared" si="30"/>
        <v>0</v>
      </c>
      <c r="J142" s="15">
        <f t="shared" si="30"/>
        <v>0</v>
      </c>
      <c r="K142" s="15">
        <f t="shared" si="30"/>
        <v>0</v>
      </c>
      <c r="L142" s="15">
        <f t="shared" si="30"/>
        <v>0</v>
      </c>
      <c r="M142" s="15">
        <f t="shared" si="30"/>
        <v>0</v>
      </c>
      <c r="N142" s="15">
        <f t="shared" si="30"/>
        <v>0</v>
      </c>
      <c r="O142" s="15">
        <f t="shared" si="30"/>
        <v>0</v>
      </c>
      <c r="P142" s="23">
        <f t="shared" si="30"/>
        <v>0</v>
      </c>
      <c r="Q142" s="13"/>
    </row>
    <row r="143" spans="2:17" ht="16" customHeight="1" x14ac:dyDescent="0.45">
      <c r="B143" s="14" t="s">
        <v>908</v>
      </c>
      <c r="C143" s="14" t="s">
        <v>909</v>
      </c>
      <c r="D143" s="30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23">
        <f>SUM(D143:O143)</f>
        <v>0</v>
      </c>
      <c r="Q143" s="13"/>
    </row>
    <row r="144" spans="2:17" ht="16" customHeight="1" x14ac:dyDescent="0.45">
      <c r="B144" s="14" t="s">
        <v>910</v>
      </c>
      <c r="C144" s="14" t="s">
        <v>911</v>
      </c>
      <c r="D144" s="30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23">
        <f>SUM(D144:O144)</f>
        <v>0</v>
      </c>
      <c r="Q144" s="13"/>
    </row>
    <row r="145" spans="2:17" ht="16" customHeight="1" x14ac:dyDescent="0.45">
      <c r="B145" s="10"/>
      <c r="C145" s="11" t="s">
        <v>22</v>
      </c>
      <c r="D145" s="29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22"/>
      <c r="Q145" s="13"/>
    </row>
    <row r="146" spans="2:17" ht="16" customHeight="1" x14ac:dyDescent="0.45">
      <c r="B146" s="38"/>
      <c r="C146" s="34" t="s">
        <v>912</v>
      </c>
      <c r="D146" s="52">
        <f t="shared" ref="D146:P146" si="31">D147+D148</f>
        <v>0</v>
      </c>
      <c r="E146" s="35">
        <f t="shared" si="31"/>
        <v>-31.917999999999999</v>
      </c>
      <c r="F146" s="35">
        <f t="shared" si="31"/>
        <v>0</v>
      </c>
      <c r="G146" s="35">
        <f t="shared" si="31"/>
        <v>0</v>
      </c>
      <c r="H146" s="35">
        <f t="shared" si="31"/>
        <v>-0.24199999999999999</v>
      </c>
      <c r="I146" s="35">
        <f t="shared" si="31"/>
        <v>0</v>
      </c>
      <c r="J146" s="35">
        <f t="shared" si="31"/>
        <v>32.159999999999997</v>
      </c>
      <c r="K146" s="35">
        <f t="shared" si="31"/>
        <v>0</v>
      </c>
      <c r="L146" s="35">
        <f t="shared" si="31"/>
        <v>0</v>
      </c>
      <c r="M146" s="35">
        <f t="shared" si="31"/>
        <v>0</v>
      </c>
      <c r="N146" s="35">
        <f t="shared" si="31"/>
        <v>0</v>
      </c>
      <c r="O146" s="35">
        <f t="shared" si="31"/>
        <v>0</v>
      </c>
      <c r="P146" s="46">
        <f t="shared" si="31"/>
        <v>0</v>
      </c>
      <c r="Q146" s="13"/>
    </row>
    <row r="147" spans="2:17" ht="16" customHeight="1" x14ac:dyDescent="0.45">
      <c r="B147" s="14" t="s">
        <v>913</v>
      </c>
      <c r="C147" s="14" t="s">
        <v>914</v>
      </c>
      <c r="D147" s="30"/>
      <c r="E147" s="15"/>
      <c r="F147" s="15"/>
      <c r="G147" s="15">
        <v>0</v>
      </c>
      <c r="H147" s="15">
        <v>0</v>
      </c>
      <c r="I147" s="15">
        <v>0</v>
      </c>
      <c r="J147" s="15">
        <v>0</v>
      </c>
      <c r="K147" s="15"/>
      <c r="L147" s="15"/>
      <c r="M147" s="15"/>
      <c r="N147" s="15"/>
      <c r="O147" s="15"/>
      <c r="P147" s="23">
        <f>SUM(D147:O147)</f>
        <v>0</v>
      </c>
      <c r="Q147" s="13"/>
    </row>
    <row r="148" spans="2:17" ht="16" customHeight="1" x14ac:dyDescent="0.45">
      <c r="B148" s="14" t="s">
        <v>915</v>
      </c>
      <c r="C148" s="14" t="s">
        <v>916</v>
      </c>
      <c r="D148" s="30"/>
      <c r="E148" s="15">
        <v>-31.917999999999999</v>
      </c>
      <c r="F148" s="15">
        <v>0</v>
      </c>
      <c r="G148" s="15">
        <v>0</v>
      </c>
      <c r="H148" s="15">
        <v>-0.24199999999999999</v>
      </c>
      <c r="I148" s="15">
        <v>0</v>
      </c>
      <c r="J148" s="15">
        <v>32.159999999999997</v>
      </c>
      <c r="K148" s="15"/>
      <c r="L148" s="15"/>
      <c r="M148" s="15"/>
      <c r="N148" s="15"/>
      <c r="O148" s="15"/>
      <c r="P148" s="23">
        <f>SUM(D148:O148)</f>
        <v>0</v>
      </c>
      <c r="Q148" s="13"/>
    </row>
    <row r="149" spans="2:17" ht="16" customHeight="1" x14ac:dyDescent="0.45">
      <c r="B149" s="10"/>
      <c r="C149" s="11" t="s">
        <v>22</v>
      </c>
      <c r="D149" s="29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22"/>
      <c r="Q149" s="13"/>
    </row>
    <row r="150" spans="2:17" ht="16" customHeight="1" x14ac:dyDescent="0.45">
      <c r="B150" s="38"/>
      <c r="C150" s="34" t="s">
        <v>917</v>
      </c>
      <c r="D150" s="52">
        <f t="shared" ref="D150:P150" si="32">D151+D152</f>
        <v>-5057.8783000000003</v>
      </c>
      <c r="E150" s="35">
        <f t="shared" si="32"/>
        <v>-4315.2941099999998</v>
      </c>
      <c r="F150" s="35">
        <f t="shared" si="32"/>
        <v>-3186.3273800000002</v>
      </c>
      <c r="G150" s="35">
        <f t="shared" si="32"/>
        <v>-3232.5402100000001</v>
      </c>
      <c r="H150" s="35">
        <f t="shared" si="32"/>
        <v>-6762.6852500000005</v>
      </c>
      <c r="I150" s="35">
        <f t="shared" si="32"/>
        <v>-8198.1252700000005</v>
      </c>
      <c r="J150" s="35">
        <f t="shared" si="32"/>
        <v>30752.85052</v>
      </c>
      <c r="K150" s="35">
        <f t="shared" si="32"/>
        <v>0</v>
      </c>
      <c r="L150" s="35">
        <f t="shared" si="32"/>
        <v>0</v>
      </c>
      <c r="M150" s="35">
        <f t="shared" si="32"/>
        <v>0</v>
      </c>
      <c r="N150" s="35">
        <f t="shared" si="32"/>
        <v>0</v>
      </c>
      <c r="O150" s="35">
        <f t="shared" si="32"/>
        <v>0</v>
      </c>
      <c r="P150" s="46">
        <f t="shared" si="32"/>
        <v>0</v>
      </c>
      <c r="Q150" s="13"/>
    </row>
    <row r="151" spans="2:17" ht="16" customHeight="1" x14ac:dyDescent="0.45">
      <c r="B151" s="14" t="s">
        <v>918</v>
      </c>
      <c r="C151" s="14" t="s">
        <v>919</v>
      </c>
      <c r="D151" s="30">
        <v>-5057.8783000000003</v>
      </c>
      <c r="E151" s="15">
        <v>-4315.2941099999998</v>
      </c>
      <c r="F151" s="15">
        <v>-3186.3273800000002</v>
      </c>
      <c r="G151" s="15">
        <v>-3232.5402100000001</v>
      </c>
      <c r="H151" s="15">
        <v>-6887.6852500000005</v>
      </c>
      <c r="I151" s="15">
        <v>-8198.1252700000005</v>
      </c>
      <c r="J151" s="15">
        <v>30877.85052</v>
      </c>
      <c r="K151" s="15"/>
      <c r="L151" s="15"/>
      <c r="M151" s="15"/>
      <c r="N151" s="15"/>
      <c r="O151" s="15"/>
      <c r="P151" s="23">
        <f>SUM(D151:O151)</f>
        <v>0</v>
      </c>
      <c r="Q151" s="13"/>
    </row>
    <row r="152" spans="2:17" ht="16" customHeight="1" x14ac:dyDescent="0.35">
      <c r="B152" s="14" t="s">
        <v>920</v>
      </c>
      <c r="C152" s="14" t="s">
        <v>921</v>
      </c>
      <c r="D152" s="30"/>
      <c r="E152" s="15"/>
      <c r="F152" s="15"/>
      <c r="G152" s="15"/>
      <c r="H152" s="15">
        <v>125</v>
      </c>
      <c r="I152" s="15">
        <v>0</v>
      </c>
      <c r="J152" s="15">
        <v>-125</v>
      </c>
      <c r="K152" s="15"/>
      <c r="L152" s="15"/>
      <c r="M152" s="15"/>
      <c r="N152" s="15"/>
      <c r="O152" s="15"/>
      <c r="P152" s="23">
        <f>SUM(D152:O152)</f>
        <v>0</v>
      </c>
    </row>
    <row r="153" spans="2:17" ht="16" customHeight="1" x14ac:dyDescent="0.35">
      <c r="B153" s="10"/>
      <c r="C153" s="11" t="s">
        <v>22</v>
      </c>
      <c r="D153" s="29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22"/>
    </row>
    <row r="154" spans="2:17" ht="16" customHeight="1" x14ac:dyDescent="0.35">
      <c r="B154" s="38"/>
      <c r="C154" s="34" t="s">
        <v>922</v>
      </c>
      <c r="D154" s="52">
        <f t="shared" ref="D154:P154" si="33">-(-D155)</f>
        <v>108.65206999999999</v>
      </c>
      <c r="E154" s="35">
        <f t="shared" si="33"/>
        <v>13.41442</v>
      </c>
      <c r="F154" s="35">
        <f t="shared" si="33"/>
        <v>-199.83853999999999</v>
      </c>
      <c r="G154" s="35">
        <f t="shared" si="33"/>
        <v>-483.77161999999998</v>
      </c>
      <c r="H154" s="35">
        <f t="shared" si="33"/>
        <v>217.73231999999999</v>
      </c>
      <c r="I154" s="35">
        <f t="shared" si="33"/>
        <v>-315.80775999999997</v>
      </c>
      <c r="J154" s="35">
        <f t="shared" si="33"/>
        <v>659.61910999999998</v>
      </c>
      <c r="K154" s="35">
        <f t="shared" si="33"/>
        <v>0</v>
      </c>
      <c r="L154" s="35">
        <f t="shared" si="33"/>
        <v>0</v>
      </c>
      <c r="M154" s="35">
        <f t="shared" si="33"/>
        <v>0</v>
      </c>
      <c r="N154" s="35">
        <f t="shared" si="33"/>
        <v>0</v>
      </c>
      <c r="O154" s="35">
        <f t="shared" si="33"/>
        <v>0</v>
      </c>
      <c r="P154" s="46">
        <f t="shared" si="33"/>
        <v>0</v>
      </c>
    </row>
    <row r="155" spans="2:17" ht="16" customHeight="1" x14ac:dyDescent="0.35">
      <c r="B155" s="14" t="s">
        <v>923</v>
      </c>
      <c r="C155" s="14" t="s">
        <v>924</v>
      </c>
      <c r="D155" s="30">
        <v>108.65206999999999</v>
      </c>
      <c r="E155" s="15">
        <v>13.41442</v>
      </c>
      <c r="F155" s="15">
        <v>-199.83853999999999</v>
      </c>
      <c r="G155" s="15">
        <v>-483.77161999999998</v>
      </c>
      <c r="H155" s="15">
        <v>217.73231999999999</v>
      </c>
      <c r="I155" s="15">
        <v>-315.80775999999997</v>
      </c>
      <c r="J155" s="15">
        <v>659.61910999999998</v>
      </c>
      <c r="K155" s="15"/>
      <c r="L155" s="15"/>
      <c r="M155" s="15"/>
      <c r="N155" s="15"/>
      <c r="O155" s="15"/>
      <c r="P155" s="23">
        <f>SUM(D155:O155)</f>
        <v>0</v>
      </c>
    </row>
    <row r="156" spans="2:17" ht="16" customHeight="1" x14ac:dyDescent="0.35">
      <c r="B156" s="10"/>
      <c r="C156" s="11" t="s">
        <v>22</v>
      </c>
      <c r="D156" s="29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22"/>
    </row>
    <row r="157" spans="2:17" ht="16" customHeight="1" x14ac:dyDescent="0.35">
      <c r="B157" s="38"/>
      <c r="C157" s="34" t="s">
        <v>925</v>
      </c>
      <c r="D157" s="52">
        <f t="shared" ref="D157:P157" si="34">D158+D159</f>
        <v>0</v>
      </c>
      <c r="E157" s="35">
        <f t="shared" si="34"/>
        <v>0</v>
      </c>
      <c r="F157" s="35">
        <f t="shared" si="34"/>
        <v>0</v>
      </c>
      <c r="G157" s="35">
        <f t="shared" si="34"/>
        <v>0</v>
      </c>
      <c r="H157" s="35">
        <f t="shared" si="34"/>
        <v>0</v>
      </c>
      <c r="I157" s="35">
        <f t="shared" si="34"/>
        <v>0</v>
      </c>
      <c r="J157" s="35">
        <f t="shared" si="34"/>
        <v>0</v>
      </c>
      <c r="K157" s="35">
        <f t="shared" si="34"/>
        <v>0</v>
      </c>
      <c r="L157" s="35">
        <f t="shared" si="34"/>
        <v>0</v>
      </c>
      <c r="M157" s="35">
        <f t="shared" si="34"/>
        <v>0</v>
      </c>
      <c r="N157" s="35">
        <f t="shared" si="34"/>
        <v>0</v>
      </c>
      <c r="O157" s="35">
        <f t="shared" si="34"/>
        <v>0</v>
      </c>
      <c r="P157" s="46">
        <f t="shared" si="34"/>
        <v>0</v>
      </c>
    </row>
    <row r="158" spans="2:17" ht="16" customHeight="1" x14ac:dyDescent="0.35">
      <c r="B158" s="14" t="s">
        <v>926</v>
      </c>
      <c r="C158" s="14" t="s">
        <v>927</v>
      </c>
      <c r="D158" s="30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23">
        <f>SUM(D158:O158)</f>
        <v>0</v>
      </c>
    </row>
    <row r="159" spans="2:17" ht="16" customHeight="1" x14ac:dyDescent="0.35">
      <c r="B159" s="14" t="s">
        <v>928</v>
      </c>
      <c r="C159" s="14" t="s">
        <v>929</v>
      </c>
      <c r="D159" s="30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23">
        <f>SUM(D159:O159)</f>
        <v>0</v>
      </c>
    </row>
    <row r="160" spans="2:17" ht="16" customHeight="1" x14ac:dyDescent="0.35">
      <c r="B160" s="10"/>
      <c r="C160" s="11" t="s">
        <v>22</v>
      </c>
      <c r="D160" s="29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22"/>
    </row>
    <row r="161" spans="2:16" ht="16" customHeight="1" x14ac:dyDescent="0.35">
      <c r="B161" s="38"/>
      <c r="C161" s="34" t="s">
        <v>930</v>
      </c>
      <c r="D161" s="52">
        <f t="shared" ref="D161:P161" si="35">-(-D136-D140-D146-D150-D154-D157)</f>
        <v>-4949.2262300000002</v>
      </c>
      <c r="E161" s="35">
        <f t="shared" si="35"/>
        <v>-431778.49820000003</v>
      </c>
      <c r="F161" s="35">
        <f t="shared" si="35"/>
        <v>-2332.6023100000007</v>
      </c>
      <c r="G161" s="35">
        <f t="shared" si="35"/>
        <v>-3716.3113200000003</v>
      </c>
      <c r="H161" s="35">
        <f t="shared" si="35"/>
        <v>-6545.1949300000006</v>
      </c>
      <c r="I161" s="35">
        <f t="shared" si="35"/>
        <v>-9567.7966400000005</v>
      </c>
      <c r="J161" s="35">
        <f t="shared" si="35"/>
        <v>458889.62962999998</v>
      </c>
      <c r="K161" s="35">
        <f t="shared" si="35"/>
        <v>0</v>
      </c>
      <c r="L161" s="35">
        <f t="shared" si="35"/>
        <v>0</v>
      </c>
      <c r="M161" s="35">
        <f t="shared" si="35"/>
        <v>0</v>
      </c>
      <c r="N161" s="35">
        <f t="shared" si="35"/>
        <v>0</v>
      </c>
      <c r="O161" s="35">
        <f t="shared" si="35"/>
        <v>0</v>
      </c>
      <c r="P161" s="46">
        <f t="shared" si="35"/>
        <v>0</v>
      </c>
    </row>
    <row r="162" spans="2:16" ht="16" customHeight="1" x14ac:dyDescent="0.35">
      <c r="B162" s="10"/>
      <c r="C162" s="11" t="s">
        <v>22</v>
      </c>
      <c r="D162" s="29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22"/>
    </row>
    <row r="163" spans="2:16" ht="16" customHeight="1" x14ac:dyDescent="0.35">
      <c r="B163" s="39"/>
      <c r="C163" s="40" t="s">
        <v>931</v>
      </c>
      <c r="D163" s="53">
        <f t="shared" ref="D163:P163" si="36">D134+D161</f>
        <v>-14732.992680000001</v>
      </c>
      <c r="E163" s="24">
        <f t="shared" si="36"/>
        <v>-449330.10939000006</v>
      </c>
      <c r="F163" s="24">
        <f t="shared" si="36"/>
        <v>-8485.2646600000007</v>
      </c>
      <c r="G163" s="24">
        <f t="shared" si="36"/>
        <v>-16696.698280000001</v>
      </c>
      <c r="H163" s="24">
        <f t="shared" si="36"/>
        <v>-19015.771090000002</v>
      </c>
      <c r="I163" s="24">
        <f t="shared" si="36"/>
        <v>-13572.82034</v>
      </c>
      <c r="J163" s="24">
        <f t="shared" si="36"/>
        <v>521833.65643999999</v>
      </c>
      <c r="K163" s="24">
        <f t="shared" si="36"/>
        <v>0</v>
      </c>
      <c r="L163" s="24">
        <f t="shared" si="36"/>
        <v>0</v>
      </c>
      <c r="M163" s="24">
        <f t="shared" si="36"/>
        <v>0</v>
      </c>
      <c r="N163" s="24">
        <f t="shared" si="36"/>
        <v>0</v>
      </c>
      <c r="O163" s="24">
        <f t="shared" si="36"/>
        <v>0</v>
      </c>
      <c r="P163" s="24">
        <f t="shared" si="36"/>
        <v>0</v>
      </c>
    </row>
    <row r="164" spans="2:16" ht="16" customHeight="1" x14ac:dyDescent="0.35">
      <c r="B164" s="10"/>
      <c r="C164" s="11" t="s">
        <v>22</v>
      </c>
      <c r="D164" s="29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22"/>
    </row>
    <row r="165" spans="2:16" ht="16" customHeight="1" x14ac:dyDescent="0.35">
      <c r="B165" s="38"/>
      <c r="C165" s="34" t="s">
        <v>932</v>
      </c>
      <c r="D165" s="52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46"/>
    </row>
    <row r="166" spans="2:16" ht="16" customHeight="1" x14ac:dyDescent="0.35">
      <c r="B166" s="10"/>
      <c r="C166" s="11" t="s">
        <v>22</v>
      </c>
      <c r="D166" s="29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22"/>
    </row>
    <row r="167" spans="2:16" ht="16" customHeight="1" x14ac:dyDescent="0.35">
      <c r="B167" s="38"/>
      <c r="C167" s="34" t="s">
        <v>933</v>
      </c>
      <c r="D167" s="52">
        <f t="shared" ref="D167:P167" si="37">-(-(D168+D169)-D170)</f>
        <v>0</v>
      </c>
      <c r="E167" s="35">
        <f t="shared" si="37"/>
        <v>0</v>
      </c>
      <c r="F167" s="35">
        <f t="shared" si="37"/>
        <v>0</v>
      </c>
      <c r="G167" s="35">
        <f t="shared" si="37"/>
        <v>0</v>
      </c>
      <c r="H167" s="35">
        <f t="shared" si="37"/>
        <v>0</v>
      </c>
      <c r="I167" s="35">
        <f t="shared" si="37"/>
        <v>0</v>
      </c>
      <c r="J167" s="35">
        <f t="shared" si="37"/>
        <v>0</v>
      </c>
      <c r="K167" s="35">
        <f t="shared" si="37"/>
        <v>0</v>
      </c>
      <c r="L167" s="35">
        <f t="shared" si="37"/>
        <v>0</v>
      </c>
      <c r="M167" s="35">
        <f t="shared" si="37"/>
        <v>0</v>
      </c>
      <c r="N167" s="35">
        <f t="shared" si="37"/>
        <v>0</v>
      </c>
      <c r="O167" s="35">
        <f t="shared" si="37"/>
        <v>0</v>
      </c>
      <c r="P167" s="46">
        <f t="shared" si="37"/>
        <v>0</v>
      </c>
    </row>
    <row r="168" spans="2:16" ht="16" customHeight="1" x14ac:dyDescent="0.35">
      <c r="B168" s="14" t="s">
        <v>934</v>
      </c>
      <c r="C168" s="14" t="s">
        <v>935</v>
      </c>
      <c r="D168" s="30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23">
        <f>SUM(D168:O168)</f>
        <v>0</v>
      </c>
    </row>
    <row r="169" spans="2:16" ht="16" customHeight="1" x14ac:dyDescent="0.35">
      <c r="B169" s="14" t="s">
        <v>936</v>
      </c>
      <c r="C169" s="14" t="s">
        <v>937</v>
      </c>
      <c r="D169" s="30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23">
        <f>SUM(D169:O169)</f>
        <v>0</v>
      </c>
    </row>
    <row r="170" spans="2:16" ht="16" customHeight="1" x14ac:dyDescent="0.35">
      <c r="B170" s="14" t="s">
        <v>938</v>
      </c>
      <c r="C170" s="14" t="s">
        <v>939</v>
      </c>
      <c r="D170" s="30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23">
        <f>SUM(D170:O170)</f>
        <v>0</v>
      </c>
    </row>
    <row r="171" spans="2:16" ht="16" customHeight="1" x14ac:dyDescent="0.35">
      <c r="B171" s="10"/>
      <c r="C171" s="11" t="s">
        <v>22</v>
      </c>
      <c r="D171" s="29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22"/>
    </row>
    <row r="172" spans="2:16" ht="16" customHeight="1" x14ac:dyDescent="0.35">
      <c r="B172" s="38"/>
      <c r="C172" s="34" t="s">
        <v>940</v>
      </c>
      <c r="D172" s="52">
        <f t="shared" ref="D172:P172" si="38">D173+D174</f>
        <v>0</v>
      </c>
      <c r="E172" s="35">
        <f t="shared" si="38"/>
        <v>0</v>
      </c>
      <c r="F172" s="35">
        <f t="shared" si="38"/>
        <v>0</v>
      </c>
      <c r="G172" s="35">
        <f t="shared" si="38"/>
        <v>0</v>
      </c>
      <c r="H172" s="35">
        <f t="shared" si="38"/>
        <v>0</v>
      </c>
      <c r="I172" s="35">
        <f t="shared" si="38"/>
        <v>0</v>
      </c>
      <c r="J172" s="35">
        <f t="shared" si="38"/>
        <v>0</v>
      </c>
      <c r="K172" s="35">
        <f t="shared" si="38"/>
        <v>0</v>
      </c>
      <c r="L172" s="35">
        <f t="shared" si="38"/>
        <v>0</v>
      </c>
      <c r="M172" s="35">
        <f t="shared" si="38"/>
        <v>0</v>
      </c>
      <c r="N172" s="35">
        <f t="shared" si="38"/>
        <v>0</v>
      </c>
      <c r="O172" s="35">
        <f t="shared" si="38"/>
        <v>0</v>
      </c>
      <c r="P172" s="46">
        <f t="shared" si="38"/>
        <v>0</v>
      </c>
    </row>
    <row r="173" spans="2:16" ht="16" customHeight="1" x14ac:dyDescent="0.35">
      <c r="B173" s="14" t="s">
        <v>941</v>
      </c>
      <c r="C173" s="14" t="s">
        <v>942</v>
      </c>
      <c r="D173" s="30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23">
        <f>SUM(D173:O173)</f>
        <v>0</v>
      </c>
    </row>
    <row r="174" spans="2:16" ht="16" customHeight="1" x14ac:dyDescent="0.35">
      <c r="B174" s="14" t="s">
        <v>943</v>
      </c>
      <c r="C174" s="14" t="s">
        <v>944</v>
      </c>
      <c r="D174" s="30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23">
        <f>SUM(D174:O174)</f>
        <v>0</v>
      </c>
    </row>
    <row r="175" spans="2:16" ht="16" customHeight="1" x14ac:dyDescent="0.35">
      <c r="B175" s="10"/>
      <c r="C175" s="11" t="s">
        <v>22</v>
      </c>
      <c r="D175" s="29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22"/>
    </row>
    <row r="176" spans="2:16" ht="16" customHeight="1" x14ac:dyDescent="0.35">
      <c r="B176" s="14" t="s">
        <v>945</v>
      </c>
      <c r="C176" s="14" t="s">
        <v>946</v>
      </c>
      <c r="D176" s="30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23">
        <f>SUM(D176:O176)</f>
        <v>0</v>
      </c>
    </row>
    <row r="177" spans="2:16" ht="16" customHeight="1" x14ac:dyDescent="0.35">
      <c r="B177" s="10"/>
      <c r="C177" s="11" t="s">
        <v>22</v>
      </c>
      <c r="D177" s="29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22"/>
    </row>
    <row r="178" spans="2:16" ht="16" customHeight="1" x14ac:dyDescent="0.35">
      <c r="B178" s="14" t="s">
        <v>947</v>
      </c>
      <c r="C178" s="14" t="s">
        <v>948</v>
      </c>
      <c r="D178" s="30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23">
        <f>SUM(D178:O178)</f>
        <v>0</v>
      </c>
    </row>
    <row r="179" spans="2:16" ht="16" customHeight="1" x14ac:dyDescent="0.35">
      <c r="B179" s="10"/>
      <c r="C179" s="11" t="s">
        <v>22</v>
      </c>
      <c r="D179" s="29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22"/>
    </row>
    <row r="180" spans="2:16" ht="16" customHeight="1" x14ac:dyDescent="0.35">
      <c r="B180" s="14" t="s">
        <v>949</v>
      </c>
      <c r="C180" s="14" t="s">
        <v>950</v>
      </c>
      <c r="D180" s="30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23">
        <f>SUM(D180:O180)</f>
        <v>0</v>
      </c>
    </row>
    <row r="181" spans="2:16" ht="16" customHeight="1" x14ac:dyDescent="0.35">
      <c r="B181" s="10"/>
      <c r="C181" s="11" t="s">
        <v>22</v>
      </c>
      <c r="D181" s="29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22"/>
    </row>
    <row r="182" spans="2:16" ht="16" customHeight="1" x14ac:dyDescent="0.35">
      <c r="B182" s="38"/>
      <c r="C182" s="34" t="s">
        <v>951</v>
      </c>
      <c r="D182" s="52">
        <f t="shared" ref="D182:P182" si="39">D183+D184</f>
        <v>0</v>
      </c>
      <c r="E182" s="35">
        <f t="shared" si="39"/>
        <v>0</v>
      </c>
      <c r="F182" s="35">
        <f t="shared" si="39"/>
        <v>0</v>
      </c>
      <c r="G182" s="35">
        <f t="shared" si="39"/>
        <v>0</v>
      </c>
      <c r="H182" s="35">
        <f t="shared" si="39"/>
        <v>0</v>
      </c>
      <c r="I182" s="35">
        <f t="shared" si="39"/>
        <v>0</v>
      </c>
      <c r="J182" s="35">
        <f t="shared" si="39"/>
        <v>0</v>
      </c>
      <c r="K182" s="35">
        <f t="shared" si="39"/>
        <v>0</v>
      </c>
      <c r="L182" s="35">
        <f t="shared" si="39"/>
        <v>0</v>
      </c>
      <c r="M182" s="35">
        <f t="shared" si="39"/>
        <v>0</v>
      </c>
      <c r="N182" s="35">
        <f t="shared" si="39"/>
        <v>0</v>
      </c>
      <c r="O182" s="35">
        <f t="shared" si="39"/>
        <v>0</v>
      </c>
      <c r="P182" s="46">
        <f t="shared" si="39"/>
        <v>0</v>
      </c>
    </row>
    <row r="183" spans="2:16" ht="16" customHeight="1" x14ac:dyDescent="0.35">
      <c r="B183" s="14" t="s">
        <v>952</v>
      </c>
      <c r="C183" s="14" t="s">
        <v>953</v>
      </c>
      <c r="D183" s="30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23">
        <f>SUM(D183:O183)</f>
        <v>0</v>
      </c>
    </row>
    <row r="184" spans="2:16" ht="16" customHeight="1" x14ac:dyDescent="0.35">
      <c r="B184" s="14" t="s">
        <v>954</v>
      </c>
      <c r="C184" s="14" t="s">
        <v>955</v>
      </c>
      <c r="D184" s="30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23">
        <f>SUM(D184:O184)</f>
        <v>0</v>
      </c>
    </row>
    <row r="185" spans="2:16" ht="16" customHeight="1" x14ac:dyDescent="0.35">
      <c r="B185" s="10"/>
      <c r="C185" s="11" t="s">
        <v>22</v>
      </c>
      <c r="D185" s="29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22"/>
    </row>
    <row r="186" spans="2:16" ht="16" customHeight="1" x14ac:dyDescent="0.35">
      <c r="B186" s="38"/>
      <c r="C186" s="34" t="s">
        <v>956</v>
      </c>
      <c r="D186" s="52">
        <f t="shared" ref="D186:P186" si="40">-(-(D187+D188)-D189-D190-D191)</f>
        <v>92600</v>
      </c>
      <c r="E186" s="35">
        <f t="shared" si="40"/>
        <v>463100</v>
      </c>
      <c r="F186" s="35">
        <f t="shared" si="40"/>
        <v>51700.000000000007</v>
      </c>
      <c r="G186" s="35">
        <f t="shared" si="40"/>
        <v>35149.910520000005</v>
      </c>
      <c r="H186" s="35">
        <f t="shared" si="40"/>
        <v>-13350</v>
      </c>
      <c r="I186" s="35">
        <f t="shared" si="40"/>
        <v>3500</v>
      </c>
      <c r="J186" s="35">
        <f t="shared" si="40"/>
        <v>-632699.91051999992</v>
      </c>
      <c r="K186" s="35">
        <f t="shared" si="40"/>
        <v>0</v>
      </c>
      <c r="L186" s="35">
        <f t="shared" si="40"/>
        <v>0</v>
      </c>
      <c r="M186" s="35">
        <f t="shared" si="40"/>
        <v>0</v>
      </c>
      <c r="N186" s="35">
        <f t="shared" si="40"/>
        <v>0</v>
      </c>
      <c r="O186" s="35">
        <f t="shared" si="40"/>
        <v>0</v>
      </c>
      <c r="P186" s="46">
        <f t="shared" si="40"/>
        <v>0</v>
      </c>
    </row>
    <row r="187" spans="2:16" ht="16" customHeight="1" x14ac:dyDescent="0.35">
      <c r="B187" s="14" t="s">
        <v>957</v>
      </c>
      <c r="C187" s="14" t="s">
        <v>958</v>
      </c>
      <c r="D187" s="30">
        <v>130700</v>
      </c>
      <c r="E187" s="15">
        <v>495500</v>
      </c>
      <c r="F187" s="15">
        <v>94601</v>
      </c>
      <c r="G187" s="15">
        <v>74950</v>
      </c>
      <c r="H187" s="15">
        <v>60400</v>
      </c>
      <c r="I187" s="15">
        <v>0</v>
      </c>
      <c r="J187" s="15">
        <v>-856151</v>
      </c>
      <c r="K187" s="15"/>
      <c r="L187" s="15"/>
      <c r="M187" s="15"/>
      <c r="N187" s="15"/>
      <c r="O187" s="15"/>
      <c r="P187" s="23">
        <f>SUM(D187:O187)</f>
        <v>0</v>
      </c>
    </row>
    <row r="188" spans="2:16" ht="16" customHeight="1" x14ac:dyDescent="0.35">
      <c r="B188" s="14" t="s">
        <v>959</v>
      </c>
      <c r="C188" s="14" t="s">
        <v>960</v>
      </c>
      <c r="D188" s="30"/>
      <c r="E188" s="15"/>
      <c r="F188" s="15">
        <v>177.40647999999999</v>
      </c>
      <c r="G188" s="15">
        <v>-8.9480000000000004E-2</v>
      </c>
      <c r="H188" s="15">
        <v>0</v>
      </c>
      <c r="I188" s="15">
        <v>112.59399999999999</v>
      </c>
      <c r="J188" s="15">
        <v>-289.911</v>
      </c>
      <c r="K188" s="15"/>
      <c r="L188" s="15"/>
      <c r="M188" s="15"/>
      <c r="N188" s="15"/>
      <c r="O188" s="15"/>
      <c r="P188" s="23">
        <f>SUM(D188:O188)</f>
        <v>0</v>
      </c>
    </row>
    <row r="189" spans="2:16" ht="16" customHeight="1" x14ac:dyDescent="0.35">
      <c r="B189" s="14" t="s">
        <v>961</v>
      </c>
      <c r="C189" s="14" t="s">
        <v>962</v>
      </c>
      <c r="D189" s="30">
        <v>-38100</v>
      </c>
      <c r="E189" s="15">
        <v>-32400</v>
      </c>
      <c r="F189" s="15">
        <v>-42901</v>
      </c>
      <c r="G189" s="15">
        <v>-39800</v>
      </c>
      <c r="H189" s="15">
        <v>-73750</v>
      </c>
      <c r="I189" s="15">
        <v>0</v>
      </c>
      <c r="J189" s="15">
        <v>226951</v>
      </c>
      <c r="K189" s="15"/>
      <c r="L189" s="15"/>
      <c r="M189" s="15"/>
      <c r="N189" s="15"/>
      <c r="O189" s="15"/>
      <c r="P189" s="23">
        <f>SUM(D189:O189)</f>
        <v>0</v>
      </c>
    </row>
    <row r="190" spans="2:16" ht="16" customHeight="1" x14ac:dyDescent="0.35">
      <c r="B190" s="14" t="s">
        <v>963</v>
      </c>
      <c r="C190" s="14" t="s">
        <v>964</v>
      </c>
      <c r="D190" s="30"/>
      <c r="E190" s="15"/>
      <c r="F190" s="15">
        <v>-177.40647999999999</v>
      </c>
      <c r="G190" s="15">
        <v>0</v>
      </c>
      <c r="H190" s="15">
        <v>0</v>
      </c>
      <c r="I190" s="15">
        <v>-112.59399999999999</v>
      </c>
      <c r="J190" s="15">
        <v>290.00047999999998</v>
      </c>
      <c r="K190" s="15"/>
      <c r="L190" s="15"/>
      <c r="M190" s="15"/>
      <c r="N190" s="15"/>
      <c r="O190" s="15"/>
      <c r="P190" s="23">
        <f>SUM(D190:O190)</f>
        <v>0</v>
      </c>
    </row>
    <row r="191" spans="2:16" ht="16" customHeight="1" x14ac:dyDescent="0.35">
      <c r="B191" s="14" t="s">
        <v>965</v>
      </c>
      <c r="C191" s="14" t="s">
        <v>966</v>
      </c>
      <c r="D191" s="30"/>
      <c r="E191" s="15"/>
      <c r="F191" s="15"/>
      <c r="G191" s="15">
        <v>0</v>
      </c>
      <c r="H191" s="15">
        <v>0</v>
      </c>
      <c r="I191" s="15">
        <v>3500</v>
      </c>
      <c r="J191" s="15">
        <v>-3500</v>
      </c>
      <c r="K191" s="15"/>
      <c r="L191" s="15"/>
      <c r="M191" s="15"/>
      <c r="N191" s="15"/>
      <c r="O191" s="15"/>
      <c r="P191" s="23">
        <f>SUM(D191:O191)</f>
        <v>0</v>
      </c>
    </row>
    <row r="192" spans="2:16" ht="16" customHeight="1" x14ac:dyDescent="0.35">
      <c r="B192" s="10"/>
      <c r="C192" s="11" t="s">
        <v>22</v>
      </c>
      <c r="D192" s="29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22"/>
    </row>
    <row r="193" spans="2:16" ht="16" customHeight="1" x14ac:dyDescent="0.35">
      <c r="B193" s="38"/>
      <c r="C193" s="34" t="s">
        <v>967</v>
      </c>
      <c r="D193" s="52">
        <f t="shared" ref="D193:P193" si="41">D195+D200+D204</f>
        <v>7245.4790899999998</v>
      </c>
      <c r="E193" s="35">
        <f t="shared" si="41"/>
        <v>2436.7307099999998</v>
      </c>
      <c r="F193" s="35">
        <f t="shared" si="41"/>
        <v>-26.172700000000155</v>
      </c>
      <c r="G193" s="35">
        <f t="shared" si="41"/>
        <v>111.17978000000041</v>
      </c>
      <c r="H193" s="35">
        <f t="shared" si="41"/>
        <v>-515.36238999999989</v>
      </c>
      <c r="I193" s="35">
        <f t="shared" si="41"/>
        <v>3537.4500099999996</v>
      </c>
      <c r="J193" s="35">
        <f t="shared" si="41"/>
        <v>-12789.304500000006</v>
      </c>
      <c r="K193" s="35">
        <f t="shared" si="41"/>
        <v>0</v>
      </c>
      <c r="L193" s="35">
        <f t="shared" si="41"/>
        <v>0</v>
      </c>
      <c r="M193" s="35">
        <f t="shared" si="41"/>
        <v>0</v>
      </c>
      <c r="N193" s="35">
        <f t="shared" si="41"/>
        <v>0</v>
      </c>
      <c r="O193" s="35">
        <f t="shared" si="41"/>
        <v>0</v>
      </c>
      <c r="P193" s="46">
        <f t="shared" si="41"/>
        <v>0</v>
      </c>
    </row>
    <row r="194" spans="2:16" ht="16" customHeight="1" x14ac:dyDescent="0.35">
      <c r="B194" s="10"/>
      <c r="C194" s="11" t="s">
        <v>22</v>
      </c>
      <c r="D194" s="29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22"/>
    </row>
    <row r="195" spans="2:16" ht="16" customHeight="1" x14ac:dyDescent="0.35">
      <c r="B195" s="38"/>
      <c r="C195" s="34" t="s">
        <v>968</v>
      </c>
      <c r="D195" s="52">
        <f t="shared" ref="D195:P195" si="42">-(-(D196+D197)-D198)</f>
        <v>11563.63091</v>
      </c>
      <c r="E195" s="35">
        <f t="shared" si="42"/>
        <v>6548.8596799999996</v>
      </c>
      <c r="F195" s="35">
        <f t="shared" si="42"/>
        <v>4514.4714400000003</v>
      </c>
      <c r="G195" s="35">
        <f t="shared" si="42"/>
        <v>4585.2838099999999</v>
      </c>
      <c r="H195" s="35">
        <f t="shared" si="42"/>
        <v>4203.1461300000001</v>
      </c>
      <c r="I195" s="35">
        <f t="shared" si="42"/>
        <v>3510.0786399999997</v>
      </c>
      <c r="J195" s="35">
        <f t="shared" si="42"/>
        <v>-34925.470610000004</v>
      </c>
      <c r="K195" s="35">
        <f t="shared" si="42"/>
        <v>0</v>
      </c>
      <c r="L195" s="35">
        <f t="shared" si="42"/>
        <v>0</v>
      </c>
      <c r="M195" s="35">
        <f t="shared" si="42"/>
        <v>0</v>
      </c>
      <c r="N195" s="35">
        <f t="shared" si="42"/>
        <v>0</v>
      </c>
      <c r="O195" s="35">
        <f t="shared" si="42"/>
        <v>0</v>
      </c>
      <c r="P195" s="46">
        <f t="shared" si="42"/>
        <v>0</v>
      </c>
    </row>
    <row r="196" spans="2:16" ht="16" customHeight="1" x14ac:dyDescent="0.35">
      <c r="B196" s="14" t="s">
        <v>969</v>
      </c>
      <c r="C196" s="14" t="s">
        <v>970</v>
      </c>
      <c r="D196" s="30">
        <v>11603.628909999999</v>
      </c>
      <c r="E196" s="15">
        <v>6548.8596799999996</v>
      </c>
      <c r="F196" s="15">
        <v>4482.4947000000002</v>
      </c>
      <c r="G196" s="15">
        <v>4381.8504800000001</v>
      </c>
      <c r="H196" s="15">
        <v>4677.3456800000004</v>
      </c>
      <c r="I196" s="15">
        <v>3523.3923399999999</v>
      </c>
      <c r="J196" s="15">
        <v>-35217.571790000002</v>
      </c>
      <c r="K196" s="15"/>
      <c r="L196" s="15"/>
      <c r="M196" s="15"/>
      <c r="N196" s="15"/>
      <c r="O196" s="15"/>
      <c r="P196" s="23">
        <f>SUM(D196:O196)</f>
        <v>0</v>
      </c>
    </row>
    <row r="197" spans="2:16" ht="16" customHeight="1" x14ac:dyDescent="0.35">
      <c r="B197" s="14" t="s">
        <v>971</v>
      </c>
      <c r="C197" s="14" t="s">
        <v>972</v>
      </c>
      <c r="D197" s="30">
        <v>-39.997999999999998</v>
      </c>
      <c r="E197" s="15">
        <v>0</v>
      </c>
      <c r="F197" s="15">
        <v>31.976739999999999</v>
      </c>
      <c r="G197" s="15">
        <v>203.43333000000001</v>
      </c>
      <c r="H197" s="15">
        <v>-474.19954999999999</v>
      </c>
      <c r="I197" s="15">
        <v>-13.313700000000001</v>
      </c>
      <c r="J197" s="15">
        <v>292.10118</v>
      </c>
      <c r="K197" s="15"/>
      <c r="L197" s="15"/>
      <c r="M197" s="15"/>
      <c r="N197" s="15"/>
      <c r="O197" s="15"/>
      <c r="P197" s="23">
        <f>SUM(D197:O197)</f>
        <v>0</v>
      </c>
    </row>
    <row r="198" spans="2:16" ht="16" customHeight="1" x14ac:dyDescent="0.35">
      <c r="B198" s="14" t="s">
        <v>973</v>
      </c>
      <c r="C198" s="14" t="s">
        <v>974</v>
      </c>
      <c r="D198" s="30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23">
        <f>SUM(D198:O198)</f>
        <v>0</v>
      </c>
    </row>
    <row r="199" spans="2:16" ht="16" customHeight="1" x14ac:dyDescent="0.35">
      <c r="B199" s="10"/>
      <c r="C199" s="11" t="s">
        <v>22</v>
      </c>
      <c r="D199" s="29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22"/>
    </row>
    <row r="200" spans="2:16" ht="16" customHeight="1" x14ac:dyDescent="0.35">
      <c r="B200" s="34" t="s">
        <v>975</v>
      </c>
      <c r="C200" s="34" t="s">
        <v>976</v>
      </c>
      <c r="D200" s="52">
        <f t="shared" ref="D200:P200" si="43">D201+D202</f>
        <v>-4276.4070499999998</v>
      </c>
      <c r="E200" s="35">
        <f t="shared" si="43"/>
        <v>-4016.8599299999996</v>
      </c>
      <c r="F200" s="35">
        <f t="shared" si="43"/>
        <v>-4530.2830700000004</v>
      </c>
      <c r="G200" s="35">
        <f t="shared" si="43"/>
        <v>-4579.0899899999995</v>
      </c>
      <c r="H200" s="35">
        <f t="shared" si="43"/>
        <v>-4496.1252899999999</v>
      </c>
      <c r="I200" s="35">
        <f t="shared" si="43"/>
        <v>-3.9516299999999998</v>
      </c>
      <c r="J200" s="35">
        <f t="shared" si="43"/>
        <v>21902.716959999998</v>
      </c>
      <c r="K200" s="35">
        <f t="shared" si="43"/>
        <v>0</v>
      </c>
      <c r="L200" s="35">
        <f t="shared" si="43"/>
        <v>0</v>
      </c>
      <c r="M200" s="35">
        <f t="shared" si="43"/>
        <v>0</v>
      </c>
      <c r="N200" s="35">
        <f t="shared" si="43"/>
        <v>0</v>
      </c>
      <c r="O200" s="35">
        <f t="shared" si="43"/>
        <v>0</v>
      </c>
      <c r="P200" s="46">
        <f t="shared" si="43"/>
        <v>0</v>
      </c>
    </row>
    <row r="201" spans="2:16" ht="16" customHeight="1" x14ac:dyDescent="0.35">
      <c r="B201" s="14" t="s">
        <v>977</v>
      </c>
      <c r="C201" s="14" t="s">
        <v>978</v>
      </c>
      <c r="D201" s="30">
        <v>-4819.8757900000001</v>
      </c>
      <c r="E201" s="15">
        <v>-4565.2340599999998</v>
      </c>
      <c r="F201" s="15">
        <v>-5110.4007000000001</v>
      </c>
      <c r="G201" s="15">
        <v>-4918.5462799999996</v>
      </c>
      <c r="H201" s="15">
        <v>-5094.6546600000001</v>
      </c>
      <c r="I201" s="15">
        <v>-5.8817399999999997</v>
      </c>
      <c r="J201" s="15">
        <v>24514.593229999999</v>
      </c>
      <c r="K201" s="15"/>
      <c r="L201" s="15"/>
      <c r="M201" s="15"/>
      <c r="N201" s="15"/>
      <c r="O201" s="15"/>
      <c r="P201" s="23">
        <f>SUM(D201:O201)</f>
        <v>0</v>
      </c>
    </row>
    <row r="202" spans="2:16" ht="16" customHeight="1" x14ac:dyDescent="0.35">
      <c r="B202" s="14" t="s">
        <v>979</v>
      </c>
      <c r="C202" s="14" t="s">
        <v>980</v>
      </c>
      <c r="D202" s="30">
        <v>543.46874000000003</v>
      </c>
      <c r="E202" s="15">
        <v>548.37413000000004</v>
      </c>
      <c r="F202" s="15">
        <v>580.11762999999996</v>
      </c>
      <c r="G202" s="15">
        <v>339.45629000000002</v>
      </c>
      <c r="H202" s="15">
        <v>598.52936999999997</v>
      </c>
      <c r="I202" s="15">
        <v>1.93011</v>
      </c>
      <c r="J202" s="15">
        <v>-2611.8762700000002</v>
      </c>
      <c r="K202" s="15"/>
      <c r="L202" s="15"/>
      <c r="M202" s="15"/>
      <c r="N202" s="15"/>
      <c r="O202" s="15"/>
      <c r="P202" s="23">
        <f>SUM(D202:O202)</f>
        <v>0</v>
      </c>
    </row>
    <row r="203" spans="2:16" ht="16" customHeight="1" x14ac:dyDescent="0.35">
      <c r="B203" s="10"/>
      <c r="C203" s="11" t="s">
        <v>22</v>
      </c>
      <c r="D203" s="29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22"/>
    </row>
    <row r="204" spans="2:16" ht="16" customHeight="1" x14ac:dyDescent="0.35">
      <c r="B204" s="38"/>
      <c r="C204" s="34" t="s">
        <v>981</v>
      </c>
      <c r="D204" s="52">
        <f t="shared" ref="D204:P204" si="44">D206+D210</f>
        <v>-41.744770000000003</v>
      </c>
      <c r="E204" s="35">
        <f t="shared" si="44"/>
        <v>-95.269040000000004</v>
      </c>
      <c r="F204" s="35">
        <f t="shared" si="44"/>
        <v>-10.361070000000005</v>
      </c>
      <c r="G204" s="35">
        <f t="shared" si="44"/>
        <v>104.98595999999999</v>
      </c>
      <c r="H204" s="35">
        <f t="shared" si="44"/>
        <v>-222.38323</v>
      </c>
      <c r="I204" s="35">
        <f t="shared" si="44"/>
        <v>31.323</v>
      </c>
      <c r="J204" s="35">
        <f t="shared" si="44"/>
        <v>233.44914999999997</v>
      </c>
      <c r="K204" s="35">
        <f t="shared" si="44"/>
        <v>0</v>
      </c>
      <c r="L204" s="35">
        <f t="shared" si="44"/>
        <v>0</v>
      </c>
      <c r="M204" s="35">
        <f t="shared" si="44"/>
        <v>0</v>
      </c>
      <c r="N204" s="35">
        <f t="shared" si="44"/>
        <v>0</v>
      </c>
      <c r="O204" s="35">
        <f t="shared" si="44"/>
        <v>0</v>
      </c>
      <c r="P204" s="46">
        <f t="shared" si="44"/>
        <v>0</v>
      </c>
    </row>
    <row r="205" spans="2:16" ht="16" customHeight="1" x14ac:dyDescent="0.35">
      <c r="B205" s="10"/>
      <c r="C205" s="11" t="s">
        <v>22</v>
      </c>
      <c r="D205" s="29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22"/>
    </row>
    <row r="206" spans="2:16" ht="16" customHeight="1" x14ac:dyDescent="0.35">
      <c r="B206" s="38"/>
      <c r="C206" s="34" t="s">
        <v>982</v>
      </c>
      <c r="D206" s="52">
        <f t="shared" ref="D206:P206" si="45">D207+D208</f>
        <v>-37.750770000000003</v>
      </c>
      <c r="E206" s="35">
        <f t="shared" si="45"/>
        <v>-34.532040000000002</v>
      </c>
      <c r="F206" s="35">
        <f t="shared" si="45"/>
        <v>-41.627070000000003</v>
      </c>
      <c r="G206" s="35">
        <f t="shared" si="45"/>
        <v>-38.828040000000001</v>
      </c>
      <c r="H206" s="35">
        <f t="shared" si="45"/>
        <v>-42.673229999999997</v>
      </c>
      <c r="I206" s="35">
        <f t="shared" si="45"/>
        <v>0</v>
      </c>
      <c r="J206" s="35">
        <f t="shared" si="45"/>
        <v>195.41114999999999</v>
      </c>
      <c r="K206" s="35">
        <f t="shared" si="45"/>
        <v>0</v>
      </c>
      <c r="L206" s="35">
        <f t="shared" si="45"/>
        <v>0</v>
      </c>
      <c r="M206" s="35">
        <f t="shared" si="45"/>
        <v>0</v>
      </c>
      <c r="N206" s="35">
        <f t="shared" si="45"/>
        <v>0</v>
      </c>
      <c r="O206" s="35">
        <f t="shared" si="45"/>
        <v>0</v>
      </c>
      <c r="P206" s="46">
        <f t="shared" si="45"/>
        <v>0</v>
      </c>
    </row>
    <row r="207" spans="2:16" ht="16" customHeight="1" x14ac:dyDescent="0.35">
      <c r="B207" s="14" t="s">
        <v>983</v>
      </c>
      <c r="C207" s="14" t="s">
        <v>984</v>
      </c>
      <c r="D207" s="30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23">
        <f>SUM(D207:O207)</f>
        <v>0</v>
      </c>
    </row>
    <row r="208" spans="2:16" ht="16" customHeight="1" x14ac:dyDescent="0.35">
      <c r="B208" s="14" t="s">
        <v>985</v>
      </c>
      <c r="C208" s="14" t="s">
        <v>986</v>
      </c>
      <c r="D208" s="30">
        <v>-37.750770000000003</v>
      </c>
      <c r="E208" s="15">
        <v>-34.532040000000002</v>
      </c>
      <c r="F208" s="15">
        <v>-41.627070000000003</v>
      </c>
      <c r="G208" s="15">
        <v>-38.828040000000001</v>
      </c>
      <c r="H208" s="15">
        <v>-42.673229999999997</v>
      </c>
      <c r="I208" s="15">
        <v>0</v>
      </c>
      <c r="J208" s="15">
        <v>195.41114999999999</v>
      </c>
      <c r="K208" s="15"/>
      <c r="L208" s="15"/>
      <c r="M208" s="15"/>
      <c r="N208" s="15"/>
      <c r="O208" s="15"/>
      <c r="P208" s="23">
        <f>SUM(D208:O208)</f>
        <v>0</v>
      </c>
    </row>
    <row r="209" spans="2:16" ht="16" customHeight="1" x14ac:dyDescent="0.35">
      <c r="B209" s="10"/>
      <c r="C209" s="11" t="s">
        <v>22</v>
      </c>
      <c r="D209" s="29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22"/>
    </row>
    <row r="210" spans="2:16" ht="16" customHeight="1" x14ac:dyDescent="0.35">
      <c r="B210" s="38"/>
      <c r="C210" s="34" t="s">
        <v>987</v>
      </c>
      <c r="D210" s="52">
        <f t="shared" ref="D210:P210" si="46">-(-(D211+D212)-D213)</f>
        <v>-3.9940000000000002</v>
      </c>
      <c r="E210" s="35">
        <f t="shared" si="46"/>
        <v>-60.737000000000002</v>
      </c>
      <c r="F210" s="35">
        <f t="shared" si="46"/>
        <v>31.265999999999998</v>
      </c>
      <c r="G210" s="35">
        <f t="shared" si="46"/>
        <v>143.81399999999999</v>
      </c>
      <c r="H210" s="35">
        <f t="shared" si="46"/>
        <v>-179.71</v>
      </c>
      <c r="I210" s="35">
        <f t="shared" si="46"/>
        <v>31.323</v>
      </c>
      <c r="J210" s="35">
        <f t="shared" si="46"/>
        <v>38.037999999999997</v>
      </c>
      <c r="K210" s="35">
        <f t="shared" si="46"/>
        <v>0</v>
      </c>
      <c r="L210" s="35">
        <f t="shared" si="46"/>
        <v>0</v>
      </c>
      <c r="M210" s="35">
        <f t="shared" si="46"/>
        <v>0</v>
      </c>
      <c r="N210" s="35">
        <f t="shared" si="46"/>
        <v>0</v>
      </c>
      <c r="O210" s="35">
        <f t="shared" si="46"/>
        <v>0</v>
      </c>
      <c r="P210" s="46">
        <f t="shared" si="46"/>
        <v>0</v>
      </c>
    </row>
    <row r="211" spans="2:16" ht="16" customHeight="1" x14ac:dyDescent="0.35">
      <c r="B211" s="14" t="s">
        <v>988</v>
      </c>
      <c r="C211" s="14" t="s">
        <v>989</v>
      </c>
      <c r="D211" s="30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23">
        <f>SUM(D211:O211)</f>
        <v>0</v>
      </c>
    </row>
    <row r="212" spans="2:16" ht="16" customHeight="1" x14ac:dyDescent="0.35">
      <c r="B212" s="14" t="s">
        <v>990</v>
      </c>
      <c r="C212" s="14" t="s">
        <v>991</v>
      </c>
      <c r="D212" s="30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23">
        <f>SUM(D212:O212)</f>
        <v>0</v>
      </c>
    </row>
    <row r="213" spans="2:16" ht="16" customHeight="1" x14ac:dyDescent="0.35">
      <c r="B213" s="14" t="s">
        <v>992</v>
      </c>
      <c r="C213" s="14" t="s">
        <v>993</v>
      </c>
      <c r="D213" s="30">
        <v>-3.9940000000000002</v>
      </c>
      <c r="E213" s="15">
        <v>-60.737000000000002</v>
      </c>
      <c r="F213" s="15">
        <v>31.265999999999998</v>
      </c>
      <c r="G213" s="15">
        <v>143.81399999999999</v>
      </c>
      <c r="H213" s="15">
        <v>-179.71</v>
      </c>
      <c r="I213" s="15">
        <v>31.323</v>
      </c>
      <c r="J213" s="15">
        <v>38.037999999999997</v>
      </c>
      <c r="K213" s="15"/>
      <c r="L213" s="15"/>
      <c r="M213" s="15"/>
      <c r="N213" s="15"/>
      <c r="O213" s="15"/>
      <c r="P213" s="23">
        <f>SUM(D213:O213)</f>
        <v>0</v>
      </c>
    </row>
    <row r="214" spans="2:16" ht="16" customHeight="1" x14ac:dyDescent="0.35">
      <c r="B214" s="10"/>
      <c r="C214" s="11" t="s">
        <v>22</v>
      </c>
      <c r="D214" s="29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22"/>
    </row>
    <row r="215" spans="2:16" ht="16" customHeight="1" x14ac:dyDescent="0.35">
      <c r="B215" s="39"/>
      <c r="C215" s="40" t="s">
        <v>994</v>
      </c>
      <c r="D215" s="53">
        <f t="shared" ref="D215:P215" si="47">D167+D172+D176+D178+D180+D182+D186+D193</f>
        <v>99845.479089999993</v>
      </c>
      <c r="E215" s="24">
        <f t="shared" si="47"/>
        <v>465536.73070999997</v>
      </c>
      <c r="F215" s="24">
        <f t="shared" si="47"/>
        <v>51673.827300000004</v>
      </c>
      <c r="G215" s="24">
        <f t="shared" si="47"/>
        <v>35261.090300000003</v>
      </c>
      <c r="H215" s="24">
        <f t="shared" si="47"/>
        <v>-13865.36239</v>
      </c>
      <c r="I215" s="24">
        <f t="shared" si="47"/>
        <v>7037.4500099999996</v>
      </c>
      <c r="J215" s="24">
        <f t="shared" si="47"/>
        <v>-645489.21501999989</v>
      </c>
      <c r="K215" s="24">
        <f t="shared" si="47"/>
        <v>0</v>
      </c>
      <c r="L215" s="24">
        <f t="shared" si="47"/>
        <v>0</v>
      </c>
      <c r="M215" s="24">
        <f t="shared" si="47"/>
        <v>0</v>
      </c>
      <c r="N215" s="24">
        <f t="shared" si="47"/>
        <v>0</v>
      </c>
      <c r="O215" s="24">
        <f t="shared" si="47"/>
        <v>0</v>
      </c>
      <c r="P215" s="24">
        <f t="shared" si="47"/>
        <v>0</v>
      </c>
    </row>
    <row r="216" spans="2:16" ht="16" customHeight="1" x14ac:dyDescent="0.35">
      <c r="B216" s="10"/>
      <c r="C216" s="11" t="s">
        <v>22</v>
      </c>
      <c r="D216" s="29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22"/>
    </row>
    <row r="217" spans="2:16" ht="16" customHeight="1" x14ac:dyDescent="0.35">
      <c r="B217" s="40" t="s">
        <v>995</v>
      </c>
      <c r="C217" s="40" t="s">
        <v>996</v>
      </c>
      <c r="D217" s="53">
        <f t="shared" ref="D217:P217" si="48">D104+D163+D215</f>
        <v>-325.28246000000217</v>
      </c>
      <c r="E217" s="24">
        <f t="shared" si="48"/>
        <v>4260.7196999998996</v>
      </c>
      <c r="F217" s="24">
        <f t="shared" si="48"/>
        <v>-3920.6850300000006</v>
      </c>
      <c r="G217" s="24">
        <f t="shared" si="48"/>
        <v>-533.69149999999354</v>
      </c>
      <c r="H217" s="24">
        <f t="shared" si="48"/>
        <v>2246.4724099999894</v>
      </c>
      <c r="I217" s="24">
        <f t="shared" si="48"/>
        <v>-28429.797939999997</v>
      </c>
      <c r="J217" s="24">
        <f t="shared" si="48"/>
        <v>26702.264820000157</v>
      </c>
      <c r="K217" s="24">
        <f t="shared" si="48"/>
        <v>0</v>
      </c>
      <c r="L217" s="24">
        <f t="shared" si="48"/>
        <v>0</v>
      </c>
      <c r="M217" s="24">
        <f t="shared" si="48"/>
        <v>0</v>
      </c>
      <c r="N217" s="24">
        <f t="shared" si="48"/>
        <v>0</v>
      </c>
      <c r="O217" s="24">
        <f t="shared" si="48"/>
        <v>0</v>
      </c>
      <c r="P217" s="24">
        <f t="shared" si="48"/>
        <v>0</v>
      </c>
    </row>
    <row r="218" spans="2:16" ht="16" customHeight="1" x14ac:dyDescent="0.35">
      <c r="B218" s="10"/>
      <c r="C218" s="11" t="s">
        <v>22</v>
      </c>
      <c r="D218" s="29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22"/>
    </row>
    <row r="219" spans="2:16" ht="16" customHeight="1" x14ac:dyDescent="0.35">
      <c r="B219" s="14" t="s">
        <v>997</v>
      </c>
      <c r="C219" s="14" t="s">
        <v>998</v>
      </c>
      <c r="D219" s="30">
        <v>1931.7006699999999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-1931.7006699999999</v>
      </c>
      <c r="K219" s="15"/>
      <c r="L219" s="15"/>
      <c r="M219" s="15"/>
      <c r="N219" s="15"/>
      <c r="O219" s="15"/>
      <c r="P219" s="23">
        <f>SUM(D219:O219)</f>
        <v>0</v>
      </c>
    </row>
    <row r="220" spans="2:16" ht="16" customHeight="1" x14ac:dyDescent="0.35">
      <c r="B220" s="14" t="s">
        <v>999</v>
      </c>
      <c r="C220" s="14" t="s">
        <v>996</v>
      </c>
      <c r="D220" s="30">
        <f t="shared" ref="D220:P220" si="49">D222-D221-D219</f>
        <v>-325.37684999999988</v>
      </c>
      <c r="E220" s="15">
        <f t="shared" si="49"/>
        <v>5859.3500599999998</v>
      </c>
      <c r="F220" s="15">
        <f t="shared" si="49"/>
        <v>1918.8814500000001</v>
      </c>
      <c r="G220" s="15">
        <f t="shared" si="49"/>
        <v>1416.2459800000001</v>
      </c>
      <c r="H220" s="15">
        <f t="shared" si="49"/>
        <v>3643.8071399999999</v>
      </c>
      <c r="I220" s="15">
        <f t="shared" si="49"/>
        <v>-23340.306830000001</v>
      </c>
      <c r="J220" s="15">
        <f t="shared" si="49"/>
        <v>1914.1923099999999</v>
      </c>
      <c r="K220" s="15">
        <f t="shared" si="49"/>
        <v>0</v>
      </c>
      <c r="L220" s="15">
        <f t="shared" si="49"/>
        <v>0</v>
      </c>
      <c r="M220" s="15">
        <f t="shared" si="49"/>
        <v>0</v>
      </c>
      <c r="N220" s="15">
        <f t="shared" si="49"/>
        <v>0</v>
      </c>
      <c r="O220" s="15">
        <f t="shared" si="49"/>
        <v>0</v>
      </c>
      <c r="P220" s="23">
        <f t="shared" si="49"/>
        <v>-8913.2067399999996</v>
      </c>
    </row>
    <row r="221" spans="2:16" ht="16" customHeight="1" x14ac:dyDescent="0.35">
      <c r="B221" s="14" t="s">
        <v>1000</v>
      </c>
      <c r="C221" s="14" t="s">
        <v>1001</v>
      </c>
      <c r="D221" s="30">
        <v>-7.5963200000000004</v>
      </c>
      <c r="E221" s="15">
        <v>3.9066800000000002</v>
      </c>
      <c r="F221" s="15">
        <v>-18.15523</v>
      </c>
      <c r="G221" s="15">
        <v>6.41662</v>
      </c>
      <c r="H221" s="15">
        <v>-2.70505</v>
      </c>
      <c r="I221" s="15">
        <v>0.62494000000000005</v>
      </c>
      <c r="J221" s="15">
        <v>17.50836</v>
      </c>
      <c r="K221" s="15"/>
      <c r="L221" s="15"/>
      <c r="M221" s="15"/>
      <c r="N221" s="15"/>
      <c r="O221" s="15"/>
      <c r="P221" s="23">
        <f>SUM(D221:O221)</f>
        <v>0</v>
      </c>
    </row>
    <row r="222" spans="2:16" ht="16" customHeight="1" x14ac:dyDescent="0.35">
      <c r="B222" s="14" t="s">
        <v>1002</v>
      </c>
      <c r="C222" s="14" t="s">
        <v>1003</v>
      </c>
      <c r="D222" s="30">
        <v>1598.7275</v>
      </c>
      <c r="E222" s="15">
        <v>5863.2567399999998</v>
      </c>
      <c r="F222" s="15">
        <v>1900.72622</v>
      </c>
      <c r="G222" s="15">
        <v>1422.6626000000001</v>
      </c>
      <c r="H222" s="15">
        <v>3641.1020899999999</v>
      </c>
      <c r="I222" s="15">
        <v>-23339.68189</v>
      </c>
      <c r="J222" s="15"/>
      <c r="K222" s="15"/>
      <c r="L222" s="15"/>
      <c r="M222" s="15"/>
      <c r="N222" s="15"/>
      <c r="O222" s="15"/>
      <c r="P222" s="23">
        <f>SUM(D222:O222)</f>
        <v>-8913.2067399999996</v>
      </c>
    </row>
    <row r="223" spans="2:16" ht="16" customHeight="1" x14ac:dyDescent="0.35">
      <c r="B223" s="10"/>
      <c r="C223" s="11" t="s">
        <v>22</v>
      </c>
      <c r="D223" s="29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22"/>
    </row>
    <row r="224" spans="2:16" ht="16" customHeight="1" x14ac:dyDescent="0.35">
      <c r="B224" s="10"/>
      <c r="C224" s="11" t="s">
        <v>22</v>
      </c>
      <c r="D224" s="29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22"/>
    </row>
    <row r="225" spans="2:16" ht="16" customHeight="1" x14ac:dyDescent="0.35">
      <c r="B225" s="41"/>
      <c r="C225" s="36" t="s">
        <v>751</v>
      </c>
      <c r="D225" s="54">
        <f t="shared" ref="D225:P225" si="50">D217-D220</f>
        <v>9.4389999997702034E-2</v>
      </c>
      <c r="E225" s="37">
        <f t="shared" si="50"/>
        <v>-1598.6303600001002</v>
      </c>
      <c r="F225" s="37">
        <f t="shared" si="50"/>
        <v>-5839.5664800000004</v>
      </c>
      <c r="G225" s="37">
        <f t="shared" si="50"/>
        <v>-1949.9374799999937</v>
      </c>
      <c r="H225" s="37">
        <f t="shared" si="50"/>
        <v>-1397.3347300000105</v>
      </c>
      <c r="I225" s="37">
        <f t="shared" si="50"/>
        <v>-5089.4911099999954</v>
      </c>
      <c r="J225" s="37">
        <f t="shared" si="50"/>
        <v>24788.072510000158</v>
      </c>
      <c r="K225" s="37">
        <f t="shared" si="50"/>
        <v>0</v>
      </c>
      <c r="L225" s="37">
        <f t="shared" si="50"/>
        <v>0</v>
      </c>
      <c r="M225" s="37">
        <f t="shared" si="50"/>
        <v>0</v>
      </c>
      <c r="N225" s="37">
        <f t="shared" si="50"/>
        <v>0</v>
      </c>
      <c r="O225" s="37">
        <f t="shared" si="50"/>
        <v>0</v>
      </c>
      <c r="P225" s="47">
        <f t="shared" si="50"/>
        <v>8913.2067399999996</v>
      </c>
    </row>
    <row r="226" spans="2:16" ht="16" customHeight="1" x14ac:dyDescent="0.35">
      <c r="B226" s="10"/>
      <c r="C226" s="11" t="s">
        <v>22</v>
      </c>
      <c r="D226" s="29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22"/>
    </row>
    <row r="227" spans="2:16" ht="16" customHeight="1" x14ac:dyDescent="0.35">
      <c r="B227" s="10"/>
      <c r="C227" s="11" t="s">
        <v>22</v>
      </c>
      <c r="D227" s="29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22"/>
    </row>
    <row r="228" spans="2:16" ht="16" customHeight="1" x14ac:dyDescent="0.35">
      <c r="B228" s="38"/>
      <c r="C228" s="34" t="s">
        <v>1004</v>
      </c>
      <c r="D228" s="52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46"/>
    </row>
    <row r="229" spans="2:16" ht="16" customHeight="1" x14ac:dyDescent="0.35">
      <c r="B229" s="10"/>
      <c r="C229" s="11" t="s">
        <v>22</v>
      </c>
      <c r="D229" s="29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22"/>
    </row>
    <row r="230" spans="2:16" ht="16" customHeight="1" x14ac:dyDescent="0.35">
      <c r="B230" s="42"/>
      <c r="C230" s="14" t="s">
        <v>890</v>
      </c>
      <c r="D230" s="30">
        <f t="shared" ref="D230:P230" si="51">D128</f>
        <v>-10391.575120000001</v>
      </c>
      <c r="E230" s="15">
        <f t="shared" si="51"/>
        <v>-17698.271189999999</v>
      </c>
      <c r="F230" s="15">
        <f t="shared" si="51"/>
        <v>-8300.4086000000007</v>
      </c>
      <c r="G230" s="15">
        <f t="shared" si="51"/>
        <v>-13036.414479999999</v>
      </c>
      <c r="H230" s="15">
        <f t="shared" si="51"/>
        <v>-12704.612660000001</v>
      </c>
      <c r="I230" s="15">
        <f t="shared" si="51"/>
        <v>-4004.7197299999998</v>
      </c>
      <c r="J230" s="15">
        <f t="shared" si="51"/>
        <v>66136.001779999991</v>
      </c>
      <c r="K230" s="15">
        <f t="shared" si="51"/>
        <v>0</v>
      </c>
      <c r="L230" s="15">
        <f t="shared" si="51"/>
        <v>0</v>
      </c>
      <c r="M230" s="15">
        <f t="shared" si="51"/>
        <v>0</v>
      </c>
      <c r="N230" s="15">
        <f t="shared" si="51"/>
        <v>0</v>
      </c>
      <c r="O230" s="15">
        <f t="shared" si="51"/>
        <v>0</v>
      </c>
      <c r="P230" s="23">
        <f t="shared" si="51"/>
        <v>0</v>
      </c>
    </row>
    <row r="231" spans="2:16" ht="16" customHeight="1" x14ac:dyDescent="0.35">
      <c r="B231" s="42"/>
      <c r="C231" s="14" t="s">
        <v>892</v>
      </c>
      <c r="D231" s="30">
        <f t="shared" ref="D231:P231" si="52">D130</f>
        <v>607.80867000000001</v>
      </c>
      <c r="E231" s="15">
        <f t="shared" si="52"/>
        <v>146.66</v>
      </c>
      <c r="F231" s="15">
        <f t="shared" si="52"/>
        <v>2147.7462500000001</v>
      </c>
      <c r="G231" s="15">
        <f t="shared" si="52"/>
        <v>56.027520000000003</v>
      </c>
      <c r="H231" s="15">
        <f t="shared" si="52"/>
        <v>234.03649999999999</v>
      </c>
      <c r="I231" s="15">
        <f t="shared" si="52"/>
        <v>-0.30397000000000002</v>
      </c>
      <c r="J231" s="15">
        <f t="shared" si="52"/>
        <v>-3191.9749700000002</v>
      </c>
      <c r="K231" s="15">
        <f t="shared" si="52"/>
        <v>0</v>
      </c>
      <c r="L231" s="15">
        <f t="shared" si="52"/>
        <v>0</v>
      </c>
      <c r="M231" s="15">
        <f t="shared" si="52"/>
        <v>0</v>
      </c>
      <c r="N231" s="15">
        <f t="shared" si="52"/>
        <v>0</v>
      </c>
      <c r="O231" s="15">
        <f t="shared" si="52"/>
        <v>0</v>
      </c>
      <c r="P231" s="23">
        <f t="shared" si="52"/>
        <v>0</v>
      </c>
    </row>
    <row r="232" spans="2:16" ht="16" customHeight="1" x14ac:dyDescent="0.35">
      <c r="B232" s="38"/>
      <c r="C232" s="34" t="s">
        <v>1005</v>
      </c>
      <c r="D232" s="52">
        <f t="shared" ref="D232:P232" si="53">D104+D230+D231</f>
        <v>-95221.535319999995</v>
      </c>
      <c r="E232" s="35">
        <f t="shared" si="53"/>
        <v>-29497.51281</v>
      </c>
      <c r="F232" s="35">
        <f t="shared" si="53"/>
        <v>-53261.91002000001</v>
      </c>
      <c r="G232" s="35">
        <f t="shared" si="53"/>
        <v>-32078.470479999993</v>
      </c>
      <c r="H232" s="35">
        <f t="shared" si="53"/>
        <v>22657.029729999991</v>
      </c>
      <c r="I232" s="35">
        <f t="shared" si="53"/>
        <v>-25899.451309999997</v>
      </c>
      <c r="J232" s="35">
        <f t="shared" si="53"/>
        <v>213301.85021</v>
      </c>
      <c r="K232" s="35">
        <f t="shared" si="53"/>
        <v>0</v>
      </c>
      <c r="L232" s="35">
        <f t="shared" si="53"/>
        <v>0</v>
      </c>
      <c r="M232" s="35">
        <f t="shared" si="53"/>
        <v>0</v>
      </c>
      <c r="N232" s="35">
        <f t="shared" si="53"/>
        <v>0</v>
      </c>
      <c r="O232" s="35">
        <f t="shared" si="53"/>
        <v>0</v>
      </c>
      <c r="P232" s="46">
        <f t="shared" si="53"/>
        <v>0</v>
      </c>
    </row>
    <row r="233" spans="2:16" ht="16" customHeight="1" x14ac:dyDescent="0.35">
      <c r="B233" s="42"/>
      <c r="C233" s="14" t="s">
        <v>976</v>
      </c>
      <c r="D233" s="30">
        <f t="shared" ref="D233:P233" si="54">D200</f>
        <v>-4276.4070499999998</v>
      </c>
      <c r="E233" s="15">
        <f t="shared" si="54"/>
        <v>-4016.8599299999996</v>
      </c>
      <c r="F233" s="15">
        <f t="shared" si="54"/>
        <v>-4530.2830700000004</v>
      </c>
      <c r="G233" s="15">
        <f t="shared" si="54"/>
        <v>-4579.0899899999995</v>
      </c>
      <c r="H233" s="15">
        <f t="shared" si="54"/>
        <v>-4496.1252899999999</v>
      </c>
      <c r="I233" s="15">
        <f t="shared" si="54"/>
        <v>-3.9516299999999998</v>
      </c>
      <c r="J233" s="15">
        <f t="shared" si="54"/>
        <v>21902.716959999998</v>
      </c>
      <c r="K233" s="15">
        <f t="shared" si="54"/>
        <v>0</v>
      </c>
      <c r="L233" s="15">
        <f t="shared" si="54"/>
        <v>0</v>
      </c>
      <c r="M233" s="15">
        <f t="shared" si="54"/>
        <v>0</v>
      </c>
      <c r="N233" s="15">
        <f t="shared" si="54"/>
        <v>0</v>
      </c>
      <c r="O233" s="15">
        <f t="shared" si="54"/>
        <v>0</v>
      </c>
      <c r="P233" s="23">
        <f t="shared" si="54"/>
        <v>0</v>
      </c>
    </row>
    <row r="234" spans="2:16" ht="16" customHeight="1" x14ac:dyDescent="0.35">
      <c r="B234" s="38"/>
      <c r="C234" s="34" t="s">
        <v>1006</v>
      </c>
      <c r="D234" s="52">
        <f t="shared" ref="D234:P234" si="55">D232+D233</f>
        <v>-99497.94236999999</v>
      </c>
      <c r="E234" s="35">
        <f t="shared" si="55"/>
        <v>-33514.372739999999</v>
      </c>
      <c r="F234" s="35">
        <f t="shared" si="55"/>
        <v>-57792.193090000008</v>
      </c>
      <c r="G234" s="35">
        <f t="shared" si="55"/>
        <v>-36657.560469999989</v>
      </c>
      <c r="H234" s="35">
        <f t="shared" si="55"/>
        <v>18160.904439999991</v>
      </c>
      <c r="I234" s="35">
        <f t="shared" si="55"/>
        <v>-25903.402939999996</v>
      </c>
      <c r="J234" s="35">
        <f t="shared" si="55"/>
        <v>235204.56716999999</v>
      </c>
      <c r="K234" s="35">
        <f t="shared" si="55"/>
        <v>0</v>
      </c>
      <c r="L234" s="35">
        <f t="shared" si="55"/>
        <v>0</v>
      </c>
      <c r="M234" s="35">
        <f t="shared" si="55"/>
        <v>0</v>
      </c>
      <c r="N234" s="35">
        <f t="shared" si="55"/>
        <v>0</v>
      </c>
      <c r="O234" s="35">
        <f t="shared" si="55"/>
        <v>0</v>
      </c>
      <c r="P234" s="46">
        <f t="shared" si="55"/>
        <v>0</v>
      </c>
    </row>
    <row r="235" spans="2:16" ht="16" customHeight="1" x14ac:dyDescent="0.35">
      <c r="B235" s="42"/>
      <c r="C235" s="14" t="s">
        <v>813</v>
      </c>
      <c r="D235" s="30">
        <f t="shared" ref="D235:P235" si="56">D63</f>
        <v>0</v>
      </c>
      <c r="E235" s="15">
        <f t="shared" si="56"/>
        <v>-5671.9005299999999</v>
      </c>
      <c r="F235" s="15">
        <f t="shared" si="56"/>
        <v>-18560.13061</v>
      </c>
      <c r="G235" s="15">
        <f t="shared" si="56"/>
        <v>-577.33362</v>
      </c>
      <c r="H235" s="15">
        <f t="shared" si="56"/>
        <v>-5.432E-2</v>
      </c>
      <c r="I235" s="15">
        <f t="shared" si="56"/>
        <v>21.586480000000002</v>
      </c>
      <c r="J235" s="15">
        <f t="shared" si="56"/>
        <v>24787.832600000002</v>
      </c>
      <c r="K235" s="15">
        <f t="shared" si="56"/>
        <v>0</v>
      </c>
      <c r="L235" s="15">
        <f t="shared" si="56"/>
        <v>0</v>
      </c>
      <c r="M235" s="15">
        <f t="shared" si="56"/>
        <v>0</v>
      </c>
      <c r="N235" s="15">
        <f t="shared" si="56"/>
        <v>0</v>
      </c>
      <c r="O235" s="15">
        <f t="shared" si="56"/>
        <v>0</v>
      </c>
      <c r="P235" s="23">
        <f t="shared" si="56"/>
        <v>0</v>
      </c>
    </row>
    <row r="236" spans="2:16" ht="16" customHeight="1" x14ac:dyDescent="0.35">
      <c r="B236" s="38"/>
      <c r="C236" s="34" t="s">
        <v>1007</v>
      </c>
      <c r="D236" s="52">
        <f t="shared" ref="D236:P236" si="57">D234-D235</f>
        <v>-99497.94236999999</v>
      </c>
      <c r="E236" s="35">
        <f t="shared" si="57"/>
        <v>-27842.47221</v>
      </c>
      <c r="F236" s="35">
        <f t="shared" si="57"/>
        <v>-39232.062480000008</v>
      </c>
      <c r="G236" s="35">
        <f t="shared" si="57"/>
        <v>-36080.226849999992</v>
      </c>
      <c r="H236" s="35">
        <f t="shared" si="57"/>
        <v>18160.95875999999</v>
      </c>
      <c r="I236" s="35">
        <f t="shared" si="57"/>
        <v>-25924.989419999998</v>
      </c>
      <c r="J236" s="35">
        <f t="shared" si="57"/>
        <v>210416.73457</v>
      </c>
      <c r="K236" s="35">
        <f t="shared" si="57"/>
        <v>0</v>
      </c>
      <c r="L236" s="35">
        <f t="shared" si="57"/>
        <v>0</v>
      </c>
      <c r="M236" s="35">
        <f t="shared" si="57"/>
        <v>0</v>
      </c>
      <c r="N236" s="35">
        <f t="shared" si="57"/>
        <v>0</v>
      </c>
      <c r="O236" s="35">
        <f t="shared" si="57"/>
        <v>0</v>
      </c>
      <c r="P236" s="46">
        <f t="shared" si="57"/>
        <v>0</v>
      </c>
    </row>
    <row r="237" spans="2:16" ht="16" customHeight="1" x14ac:dyDescent="0.35">
      <c r="B237" s="10"/>
      <c r="C237" s="11" t="s">
        <v>22</v>
      </c>
      <c r="D237" s="29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22"/>
    </row>
    <row r="238" spans="2:16" ht="16" customHeight="1" x14ac:dyDescent="0.35">
      <c r="B238" s="43"/>
      <c r="C238" s="44" t="s">
        <v>1008</v>
      </c>
      <c r="D238" s="55">
        <v>5.330227754</v>
      </c>
      <c r="E238" s="45">
        <v>3.1638796610000002</v>
      </c>
      <c r="F238" s="45">
        <v>-2.4564076020000001</v>
      </c>
      <c r="G238" s="45">
        <v>-1.431748885</v>
      </c>
      <c r="H238" s="45">
        <v>0.39115807200000002</v>
      </c>
      <c r="I238" s="45">
        <v>-0.80514297800000001</v>
      </c>
      <c r="J238" s="45">
        <v>-2.2789017359999999</v>
      </c>
      <c r="K238" s="45"/>
      <c r="L238" s="45"/>
      <c r="M238" s="45"/>
      <c r="N238" s="45"/>
      <c r="O238" s="45"/>
      <c r="P238" s="48">
        <f>SUM(D238:O238)</f>
        <v>1.9130642859999991</v>
      </c>
    </row>
    <row r="239" spans="2:16" ht="16" customHeight="1" x14ac:dyDescent="0.35">
      <c r="B239" s="43"/>
      <c r="C239" s="44" t="s">
        <v>1009</v>
      </c>
      <c r="D239" s="55">
        <v>3.7086532779999999</v>
      </c>
      <c r="E239" s="45">
        <v>1.2794014520000001</v>
      </c>
      <c r="F239" s="45">
        <v>4.7552338919999997</v>
      </c>
      <c r="G239" s="45">
        <v>-3.5155846770000001</v>
      </c>
      <c r="H239" s="45">
        <v>0.87144708500000001</v>
      </c>
      <c r="I239" s="45">
        <v>-0.72775473099999999</v>
      </c>
      <c r="J239" s="45">
        <v>-19.786414825000001</v>
      </c>
      <c r="K239" s="45"/>
      <c r="L239" s="45"/>
      <c r="M239" s="45"/>
      <c r="N239" s="45"/>
      <c r="O239" s="45"/>
      <c r="P239" s="48">
        <f>SUM(D239:O239)</f>
        <v>-13.415018526000001</v>
      </c>
    </row>
    <row r="240" spans="2:16" ht="16" customHeight="1" x14ac:dyDescent="0.35">
      <c r="B240" s="43"/>
      <c r="C240" s="44" t="s">
        <v>1010</v>
      </c>
      <c r="D240" s="55">
        <v>-0.847099355</v>
      </c>
      <c r="E240" s="45">
        <v>-0.23782668900000001</v>
      </c>
      <c r="F240" s="45">
        <v>-0.30061796699999999</v>
      </c>
      <c r="G240" s="45">
        <v>-0.165430675</v>
      </c>
      <c r="H240" s="45">
        <v>7.6182599000000004E-2</v>
      </c>
      <c r="I240" s="45">
        <v>-0.22782455300000001</v>
      </c>
      <c r="J240" s="45">
        <v>-0.22962575099999999</v>
      </c>
      <c r="K240" s="45"/>
      <c r="L240" s="45"/>
      <c r="M240" s="45"/>
      <c r="N240" s="45"/>
      <c r="O240" s="45"/>
      <c r="P240" s="48">
        <f>SUM(D240:O240)</f>
        <v>-1.9322423909999999</v>
      </c>
    </row>
    <row r="241" spans="2:16" ht="16" customHeight="1" x14ac:dyDescent="0.35">
      <c r="B241" s="11"/>
      <c r="C241" s="11" t="s">
        <v>22</v>
      </c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22"/>
    </row>
    <row r="242" spans="2:16" ht="16" customHeight="1" x14ac:dyDescent="0.45">
      <c r="B242" s="13"/>
      <c r="C242" s="9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</row>
    <row r="243" spans="2:16" ht="16" customHeight="1" x14ac:dyDescent="0.45">
      <c r="B243" s="13"/>
      <c r="C243" s="9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</row>
    <row r="244" spans="2:16" ht="16" customHeight="1" x14ac:dyDescent="0.45">
      <c r="B244" s="13"/>
      <c r="C244" s="9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</row>
    <row r="245" spans="2:16" ht="16" customHeight="1" x14ac:dyDescent="0.45">
      <c r="B245" s="13"/>
      <c r="C245" s="9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</row>
    <row r="246" spans="2:16" ht="16" customHeight="1" x14ac:dyDescent="0.45">
      <c r="B246" s="13"/>
      <c r="C246" s="9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</row>
    <row r="247" spans="2:16" ht="16" customHeight="1" x14ac:dyDescent="0.45">
      <c r="B247" s="13"/>
      <c r="C247" s="9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</row>
    <row r="248" spans="2:16" ht="16" customHeight="1" x14ac:dyDescent="0.45">
      <c r="B248" s="13"/>
      <c r="C248" s="9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</row>
    <row r="249" spans="2:16" ht="16" customHeight="1" x14ac:dyDescent="0.45">
      <c r="B249" s="13"/>
      <c r="C249" s="9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</row>
    <row r="250" spans="2:16" ht="16" customHeight="1" x14ac:dyDescent="0.45">
      <c r="B250" s="13"/>
      <c r="C250" s="9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</row>
    <row r="251" spans="2:16" ht="16" customHeight="1" x14ac:dyDescent="0.45">
      <c r="B251" s="13"/>
      <c r="C251" s="9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</row>
    <row r="252" spans="2:16" ht="16" customHeight="1" x14ac:dyDescent="0.45">
      <c r="B252" s="13"/>
      <c r="C252" s="9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</row>
    <row r="253" spans="2:16" ht="16" customHeight="1" x14ac:dyDescent="0.45">
      <c r="B253" s="13"/>
      <c r="C253" s="9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</row>
    <row r="254" spans="2:16" ht="16" customHeight="1" x14ac:dyDescent="0.45">
      <c r="B254" s="13"/>
      <c r="C254" s="9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</row>
    <row r="255" spans="2:16" ht="16" customHeight="1" x14ac:dyDescent="0.45">
      <c r="B255" s="13"/>
      <c r="C255" s="9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</row>
    <row r="256" spans="2:16" ht="16" customHeight="1" x14ac:dyDescent="0.45">
      <c r="B256" s="13"/>
      <c r="C256" s="9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</row>
    <row r="257" spans="2:16" ht="16" customHeight="1" x14ac:dyDescent="0.45">
      <c r="B257" s="13"/>
      <c r="C257" s="9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</row>
    <row r="258" spans="2:16" ht="16" customHeight="1" x14ac:dyDescent="0.45">
      <c r="B258" s="13"/>
      <c r="C258" s="9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</row>
    <row r="259" spans="2:16" ht="16" customHeight="1" x14ac:dyDescent="0.45">
      <c r="B259" s="13"/>
      <c r="C259" s="9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</row>
    <row r="260" spans="2:16" ht="16" customHeight="1" x14ac:dyDescent="0.45">
      <c r="B260" s="13"/>
      <c r="C260" s="9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</row>
    <row r="261" spans="2:16" ht="16" customHeight="1" x14ac:dyDescent="0.45">
      <c r="B261" s="13"/>
      <c r="C261" s="9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</row>
    <row r="262" spans="2:16" ht="16" customHeight="1" x14ac:dyDescent="0.45">
      <c r="B262" s="13"/>
      <c r="C262" s="9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</row>
    <row r="263" spans="2:16" ht="16" customHeight="1" x14ac:dyDescent="0.45">
      <c r="B263" s="13"/>
      <c r="C263" s="9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</row>
    <row r="264" spans="2:16" ht="16" customHeight="1" x14ac:dyDescent="0.45">
      <c r="B264" s="13"/>
      <c r="C264" s="9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</row>
    <row r="265" spans="2:16" ht="16" customHeight="1" x14ac:dyDescent="0.45">
      <c r="B265" s="13"/>
      <c r="C265" s="9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</row>
    <row r="266" spans="2:16" ht="16" customHeight="1" x14ac:dyDescent="0.45">
      <c r="B266" s="13"/>
      <c r="C266" s="9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</row>
    <row r="267" spans="2:16" ht="16" customHeight="1" x14ac:dyDescent="0.45">
      <c r="B267" s="13"/>
      <c r="C267" s="9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</row>
    <row r="268" spans="2:16" ht="16" customHeight="1" x14ac:dyDescent="0.45">
      <c r="B268" s="13"/>
      <c r="C268" s="9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</row>
    <row r="269" spans="2:16" ht="16" customHeight="1" x14ac:dyDescent="0.45">
      <c r="B269" s="13"/>
      <c r="C269" s="9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</row>
    <row r="270" spans="2:16" ht="16" customHeight="1" x14ac:dyDescent="0.45">
      <c r="B270" s="13"/>
      <c r="C270" s="9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</row>
    <row r="271" spans="2:16" ht="16" customHeight="1" x14ac:dyDescent="0.45">
      <c r="B271" s="13"/>
      <c r="C271" s="9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</row>
    <row r="272" spans="2:16" ht="16" customHeight="1" x14ac:dyDescent="0.45">
      <c r="B272" s="13"/>
      <c r="C272" s="9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</row>
    <row r="273" spans="2:16" ht="16" customHeight="1" x14ac:dyDescent="0.45">
      <c r="B273" s="13"/>
      <c r="C273" s="9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</row>
    <row r="274" spans="2:16" ht="16" customHeight="1" x14ac:dyDescent="0.45">
      <c r="B274" s="13"/>
      <c r="C274" s="9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</row>
    <row r="275" spans="2:16" ht="16" customHeight="1" x14ac:dyDescent="0.45">
      <c r="B275" s="13"/>
      <c r="C275" s="9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</row>
    <row r="276" spans="2:16" ht="16" customHeight="1" x14ac:dyDescent="0.45">
      <c r="B276" s="13"/>
      <c r="C276" s="9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</row>
    <row r="277" spans="2:16" ht="16" customHeight="1" x14ac:dyDescent="0.45">
      <c r="B277" s="13"/>
      <c r="C277" s="9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</row>
    <row r="278" spans="2:16" ht="16" customHeight="1" x14ac:dyDescent="0.45">
      <c r="B278" s="13"/>
      <c r="C278" s="9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</row>
    <row r="279" spans="2:16" ht="16" customHeight="1" x14ac:dyDescent="0.45">
      <c r="B279" s="13"/>
      <c r="C279" s="9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</row>
    <row r="280" spans="2:16" ht="16" customHeight="1" x14ac:dyDescent="0.45">
      <c r="B280" s="13"/>
      <c r="C280" s="9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</row>
    <row r="281" spans="2:16" ht="16" customHeight="1" x14ac:dyDescent="0.45">
      <c r="B281" s="13"/>
      <c r="C281" s="9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</row>
    <row r="282" spans="2:16" ht="16" customHeight="1" x14ac:dyDescent="0.45">
      <c r="B282" s="13"/>
      <c r="C282" s="9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</row>
    <row r="283" spans="2:16" ht="16" customHeight="1" x14ac:dyDescent="0.45">
      <c r="B283" s="13"/>
      <c r="C283" s="9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</row>
    <row r="284" spans="2:16" ht="16" customHeight="1" x14ac:dyDescent="0.45">
      <c r="B284" s="13"/>
      <c r="C284" s="9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</row>
    <row r="285" spans="2:16" ht="16" customHeight="1" x14ac:dyDescent="0.45">
      <c r="B285" s="13"/>
      <c r="C285" s="9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</row>
    <row r="286" spans="2:16" ht="16" customHeight="1" x14ac:dyDescent="0.45">
      <c r="B286" s="13"/>
      <c r="C286" s="9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</row>
    <row r="287" spans="2:16" ht="16" customHeight="1" x14ac:dyDescent="0.45">
      <c r="B287" s="13"/>
      <c r="C287" s="9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</row>
    <row r="288" spans="2:16" ht="16" customHeight="1" x14ac:dyDescent="0.45">
      <c r="B288" s="13"/>
      <c r="C288" s="9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</row>
    <row r="289" spans="2:16" ht="16" customHeight="1" x14ac:dyDescent="0.45">
      <c r="B289" s="13"/>
      <c r="C289" s="9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</row>
    <row r="290" spans="2:16" ht="16" customHeight="1" x14ac:dyDescent="0.45">
      <c r="B290" s="13"/>
      <c r="C290" s="9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</row>
    <row r="291" spans="2:16" ht="16" customHeight="1" x14ac:dyDescent="0.45">
      <c r="B291" s="13"/>
      <c r="C291" s="9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</row>
    <row r="292" spans="2:16" ht="16" customHeight="1" x14ac:dyDescent="0.45">
      <c r="B292" s="13"/>
      <c r="C292" s="9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</row>
    <row r="293" spans="2:16" ht="16" customHeight="1" x14ac:dyDescent="0.45">
      <c r="B293" s="13"/>
      <c r="C293" s="9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</row>
    <row r="294" spans="2:16" ht="16" customHeight="1" x14ac:dyDescent="0.45">
      <c r="B294" s="13"/>
      <c r="C294" s="9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</row>
    <row r="295" spans="2:16" ht="16" customHeight="1" x14ac:dyDescent="0.45">
      <c r="B295" s="13"/>
      <c r="C295" s="9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</row>
    <row r="296" spans="2:16" ht="16" customHeight="1" x14ac:dyDescent="0.45">
      <c r="B296" s="13"/>
      <c r="C296" s="9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</row>
    <row r="297" spans="2:16" ht="16" customHeight="1" x14ac:dyDescent="0.45">
      <c r="B297" s="13"/>
      <c r="C297" s="9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</row>
    <row r="298" spans="2:16" ht="16" customHeight="1" x14ac:dyDescent="0.45">
      <c r="B298" s="13"/>
      <c r="C298" s="9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</row>
    <row r="299" spans="2:16" ht="16" customHeight="1" x14ac:dyDescent="0.45">
      <c r="B299" s="13"/>
      <c r="C299" s="9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</row>
    <row r="300" spans="2:16" ht="16" customHeight="1" x14ac:dyDescent="0.45">
      <c r="B300" s="13"/>
      <c r="C300" s="9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</row>
    <row r="301" spans="2:16" ht="16" customHeight="1" x14ac:dyDescent="0.45">
      <c r="B301" s="13"/>
      <c r="C301" s="9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</row>
    <row r="302" spans="2:16" ht="16" customHeight="1" x14ac:dyDescent="0.45">
      <c r="B302" s="13"/>
      <c r="C302" s="9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</row>
    <row r="303" spans="2:16" ht="16" customHeight="1" x14ac:dyDescent="0.45">
      <c r="B303" s="13"/>
      <c r="C303" s="9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</row>
    <row r="304" spans="2:16" ht="16" customHeight="1" x14ac:dyDescent="0.45">
      <c r="B304" s="13"/>
      <c r="C304" s="9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</row>
    <row r="305" spans="2:16" ht="16" customHeight="1" x14ac:dyDescent="0.45">
      <c r="B305" s="13"/>
      <c r="C305" s="9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</row>
    <row r="306" spans="2:16" ht="16" customHeight="1" x14ac:dyDescent="0.45">
      <c r="B306" s="13"/>
      <c r="C306" s="9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</row>
    <row r="307" spans="2:16" ht="16" customHeight="1" x14ac:dyDescent="0.45">
      <c r="B307" s="13"/>
      <c r="C307" s="9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</row>
    <row r="308" spans="2:16" ht="16" customHeight="1" x14ac:dyDescent="0.45">
      <c r="B308" s="13"/>
      <c r="C308" s="9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</row>
    <row r="309" spans="2:16" ht="16" customHeight="1" x14ac:dyDescent="0.45">
      <c r="B309" s="13"/>
      <c r="C309" s="9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</row>
    <row r="310" spans="2:16" ht="16" customHeight="1" x14ac:dyDescent="0.45">
      <c r="B310" s="13"/>
      <c r="C310" s="9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</row>
    <row r="311" spans="2:16" ht="16" customHeight="1" x14ac:dyDescent="0.45">
      <c r="B311" s="13"/>
      <c r="C311" s="9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</row>
    <row r="312" spans="2:16" ht="16" customHeight="1" x14ac:dyDescent="0.45">
      <c r="B312" s="13"/>
      <c r="C312" s="9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</row>
    <row r="313" spans="2:16" ht="16" customHeight="1" x14ac:dyDescent="0.45">
      <c r="B313" s="13"/>
      <c r="C313" s="9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</row>
    <row r="314" spans="2:16" ht="16" customHeight="1" x14ac:dyDescent="0.45">
      <c r="B314" s="13"/>
      <c r="C314" s="9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</row>
    <row r="315" spans="2:16" ht="16" customHeight="1" x14ac:dyDescent="0.45">
      <c r="B315" s="13"/>
      <c r="C315" s="9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</row>
    <row r="316" spans="2:16" ht="16" customHeight="1" x14ac:dyDescent="0.45">
      <c r="B316" s="13"/>
      <c r="C316" s="9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</row>
    <row r="317" spans="2:16" ht="16" customHeight="1" x14ac:dyDescent="0.45">
      <c r="B317" s="13"/>
      <c r="C317" s="9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</row>
    <row r="318" spans="2:16" ht="16" customHeight="1" x14ac:dyDescent="0.45">
      <c r="B318" s="13"/>
      <c r="C318" s="9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</row>
    <row r="319" spans="2:16" ht="16" customHeight="1" x14ac:dyDescent="0.45">
      <c r="B319" s="13"/>
      <c r="C319" s="9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</row>
    <row r="320" spans="2:16" ht="16" customHeight="1" x14ac:dyDescent="0.45">
      <c r="B320" s="13"/>
      <c r="C320" s="9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</row>
    <row r="321" spans="2:16" ht="16" customHeight="1" x14ac:dyDescent="0.45">
      <c r="B321" s="13"/>
      <c r="C321" s="9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</row>
    <row r="322" spans="2:16" ht="16" customHeight="1" x14ac:dyDescent="0.45">
      <c r="B322" s="13"/>
      <c r="C322" s="9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</row>
    <row r="323" spans="2:16" ht="16" customHeight="1" x14ac:dyDescent="0.45">
      <c r="B323" s="13"/>
      <c r="C323" s="9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</row>
    <row r="324" spans="2:16" ht="16" customHeight="1" x14ac:dyDescent="0.45">
      <c r="B324" s="13"/>
      <c r="C324" s="9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</row>
    <row r="325" spans="2:16" ht="16" customHeight="1" x14ac:dyDescent="0.45">
      <c r="B325" s="13"/>
      <c r="C325" s="9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</row>
    <row r="326" spans="2:16" ht="16" customHeight="1" x14ac:dyDescent="0.45">
      <c r="B326" s="13"/>
      <c r="C326" s="9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</row>
    <row r="327" spans="2:16" ht="16" customHeight="1" x14ac:dyDescent="0.45">
      <c r="B327" s="13"/>
      <c r="C327" s="9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</row>
    <row r="328" spans="2:16" ht="16" customHeight="1" x14ac:dyDescent="0.45">
      <c r="B328" s="13"/>
      <c r="C328" s="9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</row>
    <row r="329" spans="2:16" ht="16" customHeight="1" x14ac:dyDescent="0.45">
      <c r="B329" s="13"/>
      <c r="C329" s="9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</row>
    <row r="330" spans="2:16" ht="16" customHeight="1" x14ac:dyDescent="0.45">
      <c r="B330" s="13"/>
      <c r="C330" s="9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</row>
    <row r="331" spans="2:16" ht="16" customHeight="1" x14ac:dyDescent="0.45">
      <c r="B331" s="13"/>
      <c r="C331" s="9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</row>
    <row r="332" spans="2:16" ht="16" customHeight="1" x14ac:dyDescent="0.45">
      <c r="B332" s="13"/>
      <c r="C332" s="9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</row>
    <row r="333" spans="2:16" ht="16" customHeight="1" x14ac:dyDescent="0.45">
      <c r="B333" s="13"/>
      <c r="C333" s="9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</row>
    <row r="334" spans="2:16" ht="16" customHeight="1" x14ac:dyDescent="0.45">
      <c r="B334" s="13"/>
      <c r="C334" s="9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</row>
    <row r="335" spans="2:16" ht="16" customHeight="1" x14ac:dyDescent="0.45">
      <c r="B335" s="13"/>
      <c r="C335" s="9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</row>
    <row r="336" spans="2:16" ht="16" customHeight="1" x14ac:dyDescent="0.45">
      <c r="B336" s="13"/>
      <c r="C336" s="9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</row>
    <row r="337" spans="2:16" ht="16" customHeight="1" x14ac:dyDescent="0.45">
      <c r="B337" s="13"/>
      <c r="C337" s="9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</row>
    <row r="338" spans="2:16" ht="16" customHeight="1" x14ac:dyDescent="0.45">
      <c r="B338" s="13"/>
      <c r="C338" s="9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</row>
    <row r="339" spans="2:16" ht="16" customHeight="1" x14ac:dyDescent="0.45">
      <c r="B339" s="13"/>
      <c r="C339" s="9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</row>
    <row r="340" spans="2:16" ht="16" customHeight="1" x14ac:dyDescent="0.45">
      <c r="B340" s="13"/>
      <c r="C340" s="9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</row>
    <row r="341" spans="2:16" ht="16" customHeight="1" x14ac:dyDescent="0.45">
      <c r="B341" s="13"/>
      <c r="C341" s="9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</row>
    <row r="342" spans="2:16" ht="16" customHeight="1" x14ac:dyDescent="0.45">
      <c r="B342" s="13"/>
      <c r="C342" s="9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</row>
    <row r="343" spans="2:16" ht="16" customHeight="1" x14ac:dyDescent="0.45">
      <c r="B343" s="13"/>
      <c r="C343" s="9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</row>
    <row r="344" spans="2:16" ht="16" customHeight="1" x14ac:dyDescent="0.45">
      <c r="B344" s="13"/>
      <c r="C344" s="9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</row>
    <row r="345" spans="2:16" ht="16" customHeight="1" x14ac:dyDescent="0.45">
      <c r="B345" s="13"/>
      <c r="C345" s="9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</row>
    <row r="346" spans="2:16" ht="16" customHeight="1" x14ac:dyDescent="0.45">
      <c r="B346" s="13"/>
      <c r="C346" s="9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</row>
    <row r="347" spans="2:16" ht="16" customHeight="1" x14ac:dyDescent="0.45">
      <c r="B347" s="13"/>
      <c r="C347" s="9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</row>
    <row r="348" spans="2:16" ht="16" customHeight="1" x14ac:dyDescent="0.45">
      <c r="B348" s="13"/>
      <c r="C348" s="9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</row>
    <row r="349" spans="2:16" ht="16" customHeight="1" x14ac:dyDescent="0.45">
      <c r="B349" s="13"/>
      <c r="C349" s="9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</row>
    <row r="350" spans="2:16" ht="16" customHeight="1" x14ac:dyDescent="0.45">
      <c r="B350" s="13"/>
      <c r="C350" s="9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</row>
    <row r="351" spans="2:16" ht="16" customHeight="1" x14ac:dyDescent="0.45">
      <c r="B351" s="13"/>
      <c r="C351" s="9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</row>
    <row r="352" spans="2:16" ht="16" customHeight="1" x14ac:dyDescent="0.45">
      <c r="B352" s="13"/>
      <c r="C352" s="9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</row>
    <row r="353" spans="2:16" ht="16" customHeight="1" x14ac:dyDescent="0.45">
      <c r="B353" s="13"/>
      <c r="C353" s="9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</row>
    <row r="354" spans="2:16" ht="16" customHeight="1" x14ac:dyDescent="0.45">
      <c r="B354" s="13"/>
      <c r="C354" s="9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</row>
    <row r="355" spans="2:16" ht="16" customHeight="1" x14ac:dyDescent="0.45">
      <c r="B355" s="13"/>
      <c r="C355" s="9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</row>
    <row r="356" spans="2:16" ht="16" customHeight="1" x14ac:dyDescent="0.45">
      <c r="B356" s="13"/>
      <c r="C356" s="9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</row>
    <row r="357" spans="2:16" ht="16" customHeight="1" x14ac:dyDescent="0.45">
      <c r="B357" s="13"/>
      <c r="C357" s="9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</row>
    <row r="358" spans="2:16" ht="16" customHeight="1" x14ac:dyDescent="0.45">
      <c r="B358" s="13"/>
      <c r="C358" s="9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</row>
    <row r="359" spans="2:16" ht="16" customHeight="1" x14ac:dyDescent="0.45">
      <c r="B359" s="13"/>
      <c r="C359" s="9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</row>
    <row r="360" spans="2:16" ht="16" customHeight="1" x14ac:dyDescent="0.45">
      <c r="B360" s="13"/>
      <c r="C360" s="9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</row>
    <row r="361" spans="2:16" ht="16" customHeight="1" x14ac:dyDescent="0.45">
      <c r="B361" s="13"/>
      <c r="C361" s="9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</row>
    <row r="362" spans="2:16" ht="16" customHeight="1" x14ac:dyDescent="0.45">
      <c r="B362" s="13"/>
      <c r="C362" s="9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</row>
    <row r="363" spans="2:16" ht="16" customHeight="1" x14ac:dyDescent="0.45">
      <c r="B363" s="13"/>
      <c r="C363" s="9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</row>
    <row r="364" spans="2:16" ht="16" customHeight="1" x14ac:dyDescent="0.45">
      <c r="B364" s="13"/>
      <c r="C364" s="9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</row>
    <row r="365" spans="2:16" ht="16" customHeight="1" x14ac:dyDescent="0.45">
      <c r="B365" s="13"/>
      <c r="C365" s="9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</row>
    <row r="366" spans="2:16" ht="16" customHeight="1" x14ac:dyDescent="0.45">
      <c r="B366" s="13"/>
      <c r="C366" s="9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</row>
    <row r="367" spans="2:16" ht="16" customHeight="1" x14ac:dyDescent="0.45">
      <c r="B367" s="13"/>
      <c r="C367" s="9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</row>
    <row r="368" spans="2:16" ht="16" customHeight="1" x14ac:dyDescent="0.45">
      <c r="B368" s="13"/>
      <c r="C368" s="9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</row>
    <row r="369" spans="2:16" ht="16" customHeight="1" x14ac:dyDescent="0.45">
      <c r="B369" s="13"/>
      <c r="C369" s="9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</row>
    <row r="370" spans="2:16" ht="16" customHeight="1" x14ac:dyDescent="0.45">
      <c r="B370" s="13"/>
      <c r="C370" s="9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</row>
    <row r="371" spans="2:16" ht="16" customHeight="1" x14ac:dyDescent="0.45">
      <c r="B371" s="13"/>
      <c r="C371" s="9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</row>
    <row r="372" spans="2:16" ht="16" customHeight="1" x14ac:dyDescent="0.45">
      <c r="B372" s="13"/>
      <c r="C372" s="9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</row>
    <row r="373" spans="2:16" ht="16" customHeight="1" x14ac:dyDescent="0.45">
      <c r="B373" s="13"/>
      <c r="C373" s="9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</row>
    <row r="374" spans="2:16" ht="16" customHeight="1" x14ac:dyDescent="0.45">
      <c r="B374" s="13"/>
      <c r="C374" s="9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</row>
    <row r="375" spans="2:16" ht="16" customHeight="1" x14ac:dyDescent="0.45">
      <c r="B375" s="13"/>
      <c r="C375" s="9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</row>
    <row r="376" spans="2:16" ht="16" customHeight="1" x14ac:dyDescent="0.45">
      <c r="B376" s="13"/>
      <c r="C376" s="9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</row>
    <row r="377" spans="2:16" ht="16" customHeight="1" x14ac:dyDescent="0.45">
      <c r="B377" s="13"/>
      <c r="C377" s="9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</row>
    <row r="378" spans="2:16" ht="16" customHeight="1" x14ac:dyDescent="0.45">
      <c r="B378" s="13"/>
      <c r="C378" s="9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</row>
    <row r="379" spans="2:16" ht="16" customHeight="1" x14ac:dyDescent="0.45">
      <c r="B379" s="13"/>
      <c r="C379" s="9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</row>
    <row r="380" spans="2:16" ht="16" customHeight="1" x14ac:dyDescent="0.45">
      <c r="B380" s="13"/>
      <c r="C380" s="9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</row>
  </sheetData>
  <mergeCells count="2">
    <mergeCell ref="B4:C4"/>
    <mergeCell ref="B8:C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05F99-7F99-4467-A4AB-662268C002C4}">
  <dimension ref="B3:AH156"/>
  <sheetViews>
    <sheetView showGridLines="0" zoomScale="90" zoomScaleNormal="90" workbookViewId="0">
      <pane xSplit="6" ySplit="8" topLeftCell="G9" activePane="bottomRight" state="frozen"/>
      <selection pane="topRight" activeCell="G1" sqref="G1"/>
      <selection pane="bottomLeft" activeCell="A7" sqref="A7"/>
      <selection pane="bottomRight" activeCell="B4" sqref="B4:E4"/>
    </sheetView>
  </sheetViews>
  <sheetFormatPr defaultColWidth="9.1796875" defaultRowHeight="16" customHeight="1" x14ac:dyDescent="0.35"/>
  <cols>
    <col min="1" max="1" width="1.81640625" style="1" customWidth="1"/>
    <col min="2" max="2" width="10.7265625" style="1" customWidth="1"/>
    <col min="3" max="3" width="50.7265625" style="1" customWidth="1"/>
    <col min="4" max="4" width="1.7265625" style="1" customWidth="1"/>
    <col min="5" max="5" width="14.7265625" style="1" customWidth="1"/>
    <col min="6" max="6" width="1.7265625" style="1" customWidth="1"/>
    <col min="7" max="15" width="14.7265625" style="1" customWidth="1"/>
    <col min="16" max="16" width="1.7265625" style="1" customWidth="1"/>
    <col min="17" max="25" width="14.7265625" style="1" customWidth="1"/>
    <col min="26" max="26" width="1.7265625" style="1" customWidth="1"/>
    <col min="27" max="27" width="14.7265625" style="1" customWidth="1"/>
    <col min="28" max="28" width="1.7265625" style="1" customWidth="1"/>
    <col min="29" max="49" width="14.7265625" style="1" customWidth="1"/>
    <col min="50" max="16384" width="9.1796875" style="1"/>
  </cols>
  <sheetData>
    <row r="3" spans="2:34" ht="16" customHeight="1" x14ac:dyDescent="0.35">
      <c r="B3" s="2" t="s">
        <v>1015</v>
      </c>
    </row>
    <row r="4" spans="2:34" ht="16" customHeight="1" x14ac:dyDescent="0.35">
      <c r="B4" s="33" t="s">
        <v>270</v>
      </c>
      <c r="C4" s="33"/>
      <c r="D4" s="33"/>
      <c r="E4" s="33"/>
    </row>
    <row r="5" spans="2:34" ht="16" customHeight="1" x14ac:dyDescent="0.35">
      <c r="B5" s="4" t="s">
        <v>1016</v>
      </c>
    </row>
    <row r="6" spans="2:34" ht="16" customHeight="1" x14ac:dyDescent="0.35">
      <c r="B6" s="56">
        <v>46194.596613530091</v>
      </c>
      <c r="C6" s="56"/>
    </row>
    <row r="7" spans="2:34" s="57" customFormat="1" ht="26.5" thickBot="1" x14ac:dyDescent="0.4">
      <c r="B7" s="3"/>
      <c r="E7" s="21" t="s">
        <v>1017</v>
      </c>
      <c r="G7" s="58" t="s">
        <v>1018</v>
      </c>
      <c r="H7" s="58" t="s">
        <v>1019</v>
      </c>
      <c r="I7" s="58" t="s">
        <v>1020</v>
      </c>
      <c r="J7" s="58" t="s">
        <v>1021</v>
      </c>
      <c r="K7" s="58" t="s">
        <v>1022</v>
      </c>
      <c r="L7" s="58" t="s">
        <v>1023</v>
      </c>
      <c r="M7" s="58" t="s">
        <v>1024</v>
      </c>
      <c r="N7" s="58" t="s">
        <v>1025</v>
      </c>
      <c r="O7" s="21" t="s">
        <v>1026</v>
      </c>
      <c r="Q7" s="58" t="s">
        <v>1027</v>
      </c>
      <c r="R7" s="58" t="s">
        <v>1028</v>
      </c>
      <c r="S7" s="58" t="s">
        <v>1029</v>
      </c>
      <c r="T7" s="58" t="s">
        <v>1030</v>
      </c>
      <c r="U7" s="58" t="s">
        <v>1031</v>
      </c>
      <c r="V7" s="58" t="s">
        <v>1032</v>
      </c>
      <c r="W7" s="58" t="s">
        <v>1033</v>
      </c>
      <c r="X7" s="58" t="s">
        <v>1034</v>
      </c>
      <c r="Y7" s="21" t="s">
        <v>1035</v>
      </c>
      <c r="AA7" s="21" t="s">
        <v>1036</v>
      </c>
      <c r="AC7" s="58" t="s">
        <v>1037</v>
      </c>
      <c r="AD7" s="58" t="s">
        <v>1038</v>
      </c>
      <c r="AE7" s="21" t="s">
        <v>1039</v>
      </c>
    </row>
    <row r="8" spans="2:34" ht="40" hidden="1" customHeight="1" thickBot="1" x14ac:dyDescent="0.5">
      <c r="B8" s="7"/>
      <c r="C8" s="28"/>
      <c r="D8" s="59"/>
      <c r="E8" s="21" t="s">
        <v>1017</v>
      </c>
      <c r="F8" s="59"/>
      <c r="G8" s="8" t="s">
        <v>1018</v>
      </c>
      <c r="H8" s="8" t="s">
        <v>1019</v>
      </c>
      <c r="I8" s="8" t="s">
        <v>1020</v>
      </c>
      <c r="J8" s="8" t="s">
        <v>1040</v>
      </c>
      <c r="K8" s="8" t="s">
        <v>1022</v>
      </c>
      <c r="L8" s="8" t="s">
        <v>1023</v>
      </c>
      <c r="M8" s="8" t="s">
        <v>1024</v>
      </c>
      <c r="N8" s="8" t="s">
        <v>1025</v>
      </c>
      <c r="O8" s="21" t="s">
        <v>1026</v>
      </c>
      <c r="P8" s="59"/>
      <c r="Q8" s="8" t="s">
        <v>1027</v>
      </c>
      <c r="R8" s="8" t="s">
        <v>1028</v>
      </c>
      <c r="S8" s="8" t="s">
        <v>1029</v>
      </c>
      <c r="T8" s="8" t="s">
        <v>1030</v>
      </c>
      <c r="U8" s="8" t="s">
        <v>1031</v>
      </c>
      <c r="V8" s="8" t="s">
        <v>1032</v>
      </c>
      <c r="W8" s="8" t="s">
        <v>1033</v>
      </c>
      <c r="X8" s="8" t="s">
        <v>1034</v>
      </c>
      <c r="Y8" s="21" t="s">
        <v>1035</v>
      </c>
      <c r="Z8" s="59"/>
      <c r="AA8" s="21" t="s">
        <v>1036</v>
      </c>
      <c r="AB8" s="59"/>
      <c r="AC8" s="8" t="s">
        <v>1037</v>
      </c>
      <c r="AD8" s="8" t="s">
        <v>1038</v>
      </c>
      <c r="AE8" s="21" t="s">
        <v>1039</v>
      </c>
      <c r="AF8" s="9"/>
      <c r="AG8" s="9"/>
      <c r="AH8" s="9"/>
    </row>
    <row r="9" spans="2:34" ht="16" customHeight="1" x14ac:dyDescent="0.45">
      <c r="B9" s="11"/>
      <c r="C9" s="11"/>
      <c r="D9" s="29"/>
      <c r="E9" s="60"/>
      <c r="F9" s="29"/>
      <c r="G9" s="29"/>
      <c r="H9" s="29"/>
      <c r="I9" s="29"/>
      <c r="J9" s="29"/>
      <c r="K9" s="29"/>
      <c r="L9" s="29"/>
      <c r="M9" s="29"/>
      <c r="N9" s="29"/>
      <c r="O9" s="60"/>
      <c r="P9" s="29"/>
      <c r="Q9" s="29"/>
      <c r="R9" s="29"/>
      <c r="S9" s="29"/>
      <c r="T9" s="29"/>
      <c r="U9" s="29"/>
      <c r="V9" s="29"/>
      <c r="W9" s="29"/>
      <c r="X9" s="29"/>
      <c r="Y9" s="60"/>
      <c r="Z9" s="29"/>
      <c r="AA9" s="60"/>
      <c r="AB9" s="12"/>
      <c r="AC9" s="12"/>
      <c r="AD9" s="12"/>
      <c r="AE9" s="22"/>
      <c r="AF9" s="13"/>
      <c r="AG9" s="9"/>
      <c r="AH9" s="13"/>
    </row>
    <row r="10" spans="2:34" ht="16" customHeight="1" x14ac:dyDescent="0.45">
      <c r="B10" s="14" t="s">
        <v>13</v>
      </c>
      <c r="C10" s="14" t="s">
        <v>14</v>
      </c>
      <c r="D10" s="61"/>
      <c r="E10" s="62">
        <f>O10+Y10+AA10+AE10</f>
        <v>6182.1798399999907</v>
      </c>
      <c r="F10" s="61"/>
      <c r="G10" s="30"/>
      <c r="H10" s="30"/>
      <c r="I10" s="30"/>
      <c r="J10" s="30"/>
      <c r="K10" s="30">
        <f>SUM(G10:J10)</f>
        <v>0</v>
      </c>
      <c r="L10" s="30">
        <v>78708.410449999996</v>
      </c>
      <c r="M10" s="30">
        <v>40.231459999999998</v>
      </c>
      <c r="N10" s="30">
        <v>-51737.269</v>
      </c>
      <c r="O10" s="62">
        <f>SUM(K10:N10)</f>
        <v>27011.372909999991</v>
      </c>
      <c r="P10" s="61"/>
      <c r="Q10" s="30"/>
      <c r="R10" s="30">
        <v>14360.296630000001</v>
      </c>
      <c r="S10" s="30">
        <v>664.34037000000001</v>
      </c>
      <c r="T10" s="30"/>
      <c r="U10" s="30"/>
      <c r="V10" s="30"/>
      <c r="W10" s="30">
        <v>4.1739300000000004</v>
      </c>
      <c r="X10" s="30">
        <v>-14865.235000000001</v>
      </c>
      <c r="Y10" s="62">
        <f>SUM(Q10:X10)</f>
        <v>163.57593000000088</v>
      </c>
      <c r="Z10" s="61"/>
      <c r="AA10" s="62">
        <v>-20992.477999999999</v>
      </c>
      <c r="AB10" s="63"/>
      <c r="AC10" s="15"/>
      <c r="AD10" s="15">
        <v>-0.29099999999999998</v>
      </c>
      <c r="AE10" s="23">
        <f>AC10+AD10</f>
        <v>-0.29099999999999998</v>
      </c>
      <c r="AF10" s="13"/>
      <c r="AG10" s="13"/>
      <c r="AH10" s="13"/>
    </row>
    <row r="11" spans="2:34" ht="16" customHeight="1" x14ac:dyDescent="0.45">
      <c r="B11" s="14" t="s">
        <v>15</v>
      </c>
      <c r="C11" s="14" t="s">
        <v>16</v>
      </c>
      <c r="D11" s="61"/>
      <c r="E11" s="62">
        <f>O11+Y11+AA11+AE11</f>
        <v>0</v>
      </c>
      <c r="F11" s="61"/>
      <c r="G11" s="30"/>
      <c r="H11" s="30"/>
      <c r="I11" s="30"/>
      <c r="J11" s="30"/>
      <c r="K11" s="30">
        <f>SUM(G11:J11)</f>
        <v>0</v>
      </c>
      <c r="L11" s="30"/>
      <c r="M11" s="30"/>
      <c r="N11" s="30"/>
      <c r="O11" s="62">
        <f>SUM(K11:N11)</f>
        <v>0</v>
      </c>
      <c r="P11" s="61"/>
      <c r="Q11" s="30"/>
      <c r="R11" s="30"/>
      <c r="S11" s="30"/>
      <c r="T11" s="30"/>
      <c r="U11" s="30"/>
      <c r="V11" s="30"/>
      <c r="W11" s="30"/>
      <c r="X11" s="30"/>
      <c r="Y11" s="62">
        <f>SUM(Q11:X11)</f>
        <v>0</v>
      </c>
      <c r="Z11" s="61"/>
      <c r="AA11" s="62"/>
      <c r="AB11" s="63"/>
      <c r="AC11" s="15"/>
      <c r="AD11" s="15"/>
      <c r="AE11" s="23">
        <f>AC11+AD11</f>
        <v>0</v>
      </c>
      <c r="AF11" s="13"/>
      <c r="AG11" s="13"/>
      <c r="AH11" s="13"/>
    </row>
    <row r="12" spans="2:34" ht="16" customHeight="1" x14ac:dyDescent="0.35">
      <c r="B12" s="14" t="s">
        <v>17</v>
      </c>
      <c r="C12" s="14" t="s">
        <v>18</v>
      </c>
      <c r="D12" s="61"/>
      <c r="E12" s="62">
        <f>O12+Y12+AA12+AE12</f>
        <v>904414.16772000014</v>
      </c>
      <c r="F12" s="61"/>
      <c r="G12" s="30"/>
      <c r="H12" s="30"/>
      <c r="I12" s="30"/>
      <c r="J12" s="30"/>
      <c r="K12" s="30">
        <f>SUM(G12:J12)</f>
        <v>0</v>
      </c>
      <c r="L12" s="30">
        <v>415627.70770000003</v>
      </c>
      <c r="M12" s="30">
        <v>367432.92554000003</v>
      </c>
      <c r="N12" s="30"/>
      <c r="O12" s="62">
        <f>SUM(K12:N12)</f>
        <v>783060.63324000011</v>
      </c>
      <c r="P12" s="61"/>
      <c r="Q12" s="30">
        <v>0.66700000000000004</v>
      </c>
      <c r="R12" s="30">
        <v>56343.642659999998</v>
      </c>
      <c r="S12" s="30">
        <v>63694.338219999998</v>
      </c>
      <c r="T12" s="30"/>
      <c r="U12" s="30"/>
      <c r="V12" s="30"/>
      <c r="W12" s="30">
        <v>1314.8866</v>
      </c>
      <c r="X12" s="30"/>
      <c r="Y12" s="62">
        <f>SUM(Q12:X12)</f>
        <v>121353.53448</v>
      </c>
      <c r="Z12" s="61"/>
      <c r="AA12" s="62"/>
      <c r="AB12" s="63"/>
      <c r="AC12" s="15"/>
      <c r="AD12" s="15"/>
      <c r="AE12" s="23">
        <f>AC12+AD12</f>
        <v>0</v>
      </c>
    </row>
    <row r="13" spans="2:34" ht="16" customHeight="1" x14ac:dyDescent="0.35">
      <c r="B13" s="16" t="s">
        <v>19</v>
      </c>
      <c r="C13" s="16" t="s">
        <v>20</v>
      </c>
      <c r="D13" s="64"/>
      <c r="E13" s="53">
        <f>-(-(E10+E11)-E12)</f>
        <v>910596.34756000014</v>
      </c>
      <c r="F13" s="64"/>
      <c r="G13" s="31">
        <f t="shared" ref="G13:O13" si="0">-(-(G10+G11)-G12)</f>
        <v>0</v>
      </c>
      <c r="H13" s="31">
        <f t="shared" si="0"/>
        <v>0</v>
      </c>
      <c r="I13" s="31">
        <f t="shared" si="0"/>
        <v>0</v>
      </c>
      <c r="J13" s="31">
        <f t="shared" si="0"/>
        <v>0</v>
      </c>
      <c r="K13" s="31">
        <f t="shared" si="0"/>
        <v>0</v>
      </c>
      <c r="L13" s="31">
        <f t="shared" si="0"/>
        <v>494336.11814999999</v>
      </c>
      <c r="M13" s="31">
        <f t="shared" si="0"/>
        <v>367473.15700000001</v>
      </c>
      <c r="N13" s="31">
        <f t="shared" si="0"/>
        <v>-51737.269</v>
      </c>
      <c r="O13" s="53">
        <f t="shared" si="0"/>
        <v>810072.00615000015</v>
      </c>
      <c r="P13" s="64"/>
      <c r="Q13" s="31">
        <f t="shared" ref="Q13:Y13" si="1">-(-(Q10+Q11)-Q12)</f>
        <v>0.66700000000000004</v>
      </c>
      <c r="R13" s="31">
        <f t="shared" si="1"/>
        <v>70703.939289999995</v>
      </c>
      <c r="S13" s="31">
        <f t="shared" si="1"/>
        <v>64358.678589999996</v>
      </c>
      <c r="T13" s="31">
        <f t="shared" si="1"/>
        <v>0</v>
      </c>
      <c r="U13" s="31">
        <f t="shared" si="1"/>
        <v>0</v>
      </c>
      <c r="V13" s="31">
        <f t="shared" si="1"/>
        <v>0</v>
      </c>
      <c r="W13" s="31">
        <f t="shared" si="1"/>
        <v>1319.06053</v>
      </c>
      <c r="X13" s="31">
        <f t="shared" si="1"/>
        <v>-14865.235000000001</v>
      </c>
      <c r="Y13" s="53">
        <f t="shared" si="1"/>
        <v>121517.11041000001</v>
      </c>
      <c r="Z13" s="64"/>
      <c r="AA13" s="53">
        <f>-(-(AA10+AA11)-AA12)</f>
        <v>-20992.477999999999</v>
      </c>
      <c r="AB13" s="65"/>
      <c r="AC13" s="17">
        <f>-(-(AC10+AC11)-AC12)</f>
        <v>0</v>
      </c>
      <c r="AD13" s="17">
        <f>-(-(AD10+AD11)-AD12)</f>
        <v>-0.29099999999999998</v>
      </c>
      <c r="AE13" s="24">
        <f>-(-(AE10+AE11)-AE12)</f>
        <v>-0.29099999999999998</v>
      </c>
    </row>
    <row r="14" spans="2:34" ht="16" customHeight="1" x14ac:dyDescent="0.35">
      <c r="B14" s="11" t="s">
        <v>21</v>
      </c>
      <c r="C14" s="11" t="s">
        <v>22</v>
      </c>
      <c r="D14" s="29"/>
      <c r="E14" s="60"/>
      <c r="F14" s="29"/>
      <c r="G14" s="29"/>
      <c r="H14" s="29"/>
      <c r="I14" s="29"/>
      <c r="J14" s="29"/>
      <c r="K14" s="29"/>
      <c r="L14" s="29"/>
      <c r="M14" s="29"/>
      <c r="N14" s="29"/>
      <c r="O14" s="60"/>
      <c r="P14" s="29"/>
      <c r="Q14" s="29"/>
      <c r="R14" s="29"/>
      <c r="S14" s="29"/>
      <c r="T14" s="29"/>
      <c r="U14" s="29"/>
      <c r="V14" s="29"/>
      <c r="W14" s="29"/>
      <c r="X14" s="29"/>
      <c r="Y14" s="60"/>
      <c r="Z14" s="29"/>
      <c r="AA14" s="60"/>
      <c r="AB14" s="12"/>
      <c r="AC14" s="12"/>
      <c r="AD14" s="12"/>
      <c r="AE14" s="22"/>
    </row>
    <row r="15" spans="2:34" ht="16" customHeight="1" x14ac:dyDescent="0.35">
      <c r="B15" s="14" t="s">
        <v>23</v>
      </c>
      <c r="C15" s="14" t="s">
        <v>24</v>
      </c>
      <c r="D15" s="61"/>
      <c r="E15" s="62">
        <f t="shared" ref="E15:E22" si="2">O15+Y15+AA15+AE15</f>
        <v>-104774.26089999999</v>
      </c>
      <c r="F15" s="61"/>
      <c r="G15" s="30"/>
      <c r="H15" s="30"/>
      <c r="I15" s="30"/>
      <c r="J15" s="30"/>
      <c r="K15" s="30">
        <f t="shared" ref="K15:K22" si="3">SUM(G15:J15)</f>
        <v>0</v>
      </c>
      <c r="L15" s="30">
        <v>-95397.336389999997</v>
      </c>
      <c r="M15" s="30">
        <v>-9204.7188700000006</v>
      </c>
      <c r="N15" s="30"/>
      <c r="O15" s="62">
        <f t="shared" ref="O15:O22" si="4">SUM(K15:N15)</f>
        <v>-104602.05525999999</v>
      </c>
      <c r="P15" s="61"/>
      <c r="Q15" s="30"/>
      <c r="R15" s="30">
        <v>-78.906679999999994</v>
      </c>
      <c r="S15" s="30"/>
      <c r="T15" s="30"/>
      <c r="U15" s="30"/>
      <c r="V15" s="30"/>
      <c r="W15" s="30">
        <v>-93.298959999999994</v>
      </c>
      <c r="X15" s="30"/>
      <c r="Y15" s="62">
        <f t="shared" ref="Y15:Y22" si="5">SUM(Q15:X15)</f>
        <v>-172.20563999999999</v>
      </c>
      <c r="Z15" s="61"/>
      <c r="AA15" s="62"/>
      <c r="AB15" s="63"/>
      <c r="AC15" s="15"/>
      <c r="AD15" s="15"/>
      <c r="AE15" s="23">
        <f t="shared" ref="AE15:AE22" si="6">AC15+AD15</f>
        <v>0</v>
      </c>
    </row>
    <row r="16" spans="2:34" ht="16" customHeight="1" x14ac:dyDescent="0.35">
      <c r="B16" s="14" t="s">
        <v>25</v>
      </c>
      <c r="C16" s="14" t="s">
        <v>26</v>
      </c>
      <c r="D16" s="61"/>
      <c r="E16" s="62">
        <f t="shared" si="2"/>
        <v>-7.16106</v>
      </c>
      <c r="F16" s="61"/>
      <c r="G16" s="30"/>
      <c r="H16" s="30"/>
      <c r="I16" s="30"/>
      <c r="J16" s="30"/>
      <c r="K16" s="30">
        <f t="shared" si="3"/>
        <v>0</v>
      </c>
      <c r="L16" s="30">
        <v>-7.16106</v>
      </c>
      <c r="M16" s="30"/>
      <c r="N16" s="30"/>
      <c r="O16" s="62">
        <f t="shared" si="4"/>
        <v>-7.16106</v>
      </c>
      <c r="P16" s="61"/>
      <c r="Q16" s="30"/>
      <c r="R16" s="30"/>
      <c r="S16" s="30"/>
      <c r="T16" s="30"/>
      <c r="U16" s="30"/>
      <c r="V16" s="30"/>
      <c r="W16" s="30"/>
      <c r="X16" s="30"/>
      <c r="Y16" s="62">
        <f t="shared" si="5"/>
        <v>0</v>
      </c>
      <c r="Z16" s="61"/>
      <c r="AA16" s="62"/>
      <c r="AB16" s="63"/>
      <c r="AC16" s="15"/>
      <c r="AD16" s="15"/>
      <c r="AE16" s="23">
        <f t="shared" si="6"/>
        <v>0</v>
      </c>
    </row>
    <row r="17" spans="2:31" ht="16" customHeight="1" x14ac:dyDescent="0.35">
      <c r="B17" s="14" t="s">
        <v>27</v>
      </c>
      <c r="C17" s="14" t="s">
        <v>28</v>
      </c>
      <c r="D17" s="61"/>
      <c r="E17" s="62">
        <f t="shared" si="2"/>
        <v>-64426.889559999996</v>
      </c>
      <c r="F17" s="61"/>
      <c r="G17" s="30"/>
      <c r="H17" s="30"/>
      <c r="I17" s="30"/>
      <c r="J17" s="30"/>
      <c r="K17" s="30">
        <f t="shared" si="3"/>
        <v>0</v>
      </c>
      <c r="L17" s="30">
        <v>-18816.382829999999</v>
      </c>
      <c r="M17" s="30">
        <v>-45492.209139999999</v>
      </c>
      <c r="N17" s="30"/>
      <c r="O17" s="62">
        <f t="shared" si="4"/>
        <v>-64308.591969999994</v>
      </c>
      <c r="P17" s="61"/>
      <c r="Q17" s="30">
        <v>-0.76114000000000004</v>
      </c>
      <c r="R17" s="30">
        <v>-117.53645</v>
      </c>
      <c r="S17" s="30"/>
      <c r="T17" s="30"/>
      <c r="U17" s="30"/>
      <c r="V17" s="30"/>
      <c r="W17" s="30"/>
      <c r="X17" s="30"/>
      <c r="Y17" s="62">
        <f t="shared" si="5"/>
        <v>-118.29759</v>
      </c>
      <c r="Z17" s="61"/>
      <c r="AA17" s="62"/>
      <c r="AB17" s="63"/>
      <c r="AC17" s="15"/>
      <c r="AD17" s="15"/>
      <c r="AE17" s="23">
        <f t="shared" si="6"/>
        <v>0</v>
      </c>
    </row>
    <row r="18" spans="2:31" ht="16" customHeight="1" x14ac:dyDescent="0.35">
      <c r="B18" s="14" t="s">
        <v>29</v>
      </c>
      <c r="C18" s="14" t="s">
        <v>30</v>
      </c>
      <c r="D18" s="61"/>
      <c r="E18" s="62">
        <f t="shared" si="2"/>
        <v>-9894.1890700000004</v>
      </c>
      <c r="F18" s="61"/>
      <c r="G18" s="30"/>
      <c r="H18" s="30"/>
      <c r="I18" s="30"/>
      <c r="J18" s="30"/>
      <c r="K18" s="30">
        <f t="shared" si="3"/>
        <v>0</v>
      </c>
      <c r="L18" s="30">
        <v>-4690.5147800000004</v>
      </c>
      <c r="M18" s="30">
        <v>-5202.1620599999997</v>
      </c>
      <c r="N18" s="30"/>
      <c r="O18" s="62">
        <f t="shared" si="4"/>
        <v>-9892.6768400000001</v>
      </c>
      <c r="P18" s="61"/>
      <c r="Q18" s="30">
        <v>-1.51223</v>
      </c>
      <c r="R18" s="30"/>
      <c r="S18" s="30"/>
      <c r="T18" s="30"/>
      <c r="U18" s="30"/>
      <c r="V18" s="30"/>
      <c r="W18" s="30"/>
      <c r="X18" s="30"/>
      <c r="Y18" s="62">
        <f t="shared" si="5"/>
        <v>-1.51223</v>
      </c>
      <c r="Z18" s="61"/>
      <c r="AA18" s="62"/>
      <c r="AB18" s="63"/>
      <c r="AC18" s="15"/>
      <c r="AD18" s="15"/>
      <c r="AE18" s="23">
        <f t="shared" si="6"/>
        <v>0</v>
      </c>
    </row>
    <row r="19" spans="2:31" ht="16" customHeight="1" x14ac:dyDescent="0.35">
      <c r="B19" s="14" t="s">
        <v>31</v>
      </c>
      <c r="C19" s="14" t="s">
        <v>32</v>
      </c>
      <c r="D19" s="61"/>
      <c r="E19" s="62">
        <f t="shared" si="2"/>
        <v>-46273.43477</v>
      </c>
      <c r="F19" s="61"/>
      <c r="G19" s="30"/>
      <c r="H19" s="30"/>
      <c r="I19" s="30"/>
      <c r="J19" s="30"/>
      <c r="K19" s="30">
        <f t="shared" si="3"/>
        <v>0</v>
      </c>
      <c r="L19" s="30">
        <v>-28375.9872</v>
      </c>
      <c r="M19" s="30">
        <v>-17854.683260000002</v>
      </c>
      <c r="N19" s="30"/>
      <c r="O19" s="62">
        <f t="shared" si="4"/>
        <v>-46230.670460000001</v>
      </c>
      <c r="P19" s="61"/>
      <c r="Q19" s="30">
        <v>-9.5278500000000008</v>
      </c>
      <c r="R19" s="30">
        <v>-28.546949999999999</v>
      </c>
      <c r="S19" s="30">
        <v>9.6250000000000002E-2</v>
      </c>
      <c r="T19" s="30"/>
      <c r="U19" s="30"/>
      <c r="V19" s="30"/>
      <c r="W19" s="30">
        <v>-4.7857599999999998</v>
      </c>
      <c r="X19" s="30"/>
      <c r="Y19" s="62">
        <f t="shared" si="5"/>
        <v>-42.764309999999995</v>
      </c>
      <c r="Z19" s="61"/>
      <c r="AA19" s="62"/>
      <c r="AB19" s="63"/>
      <c r="AC19" s="15"/>
      <c r="AD19" s="15"/>
      <c r="AE19" s="23">
        <f t="shared" si="6"/>
        <v>0</v>
      </c>
    </row>
    <row r="20" spans="2:31" ht="16" customHeight="1" x14ac:dyDescent="0.35">
      <c r="B20" s="14" t="s">
        <v>33</v>
      </c>
      <c r="C20" s="14" t="s">
        <v>34</v>
      </c>
      <c r="D20" s="61"/>
      <c r="E20" s="62">
        <f t="shared" si="2"/>
        <v>0</v>
      </c>
      <c r="F20" s="61"/>
      <c r="G20" s="30"/>
      <c r="H20" s="30"/>
      <c r="I20" s="30"/>
      <c r="J20" s="30"/>
      <c r="K20" s="30">
        <f t="shared" si="3"/>
        <v>0</v>
      </c>
      <c r="L20" s="30"/>
      <c r="M20" s="30"/>
      <c r="N20" s="30"/>
      <c r="O20" s="62">
        <f t="shared" si="4"/>
        <v>0</v>
      </c>
      <c r="P20" s="61"/>
      <c r="Q20" s="30"/>
      <c r="R20" s="30"/>
      <c r="S20" s="30"/>
      <c r="T20" s="30"/>
      <c r="U20" s="30"/>
      <c r="V20" s="30"/>
      <c r="W20" s="30"/>
      <c r="X20" s="30"/>
      <c r="Y20" s="62">
        <f t="shared" si="5"/>
        <v>0</v>
      </c>
      <c r="Z20" s="61"/>
      <c r="AA20" s="62"/>
      <c r="AB20" s="63"/>
      <c r="AC20" s="15"/>
      <c r="AD20" s="15"/>
      <c r="AE20" s="23">
        <f t="shared" si="6"/>
        <v>0</v>
      </c>
    </row>
    <row r="21" spans="2:31" ht="16" customHeight="1" x14ac:dyDescent="0.35">
      <c r="B21" s="14" t="s">
        <v>35</v>
      </c>
      <c r="C21" s="14" t="s">
        <v>36</v>
      </c>
      <c r="D21" s="61"/>
      <c r="E21" s="62">
        <f t="shared" si="2"/>
        <v>285.94369</v>
      </c>
      <c r="F21" s="61"/>
      <c r="G21" s="30"/>
      <c r="H21" s="30"/>
      <c r="I21" s="30"/>
      <c r="J21" s="30"/>
      <c r="K21" s="30">
        <f t="shared" si="3"/>
        <v>0</v>
      </c>
      <c r="L21" s="30">
        <v>39.471499999999999</v>
      </c>
      <c r="M21" s="30">
        <v>246.47219000000001</v>
      </c>
      <c r="N21" s="30"/>
      <c r="O21" s="62">
        <f t="shared" si="4"/>
        <v>285.94369</v>
      </c>
      <c r="P21" s="61"/>
      <c r="Q21" s="30"/>
      <c r="R21" s="30"/>
      <c r="S21" s="30"/>
      <c r="T21" s="30"/>
      <c r="U21" s="30"/>
      <c r="V21" s="30"/>
      <c r="W21" s="30"/>
      <c r="X21" s="30"/>
      <c r="Y21" s="62">
        <f t="shared" si="5"/>
        <v>0</v>
      </c>
      <c r="Z21" s="61"/>
      <c r="AA21" s="62"/>
      <c r="AB21" s="63"/>
      <c r="AC21" s="15"/>
      <c r="AD21" s="15"/>
      <c r="AE21" s="23">
        <f t="shared" si="6"/>
        <v>0</v>
      </c>
    </row>
    <row r="22" spans="2:31" ht="16" customHeight="1" x14ac:dyDescent="0.35">
      <c r="B22" s="14" t="s">
        <v>37</v>
      </c>
      <c r="C22" s="14" t="s">
        <v>38</v>
      </c>
      <c r="D22" s="61"/>
      <c r="E22" s="62">
        <f t="shared" si="2"/>
        <v>0</v>
      </c>
      <c r="F22" s="61"/>
      <c r="G22" s="30"/>
      <c r="H22" s="30"/>
      <c r="I22" s="30"/>
      <c r="J22" s="30"/>
      <c r="K22" s="30">
        <f t="shared" si="3"/>
        <v>0</v>
      </c>
      <c r="L22" s="30"/>
      <c r="M22" s="30"/>
      <c r="N22" s="30"/>
      <c r="O22" s="62">
        <f t="shared" si="4"/>
        <v>0</v>
      </c>
      <c r="P22" s="61"/>
      <c r="Q22" s="30"/>
      <c r="R22" s="30"/>
      <c r="S22" s="30"/>
      <c r="T22" s="30"/>
      <c r="U22" s="30"/>
      <c r="V22" s="30"/>
      <c r="W22" s="30"/>
      <c r="X22" s="30"/>
      <c r="Y22" s="62">
        <f t="shared" si="5"/>
        <v>0</v>
      </c>
      <c r="Z22" s="61"/>
      <c r="AA22" s="62"/>
      <c r="AB22" s="63"/>
      <c r="AC22" s="15"/>
      <c r="AD22" s="15"/>
      <c r="AE22" s="23">
        <f t="shared" si="6"/>
        <v>0</v>
      </c>
    </row>
    <row r="23" spans="2:31" ht="16" customHeight="1" x14ac:dyDescent="0.35">
      <c r="B23" s="16" t="s">
        <v>39</v>
      </c>
      <c r="C23" s="16" t="s">
        <v>40</v>
      </c>
      <c r="D23" s="64"/>
      <c r="E23" s="53">
        <f>-(-(E15+E16)-E17-E18-E19-E21-E20)</f>
        <v>-225089.99166999999</v>
      </c>
      <c r="F23" s="64"/>
      <c r="G23" s="31">
        <f t="shared" ref="G23:O23" si="7">-(-(G15+G16)-G17-G18-G19-G21-G20)</f>
        <v>0</v>
      </c>
      <c r="H23" s="31">
        <f t="shared" si="7"/>
        <v>0</v>
      </c>
      <c r="I23" s="31">
        <f t="shared" si="7"/>
        <v>0</v>
      </c>
      <c r="J23" s="31">
        <f t="shared" si="7"/>
        <v>0</v>
      </c>
      <c r="K23" s="31">
        <f t="shared" si="7"/>
        <v>0</v>
      </c>
      <c r="L23" s="31">
        <f t="shared" si="7"/>
        <v>-147247.91075999997</v>
      </c>
      <c r="M23" s="31">
        <f t="shared" si="7"/>
        <v>-77507.30114000001</v>
      </c>
      <c r="N23" s="31">
        <f t="shared" si="7"/>
        <v>0</v>
      </c>
      <c r="O23" s="53">
        <f t="shared" si="7"/>
        <v>-224755.21189999999</v>
      </c>
      <c r="P23" s="64"/>
      <c r="Q23" s="31">
        <f t="shared" ref="Q23:Y23" si="8">-(-(Q15+Q16)-Q17-Q18-Q19-Q21-Q20)</f>
        <v>-11.801220000000001</v>
      </c>
      <c r="R23" s="31">
        <f t="shared" si="8"/>
        <v>-224.99008000000001</v>
      </c>
      <c r="S23" s="31">
        <f t="shared" si="8"/>
        <v>9.6250000000000002E-2</v>
      </c>
      <c r="T23" s="31">
        <f t="shared" si="8"/>
        <v>0</v>
      </c>
      <c r="U23" s="31">
        <f t="shared" si="8"/>
        <v>0</v>
      </c>
      <c r="V23" s="31">
        <f t="shared" si="8"/>
        <v>0</v>
      </c>
      <c r="W23" s="31">
        <f t="shared" si="8"/>
        <v>-98.08471999999999</v>
      </c>
      <c r="X23" s="31">
        <f t="shared" si="8"/>
        <v>0</v>
      </c>
      <c r="Y23" s="53">
        <f t="shared" si="8"/>
        <v>-334.77976999999998</v>
      </c>
      <c r="Z23" s="64"/>
      <c r="AA23" s="53">
        <f>-(-(AA15+AA16)-AA17-AA18-AA19-AA21-AA20)</f>
        <v>0</v>
      </c>
      <c r="AB23" s="65"/>
      <c r="AC23" s="17">
        <f>-(-(AC15+AC16)-AC17-AC18-AC19-AC21-AC20)</f>
        <v>0</v>
      </c>
      <c r="AD23" s="17">
        <f>-(-(AD15+AD16)-AD17-AD18-AD19-AD21-AD20)</f>
        <v>0</v>
      </c>
      <c r="AE23" s="24">
        <f>-(-(AE15+AE16)-AE17-AE18-AE19-AE21-AE20)</f>
        <v>0</v>
      </c>
    </row>
    <row r="24" spans="2:31" ht="16" customHeight="1" x14ac:dyDescent="0.35">
      <c r="B24" s="11" t="s">
        <v>41</v>
      </c>
      <c r="C24" s="11" t="s">
        <v>22</v>
      </c>
      <c r="D24" s="29"/>
      <c r="E24" s="60"/>
      <c r="F24" s="29"/>
      <c r="G24" s="29"/>
      <c r="H24" s="29"/>
      <c r="I24" s="29"/>
      <c r="J24" s="29"/>
      <c r="K24" s="29"/>
      <c r="L24" s="29"/>
      <c r="M24" s="29"/>
      <c r="N24" s="29"/>
      <c r="O24" s="60"/>
      <c r="P24" s="29"/>
      <c r="Q24" s="29"/>
      <c r="R24" s="29"/>
      <c r="S24" s="29"/>
      <c r="T24" s="29"/>
      <c r="U24" s="29"/>
      <c r="V24" s="29"/>
      <c r="W24" s="29"/>
      <c r="X24" s="29"/>
      <c r="Y24" s="60"/>
      <c r="Z24" s="29"/>
      <c r="AA24" s="60"/>
      <c r="AB24" s="12"/>
      <c r="AC24" s="12"/>
      <c r="AD24" s="12"/>
      <c r="AE24" s="22"/>
    </row>
    <row r="25" spans="2:31" ht="16" customHeight="1" x14ac:dyDescent="0.35">
      <c r="B25" s="14" t="s">
        <v>42</v>
      </c>
      <c r="C25" s="14" t="s">
        <v>43</v>
      </c>
      <c r="D25" s="61"/>
      <c r="E25" s="62">
        <f t="shared" ref="E25:E38" si="9">O25+Y25+AA25+AE25</f>
        <v>-3574.8331199999998</v>
      </c>
      <c r="F25" s="61"/>
      <c r="G25" s="30"/>
      <c r="H25" s="30"/>
      <c r="I25" s="30"/>
      <c r="J25" s="30"/>
      <c r="K25" s="30">
        <f t="shared" ref="K25:K38" si="10">SUM(G25:J25)</f>
        <v>0</v>
      </c>
      <c r="L25" s="30">
        <v>-3180.41005</v>
      </c>
      <c r="M25" s="30"/>
      <c r="N25" s="30"/>
      <c r="O25" s="62">
        <f t="shared" ref="O25:O38" si="11">SUM(K25:N25)</f>
        <v>-3180.41005</v>
      </c>
      <c r="P25" s="61"/>
      <c r="Q25" s="30"/>
      <c r="R25" s="30">
        <v>-74.276169999999993</v>
      </c>
      <c r="S25" s="30"/>
      <c r="T25" s="30"/>
      <c r="U25" s="30"/>
      <c r="V25" s="30"/>
      <c r="W25" s="30">
        <v>-320.14690000000002</v>
      </c>
      <c r="X25" s="30"/>
      <c r="Y25" s="62">
        <f t="shared" ref="Y25:Y38" si="12">SUM(Q25:X25)</f>
        <v>-394.42307</v>
      </c>
      <c r="Z25" s="61"/>
      <c r="AA25" s="62"/>
      <c r="AB25" s="63"/>
      <c r="AC25" s="15"/>
      <c r="AD25" s="15"/>
      <c r="AE25" s="23">
        <f t="shared" ref="AE25:AE38" si="13">AC25+AD25</f>
        <v>0</v>
      </c>
    </row>
    <row r="26" spans="2:31" ht="16" customHeight="1" x14ac:dyDescent="0.35">
      <c r="B26" s="14" t="s">
        <v>44</v>
      </c>
      <c r="C26" s="14" t="s">
        <v>45</v>
      </c>
      <c r="D26" s="61"/>
      <c r="E26" s="62">
        <f t="shared" si="9"/>
        <v>-324001.46051</v>
      </c>
      <c r="F26" s="61"/>
      <c r="G26" s="30"/>
      <c r="H26" s="30"/>
      <c r="I26" s="30"/>
      <c r="J26" s="30"/>
      <c r="K26" s="30">
        <f t="shared" si="10"/>
        <v>0</v>
      </c>
      <c r="L26" s="30">
        <v>-27416.503560000001</v>
      </c>
      <c r="M26" s="30">
        <v>-220040.4197</v>
      </c>
      <c r="N26" s="30"/>
      <c r="O26" s="62">
        <f t="shared" si="11"/>
        <v>-247456.92326000001</v>
      </c>
      <c r="P26" s="61"/>
      <c r="Q26" s="30">
        <v>-2.2399999999999998E-3</v>
      </c>
      <c r="R26" s="30">
        <v>-40626.45147</v>
      </c>
      <c r="S26" s="30">
        <v>-35914.84188</v>
      </c>
      <c r="T26" s="30"/>
      <c r="U26" s="30"/>
      <c r="V26" s="30"/>
      <c r="W26" s="30">
        <v>-3.24166</v>
      </c>
      <c r="X26" s="30"/>
      <c r="Y26" s="62">
        <f t="shared" si="12"/>
        <v>-76544.537249999994</v>
      </c>
      <c r="Z26" s="61"/>
      <c r="AA26" s="62"/>
      <c r="AB26" s="63"/>
      <c r="AC26" s="15"/>
      <c r="AD26" s="15"/>
      <c r="AE26" s="23">
        <f t="shared" si="13"/>
        <v>0</v>
      </c>
    </row>
    <row r="27" spans="2:31" ht="16" customHeight="1" x14ac:dyDescent="0.35">
      <c r="B27" s="14" t="s">
        <v>46</v>
      </c>
      <c r="C27" s="14" t="s">
        <v>47</v>
      </c>
      <c r="D27" s="61"/>
      <c r="E27" s="62">
        <f t="shared" si="9"/>
        <v>-14510.7989</v>
      </c>
      <c r="F27" s="61"/>
      <c r="G27" s="30"/>
      <c r="H27" s="30"/>
      <c r="I27" s="30"/>
      <c r="J27" s="30"/>
      <c r="K27" s="30">
        <f t="shared" si="10"/>
        <v>0</v>
      </c>
      <c r="L27" s="30">
        <v>-8782.9235399999998</v>
      </c>
      <c r="M27" s="30">
        <v>-1796.7401600000001</v>
      </c>
      <c r="N27" s="30"/>
      <c r="O27" s="62">
        <f t="shared" si="11"/>
        <v>-10579.663699999999</v>
      </c>
      <c r="P27" s="61"/>
      <c r="Q27" s="30">
        <v>-6.7945500000000001</v>
      </c>
      <c r="R27" s="30">
        <v>-3279.65434</v>
      </c>
      <c r="S27" s="30">
        <v>-644.68631000000005</v>
      </c>
      <c r="T27" s="30"/>
      <c r="U27" s="30"/>
      <c r="V27" s="30"/>
      <c r="W27" s="30"/>
      <c r="X27" s="30"/>
      <c r="Y27" s="62">
        <f t="shared" si="12"/>
        <v>-3931.1352000000002</v>
      </c>
      <c r="Z27" s="61"/>
      <c r="AA27" s="62"/>
      <c r="AB27" s="63"/>
      <c r="AC27" s="15"/>
      <c r="AD27" s="15"/>
      <c r="AE27" s="23">
        <f t="shared" si="13"/>
        <v>0</v>
      </c>
    </row>
    <row r="28" spans="2:31" ht="16" customHeight="1" x14ac:dyDescent="0.35">
      <c r="B28" s="14" t="s">
        <v>48</v>
      </c>
      <c r="C28" s="14" t="s">
        <v>49</v>
      </c>
      <c r="D28" s="61"/>
      <c r="E28" s="62">
        <f t="shared" si="9"/>
        <v>0</v>
      </c>
      <c r="F28" s="61"/>
      <c r="G28" s="30"/>
      <c r="H28" s="30"/>
      <c r="I28" s="30"/>
      <c r="J28" s="30"/>
      <c r="K28" s="30">
        <f t="shared" si="10"/>
        <v>0</v>
      </c>
      <c r="L28" s="30"/>
      <c r="M28" s="30"/>
      <c r="N28" s="30"/>
      <c r="O28" s="62">
        <f t="shared" si="11"/>
        <v>0</v>
      </c>
      <c r="P28" s="61"/>
      <c r="Q28" s="30"/>
      <c r="R28" s="30"/>
      <c r="S28" s="30"/>
      <c r="T28" s="30"/>
      <c r="U28" s="30"/>
      <c r="V28" s="30"/>
      <c r="W28" s="30"/>
      <c r="X28" s="30"/>
      <c r="Y28" s="62">
        <f t="shared" si="12"/>
        <v>0</v>
      </c>
      <c r="Z28" s="61"/>
      <c r="AA28" s="62"/>
      <c r="AB28" s="63"/>
      <c r="AC28" s="15"/>
      <c r="AD28" s="15"/>
      <c r="AE28" s="23">
        <f t="shared" si="13"/>
        <v>0</v>
      </c>
    </row>
    <row r="29" spans="2:31" ht="16" customHeight="1" x14ac:dyDescent="0.35">
      <c r="B29" s="14" t="s">
        <v>50</v>
      </c>
      <c r="C29" s="14" t="s">
        <v>51</v>
      </c>
      <c r="D29" s="61"/>
      <c r="E29" s="62">
        <f t="shared" si="9"/>
        <v>-13888.88961</v>
      </c>
      <c r="F29" s="61"/>
      <c r="G29" s="30"/>
      <c r="H29" s="30"/>
      <c r="I29" s="30"/>
      <c r="J29" s="30"/>
      <c r="K29" s="30">
        <f t="shared" si="10"/>
        <v>0</v>
      </c>
      <c r="L29" s="30">
        <v>-10703.283579999999</v>
      </c>
      <c r="M29" s="30">
        <v>-1768.41083</v>
      </c>
      <c r="N29" s="30"/>
      <c r="O29" s="62">
        <f t="shared" si="11"/>
        <v>-12471.69441</v>
      </c>
      <c r="P29" s="61"/>
      <c r="Q29" s="30"/>
      <c r="R29" s="30">
        <v>-1398.08817</v>
      </c>
      <c r="S29" s="30">
        <v>-19.107030000000002</v>
      </c>
      <c r="T29" s="30"/>
      <c r="U29" s="30"/>
      <c r="V29" s="30"/>
      <c r="W29" s="30"/>
      <c r="X29" s="30"/>
      <c r="Y29" s="62">
        <f t="shared" si="12"/>
        <v>-1417.1951999999999</v>
      </c>
      <c r="Z29" s="61"/>
      <c r="AA29" s="62"/>
      <c r="AB29" s="63"/>
      <c r="AC29" s="15"/>
      <c r="AD29" s="15"/>
      <c r="AE29" s="23">
        <f t="shared" si="13"/>
        <v>0</v>
      </c>
    </row>
    <row r="30" spans="2:31" ht="16" customHeight="1" x14ac:dyDescent="0.35">
      <c r="B30" s="14" t="s">
        <v>52</v>
      </c>
      <c r="C30" s="14" t="s">
        <v>53</v>
      </c>
      <c r="D30" s="61"/>
      <c r="E30" s="62">
        <f t="shared" si="9"/>
        <v>-131763.94818000001</v>
      </c>
      <c r="F30" s="61"/>
      <c r="G30" s="30"/>
      <c r="H30" s="30"/>
      <c r="I30" s="30"/>
      <c r="J30" s="30"/>
      <c r="K30" s="30">
        <f t="shared" si="10"/>
        <v>0</v>
      </c>
      <c r="L30" s="30">
        <v>-72938.73762</v>
      </c>
      <c r="M30" s="30">
        <v>-27616.78311</v>
      </c>
      <c r="N30" s="30"/>
      <c r="O30" s="62">
        <f t="shared" si="11"/>
        <v>-100555.52073</v>
      </c>
      <c r="P30" s="61"/>
      <c r="Q30" s="30"/>
      <c r="R30" s="30">
        <v>-10010.066510000001</v>
      </c>
      <c r="S30" s="30">
        <v>-20876.046350000001</v>
      </c>
      <c r="T30" s="30"/>
      <c r="U30" s="30"/>
      <c r="V30" s="30"/>
      <c r="W30" s="30">
        <v>-322.31459000000001</v>
      </c>
      <c r="X30" s="30"/>
      <c r="Y30" s="62">
        <f t="shared" si="12"/>
        <v>-31208.427450000003</v>
      </c>
      <c r="Z30" s="61"/>
      <c r="AA30" s="62"/>
      <c r="AB30" s="63"/>
      <c r="AC30" s="15"/>
      <c r="AD30" s="15"/>
      <c r="AE30" s="23">
        <f t="shared" si="13"/>
        <v>0</v>
      </c>
    </row>
    <row r="31" spans="2:31" ht="16" customHeight="1" x14ac:dyDescent="0.35">
      <c r="B31" s="14" t="s">
        <v>54</v>
      </c>
      <c r="C31" s="14" t="s">
        <v>55</v>
      </c>
      <c r="D31" s="61"/>
      <c r="E31" s="62">
        <f t="shared" si="9"/>
        <v>-65327.998970000001</v>
      </c>
      <c r="F31" s="61"/>
      <c r="G31" s="30"/>
      <c r="H31" s="30"/>
      <c r="I31" s="30"/>
      <c r="J31" s="30"/>
      <c r="K31" s="30">
        <f t="shared" si="10"/>
        <v>0</v>
      </c>
      <c r="L31" s="30">
        <v>-50027.94182</v>
      </c>
      <c r="M31" s="30">
        <v>-8528.9860000000008</v>
      </c>
      <c r="N31" s="30"/>
      <c r="O31" s="62">
        <f t="shared" si="11"/>
        <v>-58556.927819999997</v>
      </c>
      <c r="P31" s="61"/>
      <c r="Q31" s="30"/>
      <c r="R31" s="30">
        <v>-4430.8750300000002</v>
      </c>
      <c r="S31" s="30">
        <v>-2321.8774800000001</v>
      </c>
      <c r="T31" s="30"/>
      <c r="U31" s="30"/>
      <c r="V31" s="30"/>
      <c r="W31" s="30">
        <v>-18.318639999999998</v>
      </c>
      <c r="X31" s="30"/>
      <c r="Y31" s="62">
        <f t="shared" si="12"/>
        <v>-6771.0711500000007</v>
      </c>
      <c r="Z31" s="61"/>
      <c r="AA31" s="62"/>
      <c r="AB31" s="63"/>
      <c r="AC31" s="15"/>
      <c r="AD31" s="15"/>
      <c r="AE31" s="23">
        <f t="shared" si="13"/>
        <v>0</v>
      </c>
    </row>
    <row r="32" spans="2:31" ht="16" customHeight="1" x14ac:dyDescent="0.35">
      <c r="B32" s="14" t="s">
        <v>56</v>
      </c>
      <c r="C32" s="14" t="s">
        <v>57</v>
      </c>
      <c r="D32" s="61"/>
      <c r="E32" s="62">
        <f t="shared" si="9"/>
        <v>-91352.464430000007</v>
      </c>
      <c r="F32" s="61"/>
      <c r="G32" s="30"/>
      <c r="H32" s="30"/>
      <c r="I32" s="30"/>
      <c r="J32" s="30"/>
      <c r="K32" s="30">
        <f t="shared" si="10"/>
        <v>0</v>
      </c>
      <c r="L32" s="30">
        <v>-61503.99091</v>
      </c>
      <c r="M32" s="30">
        <v>-19544.372899999998</v>
      </c>
      <c r="N32" s="30"/>
      <c r="O32" s="62">
        <f t="shared" si="11"/>
        <v>-81048.363809999995</v>
      </c>
      <c r="P32" s="61"/>
      <c r="Q32" s="30">
        <v>22.208539999999999</v>
      </c>
      <c r="R32" s="30">
        <v>-4954.2856499999998</v>
      </c>
      <c r="S32" s="30">
        <v>-5212.0774899999997</v>
      </c>
      <c r="T32" s="30"/>
      <c r="U32" s="30"/>
      <c r="V32" s="30"/>
      <c r="W32" s="30">
        <v>-159.946</v>
      </c>
      <c r="X32" s="30"/>
      <c r="Y32" s="62">
        <f t="shared" si="12"/>
        <v>-10304.1006</v>
      </c>
      <c r="Z32" s="61"/>
      <c r="AA32" s="62"/>
      <c r="AB32" s="63"/>
      <c r="AC32" s="15">
        <v>-2.0000000000000002E-5</v>
      </c>
      <c r="AD32" s="15"/>
      <c r="AE32" s="23">
        <f t="shared" si="13"/>
        <v>-2.0000000000000002E-5</v>
      </c>
    </row>
    <row r="33" spans="2:31" ht="16" customHeight="1" x14ac:dyDescent="0.35">
      <c r="B33" s="14" t="s">
        <v>58</v>
      </c>
      <c r="C33" s="14" t="s">
        <v>59</v>
      </c>
      <c r="D33" s="61"/>
      <c r="E33" s="62">
        <f t="shared" si="9"/>
        <v>11126.2104</v>
      </c>
      <c r="F33" s="61"/>
      <c r="G33" s="30"/>
      <c r="H33" s="30"/>
      <c r="I33" s="30"/>
      <c r="J33" s="30"/>
      <c r="K33" s="30">
        <f t="shared" si="10"/>
        <v>0</v>
      </c>
      <c r="L33" s="30">
        <v>11474.350189999999</v>
      </c>
      <c r="M33" s="30"/>
      <c r="N33" s="30"/>
      <c r="O33" s="62">
        <f t="shared" si="11"/>
        <v>11474.350189999999</v>
      </c>
      <c r="P33" s="61"/>
      <c r="Q33" s="30">
        <v>24.393509999999999</v>
      </c>
      <c r="R33" s="30">
        <v>-110.75434</v>
      </c>
      <c r="S33" s="30">
        <v>2.6505700000000001</v>
      </c>
      <c r="T33" s="30"/>
      <c r="U33" s="30"/>
      <c r="V33" s="30"/>
      <c r="W33" s="30">
        <v>-264.42953</v>
      </c>
      <c r="X33" s="30"/>
      <c r="Y33" s="62">
        <f t="shared" si="12"/>
        <v>-348.13979</v>
      </c>
      <c r="Z33" s="61"/>
      <c r="AA33" s="62"/>
      <c r="AB33" s="63"/>
      <c r="AC33" s="15"/>
      <c r="AD33" s="15"/>
      <c r="AE33" s="23">
        <f t="shared" si="13"/>
        <v>0</v>
      </c>
    </row>
    <row r="34" spans="2:31" ht="16" customHeight="1" x14ac:dyDescent="0.35">
      <c r="B34" s="14" t="s">
        <v>60</v>
      </c>
      <c r="C34" s="14" t="s">
        <v>61</v>
      </c>
      <c r="D34" s="61"/>
      <c r="E34" s="62">
        <f t="shared" si="9"/>
        <v>0</v>
      </c>
      <c r="F34" s="61"/>
      <c r="G34" s="30"/>
      <c r="H34" s="30"/>
      <c r="I34" s="30"/>
      <c r="J34" s="30"/>
      <c r="K34" s="30">
        <f t="shared" si="10"/>
        <v>0</v>
      </c>
      <c r="L34" s="30"/>
      <c r="M34" s="30"/>
      <c r="N34" s="30"/>
      <c r="O34" s="62">
        <f t="shared" si="11"/>
        <v>0</v>
      </c>
      <c r="P34" s="61"/>
      <c r="Q34" s="30"/>
      <c r="R34" s="30"/>
      <c r="S34" s="30"/>
      <c r="T34" s="30"/>
      <c r="U34" s="30"/>
      <c r="V34" s="30"/>
      <c r="W34" s="30"/>
      <c r="X34" s="30"/>
      <c r="Y34" s="62">
        <f t="shared" si="12"/>
        <v>0</v>
      </c>
      <c r="Z34" s="61"/>
      <c r="AA34" s="62"/>
      <c r="AB34" s="63"/>
      <c r="AC34" s="15"/>
      <c r="AD34" s="15"/>
      <c r="AE34" s="23">
        <f t="shared" si="13"/>
        <v>0</v>
      </c>
    </row>
    <row r="35" spans="2:31" ht="16" customHeight="1" x14ac:dyDescent="0.35">
      <c r="B35" s="14" t="s">
        <v>62</v>
      </c>
      <c r="C35" s="14" t="s">
        <v>36</v>
      </c>
      <c r="D35" s="61"/>
      <c r="E35" s="62">
        <f t="shared" si="9"/>
        <v>2160.0612500000002</v>
      </c>
      <c r="F35" s="61"/>
      <c r="G35" s="30"/>
      <c r="H35" s="30"/>
      <c r="I35" s="30"/>
      <c r="J35" s="30"/>
      <c r="K35" s="30">
        <f t="shared" si="10"/>
        <v>0</v>
      </c>
      <c r="L35" s="30">
        <v>648.13769000000002</v>
      </c>
      <c r="M35" s="30">
        <v>1437.1050600000001</v>
      </c>
      <c r="N35" s="30"/>
      <c r="O35" s="62">
        <f t="shared" si="11"/>
        <v>2085.2427500000003</v>
      </c>
      <c r="P35" s="61"/>
      <c r="Q35" s="30"/>
      <c r="R35" s="30">
        <v>25.864249999999998</v>
      </c>
      <c r="S35" s="30">
        <v>48.954250000000002</v>
      </c>
      <c r="T35" s="30"/>
      <c r="U35" s="30"/>
      <c r="V35" s="30"/>
      <c r="W35" s="30"/>
      <c r="X35" s="30"/>
      <c r="Y35" s="62">
        <f t="shared" si="12"/>
        <v>74.8185</v>
      </c>
      <c r="Z35" s="61"/>
      <c r="AA35" s="62"/>
      <c r="AB35" s="63"/>
      <c r="AC35" s="15"/>
      <c r="AD35" s="15"/>
      <c r="AE35" s="23">
        <f t="shared" si="13"/>
        <v>0</v>
      </c>
    </row>
    <row r="36" spans="2:31" ht="16" customHeight="1" x14ac:dyDescent="0.35">
      <c r="B36" s="14" t="s">
        <v>63</v>
      </c>
      <c r="C36" s="14" t="s">
        <v>64</v>
      </c>
      <c r="D36" s="61"/>
      <c r="E36" s="62">
        <f t="shared" si="9"/>
        <v>-154.20959999999999</v>
      </c>
      <c r="F36" s="61"/>
      <c r="G36" s="30"/>
      <c r="H36" s="30"/>
      <c r="I36" s="30"/>
      <c r="J36" s="30"/>
      <c r="K36" s="30">
        <f t="shared" si="10"/>
        <v>0</v>
      </c>
      <c r="L36" s="30">
        <v>-138.72944000000001</v>
      </c>
      <c r="M36" s="30">
        <v>-16.771840000000001</v>
      </c>
      <c r="N36" s="30"/>
      <c r="O36" s="62">
        <f t="shared" si="11"/>
        <v>-155.50128000000001</v>
      </c>
      <c r="P36" s="61"/>
      <c r="Q36" s="30"/>
      <c r="R36" s="30"/>
      <c r="S36" s="30">
        <v>1.2916799999999999</v>
      </c>
      <c r="T36" s="30"/>
      <c r="U36" s="30"/>
      <c r="V36" s="30"/>
      <c r="W36" s="30"/>
      <c r="X36" s="30"/>
      <c r="Y36" s="62">
        <f t="shared" si="12"/>
        <v>1.2916799999999999</v>
      </c>
      <c r="Z36" s="61"/>
      <c r="AA36" s="62"/>
      <c r="AB36" s="63"/>
      <c r="AC36" s="15"/>
      <c r="AD36" s="15"/>
      <c r="AE36" s="23">
        <f t="shared" si="13"/>
        <v>0</v>
      </c>
    </row>
    <row r="37" spans="2:31" ht="16" customHeight="1" x14ac:dyDescent="0.35">
      <c r="B37" s="14" t="s">
        <v>65</v>
      </c>
      <c r="C37" s="14" t="s">
        <v>66</v>
      </c>
      <c r="D37" s="61"/>
      <c r="E37" s="62">
        <f t="shared" si="9"/>
        <v>0</v>
      </c>
      <c r="F37" s="61"/>
      <c r="G37" s="30"/>
      <c r="H37" s="30"/>
      <c r="I37" s="30"/>
      <c r="J37" s="30"/>
      <c r="K37" s="30">
        <f t="shared" si="10"/>
        <v>0</v>
      </c>
      <c r="L37" s="30"/>
      <c r="M37" s="30"/>
      <c r="N37" s="30"/>
      <c r="O37" s="62">
        <f t="shared" si="11"/>
        <v>0</v>
      </c>
      <c r="P37" s="61"/>
      <c r="Q37" s="30"/>
      <c r="R37" s="30"/>
      <c r="S37" s="30"/>
      <c r="T37" s="30"/>
      <c r="U37" s="30"/>
      <c r="V37" s="30"/>
      <c r="W37" s="30"/>
      <c r="X37" s="30"/>
      <c r="Y37" s="62">
        <f t="shared" si="12"/>
        <v>0</v>
      </c>
      <c r="Z37" s="61"/>
      <c r="AA37" s="62"/>
      <c r="AB37" s="63"/>
      <c r="AC37" s="15"/>
      <c r="AD37" s="15"/>
      <c r="AE37" s="23">
        <f t="shared" si="13"/>
        <v>0</v>
      </c>
    </row>
    <row r="38" spans="2:31" ht="16" customHeight="1" x14ac:dyDescent="0.35">
      <c r="B38" s="14" t="s">
        <v>67</v>
      </c>
      <c r="C38" s="14" t="s">
        <v>68</v>
      </c>
      <c r="D38" s="61"/>
      <c r="E38" s="62">
        <f t="shared" si="9"/>
        <v>87595.273000000001</v>
      </c>
      <c r="F38" s="61"/>
      <c r="G38" s="30"/>
      <c r="H38" s="30"/>
      <c r="I38" s="30"/>
      <c r="J38" s="30"/>
      <c r="K38" s="30">
        <f t="shared" si="10"/>
        <v>0</v>
      </c>
      <c r="L38" s="30">
        <v>0</v>
      </c>
      <c r="M38" s="30"/>
      <c r="N38" s="30">
        <v>51737.269</v>
      </c>
      <c r="O38" s="62">
        <f t="shared" si="11"/>
        <v>51737.269</v>
      </c>
      <c r="P38" s="61"/>
      <c r="Q38" s="30"/>
      <c r="R38" s="30">
        <v>0</v>
      </c>
      <c r="S38" s="30"/>
      <c r="T38" s="30"/>
      <c r="U38" s="30"/>
      <c r="V38" s="30"/>
      <c r="W38" s="30"/>
      <c r="X38" s="30">
        <v>14865.235000000001</v>
      </c>
      <c r="Y38" s="62">
        <f t="shared" si="12"/>
        <v>14865.235000000001</v>
      </c>
      <c r="Z38" s="61"/>
      <c r="AA38" s="62">
        <v>20992.477999999999</v>
      </c>
      <c r="AB38" s="63"/>
      <c r="AC38" s="15"/>
      <c r="AD38" s="15">
        <v>0.29099999999999998</v>
      </c>
      <c r="AE38" s="23">
        <f t="shared" si="13"/>
        <v>0.29099999999999998</v>
      </c>
    </row>
    <row r="39" spans="2:31" ht="16" customHeight="1" x14ac:dyDescent="0.35">
      <c r="B39" s="16" t="s">
        <v>69</v>
      </c>
      <c r="C39" s="16" t="s">
        <v>70</v>
      </c>
      <c r="D39" s="64"/>
      <c r="E39" s="53">
        <f>-(-(E25+E26)-E27-E28-E29-E30-E31-E32-E33-E34-E35-E36-E37-E38)</f>
        <v>-543693.05866999994</v>
      </c>
      <c r="F39" s="64"/>
      <c r="G39" s="31">
        <f t="shared" ref="G39:O39" si="14">-(-(G25+G26)-G27-G28-G29-G30-G31-G32-G33-G34-G35-G36-G37-G38)</f>
        <v>0</v>
      </c>
      <c r="H39" s="31">
        <f t="shared" si="14"/>
        <v>0</v>
      </c>
      <c r="I39" s="31">
        <f t="shared" si="14"/>
        <v>0</v>
      </c>
      <c r="J39" s="31">
        <f t="shared" si="14"/>
        <v>0</v>
      </c>
      <c r="K39" s="31">
        <f t="shared" si="14"/>
        <v>0</v>
      </c>
      <c r="L39" s="31">
        <f t="shared" si="14"/>
        <v>-222570.03263999999</v>
      </c>
      <c r="M39" s="31">
        <f t="shared" si="14"/>
        <v>-277875.37948</v>
      </c>
      <c r="N39" s="31">
        <f t="shared" si="14"/>
        <v>51737.269</v>
      </c>
      <c r="O39" s="53">
        <f t="shared" si="14"/>
        <v>-448708.14312000002</v>
      </c>
      <c r="P39" s="64"/>
      <c r="Q39" s="31">
        <f t="shared" ref="Q39:Y39" si="15">-(-(Q25+Q26)-Q27-Q28-Q29-Q30-Q31-Q32-Q33-Q34-Q35-Q36-Q37-Q38)</f>
        <v>39.805259999999997</v>
      </c>
      <c r="R39" s="31">
        <f t="shared" si="15"/>
        <v>-64858.58743</v>
      </c>
      <c r="S39" s="31">
        <f t="shared" si="15"/>
        <v>-64935.740040000004</v>
      </c>
      <c r="T39" s="31">
        <f t="shared" si="15"/>
        <v>0</v>
      </c>
      <c r="U39" s="31">
        <f t="shared" si="15"/>
        <v>0</v>
      </c>
      <c r="V39" s="31">
        <f t="shared" si="15"/>
        <v>0</v>
      </c>
      <c r="W39" s="31">
        <f t="shared" si="15"/>
        <v>-1088.39732</v>
      </c>
      <c r="X39" s="31">
        <f t="shared" si="15"/>
        <v>14865.235000000001</v>
      </c>
      <c r="Y39" s="53">
        <f t="shared" si="15"/>
        <v>-115977.68453000003</v>
      </c>
      <c r="Z39" s="64"/>
      <c r="AA39" s="53">
        <f>-(-(AA25+AA26)-AA27-AA28-AA29-AA30-AA31-AA32-AA33-AA34-AA35-AA36-AA37-AA38)</f>
        <v>20992.477999999999</v>
      </c>
      <c r="AB39" s="65"/>
      <c r="AC39" s="17">
        <f>-(-(AC25+AC26)-AC27-AC28-AC29-AC30-AC31-AC32-AC33-AC34-AC35-AC36-AC37-AC38)</f>
        <v>-2.0000000000000002E-5</v>
      </c>
      <c r="AD39" s="17">
        <f>-(-(AD25+AD26)-AD27-AD28-AD29-AD30-AD31-AD32-AD33-AD34-AD35-AD36-AD37-AD38)</f>
        <v>0.29099999999999998</v>
      </c>
      <c r="AE39" s="24">
        <f>-(-(AE25+AE26)-AE27-AE28-AE29-AE30-AE31-AE32-AE33-AE34-AE35-AE36-AE37-AE38)</f>
        <v>0.29097999999999996</v>
      </c>
    </row>
    <row r="40" spans="2:31" ht="16" customHeight="1" x14ac:dyDescent="0.35">
      <c r="B40" s="11" t="s">
        <v>71</v>
      </c>
      <c r="C40" s="11" t="s">
        <v>22</v>
      </c>
      <c r="D40" s="29"/>
      <c r="E40" s="60"/>
      <c r="F40" s="29"/>
      <c r="G40" s="29"/>
      <c r="H40" s="29"/>
      <c r="I40" s="29"/>
      <c r="J40" s="29"/>
      <c r="K40" s="29"/>
      <c r="L40" s="29"/>
      <c r="M40" s="29"/>
      <c r="N40" s="29"/>
      <c r="O40" s="60"/>
      <c r="P40" s="29"/>
      <c r="Q40" s="29"/>
      <c r="R40" s="29"/>
      <c r="S40" s="29"/>
      <c r="T40" s="29"/>
      <c r="U40" s="29"/>
      <c r="V40" s="29"/>
      <c r="W40" s="29"/>
      <c r="X40" s="29"/>
      <c r="Y40" s="60"/>
      <c r="Z40" s="29"/>
      <c r="AA40" s="60"/>
      <c r="AB40" s="12"/>
      <c r="AC40" s="12"/>
      <c r="AD40" s="12"/>
      <c r="AE40" s="22"/>
    </row>
    <row r="41" spans="2:31" ht="16" customHeight="1" x14ac:dyDescent="0.35">
      <c r="B41" s="16" t="s">
        <v>72</v>
      </c>
      <c r="C41" s="16" t="s">
        <v>73</v>
      </c>
      <c r="D41" s="64"/>
      <c r="E41" s="53">
        <f>E23+E39</f>
        <v>-768783.05033999996</v>
      </c>
      <c r="F41" s="64"/>
      <c r="G41" s="31">
        <f t="shared" ref="G41:O41" si="16">G23+G39</f>
        <v>0</v>
      </c>
      <c r="H41" s="31">
        <f t="shared" si="16"/>
        <v>0</v>
      </c>
      <c r="I41" s="31">
        <f t="shared" si="16"/>
        <v>0</v>
      </c>
      <c r="J41" s="31">
        <f t="shared" si="16"/>
        <v>0</v>
      </c>
      <c r="K41" s="31">
        <f t="shared" si="16"/>
        <v>0</v>
      </c>
      <c r="L41" s="31">
        <f t="shared" si="16"/>
        <v>-369817.94339999999</v>
      </c>
      <c r="M41" s="31">
        <f t="shared" si="16"/>
        <v>-355382.68062</v>
      </c>
      <c r="N41" s="31">
        <f t="shared" si="16"/>
        <v>51737.269</v>
      </c>
      <c r="O41" s="53">
        <f t="shared" si="16"/>
        <v>-673463.35502000002</v>
      </c>
      <c r="P41" s="64"/>
      <c r="Q41" s="31">
        <f t="shared" ref="Q41:Y41" si="17">Q23+Q39</f>
        <v>28.004039999999996</v>
      </c>
      <c r="R41" s="31">
        <f t="shared" si="17"/>
        <v>-65083.577510000003</v>
      </c>
      <c r="S41" s="31">
        <f t="shared" si="17"/>
        <v>-64935.643790000002</v>
      </c>
      <c r="T41" s="31">
        <f t="shared" si="17"/>
        <v>0</v>
      </c>
      <c r="U41" s="31">
        <f t="shared" si="17"/>
        <v>0</v>
      </c>
      <c r="V41" s="31">
        <f t="shared" si="17"/>
        <v>0</v>
      </c>
      <c r="W41" s="31">
        <f t="shared" si="17"/>
        <v>-1186.4820400000001</v>
      </c>
      <c r="X41" s="31">
        <f t="shared" si="17"/>
        <v>14865.235000000001</v>
      </c>
      <c r="Y41" s="53">
        <f t="shared" si="17"/>
        <v>-116312.46430000002</v>
      </c>
      <c r="Z41" s="64"/>
      <c r="AA41" s="53">
        <f>AA23+AA39</f>
        <v>20992.477999999999</v>
      </c>
      <c r="AB41" s="65"/>
      <c r="AC41" s="17">
        <f>AC23+AC39</f>
        <v>-2.0000000000000002E-5</v>
      </c>
      <c r="AD41" s="17">
        <f>AD23+AD39</f>
        <v>0.29099999999999998</v>
      </c>
      <c r="AE41" s="24">
        <f>AE23+AE39</f>
        <v>0.29097999999999996</v>
      </c>
    </row>
    <row r="42" spans="2:31" ht="16" customHeight="1" thickBot="1" x14ac:dyDescent="0.4">
      <c r="B42" s="11" t="s">
        <v>74</v>
      </c>
      <c r="C42" s="11" t="s">
        <v>22</v>
      </c>
      <c r="D42" s="29"/>
      <c r="E42" s="60"/>
      <c r="F42" s="29"/>
      <c r="G42" s="29"/>
      <c r="H42" s="29"/>
      <c r="I42" s="29"/>
      <c r="J42" s="29"/>
      <c r="K42" s="29"/>
      <c r="L42" s="29"/>
      <c r="M42" s="29"/>
      <c r="N42" s="29"/>
      <c r="O42" s="60"/>
      <c r="P42" s="29"/>
      <c r="Q42" s="29"/>
      <c r="R42" s="29"/>
      <c r="S42" s="29"/>
      <c r="T42" s="29"/>
      <c r="U42" s="29"/>
      <c r="V42" s="29"/>
      <c r="W42" s="29"/>
      <c r="X42" s="29"/>
      <c r="Y42" s="60"/>
      <c r="Z42" s="29"/>
      <c r="AA42" s="60"/>
      <c r="AB42" s="12"/>
      <c r="AC42" s="12"/>
      <c r="AD42" s="12"/>
      <c r="AE42" s="22"/>
    </row>
    <row r="43" spans="2:31" ht="16" customHeight="1" thickBot="1" x14ac:dyDescent="0.4">
      <c r="B43" s="18" t="s">
        <v>75</v>
      </c>
      <c r="C43" s="18" t="s">
        <v>76</v>
      </c>
      <c r="D43" s="66"/>
      <c r="E43" s="67">
        <f>E13+E41</f>
        <v>141813.29722000018</v>
      </c>
      <c r="F43" s="66"/>
      <c r="G43" s="32">
        <f t="shared" ref="G43:O43" si="18">G13+G41</f>
        <v>0</v>
      </c>
      <c r="H43" s="32">
        <f t="shared" si="18"/>
        <v>0</v>
      </c>
      <c r="I43" s="32">
        <f t="shared" si="18"/>
        <v>0</v>
      </c>
      <c r="J43" s="32">
        <f t="shared" si="18"/>
        <v>0</v>
      </c>
      <c r="K43" s="32">
        <f t="shared" si="18"/>
        <v>0</v>
      </c>
      <c r="L43" s="32">
        <f t="shared" si="18"/>
        <v>124518.17475000001</v>
      </c>
      <c r="M43" s="32">
        <f t="shared" si="18"/>
        <v>12090.476380000007</v>
      </c>
      <c r="N43" s="32">
        <f t="shared" si="18"/>
        <v>0</v>
      </c>
      <c r="O43" s="67">
        <f t="shared" si="18"/>
        <v>136608.65113000013</v>
      </c>
      <c r="P43" s="66"/>
      <c r="Q43" s="32">
        <f t="shared" ref="Q43:Y43" si="19">Q13+Q41</f>
        <v>28.671039999999998</v>
      </c>
      <c r="R43" s="32">
        <f t="shared" si="19"/>
        <v>5620.361779999992</v>
      </c>
      <c r="S43" s="32">
        <f t="shared" si="19"/>
        <v>-576.96520000000601</v>
      </c>
      <c r="T43" s="32">
        <f t="shared" si="19"/>
        <v>0</v>
      </c>
      <c r="U43" s="32">
        <f t="shared" si="19"/>
        <v>0</v>
      </c>
      <c r="V43" s="32">
        <f t="shared" si="19"/>
        <v>0</v>
      </c>
      <c r="W43" s="32">
        <f t="shared" si="19"/>
        <v>132.57848999999987</v>
      </c>
      <c r="X43" s="32">
        <f t="shared" si="19"/>
        <v>0</v>
      </c>
      <c r="Y43" s="67">
        <f t="shared" si="19"/>
        <v>5204.6461099999869</v>
      </c>
      <c r="Z43" s="66"/>
      <c r="AA43" s="67">
        <f>AA13+AA41</f>
        <v>0</v>
      </c>
      <c r="AB43" s="68"/>
      <c r="AC43" s="19">
        <f>AC13+AC41</f>
        <v>-2.0000000000000002E-5</v>
      </c>
      <c r="AD43" s="19">
        <f>AD13+AD41</f>
        <v>0</v>
      </c>
      <c r="AE43" s="25">
        <f>AE13+AE41</f>
        <v>-2.0000000000020002E-5</v>
      </c>
    </row>
    <row r="44" spans="2:31" ht="16" customHeight="1" x14ac:dyDescent="0.35">
      <c r="B44" s="11" t="s">
        <v>77</v>
      </c>
      <c r="C44" s="11" t="s">
        <v>22</v>
      </c>
      <c r="D44" s="29"/>
      <c r="E44" s="60"/>
      <c r="F44" s="29"/>
      <c r="G44" s="29"/>
      <c r="H44" s="29"/>
      <c r="I44" s="29"/>
      <c r="J44" s="29"/>
      <c r="K44" s="29"/>
      <c r="L44" s="29"/>
      <c r="M44" s="29"/>
      <c r="N44" s="29"/>
      <c r="O44" s="60"/>
      <c r="P44" s="29"/>
      <c r="Q44" s="29"/>
      <c r="R44" s="29"/>
      <c r="S44" s="29"/>
      <c r="T44" s="29"/>
      <c r="U44" s="29"/>
      <c r="V44" s="29"/>
      <c r="W44" s="29"/>
      <c r="X44" s="29"/>
      <c r="Y44" s="60"/>
      <c r="Z44" s="29"/>
      <c r="AA44" s="60"/>
      <c r="AB44" s="12"/>
      <c r="AC44" s="12"/>
      <c r="AD44" s="12"/>
      <c r="AE44" s="22"/>
    </row>
    <row r="45" spans="2:31" ht="16" customHeight="1" x14ac:dyDescent="0.35">
      <c r="B45" s="14" t="s">
        <v>78</v>
      </c>
      <c r="C45" s="14" t="s">
        <v>28</v>
      </c>
      <c r="D45" s="61"/>
      <c r="E45" s="62">
        <f t="shared" ref="E45:E51" si="20">O45+Y45+AA45+AE45</f>
        <v>-13187.210580000001</v>
      </c>
      <c r="F45" s="61"/>
      <c r="G45" s="30"/>
      <c r="H45" s="30"/>
      <c r="I45" s="30"/>
      <c r="J45" s="30"/>
      <c r="K45" s="30">
        <f t="shared" ref="K45:K51" si="21">SUM(G45:J45)</f>
        <v>0</v>
      </c>
      <c r="L45" s="30">
        <v>-5796.1850700000005</v>
      </c>
      <c r="M45" s="30">
        <v>-4733.9178599999996</v>
      </c>
      <c r="N45" s="30"/>
      <c r="O45" s="62">
        <f t="shared" ref="O45:O51" si="22">SUM(K45:N45)</f>
        <v>-10530.102930000001</v>
      </c>
      <c r="P45" s="61"/>
      <c r="Q45" s="30"/>
      <c r="R45" s="30">
        <v>-941.35752000000002</v>
      </c>
      <c r="S45" s="30">
        <v>-1626.15581</v>
      </c>
      <c r="T45" s="30"/>
      <c r="U45" s="30"/>
      <c r="V45" s="30"/>
      <c r="W45" s="30">
        <v>-89.594319999999996</v>
      </c>
      <c r="X45" s="30"/>
      <c r="Y45" s="62">
        <f t="shared" ref="Y45:Y51" si="23">SUM(Q45:X45)</f>
        <v>-2657.1076499999999</v>
      </c>
      <c r="Z45" s="61"/>
      <c r="AA45" s="62"/>
      <c r="AB45" s="63"/>
      <c r="AC45" s="15"/>
      <c r="AD45" s="15"/>
      <c r="AE45" s="23">
        <f t="shared" ref="AE45:AE51" si="24">AC45+AD45</f>
        <v>0</v>
      </c>
    </row>
    <row r="46" spans="2:31" ht="16" customHeight="1" x14ac:dyDescent="0.35">
      <c r="B46" s="14" t="s">
        <v>79</v>
      </c>
      <c r="C46" s="14" t="s">
        <v>80</v>
      </c>
      <c r="D46" s="61"/>
      <c r="E46" s="62">
        <f t="shared" si="20"/>
        <v>-483.78607</v>
      </c>
      <c r="F46" s="61"/>
      <c r="G46" s="30"/>
      <c r="H46" s="30"/>
      <c r="I46" s="30"/>
      <c r="J46" s="30"/>
      <c r="K46" s="30">
        <f t="shared" si="21"/>
        <v>0</v>
      </c>
      <c r="L46" s="30">
        <v>-156.46758</v>
      </c>
      <c r="M46" s="30">
        <v>-191.67572000000001</v>
      </c>
      <c r="N46" s="30"/>
      <c r="O46" s="62">
        <f t="shared" si="22"/>
        <v>-348.14330000000001</v>
      </c>
      <c r="P46" s="61"/>
      <c r="Q46" s="30"/>
      <c r="R46" s="30">
        <v>-72.362979999999993</v>
      </c>
      <c r="S46" s="30">
        <v>-59.948230000000002</v>
      </c>
      <c r="T46" s="30"/>
      <c r="U46" s="30"/>
      <c r="V46" s="30"/>
      <c r="W46" s="30">
        <v>-3.3315600000000001</v>
      </c>
      <c r="X46" s="30"/>
      <c r="Y46" s="62">
        <f t="shared" si="23"/>
        <v>-135.64276999999998</v>
      </c>
      <c r="Z46" s="61"/>
      <c r="AA46" s="62"/>
      <c r="AB46" s="63"/>
      <c r="AC46" s="15">
        <v>0</v>
      </c>
      <c r="AD46" s="15"/>
      <c r="AE46" s="23">
        <f t="shared" si="24"/>
        <v>0</v>
      </c>
    </row>
    <row r="47" spans="2:31" ht="16" customHeight="1" x14ac:dyDescent="0.35">
      <c r="B47" s="14" t="s">
        <v>81</v>
      </c>
      <c r="C47" s="14" t="s">
        <v>82</v>
      </c>
      <c r="D47" s="61"/>
      <c r="E47" s="62">
        <f t="shared" si="20"/>
        <v>-1332.93453</v>
      </c>
      <c r="F47" s="61"/>
      <c r="G47" s="30"/>
      <c r="H47" s="30"/>
      <c r="I47" s="30"/>
      <c r="J47" s="30"/>
      <c r="K47" s="30">
        <f t="shared" si="21"/>
        <v>0</v>
      </c>
      <c r="L47" s="30">
        <v>-552.42303000000004</v>
      </c>
      <c r="M47" s="30">
        <v>-760.50149999999996</v>
      </c>
      <c r="N47" s="30"/>
      <c r="O47" s="62">
        <f t="shared" si="22"/>
        <v>-1312.92453</v>
      </c>
      <c r="P47" s="61"/>
      <c r="Q47" s="30"/>
      <c r="R47" s="30">
        <v>-20.010000000000002</v>
      </c>
      <c r="S47" s="30"/>
      <c r="T47" s="30"/>
      <c r="U47" s="30"/>
      <c r="V47" s="30"/>
      <c r="W47" s="30"/>
      <c r="X47" s="30"/>
      <c r="Y47" s="62">
        <f t="shared" si="23"/>
        <v>-20.010000000000002</v>
      </c>
      <c r="Z47" s="61"/>
      <c r="AA47" s="62"/>
      <c r="AB47" s="63"/>
      <c r="AC47" s="15"/>
      <c r="AD47" s="15"/>
      <c r="AE47" s="23">
        <f t="shared" si="24"/>
        <v>0</v>
      </c>
    </row>
    <row r="48" spans="2:31" ht="16" customHeight="1" x14ac:dyDescent="0.35">
      <c r="B48" s="14" t="s">
        <v>83</v>
      </c>
      <c r="C48" s="14" t="s">
        <v>84</v>
      </c>
      <c r="D48" s="61"/>
      <c r="E48" s="62">
        <f t="shared" si="20"/>
        <v>-2447.6442999999999</v>
      </c>
      <c r="F48" s="61"/>
      <c r="G48" s="30"/>
      <c r="H48" s="30"/>
      <c r="I48" s="30"/>
      <c r="J48" s="30"/>
      <c r="K48" s="30">
        <f t="shared" si="21"/>
        <v>0</v>
      </c>
      <c r="L48" s="30">
        <v>-1217.6441299999999</v>
      </c>
      <c r="M48" s="30">
        <v>-1011.66284</v>
      </c>
      <c r="N48" s="30"/>
      <c r="O48" s="62">
        <f t="shared" si="22"/>
        <v>-2229.3069699999996</v>
      </c>
      <c r="P48" s="61"/>
      <c r="Q48" s="30"/>
      <c r="R48" s="30">
        <v>-96.286429999999996</v>
      </c>
      <c r="S48" s="30">
        <v>-119.52545000000001</v>
      </c>
      <c r="T48" s="30"/>
      <c r="U48" s="30"/>
      <c r="V48" s="30"/>
      <c r="W48" s="30">
        <v>-2.5224500000000001</v>
      </c>
      <c r="X48" s="30"/>
      <c r="Y48" s="62">
        <f t="shared" si="23"/>
        <v>-218.33432999999999</v>
      </c>
      <c r="Z48" s="61"/>
      <c r="AA48" s="62"/>
      <c r="AB48" s="63"/>
      <c r="AC48" s="15">
        <v>-3.0000000000000001E-3</v>
      </c>
      <c r="AD48" s="15"/>
      <c r="AE48" s="23">
        <f t="shared" si="24"/>
        <v>-3.0000000000000001E-3</v>
      </c>
    </row>
    <row r="49" spans="2:31" ht="16" customHeight="1" x14ac:dyDescent="0.35">
      <c r="B49" s="14" t="s">
        <v>85</v>
      </c>
      <c r="C49" s="14" t="s">
        <v>86</v>
      </c>
      <c r="D49" s="61"/>
      <c r="E49" s="62">
        <f t="shared" si="20"/>
        <v>0</v>
      </c>
      <c r="F49" s="61"/>
      <c r="G49" s="30"/>
      <c r="H49" s="30"/>
      <c r="I49" s="30"/>
      <c r="J49" s="30"/>
      <c r="K49" s="30">
        <f t="shared" si="21"/>
        <v>0</v>
      </c>
      <c r="L49" s="30"/>
      <c r="M49" s="30"/>
      <c r="N49" s="30"/>
      <c r="O49" s="62">
        <f t="shared" si="22"/>
        <v>0</v>
      </c>
      <c r="P49" s="61"/>
      <c r="Q49" s="30"/>
      <c r="R49" s="30"/>
      <c r="S49" s="30"/>
      <c r="T49" s="30"/>
      <c r="U49" s="30"/>
      <c r="V49" s="30"/>
      <c r="W49" s="30"/>
      <c r="X49" s="30"/>
      <c r="Y49" s="62">
        <f t="shared" si="23"/>
        <v>0</v>
      </c>
      <c r="Z49" s="61"/>
      <c r="AA49" s="62"/>
      <c r="AB49" s="63"/>
      <c r="AC49" s="15"/>
      <c r="AD49" s="15"/>
      <c r="AE49" s="23">
        <f t="shared" si="24"/>
        <v>0</v>
      </c>
    </row>
    <row r="50" spans="2:31" ht="16" customHeight="1" x14ac:dyDescent="0.35">
      <c r="B50" s="14" t="s">
        <v>87</v>
      </c>
      <c r="C50" s="14" t="s">
        <v>88</v>
      </c>
      <c r="D50" s="61"/>
      <c r="E50" s="62">
        <f t="shared" si="20"/>
        <v>0</v>
      </c>
      <c r="F50" s="61"/>
      <c r="G50" s="30"/>
      <c r="H50" s="30"/>
      <c r="I50" s="30"/>
      <c r="J50" s="30"/>
      <c r="K50" s="30">
        <f t="shared" si="21"/>
        <v>0</v>
      </c>
      <c r="L50" s="30"/>
      <c r="M50" s="30"/>
      <c r="N50" s="30"/>
      <c r="O50" s="62">
        <f t="shared" si="22"/>
        <v>0</v>
      </c>
      <c r="P50" s="61"/>
      <c r="Q50" s="30"/>
      <c r="R50" s="30"/>
      <c r="S50" s="30"/>
      <c r="T50" s="30"/>
      <c r="U50" s="30"/>
      <c r="V50" s="30"/>
      <c r="W50" s="30"/>
      <c r="X50" s="30"/>
      <c r="Y50" s="62">
        <f t="shared" si="23"/>
        <v>0</v>
      </c>
      <c r="Z50" s="61"/>
      <c r="AA50" s="62"/>
      <c r="AB50" s="63"/>
      <c r="AC50" s="15"/>
      <c r="AD50" s="15"/>
      <c r="AE50" s="23">
        <f t="shared" si="24"/>
        <v>0</v>
      </c>
    </row>
    <row r="51" spans="2:31" ht="16" customHeight="1" x14ac:dyDescent="0.35">
      <c r="B51" s="14" t="s">
        <v>89</v>
      </c>
      <c r="C51" s="14" t="s">
        <v>90</v>
      </c>
      <c r="D51" s="61"/>
      <c r="E51" s="62">
        <f t="shared" si="20"/>
        <v>0</v>
      </c>
      <c r="F51" s="61"/>
      <c r="G51" s="30"/>
      <c r="H51" s="30"/>
      <c r="I51" s="30"/>
      <c r="J51" s="30"/>
      <c r="K51" s="30">
        <f t="shared" si="21"/>
        <v>0</v>
      </c>
      <c r="L51" s="30"/>
      <c r="M51" s="30"/>
      <c r="N51" s="30"/>
      <c r="O51" s="62">
        <f t="shared" si="22"/>
        <v>0</v>
      </c>
      <c r="P51" s="61"/>
      <c r="Q51" s="30"/>
      <c r="R51" s="30"/>
      <c r="S51" s="30"/>
      <c r="T51" s="30"/>
      <c r="U51" s="30"/>
      <c r="V51" s="30"/>
      <c r="W51" s="30"/>
      <c r="X51" s="30"/>
      <c r="Y51" s="62">
        <f t="shared" si="23"/>
        <v>0</v>
      </c>
      <c r="Z51" s="61"/>
      <c r="AA51" s="62"/>
      <c r="AB51" s="63"/>
      <c r="AC51" s="15"/>
      <c r="AD51" s="15"/>
      <c r="AE51" s="23">
        <f t="shared" si="24"/>
        <v>0</v>
      </c>
    </row>
    <row r="52" spans="2:31" ht="16" customHeight="1" x14ac:dyDescent="0.35">
      <c r="B52" s="16" t="s">
        <v>91</v>
      </c>
      <c r="C52" s="16" t="s">
        <v>92</v>
      </c>
      <c r="D52" s="64"/>
      <c r="E52" s="53">
        <f>-(-(E45+E46)-E47-E48-E50-E49)</f>
        <v>-17451.57548</v>
      </c>
      <c r="F52" s="64"/>
      <c r="G52" s="31">
        <f t="shared" ref="G52:O52" si="25">-(-(G45+G46)-G47-G48-G50-G49)</f>
        <v>0</v>
      </c>
      <c r="H52" s="31">
        <f t="shared" si="25"/>
        <v>0</v>
      </c>
      <c r="I52" s="31">
        <f t="shared" si="25"/>
        <v>0</v>
      </c>
      <c r="J52" s="31">
        <f t="shared" si="25"/>
        <v>0</v>
      </c>
      <c r="K52" s="31">
        <f t="shared" si="25"/>
        <v>0</v>
      </c>
      <c r="L52" s="31">
        <f t="shared" si="25"/>
        <v>-7722.7198099999996</v>
      </c>
      <c r="M52" s="31">
        <f t="shared" si="25"/>
        <v>-6697.75792</v>
      </c>
      <c r="N52" s="31">
        <f t="shared" si="25"/>
        <v>0</v>
      </c>
      <c r="O52" s="53">
        <f t="shared" si="25"/>
        <v>-14420.477730000001</v>
      </c>
      <c r="P52" s="64"/>
      <c r="Q52" s="31">
        <f t="shared" ref="Q52:Y52" si="26">-(-(Q45+Q46)-Q47-Q48-Q50-Q49)</f>
        <v>0</v>
      </c>
      <c r="R52" s="31">
        <f t="shared" si="26"/>
        <v>-1130.0169300000002</v>
      </c>
      <c r="S52" s="31">
        <f t="shared" si="26"/>
        <v>-1805.62949</v>
      </c>
      <c r="T52" s="31">
        <f t="shared" si="26"/>
        <v>0</v>
      </c>
      <c r="U52" s="31">
        <f t="shared" si="26"/>
        <v>0</v>
      </c>
      <c r="V52" s="31">
        <f t="shared" si="26"/>
        <v>0</v>
      </c>
      <c r="W52" s="31">
        <f t="shared" si="26"/>
        <v>-95.448329999999999</v>
      </c>
      <c r="X52" s="31">
        <f t="shared" si="26"/>
        <v>0</v>
      </c>
      <c r="Y52" s="53">
        <f t="shared" si="26"/>
        <v>-3031.0947500000002</v>
      </c>
      <c r="Z52" s="64"/>
      <c r="AA52" s="53">
        <f>-(-(AA45+AA46)-AA47-AA48-AA50-AA49)</f>
        <v>0</v>
      </c>
      <c r="AB52" s="65"/>
      <c r="AC52" s="17">
        <f>-(-(AC45+AC46)-AC47-AC48-AC50-AC49)</f>
        <v>-3.0000000000000001E-3</v>
      </c>
      <c r="AD52" s="17">
        <f>-(-(AD45+AD46)-AD47-AD48-AD50-AD49)</f>
        <v>0</v>
      </c>
      <c r="AE52" s="24">
        <f>-(-(AE45+AE46)-AE47-AE48-AE50-AE49)</f>
        <v>-3.0000000000000001E-3</v>
      </c>
    </row>
    <row r="53" spans="2:31" ht="16" customHeight="1" x14ac:dyDescent="0.35">
      <c r="B53" s="11" t="s">
        <v>93</v>
      </c>
      <c r="C53" s="11" t="s">
        <v>22</v>
      </c>
      <c r="D53" s="29"/>
      <c r="E53" s="60"/>
      <c r="F53" s="29"/>
      <c r="G53" s="29"/>
      <c r="H53" s="29"/>
      <c r="I53" s="29"/>
      <c r="J53" s="29"/>
      <c r="K53" s="29"/>
      <c r="L53" s="29"/>
      <c r="M53" s="29"/>
      <c r="N53" s="29"/>
      <c r="O53" s="60"/>
      <c r="P53" s="29"/>
      <c r="Q53" s="29"/>
      <c r="R53" s="29"/>
      <c r="S53" s="29"/>
      <c r="T53" s="29"/>
      <c r="U53" s="29"/>
      <c r="V53" s="29"/>
      <c r="W53" s="29"/>
      <c r="X53" s="29"/>
      <c r="Y53" s="60"/>
      <c r="Z53" s="29"/>
      <c r="AA53" s="60"/>
      <c r="AB53" s="12"/>
      <c r="AC53" s="12"/>
      <c r="AD53" s="12"/>
      <c r="AE53" s="22"/>
    </row>
    <row r="54" spans="2:31" ht="16" customHeight="1" x14ac:dyDescent="0.35">
      <c r="B54" s="14" t="s">
        <v>94</v>
      </c>
      <c r="C54" s="14" t="s">
        <v>28</v>
      </c>
      <c r="D54" s="61"/>
      <c r="E54" s="62">
        <f t="shared" ref="E54:E59" si="27">O54+Y54+AA54+AE54</f>
        <v>-21719.430460000003</v>
      </c>
      <c r="F54" s="61"/>
      <c r="G54" s="30"/>
      <c r="H54" s="30"/>
      <c r="I54" s="30"/>
      <c r="J54" s="30"/>
      <c r="K54" s="30">
        <f t="shared" ref="K54:K59" si="28">SUM(G54:J54)</f>
        <v>0</v>
      </c>
      <c r="L54" s="30">
        <v>-13138.05876</v>
      </c>
      <c r="M54" s="30">
        <v>-6203.7034299999996</v>
      </c>
      <c r="N54" s="30"/>
      <c r="O54" s="62">
        <f t="shared" ref="O54:O59" si="29">SUM(K54:N54)</f>
        <v>-19341.762190000001</v>
      </c>
      <c r="P54" s="61"/>
      <c r="Q54" s="30"/>
      <c r="R54" s="30">
        <v>-1153.15832</v>
      </c>
      <c r="S54" s="30">
        <v>-1224.5021999999999</v>
      </c>
      <c r="T54" s="30"/>
      <c r="U54" s="30"/>
      <c r="V54" s="30"/>
      <c r="W54" s="30">
        <v>-7.7499999999999999E-3</v>
      </c>
      <c r="X54" s="30"/>
      <c r="Y54" s="62">
        <f t="shared" ref="Y54:Y59" si="30">SUM(Q54:X54)</f>
        <v>-2377.6682700000001</v>
      </c>
      <c r="Z54" s="61"/>
      <c r="AA54" s="62"/>
      <c r="AB54" s="63"/>
      <c r="AC54" s="15"/>
      <c r="AD54" s="15"/>
      <c r="AE54" s="23">
        <f t="shared" ref="AE54:AE59" si="31">AC54+AD54</f>
        <v>0</v>
      </c>
    </row>
    <row r="55" spans="2:31" ht="16" customHeight="1" x14ac:dyDescent="0.35">
      <c r="B55" s="14" t="s">
        <v>95</v>
      </c>
      <c r="C55" s="14" t="s">
        <v>80</v>
      </c>
      <c r="D55" s="61"/>
      <c r="E55" s="62">
        <f t="shared" si="27"/>
        <v>-2449.4548100000002</v>
      </c>
      <c r="F55" s="61"/>
      <c r="G55" s="30"/>
      <c r="H55" s="30"/>
      <c r="I55" s="30"/>
      <c r="J55" s="30"/>
      <c r="K55" s="30">
        <f t="shared" si="28"/>
        <v>0</v>
      </c>
      <c r="L55" s="30">
        <v>-999.22555</v>
      </c>
      <c r="M55" s="30">
        <v>-873.84833000000003</v>
      </c>
      <c r="N55" s="30"/>
      <c r="O55" s="62">
        <f t="shared" si="29"/>
        <v>-1873.0738799999999</v>
      </c>
      <c r="P55" s="61"/>
      <c r="Q55" s="30"/>
      <c r="R55" s="30">
        <v>-309.44574999999998</v>
      </c>
      <c r="S55" s="30">
        <v>-262.89845000000003</v>
      </c>
      <c r="T55" s="30"/>
      <c r="U55" s="30"/>
      <c r="V55" s="30"/>
      <c r="W55" s="30">
        <v>-4.0367300000000004</v>
      </c>
      <c r="X55" s="30"/>
      <c r="Y55" s="62">
        <f t="shared" si="30"/>
        <v>-576.38093000000003</v>
      </c>
      <c r="Z55" s="61"/>
      <c r="AA55" s="62"/>
      <c r="AB55" s="63"/>
      <c r="AC55" s="15">
        <v>0</v>
      </c>
      <c r="AD55" s="15"/>
      <c r="AE55" s="23">
        <f t="shared" si="31"/>
        <v>0</v>
      </c>
    </row>
    <row r="56" spans="2:31" ht="16" customHeight="1" x14ac:dyDescent="0.35">
      <c r="B56" s="14" t="s">
        <v>96</v>
      </c>
      <c r="C56" s="14" t="s">
        <v>97</v>
      </c>
      <c r="D56" s="61"/>
      <c r="E56" s="62">
        <f t="shared" si="27"/>
        <v>-17879.99927</v>
      </c>
      <c r="F56" s="61"/>
      <c r="G56" s="30"/>
      <c r="H56" s="30"/>
      <c r="I56" s="30"/>
      <c r="J56" s="30"/>
      <c r="K56" s="30">
        <f t="shared" si="28"/>
        <v>0</v>
      </c>
      <c r="L56" s="30">
        <v>-9616.5674099999997</v>
      </c>
      <c r="M56" s="30">
        <v>-6141.4625999999998</v>
      </c>
      <c r="N56" s="30"/>
      <c r="O56" s="62">
        <f t="shared" si="29"/>
        <v>-15758.030009999999</v>
      </c>
      <c r="P56" s="61"/>
      <c r="Q56" s="30"/>
      <c r="R56" s="30">
        <v>-989.66342999999995</v>
      </c>
      <c r="S56" s="30">
        <v>-1127.57882</v>
      </c>
      <c r="T56" s="30"/>
      <c r="U56" s="30"/>
      <c r="V56" s="30"/>
      <c r="W56" s="30">
        <v>-4.7270099999999999</v>
      </c>
      <c r="X56" s="30"/>
      <c r="Y56" s="62">
        <f t="shared" si="30"/>
        <v>-2121.9692599999998</v>
      </c>
      <c r="Z56" s="61"/>
      <c r="AA56" s="62"/>
      <c r="AB56" s="63"/>
      <c r="AC56" s="15"/>
      <c r="AD56" s="15"/>
      <c r="AE56" s="23">
        <f t="shared" si="31"/>
        <v>0</v>
      </c>
    </row>
    <row r="57" spans="2:31" ht="16" customHeight="1" x14ac:dyDescent="0.35">
      <c r="B57" s="14" t="s">
        <v>98</v>
      </c>
      <c r="C57" s="14" t="s">
        <v>99</v>
      </c>
      <c r="D57" s="61"/>
      <c r="E57" s="62">
        <f t="shared" si="27"/>
        <v>0</v>
      </c>
      <c r="F57" s="61"/>
      <c r="G57" s="30"/>
      <c r="H57" s="30"/>
      <c r="I57" s="30"/>
      <c r="J57" s="30"/>
      <c r="K57" s="30">
        <f t="shared" si="28"/>
        <v>0</v>
      </c>
      <c r="L57" s="30"/>
      <c r="M57" s="30"/>
      <c r="N57" s="30"/>
      <c r="O57" s="62">
        <f t="shared" si="29"/>
        <v>0</v>
      </c>
      <c r="P57" s="61"/>
      <c r="Q57" s="30"/>
      <c r="R57" s="30"/>
      <c r="S57" s="30"/>
      <c r="T57" s="30"/>
      <c r="U57" s="30"/>
      <c r="V57" s="30"/>
      <c r="W57" s="30"/>
      <c r="X57" s="30"/>
      <c r="Y57" s="62">
        <f t="shared" si="30"/>
        <v>0</v>
      </c>
      <c r="Z57" s="61"/>
      <c r="AA57" s="62"/>
      <c r="AB57" s="63"/>
      <c r="AC57" s="15"/>
      <c r="AD57" s="15"/>
      <c r="AE57" s="23">
        <f t="shared" si="31"/>
        <v>0</v>
      </c>
    </row>
    <row r="58" spans="2:31" ht="16" customHeight="1" x14ac:dyDescent="0.35">
      <c r="B58" s="14" t="s">
        <v>100</v>
      </c>
      <c r="C58" s="14" t="s">
        <v>88</v>
      </c>
      <c r="D58" s="61"/>
      <c r="E58" s="62">
        <f t="shared" si="27"/>
        <v>-95.397540000000006</v>
      </c>
      <c r="F58" s="61"/>
      <c r="G58" s="30"/>
      <c r="H58" s="30"/>
      <c r="I58" s="30"/>
      <c r="J58" s="30"/>
      <c r="K58" s="30">
        <f t="shared" si="28"/>
        <v>0</v>
      </c>
      <c r="L58" s="30">
        <v>-95.397540000000006</v>
      </c>
      <c r="M58" s="30"/>
      <c r="N58" s="30"/>
      <c r="O58" s="62">
        <f t="shared" si="29"/>
        <v>-95.397540000000006</v>
      </c>
      <c r="P58" s="61"/>
      <c r="Q58" s="30"/>
      <c r="R58" s="30"/>
      <c r="S58" s="30"/>
      <c r="T58" s="30"/>
      <c r="U58" s="30"/>
      <c r="V58" s="30"/>
      <c r="W58" s="30"/>
      <c r="X58" s="30"/>
      <c r="Y58" s="62">
        <f t="shared" si="30"/>
        <v>0</v>
      </c>
      <c r="Z58" s="61"/>
      <c r="AA58" s="62"/>
      <c r="AB58" s="63"/>
      <c r="AC58" s="15"/>
      <c r="AD58" s="15"/>
      <c r="AE58" s="23">
        <f t="shared" si="31"/>
        <v>0</v>
      </c>
    </row>
    <row r="59" spans="2:31" ht="16" customHeight="1" x14ac:dyDescent="0.35">
      <c r="B59" s="14" t="s">
        <v>101</v>
      </c>
      <c r="C59" s="14" t="s">
        <v>102</v>
      </c>
      <c r="D59" s="61"/>
      <c r="E59" s="62">
        <f t="shared" si="27"/>
        <v>0</v>
      </c>
      <c r="F59" s="61"/>
      <c r="G59" s="30"/>
      <c r="H59" s="30"/>
      <c r="I59" s="30"/>
      <c r="J59" s="30"/>
      <c r="K59" s="30">
        <f t="shared" si="28"/>
        <v>0</v>
      </c>
      <c r="L59" s="30"/>
      <c r="M59" s="30"/>
      <c r="N59" s="30"/>
      <c r="O59" s="62">
        <f t="shared" si="29"/>
        <v>0</v>
      </c>
      <c r="P59" s="61"/>
      <c r="Q59" s="30"/>
      <c r="R59" s="30"/>
      <c r="S59" s="30"/>
      <c r="T59" s="30"/>
      <c r="U59" s="30"/>
      <c r="V59" s="30"/>
      <c r="W59" s="30"/>
      <c r="X59" s="30"/>
      <c r="Y59" s="62">
        <f t="shared" si="30"/>
        <v>0</v>
      </c>
      <c r="Z59" s="61"/>
      <c r="AA59" s="62"/>
      <c r="AB59" s="63"/>
      <c r="AC59" s="15"/>
      <c r="AD59" s="15"/>
      <c r="AE59" s="23">
        <f t="shared" si="31"/>
        <v>0</v>
      </c>
    </row>
    <row r="60" spans="2:31" ht="16" customHeight="1" x14ac:dyDescent="0.35">
      <c r="B60" s="16" t="s">
        <v>103</v>
      </c>
      <c r="C60" s="16" t="s">
        <v>104</v>
      </c>
      <c r="D60" s="64"/>
      <c r="E60" s="53">
        <f>-(-(E54+E55)-E56-E58-E57)</f>
        <v>-42144.282079999997</v>
      </c>
      <c r="F60" s="64"/>
      <c r="G60" s="31">
        <f t="shared" ref="G60:O60" si="32">-(-(G54+G55)-G56-G58-G57)</f>
        <v>0</v>
      </c>
      <c r="H60" s="31">
        <f t="shared" si="32"/>
        <v>0</v>
      </c>
      <c r="I60" s="31">
        <f t="shared" si="32"/>
        <v>0</v>
      </c>
      <c r="J60" s="31">
        <f t="shared" si="32"/>
        <v>0</v>
      </c>
      <c r="K60" s="31">
        <f t="shared" si="32"/>
        <v>0</v>
      </c>
      <c r="L60" s="31">
        <f t="shared" si="32"/>
        <v>-23849.249260000001</v>
      </c>
      <c r="M60" s="31">
        <f t="shared" si="32"/>
        <v>-13219.014359999999</v>
      </c>
      <c r="N60" s="31">
        <f t="shared" si="32"/>
        <v>0</v>
      </c>
      <c r="O60" s="53">
        <f t="shared" si="32"/>
        <v>-37068.263619999998</v>
      </c>
      <c r="P60" s="64"/>
      <c r="Q60" s="31">
        <f t="shared" ref="Q60:Y60" si="33">-(-(Q54+Q55)-Q56-Q58-Q57)</f>
        <v>0</v>
      </c>
      <c r="R60" s="31">
        <f t="shared" si="33"/>
        <v>-2452.2674999999999</v>
      </c>
      <c r="S60" s="31">
        <f t="shared" si="33"/>
        <v>-2614.9794700000002</v>
      </c>
      <c r="T60" s="31">
        <f t="shared" si="33"/>
        <v>0</v>
      </c>
      <c r="U60" s="31">
        <f t="shared" si="33"/>
        <v>0</v>
      </c>
      <c r="V60" s="31">
        <f t="shared" si="33"/>
        <v>0</v>
      </c>
      <c r="W60" s="31">
        <f t="shared" si="33"/>
        <v>-8.77149</v>
      </c>
      <c r="X60" s="31">
        <f t="shared" si="33"/>
        <v>0</v>
      </c>
      <c r="Y60" s="53">
        <f t="shared" si="33"/>
        <v>-5076.0184600000002</v>
      </c>
      <c r="Z60" s="64"/>
      <c r="AA60" s="53">
        <f>-(-(AA54+AA55)-AA56-AA58-AA57)</f>
        <v>0</v>
      </c>
      <c r="AB60" s="65"/>
      <c r="AC60" s="17">
        <f>-(-(AC54+AC55)-AC56-AC58-AC57)</f>
        <v>0</v>
      </c>
      <c r="AD60" s="17">
        <f>-(-(AD54+AD55)-AD56-AD58-AD57)</f>
        <v>0</v>
      </c>
      <c r="AE60" s="24">
        <f>-(-(AE54+AE55)-AE56-AE58-AE57)</f>
        <v>0</v>
      </c>
    </row>
    <row r="61" spans="2:31" ht="16" customHeight="1" thickBot="1" x14ac:dyDescent="0.4">
      <c r="B61" s="11" t="s">
        <v>105</v>
      </c>
      <c r="C61" s="11" t="s">
        <v>22</v>
      </c>
      <c r="D61" s="29"/>
      <c r="E61" s="60"/>
      <c r="F61" s="29"/>
      <c r="G61" s="29"/>
      <c r="H61" s="29"/>
      <c r="I61" s="29"/>
      <c r="J61" s="29"/>
      <c r="K61" s="29"/>
      <c r="L61" s="29"/>
      <c r="M61" s="29"/>
      <c r="N61" s="29"/>
      <c r="O61" s="60"/>
      <c r="P61" s="29"/>
      <c r="Q61" s="29"/>
      <c r="R61" s="29"/>
      <c r="S61" s="29"/>
      <c r="T61" s="29"/>
      <c r="U61" s="29"/>
      <c r="V61" s="29"/>
      <c r="W61" s="29"/>
      <c r="X61" s="29"/>
      <c r="Y61" s="60"/>
      <c r="Z61" s="29"/>
      <c r="AA61" s="60"/>
      <c r="AB61" s="12"/>
      <c r="AC61" s="12"/>
      <c r="AD61" s="12"/>
      <c r="AE61" s="22"/>
    </row>
    <row r="62" spans="2:31" ht="16" customHeight="1" thickBot="1" x14ac:dyDescent="0.4">
      <c r="B62" s="18" t="s">
        <v>106</v>
      </c>
      <c r="C62" s="18" t="s">
        <v>107</v>
      </c>
      <c r="D62" s="66"/>
      <c r="E62" s="67">
        <f>E52+E60</f>
        <v>-59595.857559999997</v>
      </c>
      <c r="F62" s="66"/>
      <c r="G62" s="32">
        <f t="shared" ref="G62:O62" si="34">G52+G60</f>
        <v>0</v>
      </c>
      <c r="H62" s="32">
        <f t="shared" si="34"/>
        <v>0</v>
      </c>
      <c r="I62" s="32">
        <f t="shared" si="34"/>
        <v>0</v>
      </c>
      <c r="J62" s="32">
        <f t="shared" si="34"/>
        <v>0</v>
      </c>
      <c r="K62" s="32">
        <f t="shared" si="34"/>
        <v>0</v>
      </c>
      <c r="L62" s="32">
        <f t="shared" si="34"/>
        <v>-31571.969069999999</v>
      </c>
      <c r="M62" s="32">
        <f t="shared" si="34"/>
        <v>-19916.772279999997</v>
      </c>
      <c r="N62" s="32">
        <f t="shared" si="34"/>
        <v>0</v>
      </c>
      <c r="O62" s="67">
        <f t="shared" si="34"/>
        <v>-51488.741349999997</v>
      </c>
      <c r="P62" s="66"/>
      <c r="Q62" s="32">
        <f t="shared" ref="Q62:Y62" si="35">Q52+Q60</f>
        <v>0</v>
      </c>
      <c r="R62" s="32">
        <f t="shared" si="35"/>
        <v>-3582.2844300000002</v>
      </c>
      <c r="S62" s="32">
        <f t="shared" si="35"/>
        <v>-4420.6089600000005</v>
      </c>
      <c r="T62" s="32">
        <f t="shared" si="35"/>
        <v>0</v>
      </c>
      <c r="U62" s="32">
        <f t="shared" si="35"/>
        <v>0</v>
      </c>
      <c r="V62" s="32">
        <f t="shared" si="35"/>
        <v>0</v>
      </c>
      <c r="W62" s="32">
        <f t="shared" si="35"/>
        <v>-104.21982</v>
      </c>
      <c r="X62" s="32">
        <f t="shared" si="35"/>
        <v>0</v>
      </c>
      <c r="Y62" s="67">
        <f t="shared" si="35"/>
        <v>-8107.1132100000004</v>
      </c>
      <c r="Z62" s="66"/>
      <c r="AA62" s="67">
        <f>AA52+AA60</f>
        <v>0</v>
      </c>
      <c r="AB62" s="68"/>
      <c r="AC62" s="19">
        <f>AC52+AC60</f>
        <v>-3.0000000000000001E-3</v>
      </c>
      <c r="AD62" s="19">
        <f>AD52+AD60</f>
        <v>0</v>
      </c>
      <c r="AE62" s="25">
        <f>AE52+AE60</f>
        <v>-3.0000000000000001E-3</v>
      </c>
    </row>
    <row r="63" spans="2:31" ht="16" customHeight="1" x14ac:dyDescent="0.35">
      <c r="B63" s="11" t="s">
        <v>108</v>
      </c>
      <c r="C63" s="11" t="s">
        <v>22</v>
      </c>
      <c r="D63" s="29"/>
      <c r="E63" s="60"/>
      <c r="F63" s="29"/>
      <c r="G63" s="29"/>
      <c r="H63" s="29"/>
      <c r="I63" s="29"/>
      <c r="J63" s="29"/>
      <c r="K63" s="29"/>
      <c r="L63" s="29"/>
      <c r="M63" s="29"/>
      <c r="N63" s="29"/>
      <c r="O63" s="60"/>
      <c r="P63" s="29"/>
      <c r="Q63" s="29"/>
      <c r="R63" s="29"/>
      <c r="S63" s="29"/>
      <c r="T63" s="29"/>
      <c r="U63" s="29"/>
      <c r="V63" s="29"/>
      <c r="W63" s="29"/>
      <c r="X63" s="29"/>
      <c r="Y63" s="60"/>
      <c r="Z63" s="29"/>
      <c r="AA63" s="60"/>
      <c r="AB63" s="12"/>
      <c r="AC63" s="12"/>
      <c r="AD63" s="12"/>
      <c r="AE63" s="22"/>
    </row>
    <row r="64" spans="2:31" ht="16" customHeight="1" x14ac:dyDescent="0.35">
      <c r="B64" s="14" t="s">
        <v>109</v>
      </c>
      <c r="C64" s="14" t="s">
        <v>110</v>
      </c>
      <c r="D64" s="61"/>
      <c r="E64" s="62">
        <f>O64+Y64+AA64+AE64</f>
        <v>0</v>
      </c>
      <c r="F64" s="61"/>
      <c r="G64" s="30"/>
      <c r="H64" s="30"/>
      <c r="I64" s="30"/>
      <c r="J64" s="30"/>
      <c r="K64" s="30">
        <f>SUM(G64:J64)</f>
        <v>0</v>
      </c>
      <c r="L64" s="30"/>
      <c r="M64" s="30"/>
      <c r="N64" s="30"/>
      <c r="O64" s="62">
        <f>SUM(K64:N64)</f>
        <v>0</v>
      </c>
      <c r="P64" s="61"/>
      <c r="Q64" s="30"/>
      <c r="R64" s="30"/>
      <c r="S64" s="30"/>
      <c r="T64" s="30"/>
      <c r="U64" s="30"/>
      <c r="V64" s="30"/>
      <c r="W64" s="30"/>
      <c r="X64" s="30"/>
      <c r="Y64" s="62">
        <f>SUM(Q64:X64)</f>
        <v>0</v>
      </c>
      <c r="Z64" s="61"/>
      <c r="AA64" s="62"/>
      <c r="AB64" s="63"/>
      <c r="AC64" s="15"/>
      <c r="AD64" s="15"/>
      <c r="AE64" s="23">
        <f>AC64+AD64</f>
        <v>0</v>
      </c>
    </row>
    <row r="65" spans="2:31" ht="16" customHeight="1" x14ac:dyDescent="0.35">
      <c r="B65" s="14" t="s">
        <v>111</v>
      </c>
      <c r="C65" s="14" t="s">
        <v>112</v>
      </c>
      <c r="D65" s="61"/>
      <c r="E65" s="62">
        <f>O65+Y65+AA65+AE65</f>
        <v>0</v>
      </c>
      <c r="F65" s="61"/>
      <c r="G65" s="30"/>
      <c r="H65" s="30"/>
      <c r="I65" s="30"/>
      <c r="J65" s="30"/>
      <c r="K65" s="30">
        <f>SUM(G65:J65)</f>
        <v>0</v>
      </c>
      <c r="L65" s="30"/>
      <c r="M65" s="30"/>
      <c r="N65" s="30"/>
      <c r="O65" s="62">
        <f>SUM(K65:N65)</f>
        <v>0</v>
      </c>
      <c r="P65" s="61"/>
      <c r="Q65" s="30"/>
      <c r="R65" s="30"/>
      <c r="S65" s="30"/>
      <c r="T65" s="30"/>
      <c r="U65" s="30"/>
      <c r="V65" s="30"/>
      <c r="W65" s="30"/>
      <c r="X65" s="30"/>
      <c r="Y65" s="62">
        <f>SUM(Q65:X65)</f>
        <v>0</v>
      </c>
      <c r="Z65" s="61"/>
      <c r="AA65" s="62"/>
      <c r="AB65" s="63"/>
      <c r="AC65" s="15"/>
      <c r="AD65" s="15"/>
      <c r="AE65" s="23">
        <f>AC65+AD65</f>
        <v>0</v>
      </c>
    </row>
    <row r="66" spans="2:31" ht="16" customHeight="1" x14ac:dyDescent="0.35">
      <c r="B66" s="16" t="s">
        <v>113</v>
      </c>
      <c r="C66" s="16" t="s">
        <v>114</v>
      </c>
      <c r="D66" s="64"/>
      <c r="E66" s="53">
        <f>E64+E65</f>
        <v>0</v>
      </c>
      <c r="F66" s="64"/>
      <c r="G66" s="31">
        <f t="shared" ref="G66:O66" si="36">G64+G65</f>
        <v>0</v>
      </c>
      <c r="H66" s="31">
        <f t="shared" si="36"/>
        <v>0</v>
      </c>
      <c r="I66" s="31">
        <f t="shared" si="36"/>
        <v>0</v>
      </c>
      <c r="J66" s="31">
        <f t="shared" si="36"/>
        <v>0</v>
      </c>
      <c r="K66" s="31">
        <f t="shared" si="36"/>
        <v>0</v>
      </c>
      <c r="L66" s="31">
        <f t="shared" si="36"/>
        <v>0</v>
      </c>
      <c r="M66" s="31">
        <f t="shared" si="36"/>
        <v>0</v>
      </c>
      <c r="N66" s="31">
        <f t="shared" si="36"/>
        <v>0</v>
      </c>
      <c r="O66" s="53">
        <f t="shared" si="36"/>
        <v>0</v>
      </c>
      <c r="P66" s="64"/>
      <c r="Q66" s="31">
        <f t="shared" ref="Q66:Y66" si="37">Q64+Q65</f>
        <v>0</v>
      </c>
      <c r="R66" s="31">
        <f t="shared" si="37"/>
        <v>0</v>
      </c>
      <c r="S66" s="31">
        <f t="shared" si="37"/>
        <v>0</v>
      </c>
      <c r="T66" s="31">
        <f t="shared" si="37"/>
        <v>0</v>
      </c>
      <c r="U66" s="31">
        <f t="shared" si="37"/>
        <v>0</v>
      </c>
      <c r="V66" s="31">
        <f t="shared" si="37"/>
        <v>0</v>
      </c>
      <c r="W66" s="31">
        <f t="shared" si="37"/>
        <v>0</v>
      </c>
      <c r="X66" s="31">
        <f t="shared" si="37"/>
        <v>0</v>
      </c>
      <c r="Y66" s="53">
        <f t="shared" si="37"/>
        <v>0</v>
      </c>
      <c r="Z66" s="64"/>
      <c r="AA66" s="53">
        <f>AA64+AA65</f>
        <v>0</v>
      </c>
      <c r="AB66" s="65"/>
      <c r="AC66" s="17">
        <f>AC64+AC65</f>
        <v>0</v>
      </c>
      <c r="AD66" s="17">
        <f>AD64+AD65</f>
        <v>0</v>
      </c>
      <c r="AE66" s="24">
        <f>AE64+AE65</f>
        <v>0</v>
      </c>
    </row>
    <row r="67" spans="2:31" ht="16" customHeight="1" thickBot="1" x14ac:dyDescent="0.4">
      <c r="B67" s="11" t="s">
        <v>115</v>
      </c>
      <c r="C67" s="11" t="s">
        <v>22</v>
      </c>
      <c r="D67" s="29"/>
      <c r="E67" s="60"/>
      <c r="F67" s="29"/>
      <c r="G67" s="29"/>
      <c r="H67" s="29"/>
      <c r="I67" s="29"/>
      <c r="J67" s="29"/>
      <c r="K67" s="29"/>
      <c r="L67" s="29"/>
      <c r="M67" s="29"/>
      <c r="N67" s="29"/>
      <c r="O67" s="60"/>
      <c r="P67" s="29"/>
      <c r="Q67" s="29"/>
      <c r="R67" s="29"/>
      <c r="S67" s="29"/>
      <c r="T67" s="29"/>
      <c r="U67" s="29"/>
      <c r="V67" s="29"/>
      <c r="W67" s="29"/>
      <c r="X67" s="29"/>
      <c r="Y67" s="60"/>
      <c r="Z67" s="29"/>
      <c r="AA67" s="60"/>
      <c r="AB67" s="12"/>
      <c r="AC67" s="12"/>
      <c r="AD67" s="12"/>
      <c r="AE67" s="22"/>
    </row>
    <row r="68" spans="2:31" ht="16" customHeight="1" thickBot="1" x14ac:dyDescent="0.4">
      <c r="B68" s="18" t="s">
        <v>116</v>
      </c>
      <c r="C68" s="18" t="s">
        <v>117</v>
      </c>
      <c r="D68" s="66"/>
      <c r="E68" s="67">
        <f>-(-(E43+E62)-E66)</f>
        <v>82217.439660000178</v>
      </c>
      <c r="F68" s="66"/>
      <c r="G68" s="32">
        <f t="shared" ref="G68:O68" si="38">-(-(G43+G62)-G66)</f>
        <v>0</v>
      </c>
      <c r="H68" s="32">
        <f t="shared" si="38"/>
        <v>0</v>
      </c>
      <c r="I68" s="32">
        <f t="shared" si="38"/>
        <v>0</v>
      </c>
      <c r="J68" s="32">
        <f t="shared" si="38"/>
        <v>0</v>
      </c>
      <c r="K68" s="32">
        <f t="shared" si="38"/>
        <v>0</v>
      </c>
      <c r="L68" s="32">
        <f t="shared" si="38"/>
        <v>92946.205680000014</v>
      </c>
      <c r="M68" s="32">
        <f t="shared" si="38"/>
        <v>-7826.2958999999901</v>
      </c>
      <c r="N68" s="32">
        <f t="shared" si="38"/>
        <v>0</v>
      </c>
      <c r="O68" s="67">
        <f t="shared" si="38"/>
        <v>85119.909780000133</v>
      </c>
      <c r="P68" s="66"/>
      <c r="Q68" s="32">
        <f t="shared" ref="Q68:Y68" si="39">-(-(Q43+Q62)-Q66)</f>
        <v>28.671039999999998</v>
      </c>
      <c r="R68" s="32">
        <f t="shared" si="39"/>
        <v>2038.0773499999918</v>
      </c>
      <c r="S68" s="32">
        <f t="shared" si="39"/>
        <v>-4997.5741600000065</v>
      </c>
      <c r="T68" s="32">
        <f t="shared" si="39"/>
        <v>0</v>
      </c>
      <c r="U68" s="32">
        <f t="shared" si="39"/>
        <v>0</v>
      </c>
      <c r="V68" s="32">
        <f t="shared" si="39"/>
        <v>0</v>
      </c>
      <c r="W68" s="32">
        <f t="shared" si="39"/>
        <v>28.358669999999876</v>
      </c>
      <c r="X68" s="32">
        <f t="shared" si="39"/>
        <v>0</v>
      </c>
      <c r="Y68" s="67">
        <f t="shared" si="39"/>
        <v>-2902.4671000000135</v>
      </c>
      <c r="Z68" s="66"/>
      <c r="AA68" s="67">
        <f>-(-(AA43+AA62)-AA66)</f>
        <v>0</v>
      </c>
      <c r="AB68" s="68"/>
      <c r="AC68" s="19">
        <f>-(-(AC43+AC62)-AC66)</f>
        <v>-3.0200000000000001E-3</v>
      </c>
      <c r="AD68" s="19">
        <f>-(-(AD43+AD62)-AD66)</f>
        <v>0</v>
      </c>
      <c r="AE68" s="25">
        <f>-(-(AE43+AE62)-AE66)</f>
        <v>-3.0200000000000201E-3</v>
      </c>
    </row>
    <row r="69" spans="2:31" ht="16" customHeight="1" x14ac:dyDescent="0.35">
      <c r="B69" s="11" t="s">
        <v>118</v>
      </c>
      <c r="C69" s="11" t="s">
        <v>22</v>
      </c>
      <c r="D69" s="29"/>
      <c r="E69" s="60"/>
      <c r="F69" s="29"/>
      <c r="G69" s="29"/>
      <c r="H69" s="29"/>
      <c r="I69" s="29"/>
      <c r="J69" s="29"/>
      <c r="K69" s="29"/>
      <c r="L69" s="29"/>
      <c r="M69" s="29"/>
      <c r="N69" s="29"/>
      <c r="O69" s="60"/>
      <c r="P69" s="29"/>
      <c r="Q69" s="29"/>
      <c r="R69" s="29"/>
      <c r="S69" s="29"/>
      <c r="T69" s="29"/>
      <c r="U69" s="29"/>
      <c r="V69" s="29"/>
      <c r="W69" s="29"/>
      <c r="X69" s="29"/>
      <c r="Y69" s="60"/>
      <c r="Z69" s="29"/>
      <c r="AA69" s="60"/>
      <c r="AB69" s="12"/>
      <c r="AC69" s="12"/>
      <c r="AD69" s="12"/>
      <c r="AE69" s="22"/>
    </row>
    <row r="70" spans="2:31" ht="16" customHeight="1" x14ac:dyDescent="0.35">
      <c r="B70" s="14" t="s">
        <v>119</v>
      </c>
      <c r="C70" s="14" t="s">
        <v>120</v>
      </c>
      <c r="D70" s="61"/>
      <c r="E70" s="62">
        <f>O70+Y70+AA70+AE70</f>
        <v>-22084.158899999999</v>
      </c>
      <c r="F70" s="61"/>
      <c r="G70" s="30"/>
      <c r="H70" s="30"/>
      <c r="I70" s="30"/>
      <c r="J70" s="30"/>
      <c r="K70" s="30">
        <f>SUM(G70:J70)</f>
        <v>0</v>
      </c>
      <c r="L70" s="30">
        <v>-8969.4129699999994</v>
      </c>
      <c r="M70" s="30">
        <v>-10773.38213</v>
      </c>
      <c r="N70" s="30"/>
      <c r="O70" s="62">
        <f>SUM(K70:N70)</f>
        <v>-19742.795099999999</v>
      </c>
      <c r="P70" s="61"/>
      <c r="Q70" s="30"/>
      <c r="R70" s="30">
        <v>-385.54046</v>
      </c>
      <c r="S70" s="30">
        <v>-1955.8233399999999</v>
      </c>
      <c r="T70" s="30"/>
      <c r="U70" s="30"/>
      <c r="V70" s="30"/>
      <c r="W70" s="30"/>
      <c r="X70" s="30"/>
      <c r="Y70" s="62">
        <f>SUM(Q70:X70)</f>
        <v>-2341.3638000000001</v>
      </c>
      <c r="Z70" s="61"/>
      <c r="AA70" s="62"/>
      <c r="AB70" s="63"/>
      <c r="AC70" s="15"/>
      <c r="AD70" s="15"/>
      <c r="AE70" s="23">
        <f>AC70+AD70</f>
        <v>0</v>
      </c>
    </row>
    <row r="71" spans="2:31" ht="16" customHeight="1" x14ac:dyDescent="0.35">
      <c r="B71" s="14" t="s">
        <v>121</v>
      </c>
      <c r="C71" s="14" t="s">
        <v>64</v>
      </c>
      <c r="D71" s="61"/>
      <c r="E71" s="62">
        <f>O71+Y71+AA71+AE71</f>
        <v>0</v>
      </c>
      <c r="F71" s="61"/>
      <c r="G71" s="30"/>
      <c r="H71" s="30"/>
      <c r="I71" s="30"/>
      <c r="J71" s="30"/>
      <c r="K71" s="30">
        <f>SUM(G71:J71)</f>
        <v>0</v>
      </c>
      <c r="L71" s="30"/>
      <c r="M71" s="30"/>
      <c r="N71" s="30"/>
      <c r="O71" s="62">
        <f>SUM(K71:N71)</f>
        <v>0</v>
      </c>
      <c r="P71" s="61"/>
      <c r="Q71" s="30"/>
      <c r="R71" s="30"/>
      <c r="S71" s="30"/>
      <c r="T71" s="30"/>
      <c r="U71" s="30"/>
      <c r="V71" s="30"/>
      <c r="W71" s="30"/>
      <c r="X71" s="30"/>
      <c r="Y71" s="62">
        <f>SUM(Q71:X71)</f>
        <v>0</v>
      </c>
      <c r="Z71" s="61"/>
      <c r="AA71" s="62"/>
      <c r="AB71" s="63"/>
      <c r="AC71" s="15"/>
      <c r="AD71" s="15"/>
      <c r="AE71" s="23">
        <f>AC71+AD71</f>
        <v>0</v>
      </c>
    </row>
    <row r="72" spans="2:31" ht="16" customHeight="1" x14ac:dyDescent="0.35">
      <c r="B72" s="14" t="s">
        <v>122</v>
      </c>
      <c r="C72" s="14" t="s">
        <v>123</v>
      </c>
      <c r="D72" s="61"/>
      <c r="E72" s="62">
        <f>O72+Y72+AA72+AE72</f>
        <v>0</v>
      </c>
      <c r="F72" s="61"/>
      <c r="G72" s="30"/>
      <c r="H72" s="30"/>
      <c r="I72" s="30"/>
      <c r="J72" s="30"/>
      <c r="K72" s="30">
        <f>SUM(G72:J72)</f>
        <v>0</v>
      </c>
      <c r="L72" s="30"/>
      <c r="M72" s="30"/>
      <c r="N72" s="30"/>
      <c r="O72" s="62">
        <f>SUM(K72:N72)</f>
        <v>0</v>
      </c>
      <c r="P72" s="61"/>
      <c r="Q72" s="30"/>
      <c r="R72" s="30"/>
      <c r="S72" s="30"/>
      <c r="T72" s="30"/>
      <c r="U72" s="30"/>
      <c r="V72" s="30"/>
      <c r="W72" s="30"/>
      <c r="X72" s="30"/>
      <c r="Y72" s="62">
        <f>SUM(Q72:X72)</f>
        <v>0</v>
      </c>
      <c r="Z72" s="61"/>
      <c r="AA72" s="62"/>
      <c r="AB72" s="63"/>
      <c r="AC72" s="15"/>
      <c r="AD72" s="15"/>
      <c r="AE72" s="23">
        <f>AC72+AD72</f>
        <v>0</v>
      </c>
    </row>
    <row r="73" spans="2:31" ht="16" customHeight="1" thickBot="1" x14ac:dyDescent="0.4">
      <c r="B73" s="11" t="s">
        <v>124</v>
      </c>
      <c r="C73" s="11" t="s">
        <v>22</v>
      </c>
      <c r="D73" s="29"/>
      <c r="E73" s="60"/>
      <c r="F73" s="29"/>
      <c r="G73" s="29"/>
      <c r="H73" s="29"/>
      <c r="I73" s="29"/>
      <c r="J73" s="29"/>
      <c r="K73" s="29"/>
      <c r="L73" s="29"/>
      <c r="M73" s="29"/>
      <c r="N73" s="29"/>
      <c r="O73" s="60"/>
      <c r="P73" s="29"/>
      <c r="Q73" s="29"/>
      <c r="R73" s="29"/>
      <c r="S73" s="29"/>
      <c r="T73" s="29"/>
      <c r="U73" s="29"/>
      <c r="V73" s="29"/>
      <c r="W73" s="29"/>
      <c r="X73" s="29"/>
      <c r="Y73" s="60"/>
      <c r="Z73" s="29"/>
      <c r="AA73" s="60"/>
      <c r="AB73" s="12"/>
      <c r="AC73" s="12"/>
      <c r="AD73" s="12"/>
      <c r="AE73" s="22"/>
    </row>
    <row r="74" spans="2:31" ht="16" customHeight="1" thickBot="1" x14ac:dyDescent="0.4">
      <c r="B74" s="18" t="s">
        <v>125</v>
      </c>
      <c r="C74" s="18" t="s">
        <v>126</v>
      </c>
      <c r="D74" s="66"/>
      <c r="E74" s="67">
        <f>-(-(E68+E71)-E70-E72)</f>
        <v>60133.280760000183</v>
      </c>
      <c r="F74" s="66"/>
      <c r="G74" s="32">
        <f t="shared" ref="G74:O74" si="40">-(-(G68+G71)-G70-G72)</f>
        <v>0</v>
      </c>
      <c r="H74" s="32">
        <f t="shared" si="40"/>
        <v>0</v>
      </c>
      <c r="I74" s="32">
        <f t="shared" si="40"/>
        <v>0</v>
      </c>
      <c r="J74" s="32">
        <f t="shared" si="40"/>
        <v>0</v>
      </c>
      <c r="K74" s="32">
        <f t="shared" si="40"/>
        <v>0</v>
      </c>
      <c r="L74" s="32">
        <f t="shared" si="40"/>
        <v>83976.792710000009</v>
      </c>
      <c r="M74" s="32">
        <f t="shared" si="40"/>
        <v>-18599.678029999988</v>
      </c>
      <c r="N74" s="32">
        <f t="shared" si="40"/>
        <v>0</v>
      </c>
      <c r="O74" s="67">
        <f t="shared" si="40"/>
        <v>65377.11468000013</v>
      </c>
      <c r="P74" s="66"/>
      <c r="Q74" s="32">
        <f t="shared" ref="Q74:Y74" si="41">-(-(Q68+Q71)-Q70-Q72)</f>
        <v>28.671039999999998</v>
      </c>
      <c r="R74" s="32">
        <f t="shared" si="41"/>
        <v>1652.5368899999919</v>
      </c>
      <c r="S74" s="32">
        <f t="shared" si="41"/>
        <v>-6953.3975000000064</v>
      </c>
      <c r="T74" s="32">
        <f t="shared" si="41"/>
        <v>0</v>
      </c>
      <c r="U74" s="32">
        <f t="shared" si="41"/>
        <v>0</v>
      </c>
      <c r="V74" s="32">
        <f t="shared" si="41"/>
        <v>0</v>
      </c>
      <c r="W74" s="32">
        <f t="shared" si="41"/>
        <v>28.358669999999876</v>
      </c>
      <c r="X74" s="32">
        <f t="shared" si="41"/>
        <v>0</v>
      </c>
      <c r="Y74" s="67">
        <f t="shared" si="41"/>
        <v>-5243.8309000000136</v>
      </c>
      <c r="Z74" s="66"/>
      <c r="AA74" s="67">
        <f>-(-(AA68+AA71)-AA70-AA72)</f>
        <v>0</v>
      </c>
      <c r="AB74" s="68"/>
      <c r="AC74" s="19">
        <f>-(-(AC68+AC71)-AC70-AC72)</f>
        <v>-3.0200000000000001E-3</v>
      </c>
      <c r="AD74" s="19">
        <f>-(-(AD68+AD71)-AD70-AD72)</f>
        <v>0</v>
      </c>
      <c r="AE74" s="25">
        <f>-(-(AE68+AE71)-AE70-AE72)</f>
        <v>-3.0200000000000201E-3</v>
      </c>
    </row>
    <row r="75" spans="2:31" ht="16" customHeight="1" x14ac:dyDescent="0.35">
      <c r="B75" s="11" t="s">
        <v>127</v>
      </c>
      <c r="C75" s="11" t="s">
        <v>22</v>
      </c>
      <c r="D75" s="29"/>
      <c r="E75" s="60"/>
      <c r="F75" s="29"/>
      <c r="G75" s="29"/>
      <c r="H75" s="29"/>
      <c r="I75" s="29"/>
      <c r="J75" s="29"/>
      <c r="K75" s="29"/>
      <c r="L75" s="29"/>
      <c r="M75" s="29"/>
      <c r="N75" s="29"/>
      <c r="O75" s="60"/>
      <c r="P75" s="29"/>
      <c r="Q75" s="29"/>
      <c r="R75" s="29"/>
      <c r="S75" s="29"/>
      <c r="T75" s="29"/>
      <c r="U75" s="29"/>
      <c r="V75" s="29"/>
      <c r="W75" s="29"/>
      <c r="X75" s="29"/>
      <c r="Y75" s="60"/>
      <c r="Z75" s="29"/>
      <c r="AA75" s="60"/>
      <c r="AB75" s="12"/>
      <c r="AC75" s="12"/>
      <c r="AD75" s="12"/>
      <c r="AE75" s="22"/>
    </row>
    <row r="76" spans="2:31" ht="16" customHeight="1" x14ac:dyDescent="0.35">
      <c r="B76" s="14" t="s">
        <v>128</v>
      </c>
      <c r="C76" s="14" t="s">
        <v>129</v>
      </c>
      <c r="D76" s="61"/>
      <c r="E76" s="62">
        <f>O76+Y76+AA76+AE76</f>
        <v>-54721.094690000005</v>
      </c>
      <c r="F76" s="61"/>
      <c r="G76" s="30"/>
      <c r="H76" s="30"/>
      <c r="I76" s="30"/>
      <c r="J76" s="30"/>
      <c r="K76" s="30">
        <f>SUM(G76:J76)</f>
        <v>0</v>
      </c>
      <c r="L76" s="30">
        <v>-42931.191180000002</v>
      </c>
      <c r="M76" s="30">
        <v>-8739.0943800000005</v>
      </c>
      <c r="N76" s="30"/>
      <c r="O76" s="62">
        <f>SUM(K76:N76)</f>
        <v>-51670.285560000004</v>
      </c>
      <c r="P76" s="61"/>
      <c r="Q76" s="30">
        <v>-13.24644</v>
      </c>
      <c r="R76" s="30">
        <v>-1927.06567</v>
      </c>
      <c r="S76" s="30">
        <v>-1110.3708300000001</v>
      </c>
      <c r="T76" s="30"/>
      <c r="U76" s="30"/>
      <c r="V76" s="30"/>
      <c r="W76" s="30">
        <v>-0.60348999999999997</v>
      </c>
      <c r="X76" s="30"/>
      <c r="Y76" s="62">
        <f>SUM(Q76:X76)</f>
        <v>-3051.2864299999997</v>
      </c>
      <c r="Z76" s="61"/>
      <c r="AA76" s="62"/>
      <c r="AB76" s="63"/>
      <c r="AC76" s="15">
        <v>0.4773</v>
      </c>
      <c r="AD76" s="15"/>
      <c r="AE76" s="23">
        <f>AC76+AD76</f>
        <v>0.4773</v>
      </c>
    </row>
    <row r="77" spans="2:31" ht="16" customHeight="1" x14ac:dyDescent="0.35">
      <c r="B77" s="14" t="s">
        <v>130</v>
      </c>
      <c r="C77" s="14" t="s">
        <v>131</v>
      </c>
      <c r="D77" s="61"/>
      <c r="E77" s="62">
        <f>O77+Y77+AA77+AE77</f>
        <v>-1463.2139999999999</v>
      </c>
      <c r="F77" s="61"/>
      <c r="G77" s="30"/>
      <c r="H77" s="30"/>
      <c r="I77" s="30"/>
      <c r="J77" s="30"/>
      <c r="K77" s="30">
        <f>SUM(G77:J77)</f>
        <v>0</v>
      </c>
      <c r="L77" s="30">
        <v>-1374.96145</v>
      </c>
      <c r="M77" s="30">
        <v>-47.936509999999998</v>
      </c>
      <c r="N77" s="30"/>
      <c r="O77" s="62">
        <f>SUM(K77:N77)</f>
        <v>-1422.89796</v>
      </c>
      <c r="P77" s="61"/>
      <c r="Q77" s="30"/>
      <c r="R77" s="30">
        <v>-21.501989999999999</v>
      </c>
      <c r="S77" s="30">
        <v>-18.814050000000002</v>
      </c>
      <c r="T77" s="30"/>
      <c r="U77" s="30"/>
      <c r="V77" s="30"/>
      <c r="W77" s="30"/>
      <c r="X77" s="30"/>
      <c r="Y77" s="62">
        <f>SUM(Q77:X77)</f>
        <v>-40.316040000000001</v>
      </c>
      <c r="Z77" s="61"/>
      <c r="AA77" s="62"/>
      <c r="AB77" s="63"/>
      <c r="AC77" s="15"/>
      <c r="AD77" s="15"/>
      <c r="AE77" s="23">
        <f>AC77+AD77</f>
        <v>0</v>
      </c>
    </row>
    <row r="78" spans="2:31" ht="16" customHeight="1" x14ac:dyDescent="0.35">
      <c r="B78" s="14" t="s">
        <v>132</v>
      </c>
      <c r="C78" s="14" t="s">
        <v>133</v>
      </c>
      <c r="D78" s="61"/>
      <c r="E78" s="62">
        <f>O78+Y78+AA78+AE78</f>
        <v>-3218.6956500000001</v>
      </c>
      <c r="F78" s="61"/>
      <c r="G78" s="30"/>
      <c r="H78" s="30"/>
      <c r="I78" s="30"/>
      <c r="J78" s="30"/>
      <c r="K78" s="30">
        <f>SUM(G78:J78)</f>
        <v>0</v>
      </c>
      <c r="L78" s="30">
        <v>-2710.4167200000002</v>
      </c>
      <c r="M78" s="30">
        <v>-399.02981999999997</v>
      </c>
      <c r="N78" s="30"/>
      <c r="O78" s="62">
        <f>SUM(K78:N78)</f>
        <v>-3109.4465399999999</v>
      </c>
      <c r="P78" s="61"/>
      <c r="Q78" s="30">
        <v>-8.3134399999999999</v>
      </c>
      <c r="R78" s="30">
        <v>-97.044669999999996</v>
      </c>
      <c r="S78" s="30">
        <v>-3.4137</v>
      </c>
      <c r="T78" s="30"/>
      <c r="U78" s="30"/>
      <c r="V78" s="30"/>
      <c r="W78" s="30"/>
      <c r="X78" s="30"/>
      <c r="Y78" s="62">
        <f>SUM(Q78:X78)</f>
        <v>-108.77181</v>
      </c>
      <c r="Z78" s="61"/>
      <c r="AA78" s="62"/>
      <c r="AB78" s="63"/>
      <c r="AC78" s="15">
        <v>-0.4773</v>
      </c>
      <c r="AD78" s="15"/>
      <c r="AE78" s="23">
        <f>AC78+AD78</f>
        <v>-0.4773</v>
      </c>
    </row>
    <row r="79" spans="2:31" ht="16" customHeight="1" x14ac:dyDescent="0.35">
      <c r="B79" s="14" t="s">
        <v>134</v>
      </c>
      <c r="C79" s="14" t="s">
        <v>135</v>
      </c>
      <c r="D79" s="61"/>
      <c r="E79" s="62">
        <f>O79+Y79+AA79+AE79</f>
        <v>0</v>
      </c>
      <c r="F79" s="61"/>
      <c r="G79" s="30"/>
      <c r="H79" s="30"/>
      <c r="I79" s="30"/>
      <c r="J79" s="30"/>
      <c r="K79" s="30">
        <f>SUM(G79:J79)</f>
        <v>0</v>
      </c>
      <c r="L79" s="30"/>
      <c r="M79" s="30"/>
      <c r="N79" s="30"/>
      <c r="O79" s="62">
        <f>SUM(K79:N79)</f>
        <v>0</v>
      </c>
      <c r="P79" s="61"/>
      <c r="Q79" s="30"/>
      <c r="R79" s="30"/>
      <c r="S79" s="30"/>
      <c r="T79" s="30"/>
      <c r="U79" s="30"/>
      <c r="V79" s="30"/>
      <c r="W79" s="30"/>
      <c r="X79" s="30"/>
      <c r="Y79" s="62">
        <f>SUM(Q79:X79)</f>
        <v>0</v>
      </c>
      <c r="Z79" s="61"/>
      <c r="AA79" s="62"/>
      <c r="AB79" s="63"/>
      <c r="AC79" s="15"/>
      <c r="AD79" s="15"/>
      <c r="AE79" s="23">
        <f>AC79+AD79</f>
        <v>0</v>
      </c>
    </row>
    <row r="80" spans="2:31" ht="16" customHeight="1" thickBot="1" x14ac:dyDescent="0.4">
      <c r="B80" s="11" t="s">
        <v>136</v>
      </c>
      <c r="C80" s="11" t="s">
        <v>22</v>
      </c>
      <c r="D80" s="29"/>
      <c r="E80" s="60"/>
      <c r="F80" s="29"/>
      <c r="G80" s="29"/>
      <c r="H80" s="29"/>
      <c r="I80" s="29"/>
      <c r="J80" s="29"/>
      <c r="K80" s="29"/>
      <c r="L80" s="29"/>
      <c r="M80" s="29"/>
      <c r="N80" s="29"/>
      <c r="O80" s="60"/>
      <c r="P80" s="29"/>
      <c r="Q80" s="29"/>
      <c r="R80" s="29"/>
      <c r="S80" s="29"/>
      <c r="T80" s="29"/>
      <c r="U80" s="29"/>
      <c r="V80" s="29"/>
      <c r="W80" s="29"/>
      <c r="X80" s="29"/>
      <c r="Y80" s="60"/>
      <c r="Z80" s="29"/>
      <c r="AA80" s="60"/>
      <c r="AB80" s="12"/>
      <c r="AC80" s="12"/>
      <c r="AD80" s="12"/>
      <c r="AE80" s="22"/>
    </row>
    <row r="81" spans="2:31" ht="16" customHeight="1" thickBot="1" x14ac:dyDescent="0.4">
      <c r="B81" s="18" t="s">
        <v>137</v>
      </c>
      <c r="C81" s="18" t="s">
        <v>138</v>
      </c>
      <c r="D81" s="66"/>
      <c r="E81" s="67">
        <f>-(-(E74+E76)-E77-E78-E79)</f>
        <v>730.27642000017795</v>
      </c>
      <c r="F81" s="66"/>
      <c r="G81" s="32">
        <f t="shared" ref="G81:O81" si="42">-(-(G74+G76)-G77-G78-G79)</f>
        <v>0</v>
      </c>
      <c r="H81" s="32">
        <f t="shared" si="42"/>
        <v>0</v>
      </c>
      <c r="I81" s="32">
        <f t="shared" si="42"/>
        <v>0</v>
      </c>
      <c r="J81" s="32">
        <f t="shared" si="42"/>
        <v>0</v>
      </c>
      <c r="K81" s="32">
        <f t="shared" si="42"/>
        <v>0</v>
      </c>
      <c r="L81" s="32">
        <f t="shared" si="42"/>
        <v>36960.223360000004</v>
      </c>
      <c r="M81" s="32">
        <f t="shared" si="42"/>
        <v>-27785.73873999999</v>
      </c>
      <c r="N81" s="32">
        <f t="shared" si="42"/>
        <v>0</v>
      </c>
      <c r="O81" s="67">
        <f t="shared" si="42"/>
        <v>9174.4846200001266</v>
      </c>
      <c r="P81" s="66"/>
      <c r="Q81" s="32">
        <f t="shared" ref="Q81:Y81" si="43">-(-(Q74+Q76)-Q77-Q78-Q79)</f>
        <v>7.1111599999999981</v>
      </c>
      <c r="R81" s="32">
        <f t="shared" si="43"/>
        <v>-393.07544000000803</v>
      </c>
      <c r="S81" s="32">
        <f t="shared" si="43"/>
        <v>-8085.9960800000063</v>
      </c>
      <c r="T81" s="32">
        <f t="shared" si="43"/>
        <v>0</v>
      </c>
      <c r="U81" s="32">
        <f t="shared" si="43"/>
        <v>0</v>
      </c>
      <c r="V81" s="32">
        <f t="shared" si="43"/>
        <v>0</v>
      </c>
      <c r="W81" s="32">
        <f t="shared" si="43"/>
        <v>27.755179999999875</v>
      </c>
      <c r="X81" s="32">
        <f t="shared" si="43"/>
        <v>0</v>
      </c>
      <c r="Y81" s="67">
        <f t="shared" si="43"/>
        <v>-8444.2051800000136</v>
      </c>
      <c r="Z81" s="66"/>
      <c r="AA81" s="67">
        <f>-(-(AA74+AA76)-AA77-AA78-AA79)</f>
        <v>0</v>
      </c>
      <c r="AB81" s="68"/>
      <c r="AC81" s="19">
        <f>-(-(AC74+AC76)-AC77-AC78-AC79)</f>
        <v>-3.0200000000000227E-3</v>
      </c>
      <c r="AD81" s="19">
        <f>-(-(AD74+AD76)-AD77-AD78-AD79)</f>
        <v>0</v>
      </c>
      <c r="AE81" s="25">
        <f>-(-(AE74+AE76)-AE77-AE78-AE79)</f>
        <v>-3.0200000000000227E-3</v>
      </c>
    </row>
    <row r="82" spans="2:31" ht="16" customHeight="1" x14ac:dyDescent="0.35">
      <c r="B82" s="11" t="s">
        <v>139</v>
      </c>
      <c r="C82" s="11" t="s">
        <v>22</v>
      </c>
      <c r="D82" s="29"/>
      <c r="E82" s="60"/>
      <c r="F82" s="29"/>
      <c r="G82" s="29"/>
      <c r="H82" s="29"/>
      <c r="I82" s="29"/>
      <c r="J82" s="29"/>
      <c r="K82" s="29"/>
      <c r="L82" s="29"/>
      <c r="M82" s="29"/>
      <c r="N82" s="29"/>
      <c r="O82" s="60"/>
      <c r="P82" s="29"/>
      <c r="Q82" s="29"/>
      <c r="R82" s="29"/>
      <c r="S82" s="29"/>
      <c r="T82" s="29"/>
      <c r="U82" s="29"/>
      <c r="V82" s="29"/>
      <c r="W82" s="29"/>
      <c r="X82" s="29"/>
      <c r="Y82" s="60"/>
      <c r="Z82" s="29"/>
      <c r="AA82" s="60"/>
      <c r="AB82" s="12"/>
      <c r="AC82" s="12"/>
      <c r="AD82" s="12"/>
      <c r="AE82" s="22"/>
    </row>
    <row r="83" spans="2:31" ht="16" customHeight="1" x14ac:dyDescent="0.35">
      <c r="B83" s="14" t="s">
        <v>140</v>
      </c>
      <c r="C83" s="14" t="s">
        <v>141</v>
      </c>
      <c r="D83" s="61"/>
      <c r="E83" s="62">
        <f>O83+Y83+AA83+AE83</f>
        <v>-2531.78622</v>
      </c>
      <c r="F83" s="61"/>
      <c r="G83" s="30"/>
      <c r="H83" s="30"/>
      <c r="I83" s="30"/>
      <c r="J83" s="30"/>
      <c r="K83" s="30">
        <f>SUM(G83:J83)</f>
        <v>0</v>
      </c>
      <c r="L83" s="30">
        <v>-1997.18956</v>
      </c>
      <c r="M83" s="30">
        <v>-420.46796999999998</v>
      </c>
      <c r="N83" s="30"/>
      <c r="O83" s="62">
        <f>SUM(K83:N83)</f>
        <v>-2417.65753</v>
      </c>
      <c r="P83" s="61"/>
      <c r="Q83" s="30"/>
      <c r="R83" s="30">
        <v>-41.98556</v>
      </c>
      <c r="S83" s="30">
        <v>-72.143129999999999</v>
      </c>
      <c r="T83" s="30"/>
      <c r="U83" s="30"/>
      <c r="V83" s="30"/>
      <c r="W83" s="30"/>
      <c r="X83" s="30"/>
      <c r="Y83" s="62">
        <f>SUM(Q83:X83)</f>
        <v>-114.12869000000001</v>
      </c>
      <c r="Z83" s="61"/>
      <c r="AA83" s="62"/>
      <c r="AB83" s="63"/>
      <c r="AC83" s="15"/>
      <c r="AD83" s="15"/>
      <c r="AE83" s="23">
        <f>AC83+AD83</f>
        <v>0</v>
      </c>
    </row>
    <row r="84" spans="2:31" ht="16" customHeight="1" x14ac:dyDescent="0.35">
      <c r="B84" s="14" t="s">
        <v>142</v>
      </c>
      <c r="C84" s="14" t="s">
        <v>143</v>
      </c>
      <c r="D84" s="61"/>
      <c r="E84" s="62">
        <f>O84+Y84+AA84+AE84</f>
        <v>-2304.8542200000002</v>
      </c>
      <c r="F84" s="61"/>
      <c r="G84" s="30"/>
      <c r="H84" s="30"/>
      <c r="I84" s="30"/>
      <c r="J84" s="30"/>
      <c r="K84" s="30">
        <f>SUM(G84:J84)</f>
        <v>0</v>
      </c>
      <c r="L84" s="30">
        <v>-369.83542</v>
      </c>
      <c r="M84" s="30"/>
      <c r="N84" s="30"/>
      <c r="O84" s="62">
        <f>SUM(K84:N84)</f>
        <v>-369.83542</v>
      </c>
      <c r="P84" s="61"/>
      <c r="Q84" s="30"/>
      <c r="R84" s="30">
        <v>-1935.0188000000001</v>
      </c>
      <c r="S84" s="30"/>
      <c r="T84" s="30"/>
      <c r="U84" s="30"/>
      <c r="V84" s="30"/>
      <c r="W84" s="30"/>
      <c r="X84" s="30"/>
      <c r="Y84" s="62">
        <f>SUM(Q84:X84)</f>
        <v>-1935.0188000000001</v>
      </c>
      <c r="Z84" s="61"/>
      <c r="AA84" s="62"/>
      <c r="AB84" s="63"/>
      <c r="AC84" s="15"/>
      <c r="AD84" s="15"/>
      <c r="AE84" s="23">
        <f>AC84+AD84</f>
        <v>0</v>
      </c>
    </row>
    <row r="85" spans="2:31" ht="16" customHeight="1" x14ac:dyDescent="0.35">
      <c r="B85" s="14" t="s">
        <v>144</v>
      </c>
      <c r="C85" s="14" t="s">
        <v>145</v>
      </c>
      <c r="D85" s="61"/>
      <c r="E85" s="62">
        <f>O85+Y85+AA85+AE85</f>
        <v>0</v>
      </c>
      <c r="F85" s="61"/>
      <c r="G85" s="30"/>
      <c r="H85" s="30"/>
      <c r="I85" s="30"/>
      <c r="J85" s="30"/>
      <c r="K85" s="30">
        <f>SUM(G85:J85)</f>
        <v>0</v>
      </c>
      <c r="L85" s="30"/>
      <c r="M85" s="30"/>
      <c r="N85" s="30"/>
      <c r="O85" s="62">
        <f>SUM(K85:N85)</f>
        <v>0</v>
      </c>
      <c r="P85" s="61"/>
      <c r="Q85" s="30"/>
      <c r="R85" s="30"/>
      <c r="S85" s="30"/>
      <c r="T85" s="30"/>
      <c r="U85" s="30"/>
      <c r="V85" s="30"/>
      <c r="W85" s="30"/>
      <c r="X85" s="30"/>
      <c r="Y85" s="62">
        <f>SUM(Q85:X85)</f>
        <v>0</v>
      </c>
      <c r="Z85" s="61"/>
      <c r="AA85" s="62"/>
      <c r="AB85" s="63"/>
      <c r="AC85" s="15"/>
      <c r="AD85" s="15"/>
      <c r="AE85" s="23">
        <f>AC85+AD85</f>
        <v>0</v>
      </c>
    </row>
    <row r="86" spans="2:31" ht="16" customHeight="1" x14ac:dyDescent="0.35">
      <c r="B86" s="14" t="s">
        <v>146</v>
      </c>
      <c r="C86" s="14" t="s">
        <v>147</v>
      </c>
      <c r="D86" s="61"/>
      <c r="E86" s="62">
        <f>O86+Y86+AA86+AE86</f>
        <v>-3453.2849099999999</v>
      </c>
      <c r="F86" s="61"/>
      <c r="G86" s="30"/>
      <c r="H86" s="30"/>
      <c r="I86" s="30"/>
      <c r="J86" s="30"/>
      <c r="K86" s="30">
        <f>SUM(G86:J86)</f>
        <v>0</v>
      </c>
      <c r="L86" s="30">
        <v>-3453.2849099999999</v>
      </c>
      <c r="M86" s="30"/>
      <c r="N86" s="30"/>
      <c r="O86" s="62">
        <f>SUM(K86:N86)</f>
        <v>-3453.2849099999999</v>
      </c>
      <c r="P86" s="61"/>
      <c r="Q86" s="30"/>
      <c r="R86" s="30"/>
      <c r="S86" s="30"/>
      <c r="T86" s="30"/>
      <c r="U86" s="30"/>
      <c r="V86" s="30"/>
      <c r="W86" s="30"/>
      <c r="X86" s="30"/>
      <c r="Y86" s="62">
        <f>SUM(Q86:X86)</f>
        <v>0</v>
      </c>
      <c r="Z86" s="61"/>
      <c r="AA86" s="62"/>
      <c r="AB86" s="63"/>
      <c r="AC86" s="15"/>
      <c r="AD86" s="15"/>
      <c r="AE86" s="23">
        <f>AC86+AD86</f>
        <v>0</v>
      </c>
    </row>
    <row r="87" spans="2:31" ht="16" customHeight="1" x14ac:dyDescent="0.35">
      <c r="B87" s="14" t="s">
        <v>148</v>
      </c>
      <c r="C87" s="14" t="s">
        <v>149</v>
      </c>
      <c r="D87" s="61"/>
      <c r="E87" s="62">
        <f>O87+Y87+AA87+AE87</f>
        <v>0</v>
      </c>
      <c r="F87" s="61"/>
      <c r="G87" s="30"/>
      <c r="H87" s="30"/>
      <c r="I87" s="30"/>
      <c r="J87" s="30"/>
      <c r="K87" s="30">
        <f>SUM(G87:J87)</f>
        <v>0</v>
      </c>
      <c r="L87" s="30"/>
      <c r="M87" s="30"/>
      <c r="N87" s="30"/>
      <c r="O87" s="62">
        <f>SUM(K87:N87)</f>
        <v>0</v>
      </c>
      <c r="P87" s="61"/>
      <c r="Q87" s="30"/>
      <c r="R87" s="30"/>
      <c r="S87" s="30"/>
      <c r="T87" s="30"/>
      <c r="U87" s="30"/>
      <c r="V87" s="30"/>
      <c r="W87" s="30"/>
      <c r="X87" s="30"/>
      <c r="Y87" s="62">
        <f>SUM(Q87:X87)</f>
        <v>0</v>
      </c>
      <c r="Z87" s="61"/>
      <c r="AA87" s="62"/>
      <c r="AB87" s="63"/>
      <c r="AC87" s="15"/>
      <c r="AD87" s="15"/>
      <c r="AE87" s="23">
        <f>AC87+AD87</f>
        <v>0</v>
      </c>
    </row>
    <row r="88" spans="2:31" ht="16" customHeight="1" x14ac:dyDescent="0.35">
      <c r="B88" s="16" t="s">
        <v>150</v>
      </c>
      <c r="C88" s="16" t="s">
        <v>151</v>
      </c>
      <c r="D88" s="64"/>
      <c r="E88" s="53">
        <f>-(-(E83+E84)-E85-E86-E87)</f>
        <v>-8289.9253499999995</v>
      </c>
      <c r="F88" s="64"/>
      <c r="G88" s="31">
        <f t="shared" ref="G88:O88" si="44">-(-(G83+G84)-G85-G86-G87)</f>
        <v>0</v>
      </c>
      <c r="H88" s="31">
        <f t="shared" si="44"/>
        <v>0</v>
      </c>
      <c r="I88" s="31">
        <f t="shared" si="44"/>
        <v>0</v>
      </c>
      <c r="J88" s="31">
        <f t="shared" si="44"/>
        <v>0</v>
      </c>
      <c r="K88" s="31">
        <f t="shared" si="44"/>
        <v>0</v>
      </c>
      <c r="L88" s="31">
        <f t="shared" si="44"/>
        <v>-5820.3098900000005</v>
      </c>
      <c r="M88" s="31">
        <f t="shared" si="44"/>
        <v>-420.46796999999998</v>
      </c>
      <c r="N88" s="31">
        <f t="shared" si="44"/>
        <v>0</v>
      </c>
      <c r="O88" s="53">
        <f t="shared" si="44"/>
        <v>-6240.7778600000001</v>
      </c>
      <c r="P88" s="64"/>
      <c r="Q88" s="31">
        <f t="shared" ref="Q88:Y88" si="45">-(-(Q83+Q84)-Q85-Q86-Q87)</f>
        <v>0</v>
      </c>
      <c r="R88" s="31">
        <f t="shared" si="45"/>
        <v>-1977.0043600000001</v>
      </c>
      <c r="S88" s="31">
        <f t="shared" si="45"/>
        <v>-72.143129999999999</v>
      </c>
      <c r="T88" s="31">
        <f t="shared" si="45"/>
        <v>0</v>
      </c>
      <c r="U88" s="31">
        <f t="shared" si="45"/>
        <v>0</v>
      </c>
      <c r="V88" s="31">
        <f t="shared" si="45"/>
        <v>0</v>
      </c>
      <c r="W88" s="31">
        <f t="shared" si="45"/>
        <v>0</v>
      </c>
      <c r="X88" s="31">
        <f t="shared" si="45"/>
        <v>0</v>
      </c>
      <c r="Y88" s="53">
        <f t="shared" si="45"/>
        <v>-2049.1474900000003</v>
      </c>
      <c r="Z88" s="64"/>
      <c r="AA88" s="53">
        <f>-(-(AA83+AA84)-AA85-AA86-AA87)</f>
        <v>0</v>
      </c>
      <c r="AB88" s="65"/>
      <c r="AC88" s="17">
        <f>-(-(AC83+AC84)-AC85-AC86-AC87)</f>
        <v>0</v>
      </c>
      <c r="AD88" s="17">
        <f>-(-(AD83+AD84)-AD85-AD86-AD87)</f>
        <v>0</v>
      </c>
      <c r="AE88" s="24">
        <f>-(-(AE83+AE84)-AE85-AE86-AE87)</f>
        <v>0</v>
      </c>
    </row>
    <row r="89" spans="2:31" ht="16" customHeight="1" x14ac:dyDescent="0.35">
      <c r="B89" s="11" t="s">
        <v>152</v>
      </c>
      <c r="C89" s="11" t="s">
        <v>22</v>
      </c>
      <c r="D89" s="29"/>
      <c r="E89" s="60"/>
      <c r="F89" s="29"/>
      <c r="G89" s="29"/>
      <c r="H89" s="29"/>
      <c r="I89" s="29"/>
      <c r="J89" s="29"/>
      <c r="K89" s="29"/>
      <c r="L89" s="29"/>
      <c r="M89" s="29"/>
      <c r="N89" s="29"/>
      <c r="O89" s="60"/>
      <c r="P89" s="29"/>
      <c r="Q89" s="29"/>
      <c r="R89" s="29"/>
      <c r="S89" s="29"/>
      <c r="T89" s="29"/>
      <c r="U89" s="29"/>
      <c r="V89" s="29"/>
      <c r="W89" s="29"/>
      <c r="X89" s="29"/>
      <c r="Y89" s="60"/>
      <c r="Z89" s="29"/>
      <c r="AA89" s="60"/>
      <c r="AB89" s="12"/>
      <c r="AC89" s="12"/>
      <c r="AD89" s="12"/>
      <c r="AE89" s="22"/>
    </row>
    <row r="90" spans="2:31" ht="16" customHeight="1" x14ac:dyDescent="0.35">
      <c r="B90" s="14" t="s">
        <v>153</v>
      </c>
      <c r="C90" s="14" t="s">
        <v>154</v>
      </c>
      <c r="D90" s="61"/>
      <c r="E90" s="62">
        <f>O90+Y90+AA90+AE90</f>
        <v>0</v>
      </c>
      <c r="F90" s="61"/>
      <c r="G90" s="30"/>
      <c r="H90" s="30"/>
      <c r="I90" s="30"/>
      <c r="J90" s="30"/>
      <c r="K90" s="30">
        <f>SUM(G90:J90)</f>
        <v>0</v>
      </c>
      <c r="L90" s="30"/>
      <c r="M90" s="30"/>
      <c r="N90" s="30"/>
      <c r="O90" s="62">
        <f>SUM(K90:N90)</f>
        <v>0</v>
      </c>
      <c r="P90" s="61"/>
      <c r="Q90" s="30"/>
      <c r="R90" s="30"/>
      <c r="S90" s="30"/>
      <c r="T90" s="30"/>
      <c r="U90" s="30"/>
      <c r="V90" s="30"/>
      <c r="W90" s="30"/>
      <c r="X90" s="30"/>
      <c r="Y90" s="62">
        <f>SUM(Q90:X90)</f>
        <v>0</v>
      </c>
      <c r="Z90" s="61"/>
      <c r="AA90" s="62"/>
      <c r="AB90" s="63"/>
      <c r="AC90" s="15"/>
      <c r="AD90" s="15"/>
      <c r="AE90" s="23">
        <f>AC90+AD90</f>
        <v>0</v>
      </c>
    </row>
    <row r="91" spans="2:31" ht="16" customHeight="1" x14ac:dyDescent="0.35">
      <c r="B91" s="14" t="s">
        <v>155</v>
      </c>
      <c r="C91" s="14" t="s">
        <v>156</v>
      </c>
      <c r="D91" s="61"/>
      <c r="E91" s="62">
        <f>O91+Y91+AA91+AE91</f>
        <v>0</v>
      </c>
      <c r="F91" s="61"/>
      <c r="G91" s="30"/>
      <c r="H91" s="30"/>
      <c r="I91" s="30"/>
      <c r="J91" s="30"/>
      <c r="K91" s="30">
        <f>SUM(G91:J91)</f>
        <v>0</v>
      </c>
      <c r="L91" s="30"/>
      <c r="M91" s="30"/>
      <c r="N91" s="30"/>
      <c r="O91" s="62">
        <f>SUM(K91:N91)</f>
        <v>0</v>
      </c>
      <c r="P91" s="61"/>
      <c r="Q91" s="30"/>
      <c r="R91" s="30"/>
      <c r="S91" s="30"/>
      <c r="T91" s="30"/>
      <c r="U91" s="30"/>
      <c r="V91" s="30"/>
      <c r="W91" s="30"/>
      <c r="X91" s="30"/>
      <c r="Y91" s="62">
        <f>SUM(Q91:X91)</f>
        <v>0</v>
      </c>
      <c r="Z91" s="61"/>
      <c r="AA91" s="62"/>
      <c r="AB91" s="63"/>
      <c r="AC91" s="15"/>
      <c r="AD91" s="15"/>
      <c r="AE91" s="23">
        <f>AC91+AD91</f>
        <v>0</v>
      </c>
    </row>
    <row r="92" spans="2:31" ht="16" customHeight="1" x14ac:dyDescent="0.35">
      <c r="B92" s="14" t="s">
        <v>157</v>
      </c>
      <c r="C92" s="14" t="s">
        <v>158</v>
      </c>
      <c r="D92" s="61"/>
      <c r="E92" s="62">
        <f>O92+Y92+AA92+AE92</f>
        <v>0</v>
      </c>
      <c r="F92" s="61"/>
      <c r="G92" s="30"/>
      <c r="H92" s="30"/>
      <c r="I92" s="30"/>
      <c r="J92" s="30"/>
      <c r="K92" s="30">
        <f>SUM(G92:J92)</f>
        <v>0</v>
      </c>
      <c r="L92" s="30"/>
      <c r="M92" s="30"/>
      <c r="N92" s="30"/>
      <c r="O92" s="62">
        <f>SUM(K92:N92)</f>
        <v>0</v>
      </c>
      <c r="P92" s="61"/>
      <c r="Q92" s="30"/>
      <c r="R92" s="30"/>
      <c r="S92" s="30"/>
      <c r="T92" s="30"/>
      <c r="U92" s="30"/>
      <c r="V92" s="30"/>
      <c r="W92" s="30"/>
      <c r="X92" s="30"/>
      <c r="Y92" s="62">
        <f>SUM(Q92:X92)</f>
        <v>0</v>
      </c>
      <c r="Z92" s="61"/>
      <c r="AA92" s="62"/>
      <c r="AB92" s="63"/>
      <c r="AC92" s="15"/>
      <c r="AD92" s="15"/>
      <c r="AE92" s="23">
        <f>AC92+AD92</f>
        <v>0</v>
      </c>
    </row>
    <row r="93" spans="2:31" ht="16" customHeight="1" x14ac:dyDescent="0.35">
      <c r="B93" s="14" t="s">
        <v>159</v>
      </c>
      <c r="C93" s="14" t="s">
        <v>160</v>
      </c>
      <c r="D93" s="61"/>
      <c r="E93" s="62">
        <f>O93+Y93+AA93+AE93</f>
        <v>0</v>
      </c>
      <c r="F93" s="61"/>
      <c r="G93" s="30"/>
      <c r="H93" s="30"/>
      <c r="I93" s="30"/>
      <c r="J93" s="30"/>
      <c r="K93" s="30">
        <f>SUM(G93:J93)</f>
        <v>0</v>
      </c>
      <c r="L93" s="30"/>
      <c r="M93" s="30"/>
      <c r="N93" s="30"/>
      <c r="O93" s="62">
        <f>SUM(K93:N93)</f>
        <v>0</v>
      </c>
      <c r="P93" s="61"/>
      <c r="Q93" s="30"/>
      <c r="R93" s="30"/>
      <c r="S93" s="30"/>
      <c r="T93" s="30"/>
      <c r="U93" s="30"/>
      <c r="V93" s="30"/>
      <c r="W93" s="30"/>
      <c r="X93" s="30"/>
      <c r="Y93" s="62">
        <f>SUM(Q93:X93)</f>
        <v>0</v>
      </c>
      <c r="Z93" s="61"/>
      <c r="AA93" s="62"/>
      <c r="AB93" s="63"/>
      <c r="AC93" s="15"/>
      <c r="AD93" s="15"/>
      <c r="AE93" s="23">
        <f>AC93+AD93</f>
        <v>0</v>
      </c>
    </row>
    <row r="94" spans="2:31" ht="16" customHeight="1" x14ac:dyDescent="0.35">
      <c r="B94" s="14" t="s">
        <v>161</v>
      </c>
      <c r="C94" s="14" t="s">
        <v>162</v>
      </c>
      <c r="D94" s="61"/>
      <c r="E94" s="62">
        <f>O94+Y94+AA94+AE94</f>
        <v>0</v>
      </c>
      <c r="F94" s="61"/>
      <c r="G94" s="30"/>
      <c r="H94" s="30"/>
      <c r="I94" s="30"/>
      <c r="J94" s="30"/>
      <c r="K94" s="30">
        <f>SUM(G94:J94)</f>
        <v>0</v>
      </c>
      <c r="L94" s="30"/>
      <c r="M94" s="30"/>
      <c r="N94" s="30"/>
      <c r="O94" s="62">
        <f>SUM(K94:N94)</f>
        <v>0</v>
      </c>
      <c r="P94" s="61"/>
      <c r="Q94" s="30"/>
      <c r="R94" s="30"/>
      <c r="S94" s="30"/>
      <c r="T94" s="30"/>
      <c r="U94" s="30"/>
      <c r="V94" s="30"/>
      <c r="W94" s="30"/>
      <c r="X94" s="30"/>
      <c r="Y94" s="62">
        <f>SUM(Q94:X94)</f>
        <v>0</v>
      </c>
      <c r="Z94" s="61"/>
      <c r="AA94" s="62"/>
      <c r="AB94" s="63"/>
      <c r="AC94" s="15"/>
      <c r="AD94" s="15"/>
      <c r="AE94" s="23">
        <f>AC94+AD94</f>
        <v>0</v>
      </c>
    </row>
    <row r="95" spans="2:31" ht="16" customHeight="1" x14ac:dyDescent="0.35">
      <c r="B95" s="16" t="s">
        <v>163</v>
      </c>
      <c r="C95" s="16" t="s">
        <v>164</v>
      </c>
      <c r="D95" s="64"/>
      <c r="E95" s="53">
        <f>-(-(E90+E91)-E92-E93-E94)</f>
        <v>0</v>
      </c>
      <c r="F95" s="64"/>
      <c r="G95" s="31">
        <f t="shared" ref="G95:O95" si="46">-(-(G90+G91)-G92-G93-G94)</f>
        <v>0</v>
      </c>
      <c r="H95" s="31">
        <f t="shared" si="46"/>
        <v>0</v>
      </c>
      <c r="I95" s="31">
        <f t="shared" si="46"/>
        <v>0</v>
      </c>
      <c r="J95" s="31">
        <f t="shared" si="46"/>
        <v>0</v>
      </c>
      <c r="K95" s="31">
        <f t="shared" si="46"/>
        <v>0</v>
      </c>
      <c r="L95" s="31">
        <f t="shared" si="46"/>
        <v>0</v>
      </c>
      <c r="M95" s="31">
        <f t="shared" si="46"/>
        <v>0</v>
      </c>
      <c r="N95" s="31">
        <f t="shared" si="46"/>
        <v>0</v>
      </c>
      <c r="O95" s="53">
        <f t="shared" si="46"/>
        <v>0</v>
      </c>
      <c r="P95" s="64"/>
      <c r="Q95" s="31">
        <f t="shared" ref="Q95:Y95" si="47">-(-(Q90+Q91)-Q92-Q93-Q94)</f>
        <v>0</v>
      </c>
      <c r="R95" s="31">
        <f t="shared" si="47"/>
        <v>0</v>
      </c>
      <c r="S95" s="31">
        <f t="shared" si="47"/>
        <v>0</v>
      </c>
      <c r="T95" s="31">
        <f t="shared" si="47"/>
        <v>0</v>
      </c>
      <c r="U95" s="31">
        <f t="shared" si="47"/>
        <v>0</v>
      </c>
      <c r="V95" s="31">
        <f t="shared" si="47"/>
        <v>0</v>
      </c>
      <c r="W95" s="31">
        <f t="shared" si="47"/>
        <v>0</v>
      </c>
      <c r="X95" s="31">
        <f t="shared" si="47"/>
        <v>0</v>
      </c>
      <c r="Y95" s="53">
        <f t="shared" si="47"/>
        <v>0</v>
      </c>
      <c r="Z95" s="64"/>
      <c r="AA95" s="53">
        <f>-(-(AA90+AA91)-AA92-AA93-AA94)</f>
        <v>0</v>
      </c>
      <c r="AB95" s="65"/>
      <c r="AC95" s="17">
        <f>-(-(AC90+AC91)-AC92-AC93-AC94)</f>
        <v>0</v>
      </c>
      <c r="AD95" s="17">
        <f>-(-(AD90+AD91)-AD92-AD93-AD94)</f>
        <v>0</v>
      </c>
      <c r="AE95" s="24">
        <f>-(-(AE90+AE91)-AE92-AE93-AE94)</f>
        <v>0</v>
      </c>
    </row>
    <row r="96" spans="2:31" ht="16" customHeight="1" x14ac:dyDescent="0.35">
      <c r="B96" s="11" t="s">
        <v>165</v>
      </c>
      <c r="C96" s="11" t="s">
        <v>22</v>
      </c>
      <c r="D96" s="29"/>
      <c r="E96" s="60"/>
      <c r="F96" s="29"/>
      <c r="G96" s="29"/>
      <c r="H96" s="29"/>
      <c r="I96" s="29"/>
      <c r="J96" s="29"/>
      <c r="K96" s="29"/>
      <c r="L96" s="29"/>
      <c r="M96" s="29"/>
      <c r="N96" s="29"/>
      <c r="O96" s="60"/>
      <c r="P96" s="29"/>
      <c r="Q96" s="29"/>
      <c r="R96" s="29"/>
      <c r="S96" s="29"/>
      <c r="T96" s="29"/>
      <c r="U96" s="29"/>
      <c r="V96" s="29"/>
      <c r="W96" s="29"/>
      <c r="X96" s="29"/>
      <c r="Y96" s="60"/>
      <c r="Z96" s="29"/>
      <c r="AA96" s="60"/>
      <c r="AB96" s="12"/>
      <c r="AC96" s="12"/>
      <c r="AD96" s="12"/>
      <c r="AE96" s="22"/>
    </row>
    <row r="97" spans="2:31" ht="16" customHeight="1" x14ac:dyDescent="0.35">
      <c r="B97" s="14" t="s">
        <v>166</v>
      </c>
      <c r="C97" s="14" t="s">
        <v>167</v>
      </c>
      <c r="D97" s="61"/>
      <c r="E97" s="62">
        <f>O97+Y97+AA97+AE97</f>
        <v>0</v>
      </c>
      <c r="F97" s="61"/>
      <c r="G97" s="30"/>
      <c r="H97" s="30"/>
      <c r="I97" s="30"/>
      <c r="J97" s="30"/>
      <c r="K97" s="30">
        <f>SUM(G97:J97)</f>
        <v>0</v>
      </c>
      <c r="L97" s="30"/>
      <c r="M97" s="30"/>
      <c r="N97" s="30"/>
      <c r="O97" s="62">
        <f>SUM(K97:N97)</f>
        <v>0</v>
      </c>
      <c r="P97" s="61"/>
      <c r="Q97" s="30"/>
      <c r="R97" s="30"/>
      <c r="S97" s="30"/>
      <c r="T97" s="30"/>
      <c r="U97" s="30"/>
      <c r="V97" s="30"/>
      <c r="W97" s="30"/>
      <c r="X97" s="30"/>
      <c r="Y97" s="62">
        <f>SUM(Q97:X97)</f>
        <v>0</v>
      </c>
      <c r="Z97" s="61"/>
      <c r="AA97" s="62"/>
      <c r="AB97" s="63"/>
      <c r="AC97" s="15"/>
      <c r="AD97" s="15"/>
      <c r="AE97" s="23">
        <f>AC97+AD97</f>
        <v>0</v>
      </c>
    </row>
    <row r="98" spans="2:31" ht="16" customHeight="1" thickBot="1" x14ac:dyDescent="0.4">
      <c r="B98" s="11" t="s">
        <v>168</v>
      </c>
      <c r="C98" s="11" t="s">
        <v>22</v>
      </c>
      <c r="D98" s="29"/>
      <c r="E98" s="60"/>
      <c r="F98" s="29"/>
      <c r="G98" s="29"/>
      <c r="H98" s="29"/>
      <c r="I98" s="29"/>
      <c r="J98" s="29"/>
      <c r="K98" s="29"/>
      <c r="L98" s="29"/>
      <c r="M98" s="29"/>
      <c r="N98" s="29"/>
      <c r="O98" s="60"/>
      <c r="P98" s="29"/>
      <c r="Q98" s="29"/>
      <c r="R98" s="29"/>
      <c r="S98" s="29"/>
      <c r="T98" s="29"/>
      <c r="U98" s="29"/>
      <c r="V98" s="29"/>
      <c r="W98" s="29"/>
      <c r="X98" s="29"/>
      <c r="Y98" s="60"/>
      <c r="Z98" s="29"/>
      <c r="AA98" s="60"/>
      <c r="AB98" s="12"/>
      <c r="AC98" s="12"/>
      <c r="AD98" s="12"/>
      <c r="AE98" s="22"/>
    </row>
    <row r="99" spans="2:31" ht="16" customHeight="1" thickBot="1" x14ac:dyDescent="0.4">
      <c r="B99" s="18" t="s">
        <v>169</v>
      </c>
      <c r="C99" s="18" t="s">
        <v>170</v>
      </c>
      <c r="D99" s="66"/>
      <c r="E99" s="67">
        <f>-(-(E81+E88)-E95-E97)</f>
        <v>-7559.6489299998211</v>
      </c>
      <c r="F99" s="66"/>
      <c r="G99" s="32">
        <f t="shared" ref="G99:O99" si="48">-(-(G81+G88)-G95-G97)</f>
        <v>0</v>
      </c>
      <c r="H99" s="32">
        <f t="shared" si="48"/>
        <v>0</v>
      </c>
      <c r="I99" s="32">
        <f t="shared" si="48"/>
        <v>0</v>
      </c>
      <c r="J99" s="32">
        <f t="shared" si="48"/>
        <v>0</v>
      </c>
      <c r="K99" s="32">
        <f t="shared" si="48"/>
        <v>0</v>
      </c>
      <c r="L99" s="32">
        <f t="shared" si="48"/>
        <v>31139.913470000003</v>
      </c>
      <c r="M99" s="32">
        <f t="shared" si="48"/>
        <v>-28206.206709999991</v>
      </c>
      <c r="N99" s="32">
        <f t="shared" si="48"/>
        <v>0</v>
      </c>
      <c r="O99" s="67">
        <f t="shared" si="48"/>
        <v>2933.7067600001265</v>
      </c>
      <c r="P99" s="66"/>
      <c r="Q99" s="32">
        <f t="shared" ref="Q99:Y99" si="49">-(-(Q81+Q88)-Q95-Q97)</f>
        <v>7.1111599999999981</v>
      </c>
      <c r="R99" s="32">
        <f t="shared" si="49"/>
        <v>-2370.0798000000082</v>
      </c>
      <c r="S99" s="32">
        <f t="shared" si="49"/>
        <v>-8158.1392100000066</v>
      </c>
      <c r="T99" s="32">
        <f t="shared" si="49"/>
        <v>0</v>
      </c>
      <c r="U99" s="32">
        <f t="shared" si="49"/>
        <v>0</v>
      </c>
      <c r="V99" s="32">
        <f t="shared" si="49"/>
        <v>0</v>
      </c>
      <c r="W99" s="32">
        <f t="shared" si="49"/>
        <v>27.755179999999875</v>
      </c>
      <c r="X99" s="32">
        <f t="shared" si="49"/>
        <v>0</v>
      </c>
      <c r="Y99" s="67">
        <f t="shared" si="49"/>
        <v>-10493.352670000015</v>
      </c>
      <c r="Z99" s="66"/>
      <c r="AA99" s="67">
        <f>-(-(AA81+AA88)-AA95-AA97)</f>
        <v>0</v>
      </c>
      <c r="AB99" s="68"/>
      <c r="AC99" s="19">
        <f>-(-(AC81+AC88)-AC95-AC97)</f>
        <v>-3.0200000000000227E-3</v>
      </c>
      <c r="AD99" s="19">
        <f>-(-(AD81+AD88)-AD95-AD97)</f>
        <v>0</v>
      </c>
      <c r="AE99" s="25">
        <f>-(-(AE81+AE88)-AE95-AE97)</f>
        <v>-3.0200000000000227E-3</v>
      </c>
    </row>
    <row r="100" spans="2:31" ht="16" customHeight="1" x14ac:dyDescent="0.35">
      <c r="B100" s="11" t="s">
        <v>171</v>
      </c>
      <c r="C100" s="11" t="s">
        <v>22</v>
      </c>
      <c r="D100" s="29"/>
      <c r="E100" s="60"/>
      <c r="F100" s="29"/>
      <c r="G100" s="29"/>
      <c r="H100" s="29"/>
      <c r="I100" s="29"/>
      <c r="J100" s="29"/>
      <c r="K100" s="29"/>
      <c r="L100" s="29"/>
      <c r="M100" s="29"/>
      <c r="N100" s="29"/>
      <c r="O100" s="60"/>
      <c r="P100" s="29"/>
      <c r="Q100" s="29"/>
      <c r="R100" s="29"/>
      <c r="S100" s="29"/>
      <c r="T100" s="29"/>
      <c r="U100" s="29"/>
      <c r="V100" s="29"/>
      <c r="W100" s="29"/>
      <c r="X100" s="29"/>
      <c r="Y100" s="60"/>
      <c r="Z100" s="29"/>
      <c r="AA100" s="60"/>
      <c r="AB100" s="12"/>
      <c r="AC100" s="12"/>
      <c r="AD100" s="12"/>
      <c r="AE100" s="22"/>
    </row>
    <row r="101" spans="2:31" ht="16" customHeight="1" x14ac:dyDescent="0.35">
      <c r="B101" s="14" t="s">
        <v>172</v>
      </c>
      <c r="C101" s="14" t="s">
        <v>173</v>
      </c>
      <c r="D101" s="61"/>
      <c r="E101" s="62">
        <f>O101+Y101+AA101+AE101</f>
        <v>0</v>
      </c>
      <c r="F101" s="61"/>
      <c r="G101" s="30"/>
      <c r="H101" s="30"/>
      <c r="I101" s="30"/>
      <c r="J101" s="30"/>
      <c r="K101" s="30">
        <f>SUM(G101:J101)</f>
        <v>0</v>
      </c>
      <c r="L101" s="30"/>
      <c r="M101" s="30"/>
      <c r="N101" s="30"/>
      <c r="O101" s="62">
        <f>SUM(K101:N101)</f>
        <v>0</v>
      </c>
      <c r="P101" s="61"/>
      <c r="Q101" s="30"/>
      <c r="R101" s="30"/>
      <c r="S101" s="30"/>
      <c r="T101" s="30"/>
      <c r="U101" s="30"/>
      <c r="V101" s="30"/>
      <c r="W101" s="30"/>
      <c r="X101" s="30"/>
      <c r="Y101" s="62">
        <f>SUM(Q101:X101)</f>
        <v>0</v>
      </c>
      <c r="Z101" s="61"/>
      <c r="AA101" s="62"/>
      <c r="AB101" s="63"/>
      <c r="AC101" s="15"/>
      <c r="AD101" s="15"/>
      <c r="AE101" s="23">
        <f>AC101+AD101</f>
        <v>0</v>
      </c>
    </row>
    <row r="102" spans="2:31" ht="16" customHeight="1" x14ac:dyDescent="0.35">
      <c r="B102" s="14" t="s">
        <v>174</v>
      </c>
      <c r="C102" s="14" t="s">
        <v>175</v>
      </c>
      <c r="D102" s="61"/>
      <c r="E102" s="62">
        <f>O102+Y102+AA102+AE102</f>
        <v>0</v>
      </c>
      <c r="F102" s="61"/>
      <c r="G102" s="30"/>
      <c r="H102" s="30"/>
      <c r="I102" s="30"/>
      <c r="J102" s="30"/>
      <c r="K102" s="30">
        <f>SUM(G102:J102)</f>
        <v>0</v>
      </c>
      <c r="L102" s="30"/>
      <c r="M102" s="30"/>
      <c r="N102" s="30"/>
      <c r="O102" s="62">
        <f>SUM(K102:N102)</f>
        <v>0</v>
      </c>
      <c r="P102" s="61"/>
      <c r="Q102" s="30"/>
      <c r="R102" s="30"/>
      <c r="S102" s="30"/>
      <c r="T102" s="30"/>
      <c r="U102" s="30"/>
      <c r="V102" s="30"/>
      <c r="W102" s="30"/>
      <c r="X102" s="30"/>
      <c r="Y102" s="62">
        <f>SUM(Q102:X102)</f>
        <v>0</v>
      </c>
      <c r="Z102" s="61"/>
      <c r="AA102" s="62"/>
      <c r="AB102" s="63"/>
      <c r="AC102" s="15"/>
      <c r="AD102" s="15"/>
      <c r="AE102" s="23">
        <f>AC102+AD102</f>
        <v>0</v>
      </c>
    </row>
    <row r="103" spans="2:31" ht="16" customHeight="1" x14ac:dyDescent="0.35">
      <c r="B103" s="14" t="s">
        <v>176</v>
      </c>
      <c r="C103" s="14" t="s">
        <v>177</v>
      </c>
      <c r="D103" s="61"/>
      <c r="E103" s="62">
        <f>O103+Y103+AA103+AE103</f>
        <v>0</v>
      </c>
      <c r="F103" s="61"/>
      <c r="G103" s="30"/>
      <c r="H103" s="30"/>
      <c r="I103" s="30"/>
      <c r="J103" s="30"/>
      <c r="K103" s="30">
        <f>SUM(G103:J103)</f>
        <v>0</v>
      </c>
      <c r="L103" s="30"/>
      <c r="M103" s="30"/>
      <c r="N103" s="30"/>
      <c r="O103" s="62">
        <f>SUM(K103:N103)</f>
        <v>0</v>
      </c>
      <c r="P103" s="61"/>
      <c r="Q103" s="30"/>
      <c r="R103" s="30"/>
      <c r="S103" s="30"/>
      <c r="T103" s="30"/>
      <c r="U103" s="30"/>
      <c r="V103" s="30"/>
      <c r="W103" s="30"/>
      <c r="X103" s="30"/>
      <c r="Y103" s="62">
        <f>SUM(Q103:X103)</f>
        <v>0</v>
      </c>
      <c r="Z103" s="61"/>
      <c r="AA103" s="62"/>
      <c r="AB103" s="63"/>
      <c r="AC103" s="15"/>
      <c r="AD103" s="15"/>
      <c r="AE103" s="23">
        <f>AC103+AD103</f>
        <v>0</v>
      </c>
    </row>
    <row r="104" spans="2:31" ht="16" customHeight="1" x14ac:dyDescent="0.35">
      <c r="B104" s="14" t="s">
        <v>178</v>
      </c>
      <c r="C104" s="14" t="s">
        <v>179</v>
      </c>
      <c r="D104" s="61"/>
      <c r="E104" s="62">
        <f>O104+Y104+AA104+AE104</f>
        <v>0</v>
      </c>
      <c r="F104" s="61"/>
      <c r="G104" s="30"/>
      <c r="H104" s="30"/>
      <c r="I104" s="30"/>
      <c r="J104" s="30"/>
      <c r="K104" s="30">
        <f>SUM(G104:J104)</f>
        <v>0</v>
      </c>
      <c r="L104" s="30"/>
      <c r="M104" s="30"/>
      <c r="N104" s="30"/>
      <c r="O104" s="62">
        <f>SUM(K104:N104)</f>
        <v>0</v>
      </c>
      <c r="P104" s="61"/>
      <c r="Q104" s="30"/>
      <c r="R104" s="30"/>
      <c r="S104" s="30"/>
      <c r="T104" s="30"/>
      <c r="U104" s="30"/>
      <c r="V104" s="30"/>
      <c r="W104" s="30"/>
      <c r="X104" s="30"/>
      <c r="Y104" s="62">
        <f>SUM(Q104:X104)</f>
        <v>0</v>
      </c>
      <c r="Z104" s="61"/>
      <c r="AA104" s="62"/>
      <c r="AB104" s="63"/>
      <c r="AC104" s="15"/>
      <c r="AD104" s="15"/>
      <c r="AE104" s="23">
        <f>AC104+AD104</f>
        <v>0</v>
      </c>
    </row>
    <row r="105" spans="2:31" ht="16" customHeight="1" x14ac:dyDescent="0.35">
      <c r="B105" s="16" t="s">
        <v>180</v>
      </c>
      <c r="C105" s="16" t="s">
        <v>181</v>
      </c>
      <c r="D105" s="64"/>
      <c r="E105" s="53">
        <f>-(-(E101+E102)-E103-E104)</f>
        <v>0</v>
      </c>
      <c r="F105" s="64"/>
      <c r="G105" s="31">
        <f t="shared" ref="G105:O105" si="50">-(-(G101+G102)-G103-G104)</f>
        <v>0</v>
      </c>
      <c r="H105" s="31">
        <f t="shared" si="50"/>
        <v>0</v>
      </c>
      <c r="I105" s="31">
        <f t="shared" si="50"/>
        <v>0</v>
      </c>
      <c r="J105" s="31">
        <f t="shared" si="50"/>
        <v>0</v>
      </c>
      <c r="K105" s="31">
        <f t="shared" si="50"/>
        <v>0</v>
      </c>
      <c r="L105" s="31">
        <f t="shared" si="50"/>
        <v>0</v>
      </c>
      <c r="M105" s="31">
        <f t="shared" si="50"/>
        <v>0</v>
      </c>
      <c r="N105" s="31">
        <f t="shared" si="50"/>
        <v>0</v>
      </c>
      <c r="O105" s="53">
        <f t="shared" si="50"/>
        <v>0</v>
      </c>
      <c r="P105" s="64"/>
      <c r="Q105" s="31">
        <f t="shared" ref="Q105:Y105" si="51">-(-(Q101+Q102)-Q103-Q104)</f>
        <v>0</v>
      </c>
      <c r="R105" s="31">
        <f t="shared" si="51"/>
        <v>0</v>
      </c>
      <c r="S105" s="31">
        <f t="shared" si="51"/>
        <v>0</v>
      </c>
      <c r="T105" s="31">
        <f t="shared" si="51"/>
        <v>0</v>
      </c>
      <c r="U105" s="31">
        <f t="shared" si="51"/>
        <v>0</v>
      </c>
      <c r="V105" s="31">
        <f t="shared" si="51"/>
        <v>0</v>
      </c>
      <c r="W105" s="31">
        <f t="shared" si="51"/>
        <v>0</v>
      </c>
      <c r="X105" s="31">
        <f t="shared" si="51"/>
        <v>0</v>
      </c>
      <c r="Y105" s="53">
        <f t="shared" si="51"/>
        <v>0</v>
      </c>
      <c r="Z105" s="64"/>
      <c r="AA105" s="53">
        <f>-(-(AA101+AA102)-AA103-AA104)</f>
        <v>0</v>
      </c>
      <c r="AB105" s="65"/>
      <c r="AC105" s="17">
        <f>-(-(AC101+AC102)-AC103-AC104)</f>
        <v>0</v>
      </c>
      <c r="AD105" s="17">
        <f>-(-(AD101+AD102)-AD103-AD104)</f>
        <v>0</v>
      </c>
      <c r="AE105" s="24">
        <f>-(-(AE101+AE102)-AE103-AE104)</f>
        <v>0</v>
      </c>
    </row>
    <row r="106" spans="2:31" ht="16" customHeight="1" x14ac:dyDescent="0.35">
      <c r="B106" s="11" t="s">
        <v>182</v>
      </c>
      <c r="C106" s="11" t="s">
        <v>22</v>
      </c>
      <c r="D106" s="29"/>
      <c r="E106" s="60"/>
      <c r="F106" s="29"/>
      <c r="G106" s="29"/>
      <c r="H106" s="29"/>
      <c r="I106" s="29"/>
      <c r="J106" s="29"/>
      <c r="K106" s="29"/>
      <c r="L106" s="29"/>
      <c r="M106" s="29"/>
      <c r="N106" s="29"/>
      <c r="O106" s="60"/>
      <c r="P106" s="29"/>
      <c r="Q106" s="29"/>
      <c r="R106" s="29"/>
      <c r="S106" s="29"/>
      <c r="T106" s="29"/>
      <c r="U106" s="29"/>
      <c r="V106" s="29"/>
      <c r="W106" s="29"/>
      <c r="X106" s="29"/>
      <c r="Y106" s="60"/>
      <c r="Z106" s="29"/>
      <c r="AA106" s="60"/>
      <c r="AB106" s="12"/>
      <c r="AC106" s="12"/>
      <c r="AD106" s="12"/>
      <c r="AE106" s="22"/>
    </row>
    <row r="107" spans="2:31" ht="16" customHeight="1" x14ac:dyDescent="0.35">
      <c r="B107" s="14" t="s">
        <v>183</v>
      </c>
      <c r="C107" s="14" t="s">
        <v>184</v>
      </c>
      <c r="D107" s="61"/>
      <c r="E107" s="62">
        <f>O107+Y107+AA107+AE107</f>
        <v>0</v>
      </c>
      <c r="F107" s="61"/>
      <c r="G107" s="30"/>
      <c r="H107" s="30"/>
      <c r="I107" s="30"/>
      <c r="J107" s="30"/>
      <c r="K107" s="30">
        <f>SUM(G107:J107)</f>
        <v>0</v>
      </c>
      <c r="L107" s="30"/>
      <c r="M107" s="30"/>
      <c r="N107" s="30"/>
      <c r="O107" s="62">
        <f>SUM(K107:N107)</f>
        <v>0</v>
      </c>
      <c r="P107" s="61"/>
      <c r="Q107" s="30"/>
      <c r="R107" s="30"/>
      <c r="S107" s="30"/>
      <c r="T107" s="30"/>
      <c r="U107" s="30"/>
      <c r="V107" s="30"/>
      <c r="W107" s="30"/>
      <c r="X107" s="30"/>
      <c r="Y107" s="62">
        <f>SUM(Q107:X107)</f>
        <v>0</v>
      </c>
      <c r="Z107" s="61"/>
      <c r="AA107" s="62"/>
      <c r="AB107" s="63"/>
      <c r="AC107" s="15"/>
      <c r="AD107" s="15"/>
      <c r="AE107" s="23">
        <f>AC107+AD107</f>
        <v>0</v>
      </c>
    </row>
    <row r="108" spans="2:31" ht="16" customHeight="1" x14ac:dyDescent="0.35">
      <c r="B108" s="14" t="s">
        <v>185</v>
      </c>
      <c r="C108" s="14" t="s">
        <v>186</v>
      </c>
      <c r="D108" s="61"/>
      <c r="E108" s="62">
        <f>O108+Y108+AA108+AE108</f>
        <v>0</v>
      </c>
      <c r="F108" s="61"/>
      <c r="G108" s="30"/>
      <c r="H108" s="30"/>
      <c r="I108" s="30"/>
      <c r="J108" s="30"/>
      <c r="K108" s="30">
        <f>SUM(G108:J108)</f>
        <v>0</v>
      </c>
      <c r="L108" s="30"/>
      <c r="M108" s="30"/>
      <c r="N108" s="30"/>
      <c r="O108" s="62">
        <f>SUM(K108:N108)</f>
        <v>0</v>
      </c>
      <c r="P108" s="61"/>
      <c r="Q108" s="30"/>
      <c r="R108" s="30"/>
      <c r="S108" s="30"/>
      <c r="T108" s="30"/>
      <c r="U108" s="30"/>
      <c r="V108" s="30"/>
      <c r="W108" s="30"/>
      <c r="X108" s="30"/>
      <c r="Y108" s="62">
        <f>SUM(Q108:X108)</f>
        <v>0</v>
      </c>
      <c r="Z108" s="61"/>
      <c r="AA108" s="62"/>
      <c r="AB108" s="63"/>
      <c r="AC108" s="15"/>
      <c r="AD108" s="15"/>
      <c r="AE108" s="23">
        <f>AC108+AD108</f>
        <v>0</v>
      </c>
    </row>
    <row r="109" spans="2:31" ht="16" customHeight="1" x14ac:dyDescent="0.35">
      <c r="B109" s="14" t="s">
        <v>187</v>
      </c>
      <c r="C109" s="14" t="s">
        <v>188</v>
      </c>
      <c r="D109" s="61"/>
      <c r="E109" s="62">
        <f>O109+Y109+AA109+AE109</f>
        <v>3.88246</v>
      </c>
      <c r="F109" s="61"/>
      <c r="G109" s="30"/>
      <c r="H109" s="30"/>
      <c r="I109" s="30"/>
      <c r="J109" s="30"/>
      <c r="K109" s="30">
        <f>SUM(G109:J109)</f>
        <v>0</v>
      </c>
      <c r="L109" s="30"/>
      <c r="M109" s="30"/>
      <c r="N109" s="30"/>
      <c r="O109" s="62">
        <f>SUM(K109:N109)</f>
        <v>0</v>
      </c>
      <c r="P109" s="61"/>
      <c r="Q109" s="30"/>
      <c r="R109" s="30"/>
      <c r="S109" s="30"/>
      <c r="T109" s="30"/>
      <c r="U109" s="30"/>
      <c r="V109" s="30"/>
      <c r="W109" s="30"/>
      <c r="X109" s="30"/>
      <c r="Y109" s="62">
        <f>SUM(Q109:X109)</f>
        <v>0</v>
      </c>
      <c r="Z109" s="61"/>
      <c r="AA109" s="62"/>
      <c r="AB109" s="63"/>
      <c r="AC109" s="15">
        <v>3.88246</v>
      </c>
      <c r="AD109" s="15"/>
      <c r="AE109" s="23">
        <f>AC109+AD109</f>
        <v>3.88246</v>
      </c>
    </row>
    <row r="110" spans="2:31" ht="16" customHeight="1" x14ac:dyDescent="0.35">
      <c r="B110" s="14" t="s">
        <v>189</v>
      </c>
      <c r="C110" s="14" t="s">
        <v>190</v>
      </c>
      <c r="D110" s="61"/>
      <c r="E110" s="62">
        <f>O110+Y110+AA110+AE110</f>
        <v>0</v>
      </c>
      <c r="F110" s="61"/>
      <c r="G110" s="30"/>
      <c r="H110" s="30"/>
      <c r="I110" s="30"/>
      <c r="J110" s="30"/>
      <c r="K110" s="30">
        <f>SUM(G110:J110)</f>
        <v>0</v>
      </c>
      <c r="L110" s="30"/>
      <c r="M110" s="30"/>
      <c r="N110" s="30"/>
      <c r="O110" s="62">
        <f>SUM(K110:N110)</f>
        <v>0</v>
      </c>
      <c r="P110" s="61"/>
      <c r="Q110" s="30"/>
      <c r="R110" s="30"/>
      <c r="S110" s="30"/>
      <c r="T110" s="30"/>
      <c r="U110" s="30"/>
      <c r="V110" s="30"/>
      <c r="W110" s="30"/>
      <c r="X110" s="30"/>
      <c r="Y110" s="62">
        <f>SUM(Q110:X110)</f>
        <v>0</v>
      </c>
      <c r="Z110" s="61"/>
      <c r="AA110" s="62"/>
      <c r="AB110" s="63"/>
      <c r="AC110" s="15"/>
      <c r="AD110" s="15"/>
      <c r="AE110" s="23">
        <f>AC110+AD110</f>
        <v>0</v>
      </c>
    </row>
    <row r="111" spans="2:31" ht="16" customHeight="1" x14ac:dyDescent="0.35">
      <c r="B111" s="16" t="s">
        <v>191</v>
      </c>
      <c r="C111" s="16" t="s">
        <v>192</v>
      </c>
      <c r="D111" s="64"/>
      <c r="E111" s="53">
        <f>-(-(E107+E108)-E109-E110)</f>
        <v>3.88246</v>
      </c>
      <c r="F111" s="64"/>
      <c r="G111" s="31">
        <f t="shared" ref="G111:O111" si="52">-(-(G107+G108)-G109-G110)</f>
        <v>0</v>
      </c>
      <c r="H111" s="31">
        <f t="shared" si="52"/>
        <v>0</v>
      </c>
      <c r="I111" s="31">
        <f t="shared" si="52"/>
        <v>0</v>
      </c>
      <c r="J111" s="31">
        <f t="shared" si="52"/>
        <v>0</v>
      </c>
      <c r="K111" s="31">
        <f t="shared" si="52"/>
        <v>0</v>
      </c>
      <c r="L111" s="31">
        <f t="shared" si="52"/>
        <v>0</v>
      </c>
      <c r="M111" s="31">
        <f t="shared" si="52"/>
        <v>0</v>
      </c>
      <c r="N111" s="31">
        <f t="shared" si="52"/>
        <v>0</v>
      </c>
      <c r="O111" s="53">
        <f t="shared" si="52"/>
        <v>0</v>
      </c>
      <c r="P111" s="64"/>
      <c r="Q111" s="31">
        <f t="shared" ref="Q111:Y111" si="53">-(-(Q107+Q108)-Q109-Q110)</f>
        <v>0</v>
      </c>
      <c r="R111" s="31">
        <f t="shared" si="53"/>
        <v>0</v>
      </c>
      <c r="S111" s="31">
        <f t="shared" si="53"/>
        <v>0</v>
      </c>
      <c r="T111" s="31">
        <f t="shared" si="53"/>
        <v>0</v>
      </c>
      <c r="U111" s="31">
        <f t="shared" si="53"/>
        <v>0</v>
      </c>
      <c r="V111" s="31">
        <f t="shared" si="53"/>
        <v>0</v>
      </c>
      <c r="W111" s="31">
        <f t="shared" si="53"/>
        <v>0</v>
      </c>
      <c r="X111" s="31">
        <f t="shared" si="53"/>
        <v>0</v>
      </c>
      <c r="Y111" s="53">
        <f t="shared" si="53"/>
        <v>0</v>
      </c>
      <c r="Z111" s="64"/>
      <c r="AA111" s="53">
        <f>-(-(AA107+AA108)-AA109-AA110)</f>
        <v>0</v>
      </c>
      <c r="AB111" s="65"/>
      <c r="AC111" s="17">
        <f>-(-(AC107+AC108)-AC109-AC110)</f>
        <v>3.88246</v>
      </c>
      <c r="AD111" s="17">
        <f>-(-(AD107+AD108)-AD109-AD110)</f>
        <v>0</v>
      </c>
      <c r="AE111" s="24">
        <f>-(-(AE107+AE108)-AE109-AE110)</f>
        <v>3.88246</v>
      </c>
    </row>
    <row r="112" spans="2:31" ht="16" customHeight="1" x14ac:dyDescent="0.35">
      <c r="B112" s="11" t="s">
        <v>193</v>
      </c>
      <c r="C112" s="11" t="s">
        <v>22</v>
      </c>
      <c r="D112" s="29"/>
      <c r="E112" s="60"/>
      <c r="F112" s="29"/>
      <c r="G112" s="29"/>
      <c r="H112" s="29"/>
      <c r="I112" s="29"/>
      <c r="J112" s="29"/>
      <c r="K112" s="29"/>
      <c r="L112" s="29"/>
      <c r="M112" s="29"/>
      <c r="N112" s="29"/>
      <c r="O112" s="60"/>
      <c r="P112" s="29"/>
      <c r="Q112" s="29"/>
      <c r="R112" s="29"/>
      <c r="S112" s="29"/>
      <c r="T112" s="29"/>
      <c r="U112" s="29"/>
      <c r="V112" s="29"/>
      <c r="W112" s="29"/>
      <c r="X112" s="29"/>
      <c r="Y112" s="60"/>
      <c r="Z112" s="29"/>
      <c r="AA112" s="60"/>
      <c r="AB112" s="12"/>
      <c r="AC112" s="12"/>
      <c r="AD112" s="12"/>
      <c r="AE112" s="22"/>
    </row>
    <row r="113" spans="2:31" ht="16" customHeight="1" x14ac:dyDescent="0.35">
      <c r="B113" s="14" t="s">
        <v>194</v>
      </c>
      <c r="C113" s="14" t="s">
        <v>195</v>
      </c>
      <c r="D113" s="61"/>
      <c r="E113" s="62">
        <f>O113+Y113+AA113+AE113</f>
        <v>-7948.6327700000002</v>
      </c>
      <c r="F113" s="61"/>
      <c r="G113" s="30"/>
      <c r="H113" s="30"/>
      <c r="I113" s="30"/>
      <c r="J113" s="30"/>
      <c r="K113" s="30">
        <f>SUM(G113:J113)</f>
        <v>0</v>
      </c>
      <c r="L113" s="30"/>
      <c r="M113" s="30"/>
      <c r="N113" s="30"/>
      <c r="O113" s="62">
        <f>SUM(K113:N113)</f>
        <v>0</v>
      </c>
      <c r="P113" s="61"/>
      <c r="Q113" s="30"/>
      <c r="R113" s="30"/>
      <c r="S113" s="30"/>
      <c r="T113" s="30"/>
      <c r="U113" s="30"/>
      <c r="V113" s="30"/>
      <c r="W113" s="30"/>
      <c r="X113" s="30"/>
      <c r="Y113" s="62">
        <f>SUM(Q113:X113)</f>
        <v>0</v>
      </c>
      <c r="Z113" s="61"/>
      <c r="AA113" s="62"/>
      <c r="AB113" s="63"/>
      <c r="AC113" s="15">
        <v>-7948.6327700000002</v>
      </c>
      <c r="AD113" s="15"/>
      <c r="AE113" s="23">
        <f>AC113+AD113</f>
        <v>-7948.6327700000002</v>
      </c>
    </row>
    <row r="114" spans="2:31" ht="16" customHeight="1" x14ac:dyDescent="0.35">
      <c r="B114" s="14" t="s">
        <v>196</v>
      </c>
      <c r="C114" s="14" t="s">
        <v>197</v>
      </c>
      <c r="D114" s="61"/>
      <c r="E114" s="62">
        <f>O114+Y114+AA114+AE114</f>
        <v>0</v>
      </c>
      <c r="F114" s="61"/>
      <c r="G114" s="30"/>
      <c r="H114" s="30"/>
      <c r="I114" s="30"/>
      <c r="J114" s="30"/>
      <c r="K114" s="30">
        <f>SUM(G114:J114)</f>
        <v>0</v>
      </c>
      <c r="L114" s="30"/>
      <c r="M114" s="30"/>
      <c r="N114" s="30"/>
      <c r="O114" s="62">
        <f>SUM(K114:N114)</f>
        <v>0</v>
      </c>
      <c r="P114" s="61"/>
      <c r="Q114" s="30"/>
      <c r="R114" s="30"/>
      <c r="S114" s="30"/>
      <c r="T114" s="30"/>
      <c r="U114" s="30"/>
      <c r="V114" s="30"/>
      <c r="W114" s="30"/>
      <c r="X114" s="30"/>
      <c r="Y114" s="62">
        <f>SUM(Q114:X114)</f>
        <v>0</v>
      </c>
      <c r="Z114" s="61"/>
      <c r="AA114" s="62"/>
      <c r="AB114" s="63"/>
      <c r="AC114" s="15"/>
      <c r="AD114" s="15"/>
      <c r="AE114" s="23">
        <f>AC114+AD114</f>
        <v>0</v>
      </c>
    </row>
    <row r="115" spans="2:31" ht="16" customHeight="1" x14ac:dyDescent="0.35">
      <c r="B115" s="14" t="s">
        <v>198</v>
      </c>
      <c r="C115" s="14" t="s">
        <v>199</v>
      </c>
      <c r="D115" s="61"/>
      <c r="E115" s="62">
        <f>O115+Y115+AA115+AE115</f>
        <v>-5721.3490599999996</v>
      </c>
      <c r="F115" s="61"/>
      <c r="G115" s="30"/>
      <c r="H115" s="30"/>
      <c r="I115" s="30"/>
      <c r="J115" s="30"/>
      <c r="K115" s="30">
        <f>SUM(G115:J115)</f>
        <v>0</v>
      </c>
      <c r="L115" s="30"/>
      <c r="M115" s="30"/>
      <c r="N115" s="30"/>
      <c r="O115" s="62">
        <f>SUM(K115:N115)</f>
        <v>0</v>
      </c>
      <c r="P115" s="61"/>
      <c r="Q115" s="30"/>
      <c r="R115" s="30"/>
      <c r="S115" s="30"/>
      <c r="T115" s="30"/>
      <c r="U115" s="30"/>
      <c r="V115" s="30"/>
      <c r="W115" s="30"/>
      <c r="X115" s="30"/>
      <c r="Y115" s="62">
        <f>SUM(Q115:X115)</f>
        <v>0</v>
      </c>
      <c r="Z115" s="61"/>
      <c r="AA115" s="62"/>
      <c r="AB115" s="63"/>
      <c r="AC115" s="15">
        <v>-5721.3490599999996</v>
      </c>
      <c r="AD115" s="15"/>
      <c r="AE115" s="23">
        <f>AC115+AD115</f>
        <v>-5721.3490599999996</v>
      </c>
    </row>
    <row r="116" spans="2:31" ht="16" customHeight="1" x14ac:dyDescent="0.35">
      <c r="B116" s="14" t="s">
        <v>200</v>
      </c>
      <c r="C116" s="14" t="s">
        <v>201</v>
      </c>
      <c r="D116" s="61"/>
      <c r="E116" s="62">
        <f>O116+Y116+AA116+AE116</f>
        <v>0</v>
      </c>
      <c r="F116" s="61"/>
      <c r="G116" s="30"/>
      <c r="H116" s="30"/>
      <c r="I116" s="30"/>
      <c r="J116" s="30"/>
      <c r="K116" s="30">
        <f>SUM(G116:J116)</f>
        <v>0</v>
      </c>
      <c r="L116" s="30"/>
      <c r="M116" s="30"/>
      <c r="N116" s="30"/>
      <c r="O116" s="62">
        <f>SUM(K116:N116)</f>
        <v>0</v>
      </c>
      <c r="P116" s="61"/>
      <c r="Q116" s="30"/>
      <c r="R116" s="30"/>
      <c r="S116" s="30"/>
      <c r="T116" s="30"/>
      <c r="U116" s="30"/>
      <c r="V116" s="30"/>
      <c r="W116" s="30"/>
      <c r="X116" s="30"/>
      <c r="Y116" s="62">
        <f>SUM(Q116:X116)</f>
        <v>0</v>
      </c>
      <c r="Z116" s="61"/>
      <c r="AA116" s="62"/>
      <c r="AB116" s="63"/>
      <c r="AC116" s="15"/>
      <c r="AD116" s="15"/>
      <c r="AE116" s="23">
        <f>AC116+AD116</f>
        <v>0</v>
      </c>
    </row>
    <row r="117" spans="2:31" ht="16" customHeight="1" x14ac:dyDescent="0.35">
      <c r="B117" s="14" t="s">
        <v>202</v>
      </c>
      <c r="C117" s="14" t="s">
        <v>203</v>
      </c>
      <c r="D117" s="61"/>
      <c r="E117" s="62">
        <f>O117+Y117+AA117+AE117</f>
        <v>-57.556350000000002</v>
      </c>
      <c r="F117" s="61"/>
      <c r="G117" s="30"/>
      <c r="H117" s="30"/>
      <c r="I117" s="30"/>
      <c r="J117" s="30"/>
      <c r="K117" s="30">
        <f>SUM(G117:J117)</f>
        <v>0</v>
      </c>
      <c r="L117" s="30"/>
      <c r="M117" s="30"/>
      <c r="N117" s="30"/>
      <c r="O117" s="62">
        <f>SUM(K117:N117)</f>
        <v>0</v>
      </c>
      <c r="P117" s="61"/>
      <c r="Q117" s="30"/>
      <c r="R117" s="30"/>
      <c r="S117" s="30"/>
      <c r="T117" s="30"/>
      <c r="U117" s="30"/>
      <c r="V117" s="30"/>
      <c r="W117" s="30"/>
      <c r="X117" s="30"/>
      <c r="Y117" s="62">
        <f>SUM(Q117:X117)</f>
        <v>0</v>
      </c>
      <c r="Z117" s="61"/>
      <c r="AA117" s="62"/>
      <c r="AB117" s="63"/>
      <c r="AC117" s="15">
        <v>-57.556350000000002</v>
      </c>
      <c r="AD117" s="15"/>
      <c r="AE117" s="23">
        <f>AC117+AD117</f>
        <v>-57.556350000000002</v>
      </c>
    </row>
    <row r="118" spans="2:31" ht="16" customHeight="1" x14ac:dyDescent="0.35">
      <c r="B118" s="16" t="s">
        <v>204</v>
      </c>
      <c r="C118" s="16" t="s">
        <v>205</v>
      </c>
      <c r="D118" s="64"/>
      <c r="E118" s="53">
        <f>-(-(E113+E114)-E115-E116-E117)</f>
        <v>-13727.538180000001</v>
      </c>
      <c r="F118" s="64"/>
      <c r="G118" s="31">
        <f t="shared" ref="G118:O118" si="54">-(-(G113+G114)-G115-G116-G117)</f>
        <v>0</v>
      </c>
      <c r="H118" s="31">
        <f t="shared" si="54"/>
        <v>0</v>
      </c>
      <c r="I118" s="31">
        <f t="shared" si="54"/>
        <v>0</v>
      </c>
      <c r="J118" s="31">
        <f t="shared" si="54"/>
        <v>0</v>
      </c>
      <c r="K118" s="31">
        <f t="shared" si="54"/>
        <v>0</v>
      </c>
      <c r="L118" s="31">
        <f t="shared" si="54"/>
        <v>0</v>
      </c>
      <c r="M118" s="31">
        <f t="shared" si="54"/>
        <v>0</v>
      </c>
      <c r="N118" s="31">
        <f t="shared" si="54"/>
        <v>0</v>
      </c>
      <c r="O118" s="53">
        <f t="shared" si="54"/>
        <v>0</v>
      </c>
      <c r="P118" s="64"/>
      <c r="Q118" s="31">
        <f t="shared" ref="Q118:Y118" si="55">-(-(Q113+Q114)-Q115-Q116-Q117)</f>
        <v>0</v>
      </c>
      <c r="R118" s="31">
        <f t="shared" si="55"/>
        <v>0</v>
      </c>
      <c r="S118" s="31">
        <f t="shared" si="55"/>
        <v>0</v>
      </c>
      <c r="T118" s="31">
        <f t="shared" si="55"/>
        <v>0</v>
      </c>
      <c r="U118" s="31">
        <f t="shared" si="55"/>
        <v>0</v>
      </c>
      <c r="V118" s="31">
        <f t="shared" si="55"/>
        <v>0</v>
      </c>
      <c r="W118" s="31">
        <f t="shared" si="55"/>
        <v>0</v>
      </c>
      <c r="X118" s="31">
        <f t="shared" si="55"/>
        <v>0</v>
      </c>
      <c r="Y118" s="53">
        <f t="shared" si="55"/>
        <v>0</v>
      </c>
      <c r="Z118" s="64"/>
      <c r="AA118" s="53">
        <f>-(-(AA113+AA114)-AA115-AA116-AA117)</f>
        <v>0</v>
      </c>
      <c r="AB118" s="65"/>
      <c r="AC118" s="17">
        <f>-(-(AC113+AC114)-AC115-AC116-AC117)</f>
        <v>-13727.538180000001</v>
      </c>
      <c r="AD118" s="17">
        <f>-(-(AD113+AD114)-AD115-AD116-AD117)</f>
        <v>0</v>
      </c>
      <c r="AE118" s="24">
        <f>-(-(AE113+AE114)-AE115-AE116-AE117)</f>
        <v>-13727.538180000001</v>
      </c>
    </row>
    <row r="119" spans="2:31" ht="16" customHeight="1" thickBot="1" x14ac:dyDescent="0.4">
      <c r="B119" s="11" t="s">
        <v>206</v>
      </c>
      <c r="C119" s="11" t="s">
        <v>22</v>
      </c>
      <c r="D119" s="29"/>
      <c r="E119" s="60"/>
      <c r="F119" s="29"/>
      <c r="G119" s="29"/>
      <c r="H119" s="29"/>
      <c r="I119" s="29"/>
      <c r="J119" s="29"/>
      <c r="K119" s="29"/>
      <c r="L119" s="29"/>
      <c r="M119" s="29"/>
      <c r="N119" s="29"/>
      <c r="O119" s="60"/>
      <c r="P119" s="29"/>
      <c r="Q119" s="29"/>
      <c r="R119" s="29"/>
      <c r="S119" s="29"/>
      <c r="T119" s="29"/>
      <c r="U119" s="29"/>
      <c r="V119" s="29"/>
      <c r="W119" s="29"/>
      <c r="X119" s="29"/>
      <c r="Y119" s="60"/>
      <c r="Z119" s="29"/>
      <c r="AA119" s="60"/>
      <c r="AB119" s="12"/>
      <c r="AC119" s="12"/>
      <c r="AD119" s="12"/>
      <c r="AE119" s="22"/>
    </row>
    <row r="120" spans="2:31" ht="16" customHeight="1" thickBot="1" x14ac:dyDescent="0.4">
      <c r="B120" s="18" t="s">
        <v>207</v>
      </c>
      <c r="C120" s="18" t="s">
        <v>208</v>
      </c>
      <c r="D120" s="66"/>
      <c r="E120" s="67">
        <f>E111+E118</f>
        <v>-13723.655720000001</v>
      </c>
      <c r="F120" s="66"/>
      <c r="G120" s="32">
        <f t="shared" ref="G120:O120" si="56">G111+G118</f>
        <v>0</v>
      </c>
      <c r="H120" s="32">
        <f t="shared" si="56"/>
        <v>0</v>
      </c>
      <c r="I120" s="32">
        <f t="shared" si="56"/>
        <v>0</v>
      </c>
      <c r="J120" s="32">
        <f t="shared" si="56"/>
        <v>0</v>
      </c>
      <c r="K120" s="32">
        <f t="shared" si="56"/>
        <v>0</v>
      </c>
      <c r="L120" s="32">
        <f t="shared" si="56"/>
        <v>0</v>
      </c>
      <c r="M120" s="32">
        <f t="shared" si="56"/>
        <v>0</v>
      </c>
      <c r="N120" s="32">
        <f t="shared" si="56"/>
        <v>0</v>
      </c>
      <c r="O120" s="67">
        <f t="shared" si="56"/>
        <v>0</v>
      </c>
      <c r="P120" s="66"/>
      <c r="Q120" s="32">
        <f t="shared" ref="Q120:Y120" si="57">Q111+Q118</f>
        <v>0</v>
      </c>
      <c r="R120" s="32">
        <f t="shared" si="57"/>
        <v>0</v>
      </c>
      <c r="S120" s="32">
        <f t="shared" si="57"/>
        <v>0</v>
      </c>
      <c r="T120" s="32">
        <f t="shared" si="57"/>
        <v>0</v>
      </c>
      <c r="U120" s="32">
        <f t="shared" si="57"/>
        <v>0</v>
      </c>
      <c r="V120" s="32">
        <f t="shared" si="57"/>
        <v>0</v>
      </c>
      <c r="W120" s="32">
        <f t="shared" si="57"/>
        <v>0</v>
      </c>
      <c r="X120" s="32">
        <f t="shared" si="57"/>
        <v>0</v>
      </c>
      <c r="Y120" s="67">
        <f t="shared" si="57"/>
        <v>0</v>
      </c>
      <c r="Z120" s="66"/>
      <c r="AA120" s="67">
        <f>AA111+AA118</f>
        <v>0</v>
      </c>
      <c r="AB120" s="68"/>
      <c r="AC120" s="19">
        <f>AC111+AC118</f>
        <v>-13723.655720000001</v>
      </c>
      <c r="AD120" s="19">
        <f>AD111+AD118</f>
        <v>0</v>
      </c>
      <c r="AE120" s="25">
        <f>AE111+AE118</f>
        <v>-13723.655720000001</v>
      </c>
    </row>
    <row r="121" spans="2:31" ht="16" customHeight="1" x14ac:dyDescent="0.35">
      <c r="B121" s="11" t="s">
        <v>209</v>
      </c>
      <c r="C121" s="11" t="s">
        <v>22</v>
      </c>
      <c r="D121" s="29"/>
      <c r="E121" s="60"/>
      <c r="F121" s="29"/>
      <c r="G121" s="29"/>
      <c r="H121" s="29"/>
      <c r="I121" s="29"/>
      <c r="J121" s="29"/>
      <c r="K121" s="29"/>
      <c r="L121" s="29"/>
      <c r="M121" s="29"/>
      <c r="N121" s="29"/>
      <c r="O121" s="60"/>
      <c r="P121" s="29"/>
      <c r="Q121" s="29"/>
      <c r="R121" s="29"/>
      <c r="S121" s="29"/>
      <c r="T121" s="29"/>
      <c r="U121" s="29"/>
      <c r="V121" s="29"/>
      <c r="W121" s="29"/>
      <c r="X121" s="29"/>
      <c r="Y121" s="60"/>
      <c r="Z121" s="29"/>
      <c r="AA121" s="60"/>
      <c r="AB121" s="12"/>
      <c r="AC121" s="12"/>
      <c r="AD121" s="12"/>
      <c r="AE121" s="22"/>
    </row>
    <row r="122" spans="2:31" ht="16" customHeight="1" x14ac:dyDescent="0.35">
      <c r="B122" s="14" t="s">
        <v>210</v>
      </c>
      <c r="C122" s="14" t="s">
        <v>211</v>
      </c>
      <c r="D122" s="61"/>
      <c r="E122" s="62">
        <f t="shared" ref="E122:E129" si="58">O122+Y122+AA122+AE122</f>
        <v>-24809.41908</v>
      </c>
      <c r="F122" s="61"/>
      <c r="G122" s="30"/>
      <c r="H122" s="30"/>
      <c r="I122" s="30"/>
      <c r="J122" s="30"/>
      <c r="K122" s="30">
        <f t="shared" ref="K122:K129" si="59">SUM(G122:J122)</f>
        <v>0</v>
      </c>
      <c r="L122" s="30"/>
      <c r="M122" s="30"/>
      <c r="N122" s="30"/>
      <c r="O122" s="62">
        <f t="shared" ref="O122:O129" si="60">SUM(K122:N122)</f>
        <v>0</v>
      </c>
      <c r="P122" s="61"/>
      <c r="Q122" s="30"/>
      <c r="R122" s="30"/>
      <c r="S122" s="30"/>
      <c r="T122" s="30"/>
      <c r="U122" s="30"/>
      <c r="V122" s="30"/>
      <c r="W122" s="30"/>
      <c r="X122" s="30"/>
      <c r="Y122" s="62">
        <f t="shared" ref="Y122:Y129" si="61">SUM(Q122:X122)</f>
        <v>0</v>
      </c>
      <c r="Z122" s="61"/>
      <c r="AA122" s="62"/>
      <c r="AB122" s="63"/>
      <c r="AC122" s="15">
        <v>-24809.41908</v>
      </c>
      <c r="AD122" s="15"/>
      <c r="AE122" s="23">
        <f t="shared" ref="AE122:AE129" si="62">AC122+AD122</f>
        <v>-24809.41908</v>
      </c>
    </row>
    <row r="123" spans="2:31" ht="16" customHeight="1" x14ac:dyDescent="0.35">
      <c r="B123" s="14" t="s">
        <v>212</v>
      </c>
      <c r="C123" s="14" t="s">
        <v>213</v>
      </c>
      <c r="D123" s="61"/>
      <c r="E123" s="62">
        <f t="shared" si="58"/>
        <v>0</v>
      </c>
      <c r="F123" s="61"/>
      <c r="G123" s="30"/>
      <c r="H123" s="30"/>
      <c r="I123" s="30"/>
      <c r="J123" s="30"/>
      <c r="K123" s="30">
        <f t="shared" si="59"/>
        <v>0</v>
      </c>
      <c r="L123" s="30"/>
      <c r="M123" s="30"/>
      <c r="N123" s="30"/>
      <c r="O123" s="62">
        <f t="shared" si="60"/>
        <v>0</v>
      </c>
      <c r="P123" s="61"/>
      <c r="Q123" s="30"/>
      <c r="R123" s="30"/>
      <c r="S123" s="30"/>
      <c r="T123" s="30"/>
      <c r="U123" s="30"/>
      <c r="V123" s="30"/>
      <c r="W123" s="30"/>
      <c r="X123" s="30"/>
      <c r="Y123" s="62">
        <f t="shared" si="61"/>
        <v>0</v>
      </c>
      <c r="Z123" s="61"/>
      <c r="AA123" s="62"/>
      <c r="AB123" s="63"/>
      <c r="AC123" s="15"/>
      <c r="AD123" s="15"/>
      <c r="AE123" s="23">
        <f t="shared" si="62"/>
        <v>0</v>
      </c>
    </row>
    <row r="124" spans="2:31" ht="16" customHeight="1" x14ac:dyDescent="0.35">
      <c r="B124" s="14" t="s">
        <v>214</v>
      </c>
      <c r="C124" s="14" t="s">
        <v>215</v>
      </c>
      <c r="D124" s="61"/>
      <c r="E124" s="62">
        <f t="shared" si="58"/>
        <v>0</v>
      </c>
      <c r="F124" s="61"/>
      <c r="G124" s="30"/>
      <c r="H124" s="30"/>
      <c r="I124" s="30"/>
      <c r="J124" s="30"/>
      <c r="K124" s="30">
        <f t="shared" si="59"/>
        <v>0</v>
      </c>
      <c r="L124" s="30"/>
      <c r="M124" s="30"/>
      <c r="N124" s="30"/>
      <c r="O124" s="62">
        <f t="shared" si="60"/>
        <v>0</v>
      </c>
      <c r="P124" s="61"/>
      <c r="Q124" s="30"/>
      <c r="R124" s="30"/>
      <c r="S124" s="30"/>
      <c r="T124" s="30"/>
      <c r="U124" s="30"/>
      <c r="V124" s="30"/>
      <c r="W124" s="30"/>
      <c r="X124" s="30"/>
      <c r="Y124" s="62">
        <f t="shared" si="61"/>
        <v>0</v>
      </c>
      <c r="Z124" s="61"/>
      <c r="AA124" s="62"/>
      <c r="AB124" s="63"/>
      <c r="AC124" s="15"/>
      <c r="AD124" s="15"/>
      <c r="AE124" s="23">
        <f t="shared" si="62"/>
        <v>0</v>
      </c>
    </row>
    <row r="125" spans="2:31" ht="16" customHeight="1" x14ac:dyDescent="0.35">
      <c r="B125" s="14" t="s">
        <v>216</v>
      </c>
      <c r="C125" s="14" t="s">
        <v>217</v>
      </c>
      <c r="D125" s="61"/>
      <c r="E125" s="62">
        <f t="shared" si="58"/>
        <v>0</v>
      </c>
      <c r="F125" s="61"/>
      <c r="G125" s="30"/>
      <c r="H125" s="30"/>
      <c r="I125" s="30"/>
      <c r="J125" s="30"/>
      <c r="K125" s="30">
        <f t="shared" si="59"/>
        <v>0</v>
      </c>
      <c r="L125" s="30"/>
      <c r="M125" s="30"/>
      <c r="N125" s="30"/>
      <c r="O125" s="62">
        <f t="shared" si="60"/>
        <v>0</v>
      </c>
      <c r="P125" s="61"/>
      <c r="Q125" s="30"/>
      <c r="R125" s="30"/>
      <c r="S125" s="30"/>
      <c r="T125" s="30"/>
      <c r="U125" s="30"/>
      <c r="V125" s="30"/>
      <c r="W125" s="30"/>
      <c r="X125" s="30"/>
      <c r="Y125" s="62">
        <f t="shared" si="61"/>
        <v>0</v>
      </c>
      <c r="Z125" s="61"/>
      <c r="AA125" s="62"/>
      <c r="AB125" s="63"/>
      <c r="AC125" s="15"/>
      <c r="AD125" s="15"/>
      <c r="AE125" s="23">
        <f t="shared" si="62"/>
        <v>0</v>
      </c>
    </row>
    <row r="126" spans="2:31" ht="16" customHeight="1" x14ac:dyDescent="0.35">
      <c r="B126" s="14" t="s">
        <v>218</v>
      </c>
      <c r="C126" s="14" t="s">
        <v>219</v>
      </c>
      <c r="D126" s="61"/>
      <c r="E126" s="62">
        <f t="shared" si="58"/>
        <v>0</v>
      </c>
      <c r="F126" s="61"/>
      <c r="G126" s="30"/>
      <c r="H126" s="30"/>
      <c r="I126" s="30"/>
      <c r="J126" s="30"/>
      <c r="K126" s="30">
        <f t="shared" si="59"/>
        <v>0</v>
      </c>
      <c r="L126" s="30"/>
      <c r="M126" s="30"/>
      <c r="N126" s="30"/>
      <c r="O126" s="62">
        <f t="shared" si="60"/>
        <v>0</v>
      </c>
      <c r="P126" s="61"/>
      <c r="Q126" s="30"/>
      <c r="R126" s="30"/>
      <c r="S126" s="30"/>
      <c r="T126" s="30"/>
      <c r="U126" s="30"/>
      <c r="V126" s="30"/>
      <c r="W126" s="30"/>
      <c r="X126" s="30"/>
      <c r="Y126" s="62">
        <f t="shared" si="61"/>
        <v>0</v>
      </c>
      <c r="Z126" s="61"/>
      <c r="AA126" s="62"/>
      <c r="AB126" s="63"/>
      <c r="AC126" s="15"/>
      <c r="AD126" s="15"/>
      <c r="AE126" s="23">
        <f t="shared" si="62"/>
        <v>0</v>
      </c>
    </row>
    <row r="127" spans="2:31" ht="16" customHeight="1" x14ac:dyDescent="0.35">
      <c r="B127" s="14" t="s">
        <v>220</v>
      </c>
      <c r="C127" s="14" t="s">
        <v>221</v>
      </c>
      <c r="D127" s="61"/>
      <c r="E127" s="62">
        <f t="shared" si="58"/>
        <v>0</v>
      </c>
      <c r="F127" s="61"/>
      <c r="G127" s="30"/>
      <c r="H127" s="30"/>
      <c r="I127" s="30"/>
      <c r="J127" s="30"/>
      <c r="K127" s="30">
        <f t="shared" si="59"/>
        <v>0</v>
      </c>
      <c r="L127" s="30"/>
      <c r="M127" s="30"/>
      <c r="N127" s="30"/>
      <c r="O127" s="62">
        <f t="shared" si="60"/>
        <v>0</v>
      </c>
      <c r="P127" s="61"/>
      <c r="Q127" s="30"/>
      <c r="R127" s="30"/>
      <c r="S127" s="30"/>
      <c r="T127" s="30"/>
      <c r="U127" s="30"/>
      <c r="V127" s="30"/>
      <c r="W127" s="30"/>
      <c r="X127" s="30"/>
      <c r="Y127" s="62">
        <f t="shared" si="61"/>
        <v>0</v>
      </c>
      <c r="Z127" s="61"/>
      <c r="AA127" s="62"/>
      <c r="AB127" s="63"/>
      <c r="AC127" s="15"/>
      <c r="AD127" s="15"/>
      <c r="AE127" s="23">
        <f t="shared" si="62"/>
        <v>0</v>
      </c>
    </row>
    <row r="128" spans="2:31" ht="16" customHeight="1" x14ac:dyDescent="0.35">
      <c r="B128" s="14" t="s">
        <v>222</v>
      </c>
      <c r="C128" s="14" t="s">
        <v>223</v>
      </c>
      <c r="D128" s="61"/>
      <c r="E128" s="62">
        <f t="shared" si="58"/>
        <v>0</v>
      </c>
      <c r="F128" s="61"/>
      <c r="G128" s="30"/>
      <c r="H128" s="30"/>
      <c r="I128" s="30"/>
      <c r="J128" s="30"/>
      <c r="K128" s="30">
        <f t="shared" si="59"/>
        <v>0</v>
      </c>
      <c r="L128" s="30"/>
      <c r="M128" s="30"/>
      <c r="N128" s="30"/>
      <c r="O128" s="62">
        <f t="shared" si="60"/>
        <v>0</v>
      </c>
      <c r="P128" s="61"/>
      <c r="Q128" s="30"/>
      <c r="R128" s="30"/>
      <c r="S128" s="30"/>
      <c r="T128" s="30"/>
      <c r="U128" s="30"/>
      <c r="V128" s="30"/>
      <c r="W128" s="30"/>
      <c r="X128" s="30"/>
      <c r="Y128" s="62">
        <f t="shared" si="61"/>
        <v>0</v>
      </c>
      <c r="Z128" s="61"/>
      <c r="AA128" s="62"/>
      <c r="AB128" s="63"/>
      <c r="AC128" s="15">
        <v>0</v>
      </c>
      <c r="AD128" s="15"/>
      <c r="AE128" s="23">
        <f t="shared" si="62"/>
        <v>0</v>
      </c>
    </row>
    <row r="129" spans="2:31" ht="16" customHeight="1" x14ac:dyDescent="0.35">
      <c r="B129" s="14" t="s">
        <v>224</v>
      </c>
      <c r="C129" s="14" t="s">
        <v>225</v>
      </c>
      <c r="D129" s="61"/>
      <c r="E129" s="62">
        <f t="shared" si="58"/>
        <v>0</v>
      </c>
      <c r="F129" s="61"/>
      <c r="G129" s="30"/>
      <c r="H129" s="30"/>
      <c r="I129" s="30"/>
      <c r="J129" s="30"/>
      <c r="K129" s="30">
        <f t="shared" si="59"/>
        <v>0</v>
      </c>
      <c r="L129" s="30"/>
      <c r="M129" s="30"/>
      <c r="N129" s="30"/>
      <c r="O129" s="62">
        <f t="shared" si="60"/>
        <v>0</v>
      </c>
      <c r="P129" s="61"/>
      <c r="Q129" s="30"/>
      <c r="R129" s="30"/>
      <c r="S129" s="30"/>
      <c r="T129" s="30"/>
      <c r="U129" s="30"/>
      <c r="V129" s="30"/>
      <c r="W129" s="30"/>
      <c r="X129" s="30"/>
      <c r="Y129" s="62">
        <f t="shared" si="61"/>
        <v>0</v>
      </c>
      <c r="Z129" s="61"/>
      <c r="AA129" s="62"/>
      <c r="AB129" s="63"/>
      <c r="AC129" s="15">
        <v>0</v>
      </c>
      <c r="AD129" s="15"/>
      <c r="AE129" s="23">
        <f t="shared" si="62"/>
        <v>0</v>
      </c>
    </row>
    <row r="130" spans="2:31" ht="16" customHeight="1" x14ac:dyDescent="0.35">
      <c r="B130" s="16" t="s">
        <v>226</v>
      </c>
      <c r="C130" s="16" t="s">
        <v>227</v>
      </c>
      <c r="D130" s="64"/>
      <c r="E130" s="53">
        <f>-(-(E122+E123)-E124-E125-E126-E127-E128-E129)</f>
        <v>-24809.41908</v>
      </c>
      <c r="F130" s="64"/>
      <c r="G130" s="31">
        <f t="shared" ref="G130:O130" si="63">-(-(G122+G123)-G124-G125-G126-G127-G128-G129)</f>
        <v>0</v>
      </c>
      <c r="H130" s="31">
        <f t="shared" si="63"/>
        <v>0</v>
      </c>
      <c r="I130" s="31">
        <f t="shared" si="63"/>
        <v>0</v>
      </c>
      <c r="J130" s="31">
        <f t="shared" si="63"/>
        <v>0</v>
      </c>
      <c r="K130" s="31">
        <f t="shared" si="63"/>
        <v>0</v>
      </c>
      <c r="L130" s="31">
        <f t="shared" si="63"/>
        <v>0</v>
      </c>
      <c r="M130" s="31">
        <f t="shared" si="63"/>
        <v>0</v>
      </c>
      <c r="N130" s="31">
        <f t="shared" si="63"/>
        <v>0</v>
      </c>
      <c r="O130" s="53">
        <f t="shared" si="63"/>
        <v>0</v>
      </c>
      <c r="P130" s="64"/>
      <c r="Q130" s="31">
        <f t="shared" ref="Q130:Y130" si="64">-(-(Q122+Q123)-Q124-Q125-Q126-Q127-Q128-Q129)</f>
        <v>0</v>
      </c>
      <c r="R130" s="31">
        <f t="shared" si="64"/>
        <v>0</v>
      </c>
      <c r="S130" s="31">
        <f t="shared" si="64"/>
        <v>0</v>
      </c>
      <c r="T130" s="31">
        <f t="shared" si="64"/>
        <v>0</v>
      </c>
      <c r="U130" s="31">
        <f t="shared" si="64"/>
        <v>0</v>
      </c>
      <c r="V130" s="31">
        <f t="shared" si="64"/>
        <v>0</v>
      </c>
      <c r="W130" s="31">
        <f t="shared" si="64"/>
        <v>0</v>
      </c>
      <c r="X130" s="31">
        <f t="shared" si="64"/>
        <v>0</v>
      </c>
      <c r="Y130" s="53">
        <f t="shared" si="64"/>
        <v>0</v>
      </c>
      <c r="Z130" s="64"/>
      <c r="AA130" s="53">
        <f>-(-(AA122+AA123)-AA124-AA125-AA126-AA127-AA128-AA129)</f>
        <v>0</v>
      </c>
      <c r="AB130" s="65"/>
      <c r="AC130" s="17">
        <f>-(-(AC122+AC123)-AC124-AC125-AC126-AC127-AC128-AC129)</f>
        <v>-24809.41908</v>
      </c>
      <c r="AD130" s="17">
        <f>-(-(AD122+AD123)-AD124-AD125-AD126-AD127-AD128-AD129)</f>
        <v>0</v>
      </c>
      <c r="AE130" s="24">
        <f>-(-(AE122+AE123)-AE124-AE125-AE126-AE127-AE128-AE129)</f>
        <v>-24809.41908</v>
      </c>
    </row>
    <row r="131" spans="2:31" ht="16" customHeight="1" thickBot="1" x14ac:dyDescent="0.4">
      <c r="B131" s="11" t="s">
        <v>228</v>
      </c>
      <c r="C131" s="11" t="s">
        <v>22</v>
      </c>
      <c r="D131" s="29"/>
      <c r="E131" s="60"/>
      <c r="F131" s="29"/>
      <c r="G131" s="29"/>
      <c r="H131" s="29"/>
      <c r="I131" s="29"/>
      <c r="J131" s="29"/>
      <c r="K131" s="29"/>
      <c r="L131" s="29"/>
      <c r="M131" s="29"/>
      <c r="N131" s="29"/>
      <c r="O131" s="60"/>
      <c r="P131" s="29"/>
      <c r="Q131" s="29"/>
      <c r="R131" s="29"/>
      <c r="S131" s="29"/>
      <c r="T131" s="29"/>
      <c r="U131" s="29"/>
      <c r="V131" s="29"/>
      <c r="W131" s="29"/>
      <c r="X131" s="29"/>
      <c r="Y131" s="60"/>
      <c r="Z131" s="29"/>
      <c r="AA131" s="60"/>
      <c r="AB131" s="12"/>
      <c r="AC131" s="12"/>
      <c r="AD131" s="12"/>
      <c r="AE131" s="22"/>
    </row>
    <row r="132" spans="2:31" ht="16" customHeight="1" thickBot="1" x14ac:dyDescent="0.4">
      <c r="B132" s="18" t="s">
        <v>229</v>
      </c>
      <c r="C132" s="18" t="s">
        <v>230</v>
      </c>
      <c r="D132" s="66"/>
      <c r="E132" s="67">
        <f>-(-(E105+E120)-E130)</f>
        <v>-38533.074800000002</v>
      </c>
      <c r="F132" s="66"/>
      <c r="G132" s="32">
        <f t="shared" ref="G132:O132" si="65">-(-(G105+G120)-G130)</f>
        <v>0</v>
      </c>
      <c r="H132" s="32">
        <f t="shared" si="65"/>
        <v>0</v>
      </c>
      <c r="I132" s="32">
        <f t="shared" si="65"/>
        <v>0</v>
      </c>
      <c r="J132" s="32">
        <f t="shared" si="65"/>
        <v>0</v>
      </c>
      <c r="K132" s="32">
        <f t="shared" si="65"/>
        <v>0</v>
      </c>
      <c r="L132" s="32">
        <f t="shared" si="65"/>
        <v>0</v>
      </c>
      <c r="M132" s="32">
        <f t="shared" si="65"/>
        <v>0</v>
      </c>
      <c r="N132" s="32">
        <f t="shared" si="65"/>
        <v>0</v>
      </c>
      <c r="O132" s="67">
        <f t="shared" si="65"/>
        <v>0</v>
      </c>
      <c r="P132" s="66"/>
      <c r="Q132" s="32">
        <f t="shared" ref="Q132:Y132" si="66">-(-(Q105+Q120)-Q130)</f>
        <v>0</v>
      </c>
      <c r="R132" s="32">
        <f t="shared" si="66"/>
        <v>0</v>
      </c>
      <c r="S132" s="32">
        <f t="shared" si="66"/>
        <v>0</v>
      </c>
      <c r="T132" s="32">
        <f t="shared" si="66"/>
        <v>0</v>
      </c>
      <c r="U132" s="32">
        <f t="shared" si="66"/>
        <v>0</v>
      </c>
      <c r="V132" s="32">
        <f t="shared" si="66"/>
        <v>0</v>
      </c>
      <c r="W132" s="32">
        <f t="shared" si="66"/>
        <v>0</v>
      </c>
      <c r="X132" s="32">
        <f t="shared" si="66"/>
        <v>0</v>
      </c>
      <c r="Y132" s="67">
        <f t="shared" si="66"/>
        <v>0</v>
      </c>
      <c r="Z132" s="66"/>
      <c r="AA132" s="67">
        <f>-(-(AA105+AA120)-AA130)</f>
        <v>0</v>
      </c>
      <c r="AB132" s="68"/>
      <c r="AC132" s="19">
        <f>-(-(AC105+AC120)-AC130)</f>
        <v>-38533.074800000002</v>
      </c>
      <c r="AD132" s="19">
        <f>-(-(AD105+AD120)-AD130)</f>
        <v>0</v>
      </c>
      <c r="AE132" s="25">
        <f>-(-(AE105+AE120)-AE130)</f>
        <v>-38533.074800000002</v>
      </c>
    </row>
    <row r="133" spans="2:31" ht="16" customHeight="1" thickBot="1" x14ac:dyDescent="0.4">
      <c r="B133" s="11" t="s">
        <v>231</v>
      </c>
      <c r="C133" s="11" t="s">
        <v>22</v>
      </c>
      <c r="D133" s="29"/>
      <c r="E133" s="60"/>
      <c r="F133" s="29"/>
      <c r="G133" s="29"/>
      <c r="H133" s="29"/>
      <c r="I133" s="29"/>
      <c r="J133" s="29"/>
      <c r="K133" s="29"/>
      <c r="L133" s="29"/>
      <c r="M133" s="29"/>
      <c r="N133" s="29"/>
      <c r="O133" s="60"/>
      <c r="P133" s="29"/>
      <c r="Q133" s="29"/>
      <c r="R133" s="29"/>
      <c r="S133" s="29"/>
      <c r="T133" s="29"/>
      <c r="U133" s="29"/>
      <c r="V133" s="29"/>
      <c r="W133" s="29"/>
      <c r="X133" s="29"/>
      <c r="Y133" s="60"/>
      <c r="Z133" s="29"/>
      <c r="AA133" s="60"/>
      <c r="AB133" s="12"/>
      <c r="AC133" s="12"/>
      <c r="AD133" s="12"/>
      <c r="AE133" s="22"/>
    </row>
    <row r="134" spans="2:31" ht="16" customHeight="1" thickBot="1" x14ac:dyDescent="0.4">
      <c r="B134" s="18" t="s">
        <v>232</v>
      </c>
      <c r="C134" s="18" t="s">
        <v>233</v>
      </c>
      <c r="D134" s="66"/>
      <c r="E134" s="67">
        <f>E99+E132</f>
        <v>-46092.723729999823</v>
      </c>
      <c r="F134" s="66"/>
      <c r="G134" s="32">
        <f t="shared" ref="G134:O134" si="67">G99+G132</f>
        <v>0</v>
      </c>
      <c r="H134" s="32">
        <f t="shared" si="67"/>
        <v>0</v>
      </c>
      <c r="I134" s="32">
        <f t="shared" si="67"/>
        <v>0</v>
      </c>
      <c r="J134" s="32">
        <f t="shared" si="67"/>
        <v>0</v>
      </c>
      <c r="K134" s="32">
        <f t="shared" si="67"/>
        <v>0</v>
      </c>
      <c r="L134" s="32">
        <f t="shared" si="67"/>
        <v>31139.913470000003</v>
      </c>
      <c r="M134" s="32">
        <f t="shared" si="67"/>
        <v>-28206.206709999991</v>
      </c>
      <c r="N134" s="32">
        <f t="shared" si="67"/>
        <v>0</v>
      </c>
      <c r="O134" s="67">
        <f t="shared" si="67"/>
        <v>2933.7067600001265</v>
      </c>
      <c r="P134" s="66"/>
      <c r="Q134" s="32">
        <f t="shared" ref="Q134:Y134" si="68">Q99+Q132</f>
        <v>7.1111599999999981</v>
      </c>
      <c r="R134" s="32">
        <f t="shared" si="68"/>
        <v>-2370.0798000000082</v>
      </c>
      <c r="S134" s="32">
        <f t="shared" si="68"/>
        <v>-8158.1392100000066</v>
      </c>
      <c r="T134" s="32">
        <f t="shared" si="68"/>
        <v>0</v>
      </c>
      <c r="U134" s="32">
        <f t="shared" si="68"/>
        <v>0</v>
      </c>
      <c r="V134" s="32">
        <f t="shared" si="68"/>
        <v>0</v>
      </c>
      <c r="W134" s="32">
        <f t="shared" si="68"/>
        <v>27.755179999999875</v>
      </c>
      <c r="X134" s="32">
        <f t="shared" si="68"/>
        <v>0</v>
      </c>
      <c r="Y134" s="67">
        <f t="shared" si="68"/>
        <v>-10493.352670000015</v>
      </c>
      <c r="Z134" s="66"/>
      <c r="AA134" s="67">
        <f>AA99+AA132</f>
        <v>0</v>
      </c>
      <c r="AB134" s="68"/>
      <c r="AC134" s="19">
        <f>AC99+AC132</f>
        <v>-38533.077819999999</v>
      </c>
      <c r="AD134" s="19">
        <f>AD99+AD132</f>
        <v>0</v>
      </c>
      <c r="AE134" s="25">
        <f>AE99+AE132</f>
        <v>-38533.077819999999</v>
      </c>
    </row>
    <row r="135" spans="2:31" ht="16" customHeight="1" x14ac:dyDescent="0.35">
      <c r="B135" s="11" t="s">
        <v>234</v>
      </c>
      <c r="C135" s="11" t="s">
        <v>22</v>
      </c>
      <c r="D135" s="29"/>
      <c r="E135" s="60"/>
      <c r="F135" s="29"/>
      <c r="G135" s="29"/>
      <c r="H135" s="29"/>
      <c r="I135" s="29"/>
      <c r="J135" s="29"/>
      <c r="K135" s="29"/>
      <c r="L135" s="29"/>
      <c r="M135" s="29"/>
      <c r="N135" s="29"/>
      <c r="O135" s="60"/>
      <c r="P135" s="29"/>
      <c r="Q135" s="29"/>
      <c r="R135" s="29"/>
      <c r="S135" s="29"/>
      <c r="T135" s="29"/>
      <c r="U135" s="29"/>
      <c r="V135" s="29"/>
      <c r="W135" s="29"/>
      <c r="X135" s="29"/>
      <c r="Y135" s="60"/>
      <c r="Z135" s="29"/>
      <c r="AA135" s="60"/>
      <c r="AB135" s="12"/>
      <c r="AC135" s="12"/>
      <c r="AD135" s="12"/>
      <c r="AE135" s="22"/>
    </row>
    <row r="136" spans="2:31" ht="16" customHeight="1" x14ac:dyDescent="0.35">
      <c r="B136" s="14" t="s">
        <v>235</v>
      </c>
      <c r="C136" s="14" t="s">
        <v>236</v>
      </c>
      <c r="D136" s="61"/>
      <c r="E136" s="62">
        <f>O136+Y136+AA136+AE136</f>
        <v>0</v>
      </c>
      <c r="F136" s="61"/>
      <c r="G136" s="30"/>
      <c r="H136" s="30"/>
      <c r="I136" s="30"/>
      <c r="J136" s="30"/>
      <c r="K136" s="30">
        <f>SUM(G136:J136)</f>
        <v>0</v>
      </c>
      <c r="L136" s="30"/>
      <c r="M136" s="30"/>
      <c r="N136" s="30"/>
      <c r="O136" s="62">
        <f>SUM(K136:N136)</f>
        <v>0</v>
      </c>
      <c r="P136" s="61"/>
      <c r="Q136" s="30"/>
      <c r="R136" s="30"/>
      <c r="S136" s="30"/>
      <c r="T136" s="30"/>
      <c r="U136" s="30"/>
      <c r="V136" s="30"/>
      <c r="W136" s="30"/>
      <c r="X136" s="30"/>
      <c r="Y136" s="62">
        <f>SUM(Q136:X136)</f>
        <v>0</v>
      </c>
      <c r="Z136" s="61"/>
      <c r="AA136" s="62"/>
      <c r="AB136" s="63"/>
      <c r="AC136" s="15"/>
      <c r="AD136" s="15"/>
      <c r="AE136" s="23">
        <f>AC136+AD136</f>
        <v>0</v>
      </c>
    </row>
    <row r="137" spans="2:31" ht="16" customHeight="1" x14ac:dyDescent="0.35">
      <c r="B137" s="14" t="s">
        <v>237</v>
      </c>
      <c r="C137" s="14" t="s">
        <v>238</v>
      </c>
      <c r="D137" s="61"/>
      <c r="E137" s="62">
        <f>O137+Y137+AA137+AE137</f>
        <v>0</v>
      </c>
      <c r="F137" s="61"/>
      <c r="G137" s="30"/>
      <c r="H137" s="30"/>
      <c r="I137" s="30"/>
      <c r="J137" s="30"/>
      <c r="K137" s="30">
        <f>SUM(G137:J137)</f>
        <v>0</v>
      </c>
      <c r="L137" s="30"/>
      <c r="M137" s="30"/>
      <c r="N137" s="30"/>
      <c r="O137" s="62">
        <f>SUM(K137:N137)</f>
        <v>0</v>
      </c>
      <c r="P137" s="61"/>
      <c r="Q137" s="30"/>
      <c r="R137" s="30"/>
      <c r="S137" s="30"/>
      <c r="T137" s="30"/>
      <c r="U137" s="30"/>
      <c r="V137" s="30"/>
      <c r="W137" s="30"/>
      <c r="X137" s="30"/>
      <c r="Y137" s="62">
        <f>SUM(Q137:X137)</f>
        <v>0</v>
      </c>
      <c r="Z137" s="61"/>
      <c r="AA137" s="62"/>
      <c r="AB137" s="63"/>
      <c r="AC137" s="15"/>
      <c r="AD137" s="15"/>
      <c r="AE137" s="23">
        <f>AC137+AD137</f>
        <v>0</v>
      </c>
    </row>
    <row r="138" spans="2:31" ht="16" customHeight="1" x14ac:dyDescent="0.35">
      <c r="B138" s="14" t="s">
        <v>239</v>
      </c>
      <c r="C138" s="14" t="s">
        <v>240</v>
      </c>
      <c r="D138" s="61"/>
      <c r="E138" s="62">
        <f>O138+Y138+AA138+AE138</f>
        <v>0</v>
      </c>
      <c r="F138" s="61"/>
      <c r="G138" s="30"/>
      <c r="H138" s="30"/>
      <c r="I138" s="30"/>
      <c r="J138" s="30"/>
      <c r="K138" s="30">
        <f>SUM(G138:J138)</f>
        <v>0</v>
      </c>
      <c r="L138" s="30"/>
      <c r="M138" s="30"/>
      <c r="N138" s="30"/>
      <c r="O138" s="62">
        <f>SUM(K138:N138)</f>
        <v>0</v>
      </c>
      <c r="P138" s="61"/>
      <c r="Q138" s="30"/>
      <c r="R138" s="30"/>
      <c r="S138" s="30"/>
      <c r="T138" s="30"/>
      <c r="U138" s="30"/>
      <c r="V138" s="30"/>
      <c r="W138" s="30"/>
      <c r="X138" s="30"/>
      <c r="Y138" s="62">
        <f>SUM(Q138:X138)</f>
        <v>0</v>
      </c>
      <c r="Z138" s="61"/>
      <c r="AA138" s="62"/>
      <c r="AB138" s="63"/>
      <c r="AC138" s="15"/>
      <c r="AD138" s="15"/>
      <c r="AE138" s="23">
        <f>AC138+AD138</f>
        <v>0</v>
      </c>
    </row>
    <row r="139" spans="2:31" ht="16" customHeight="1" x14ac:dyDescent="0.35">
      <c r="B139" s="14" t="s">
        <v>241</v>
      </c>
      <c r="C139" s="14" t="s">
        <v>242</v>
      </c>
      <c r="D139" s="61"/>
      <c r="E139" s="62">
        <f>O139+Y139+AA139+AE139</f>
        <v>0</v>
      </c>
      <c r="F139" s="61"/>
      <c r="G139" s="30"/>
      <c r="H139" s="30"/>
      <c r="I139" s="30"/>
      <c r="J139" s="30"/>
      <c r="K139" s="30">
        <f>SUM(G139:J139)</f>
        <v>0</v>
      </c>
      <c r="L139" s="30"/>
      <c r="M139" s="30"/>
      <c r="N139" s="30"/>
      <c r="O139" s="62">
        <f>SUM(K139:N139)</f>
        <v>0</v>
      </c>
      <c r="P139" s="61"/>
      <c r="Q139" s="30"/>
      <c r="R139" s="30"/>
      <c r="S139" s="30"/>
      <c r="T139" s="30"/>
      <c r="U139" s="30"/>
      <c r="V139" s="30"/>
      <c r="W139" s="30"/>
      <c r="X139" s="30"/>
      <c r="Y139" s="62">
        <f>SUM(Q139:X139)</f>
        <v>0</v>
      </c>
      <c r="Z139" s="61"/>
      <c r="AA139" s="62"/>
      <c r="AB139" s="63"/>
      <c r="AC139" s="15"/>
      <c r="AD139" s="15"/>
      <c r="AE139" s="23">
        <f>AC139+AD139</f>
        <v>0</v>
      </c>
    </row>
    <row r="140" spans="2:31" ht="16" customHeight="1" x14ac:dyDescent="0.35">
      <c r="B140" s="16" t="s">
        <v>243</v>
      </c>
      <c r="C140" s="16" t="s">
        <v>244</v>
      </c>
      <c r="D140" s="64"/>
      <c r="E140" s="53">
        <f>-(-(E136+E137)-E138-E139)</f>
        <v>0</v>
      </c>
      <c r="F140" s="64"/>
      <c r="G140" s="31">
        <f t="shared" ref="G140:O140" si="69">-(-(G136+G137)-G138-G139)</f>
        <v>0</v>
      </c>
      <c r="H140" s="31">
        <f t="shared" si="69"/>
        <v>0</v>
      </c>
      <c r="I140" s="31">
        <f t="shared" si="69"/>
        <v>0</v>
      </c>
      <c r="J140" s="31">
        <f t="shared" si="69"/>
        <v>0</v>
      </c>
      <c r="K140" s="31">
        <f t="shared" si="69"/>
        <v>0</v>
      </c>
      <c r="L140" s="31">
        <f t="shared" si="69"/>
        <v>0</v>
      </c>
      <c r="M140" s="31">
        <f t="shared" si="69"/>
        <v>0</v>
      </c>
      <c r="N140" s="31">
        <f t="shared" si="69"/>
        <v>0</v>
      </c>
      <c r="O140" s="53">
        <f t="shared" si="69"/>
        <v>0</v>
      </c>
      <c r="P140" s="64"/>
      <c r="Q140" s="31">
        <f t="shared" ref="Q140:Y140" si="70">-(-(Q136+Q137)-Q138-Q139)</f>
        <v>0</v>
      </c>
      <c r="R140" s="31">
        <f t="shared" si="70"/>
        <v>0</v>
      </c>
      <c r="S140" s="31">
        <f t="shared" si="70"/>
        <v>0</v>
      </c>
      <c r="T140" s="31">
        <f t="shared" si="70"/>
        <v>0</v>
      </c>
      <c r="U140" s="31">
        <f t="shared" si="70"/>
        <v>0</v>
      </c>
      <c r="V140" s="31">
        <f t="shared" si="70"/>
        <v>0</v>
      </c>
      <c r="W140" s="31">
        <f t="shared" si="70"/>
        <v>0</v>
      </c>
      <c r="X140" s="31">
        <f t="shared" si="70"/>
        <v>0</v>
      </c>
      <c r="Y140" s="53">
        <f t="shared" si="70"/>
        <v>0</v>
      </c>
      <c r="Z140" s="64"/>
      <c r="AA140" s="53">
        <f>-(-(AA136+AA137)-AA138-AA139)</f>
        <v>0</v>
      </c>
      <c r="AB140" s="65"/>
      <c r="AC140" s="17">
        <f>-(-(AC136+AC137)-AC138-AC139)</f>
        <v>0</v>
      </c>
      <c r="AD140" s="17">
        <f>-(-(AD136+AD137)-AD138-AD139)</f>
        <v>0</v>
      </c>
      <c r="AE140" s="24">
        <f>-(-(AE136+AE137)-AE138-AE139)</f>
        <v>0</v>
      </c>
    </row>
    <row r="141" spans="2:31" ht="16" customHeight="1" thickBot="1" x14ac:dyDescent="0.4">
      <c r="B141" s="11" t="s">
        <v>245</v>
      </c>
      <c r="C141" s="11" t="s">
        <v>22</v>
      </c>
      <c r="D141" s="29"/>
      <c r="E141" s="60"/>
      <c r="F141" s="29"/>
      <c r="G141" s="29"/>
      <c r="H141" s="29"/>
      <c r="I141" s="29"/>
      <c r="J141" s="29"/>
      <c r="K141" s="29"/>
      <c r="L141" s="29"/>
      <c r="M141" s="29"/>
      <c r="N141" s="29"/>
      <c r="O141" s="60"/>
      <c r="P141" s="29"/>
      <c r="Q141" s="29"/>
      <c r="R141" s="29"/>
      <c r="S141" s="29"/>
      <c r="T141" s="29"/>
      <c r="U141" s="29"/>
      <c r="V141" s="29"/>
      <c r="W141" s="29"/>
      <c r="X141" s="29"/>
      <c r="Y141" s="60"/>
      <c r="Z141" s="29"/>
      <c r="AA141" s="60"/>
      <c r="AB141" s="12"/>
      <c r="AC141" s="12"/>
      <c r="AD141" s="12"/>
      <c r="AE141" s="22"/>
    </row>
    <row r="142" spans="2:31" ht="16" customHeight="1" thickBot="1" x14ac:dyDescent="0.4">
      <c r="B142" s="18" t="s">
        <v>246</v>
      </c>
      <c r="C142" s="18" t="s">
        <v>247</v>
      </c>
      <c r="D142" s="66"/>
      <c r="E142" s="67">
        <f>E134+E140</f>
        <v>-46092.723729999823</v>
      </c>
      <c r="F142" s="66"/>
      <c r="G142" s="32">
        <f t="shared" ref="G142:O142" si="71">G134+G140</f>
        <v>0</v>
      </c>
      <c r="H142" s="32">
        <f t="shared" si="71"/>
        <v>0</v>
      </c>
      <c r="I142" s="32">
        <f t="shared" si="71"/>
        <v>0</v>
      </c>
      <c r="J142" s="32">
        <f t="shared" si="71"/>
        <v>0</v>
      </c>
      <c r="K142" s="32">
        <f t="shared" si="71"/>
        <v>0</v>
      </c>
      <c r="L142" s="32">
        <f t="shared" si="71"/>
        <v>31139.913470000003</v>
      </c>
      <c r="M142" s="32">
        <f t="shared" si="71"/>
        <v>-28206.206709999991</v>
      </c>
      <c r="N142" s="32">
        <f t="shared" si="71"/>
        <v>0</v>
      </c>
      <c r="O142" s="67">
        <f t="shared" si="71"/>
        <v>2933.7067600001265</v>
      </c>
      <c r="P142" s="66"/>
      <c r="Q142" s="32">
        <f t="shared" ref="Q142:Y142" si="72">Q134+Q140</f>
        <v>7.1111599999999981</v>
      </c>
      <c r="R142" s="32">
        <f t="shared" si="72"/>
        <v>-2370.0798000000082</v>
      </c>
      <c r="S142" s="32">
        <f t="shared" si="72"/>
        <v>-8158.1392100000066</v>
      </c>
      <c r="T142" s="32">
        <f t="shared" si="72"/>
        <v>0</v>
      </c>
      <c r="U142" s="32">
        <f t="shared" si="72"/>
        <v>0</v>
      </c>
      <c r="V142" s="32">
        <f t="shared" si="72"/>
        <v>0</v>
      </c>
      <c r="W142" s="32">
        <f t="shared" si="72"/>
        <v>27.755179999999875</v>
      </c>
      <c r="X142" s="32">
        <f t="shared" si="72"/>
        <v>0</v>
      </c>
      <c r="Y142" s="67">
        <f t="shared" si="72"/>
        <v>-10493.352670000015</v>
      </c>
      <c r="Z142" s="66"/>
      <c r="AA142" s="67">
        <f>AA134+AA140</f>
        <v>0</v>
      </c>
      <c r="AB142" s="68"/>
      <c r="AC142" s="19">
        <f>AC134+AC140</f>
        <v>-38533.077819999999</v>
      </c>
      <c r="AD142" s="19">
        <f>AD134+AD140</f>
        <v>0</v>
      </c>
      <c r="AE142" s="25">
        <f>AE134+AE140</f>
        <v>-38533.077819999999</v>
      </c>
    </row>
    <row r="143" spans="2:31" ht="16" customHeight="1" x14ac:dyDescent="0.35">
      <c r="B143" s="11" t="s">
        <v>248</v>
      </c>
      <c r="C143" s="11" t="s">
        <v>22</v>
      </c>
      <c r="D143" s="29"/>
      <c r="E143" s="60"/>
      <c r="F143" s="29"/>
      <c r="G143" s="29"/>
      <c r="H143" s="29"/>
      <c r="I143" s="29"/>
      <c r="J143" s="29"/>
      <c r="K143" s="29"/>
      <c r="L143" s="29"/>
      <c r="M143" s="29"/>
      <c r="N143" s="29"/>
      <c r="O143" s="60"/>
      <c r="P143" s="29"/>
      <c r="Q143" s="29"/>
      <c r="R143" s="29"/>
      <c r="S143" s="29"/>
      <c r="T143" s="29"/>
      <c r="U143" s="29"/>
      <c r="V143" s="29"/>
      <c r="W143" s="29"/>
      <c r="X143" s="29"/>
      <c r="Y143" s="60"/>
      <c r="Z143" s="29"/>
      <c r="AA143" s="60"/>
      <c r="AB143" s="12"/>
      <c r="AC143" s="12"/>
      <c r="AD143" s="12"/>
      <c r="AE143" s="22"/>
    </row>
    <row r="144" spans="2:31" ht="16" customHeight="1" x14ac:dyDescent="0.35">
      <c r="B144" s="14" t="s">
        <v>249</v>
      </c>
      <c r="C144" s="14" t="s">
        <v>250</v>
      </c>
      <c r="D144" s="61"/>
      <c r="E144" s="62">
        <f>O144+Y144+AA144+AE144</f>
        <v>12848.267669999999</v>
      </c>
      <c r="F144" s="61"/>
      <c r="G144" s="30"/>
      <c r="H144" s="30"/>
      <c r="I144" s="30"/>
      <c r="J144" s="30"/>
      <c r="K144" s="30">
        <f>SUM(G144:J144)</f>
        <v>0</v>
      </c>
      <c r="L144" s="30"/>
      <c r="M144" s="30"/>
      <c r="N144" s="30"/>
      <c r="O144" s="62">
        <f>SUM(K144:N144)</f>
        <v>0</v>
      </c>
      <c r="P144" s="61"/>
      <c r="Q144" s="30"/>
      <c r="R144" s="30"/>
      <c r="S144" s="30"/>
      <c r="T144" s="30"/>
      <c r="U144" s="30"/>
      <c r="V144" s="30"/>
      <c r="W144" s="30"/>
      <c r="X144" s="30"/>
      <c r="Y144" s="62">
        <f>SUM(Q144:X144)</f>
        <v>0</v>
      </c>
      <c r="Z144" s="61"/>
      <c r="AA144" s="62"/>
      <c r="AB144" s="63"/>
      <c r="AC144" s="15">
        <v>12848.267669999999</v>
      </c>
      <c r="AD144" s="15"/>
      <c r="AE144" s="23">
        <f>AC144+AD144</f>
        <v>12848.267669999999</v>
      </c>
    </row>
    <row r="145" spans="2:31" ht="16" customHeight="1" x14ac:dyDescent="0.35">
      <c r="B145" s="14" t="s">
        <v>251</v>
      </c>
      <c r="C145" s="14" t="s">
        <v>252</v>
      </c>
      <c r="D145" s="61"/>
      <c r="E145" s="62">
        <f>O145+Y145+AA145+AE145</f>
        <v>8436.5139999999992</v>
      </c>
      <c r="F145" s="61"/>
      <c r="G145" s="30"/>
      <c r="H145" s="30"/>
      <c r="I145" s="30"/>
      <c r="J145" s="30"/>
      <c r="K145" s="30">
        <f>SUM(G145:J145)</f>
        <v>0</v>
      </c>
      <c r="L145" s="30"/>
      <c r="M145" s="30"/>
      <c r="N145" s="30"/>
      <c r="O145" s="62">
        <f>SUM(K145:N145)</f>
        <v>0</v>
      </c>
      <c r="P145" s="61"/>
      <c r="Q145" s="30"/>
      <c r="R145" s="30"/>
      <c r="S145" s="30"/>
      <c r="T145" s="30"/>
      <c r="U145" s="30"/>
      <c r="V145" s="30"/>
      <c r="W145" s="30"/>
      <c r="X145" s="30"/>
      <c r="Y145" s="62">
        <f>SUM(Q145:X145)</f>
        <v>0</v>
      </c>
      <c r="Z145" s="61"/>
      <c r="AA145" s="62"/>
      <c r="AB145" s="63"/>
      <c r="AC145" s="15">
        <v>8436.5139999999992</v>
      </c>
      <c r="AD145" s="15"/>
      <c r="AE145" s="23">
        <f>AC145+AD145</f>
        <v>8436.5139999999992</v>
      </c>
    </row>
    <row r="146" spans="2:31" ht="16" customHeight="1" x14ac:dyDescent="0.35">
      <c r="B146" s="16" t="s">
        <v>253</v>
      </c>
      <c r="C146" s="16" t="s">
        <v>254</v>
      </c>
      <c r="D146" s="64"/>
      <c r="E146" s="53">
        <f>E144+E145</f>
        <v>21284.781669999997</v>
      </c>
      <c r="F146" s="64"/>
      <c r="G146" s="31">
        <f t="shared" ref="G146:O146" si="73">G144+G145</f>
        <v>0</v>
      </c>
      <c r="H146" s="31">
        <f t="shared" si="73"/>
        <v>0</v>
      </c>
      <c r="I146" s="31">
        <f t="shared" si="73"/>
        <v>0</v>
      </c>
      <c r="J146" s="31">
        <f t="shared" si="73"/>
        <v>0</v>
      </c>
      <c r="K146" s="31">
        <f t="shared" si="73"/>
        <v>0</v>
      </c>
      <c r="L146" s="31">
        <f t="shared" si="73"/>
        <v>0</v>
      </c>
      <c r="M146" s="31">
        <f t="shared" si="73"/>
        <v>0</v>
      </c>
      <c r="N146" s="31">
        <f t="shared" si="73"/>
        <v>0</v>
      </c>
      <c r="O146" s="53">
        <f t="shared" si="73"/>
        <v>0</v>
      </c>
      <c r="P146" s="64"/>
      <c r="Q146" s="31">
        <f t="shared" ref="Q146:Y146" si="74">Q144+Q145</f>
        <v>0</v>
      </c>
      <c r="R146" s="31">
        <f t="shared" si="74"/>
        <v>0</v>
      </c>
      <c r="S146" s="31">
        <f t="shared" si="74"/>
        <v>0</v>
      </c>
      <c r="T146" s="31">
        <f t="shared" si="74"/>
        <v>0</v>
      </c>
      <c r="U146" s="31">
        <f t="shared" si="74"/>
        <v>0</v>
      </c>
      <c r="V146" s="31">
        <f t="shared" si="74"/>
        <v>0</v>
      </c>
      <c r="W146" s="31">
        <f t="shared" si="74"/>
        <v>0</v>
      </c>
      <c r="X146" s="31">
        <f t="shared" si="74"/>
        <v>0</v>
      </c>
      <c r="Y146" s="53">
        <f t="shared" si="74"/>
        <v>0</v>
      </c>
      <c r="Z146" s="64"/>
      <c r="AA146" s="53">
        <f>AA144+AA145</f>
        <v>0</v>
      </c>
      <c r="AB146" s="65"/>
      <c r="AC146" s="17">
        <f>AC144+AC145</f>
        <v>21284.781669999997</v>
      </c>
      <c r="AD146" s="17">
        <f>AD144+AD145</f>
        <v>0</v>
      </c>
      <c r="AE146" s="24">
        <f>AE144+AE145</f>
        <v>21284.781669999997</v>
      </c>
    </row>
    <row r="147" spans="2:31" ht="16" customHeight="1" x14ac:dyDescent="0.35">
      <c r="B147" s="11" t="s">
        <v>255</v>
      </c>
      <c r="C147" s="11" t="s">
        <v>22</v>
      </c>
      <c r="D147" s="29"/>
      <c r="E147" s="60"/>
      <c r="F147" s="29"/>
      <c r="G147" s="29"/>
      <c r="H147" s="29"/>
      <c r="I147" s="29"/>
      <c r="J147" s="29"/>
      <c r="K147" s="29"/>
      <c r="L147" s="29"/>
      <c r="M147" s="29"/>
      <c r="N147" s="29"/>
      <c r="O147" s="60"/>
      <c r="P147" s="29"/>
      <c r="Q147" s="29"/>
      <c r="R147" s="29"/>
      <c r="S147" s="29"/>
      <c r="T147" s="29"/>
      <c r="U147" s="29"/>
      <c r="V147" s="29"/>
      <c r="W147" s="29"/>
      <c r="X147" s="29"/>
      <c r="Y147" s="60"/>
      <c r="Z147" s="29"/>
      <c r="AA147" s="60"/>
      <c r="AB147" s="12"/>
      <c r="AC147" s="12"/>
      <c r="AD147" s="12"/>
      <c r="AE147" s="22"/>
    </row>
    <row r="148" spans="2:31" ht="16" customHeight="1" x14ac:dyDescent="0.35">
      <c r="B148" s="14" t="s">
        <v>256</v>
      </c>
      <c r="C148" s="14" t="s">
        <v>257</v>
      </c>
      <c r="D148" s="61"/>
      <c r="E148" s="62">
        <f>O148+Y148+AA148+AE148</f>
        <v>0</v>
      </c>
      <c r="F148" s="61"/>
      <c r="G148" s="30"/>
      <c r="H148" s="30"/>
      <c r="I148" s="30"/>
      <c r="J148" s="30"/>
      <c r="K148" s="30">
        <f>SUM(G148:J148)</f>
        <v>0</v>
      </c>
      <c r="L148" s="30"/>
      <c r="M148" s="30"/>
      <c r="N148" s="30"/>
      <c r="O148" s="62">
        <f>SUM(K148:N148)</f>
        <v>0</v>
      </c>
      <c r="P148" s="61"/>
      <c r="Q148" s="30"/>
      <c r="R148" s="30"/>
      <c r="S148" s="30"/>
      <c r="T148" s="30"/>
      <c r="U148" s="30"/>
      <c r="V148" s="30"/>
      <c r="W148" s="30"/>
      <c r="X148" s="30"/>
      <c r="Y148" s="62">
        <f>SUM(Q148:X148)</f>
        <v>0</v>
      </c>
      <c r="Z148" s="61"/>
      <c r="AA148" s="62"/>
      <c r="AB148" s="63"/>
      <c r="AC148" s="15"/>
      <c r="AD148" s="15"/>
      <c r="AE148" s="23">
        <f>AC148+AD148</f>
        <v>0</v>
      </c>
    </row>
    <row r="149" spans="2:31" ht="16" customHeight="1" thickBot="1" x14ac:dyDescent="0.4">
      <c r="B149" s="11" t="s">
        <v>258</v>
      </c>
      <c r="C149" s="11" t="s">
        <v>22</v>
      </c>
      <c r="D149" s="29"/>
      <c r="E149" s="60"/>
      <c r="F149" s="29"/>
      <c r="G149" s="29"/>
      <c r="H149" s="29"/>
      <c r="I149" s="29"/>
      <c r="J149" s="29"/>
      <c r="K149" s="29"/>
      <c r="L149" s="29"/>
      <c r="M149" s="29"/>
      <c r="N149" s="29"/>
      <c r="O149" s="60"/>
      <c r="P149" s="29"/>
      <c r="Q149" s="29"/>
      <c r="R149" s="29"/>
      <c r="S149" s="29"/>
      <c r="T149" s="29"/>
      <c r="U149" s="29"/>
      <c r="V149" s="29"/>
      <c r="W149" s="29"/>
      <c r="X149" s="29"/>
      <c r="Y149" s="60"/>
      <c r="Z149" s="29"/>
      <c r="AA149" s="60"/>
      <c r="AB149" s="12"/>
      <c r="AC149" s="12"/>
      <c r="AD149" s="12"/>
      <c r="AE149" s="22"/>
    </row>
    <row r="150" spans="2:31" ht="16" customHeight="1" thickBot="1" x14ac:dyDescent="0.4">
      <c r="B150" s="18" t="s">
        <v>259</v>
      </c>
      <c r="C150" s="18" t="s">
        <v>260</v>
      </c>
      <c r="D150" s="66"/>
      <c r="E150" s="67">
        <f>-(-(E142+E146)-E148)</f>
        <v>-24807.942059999827</v>
      </c>
      <c r="F150" s="66"/>
      <c r="G150" s="32">
        <f t="shared" ref="G150:O150" si="75">-(-(G142+G146)-G148)</f>
        <v>0</v>
      </c>
      <c r="H150" s="32">
        <f t="shared" si="75"/>
        <v>0</v>
      </c>
      <c r="I150" s="32">
        <f t="shared" si="75"/>
        <v>0</v>
      </c>
      <c r="J150" s="32">
        <f t="shared" si="75"/>
        <v>0</v>
      </c>
      <c r="K150" s="32">
        <f t="shared" si="75"/>
        <v>0</v>
      </c>
      <c r="L150" s="32">
        <f t="shared" si="75"/>
        <v>31139.913470000003</v>
      </c>
      <c r="M150" s="32">
        <f t="shared" si="75"/>
        <v>-28206.206709999991</v>
      </c>
      <c r="N150" s="32">
        <f t="shared" si="75"/>
        <v>0</v>
      </c>
      <c r="O150" s="67">
        <f t="shared" si="75"/>
        <v>2933.7067600001265</v>
      </c>
      <c r="P150" s="66"/>
      <c r="Q150" s="32">
        <f t="shared" ref="Q150:Y150" si="76">-(-(Q142+Q146)-Q148)</f>
        <v>7.1111599999999981</v>
      </c>
      <c r="R150" s="32">
        <f t="shared" si="76"/>
        <v>-2370.0798000000082</v>
      </c>
      <c r="S150" s="32">
        <f t="shared" si="76"/>
        <v>-8158.1392100000066</v>
      </c>
      <c r="T150" s="32">
        <f t="shared" si="76"/>
        <v>0</v>
      </c>
      <c r="U150" s="32">
        <f t="shared" si="76"/>
        <v>0</v>
      </c>
      <c r="V150" s="32">
        <f t="shared" si="76"/>
        <v>0</v>
      </c>
      <c r="W150" s="32">
        <f t="shared" si="76"/>
        <v>27.755179999999875</v>
      </c>
      <c r="X150" s="32">
        <f t="shared" si="76"/>
        <v>0</v>
      </c>
      <c r="Y150" s="67">
        <f t="shared" si="76"/>
        <v>-10493.352670000015</v>
      </c>
      <c r="Z150" s="66"/>
      <c r="AA150" s="67">
        <f>-(-(AA142+AA146)-AA148)</f>
        <v>0</v>
      </c>
      <c r="AB150" s="68"/>
      <c r="AC150" s="19">
        <f>-(-(AC142+AC146)-AC148)</f>
        <v>-17248.296150000002</v>
      </c>
      <c r="AD150" s="19">
        <f>-(-(AD142+AD146)-AD148)</f>
        <v>0</v>
      </c>
      <c r="AE150" s="25">
        <f>-(-(AE142+AE146)-AE148)</f>
        <v>-17248.296150000002</v>
      </c>
    </row>
    <row r="151" spans="2:31" ht="16" customHeight="1" x14ac:dyDescent="0.35">
      <c r="B151" s="11" t="s">
        <v>261</v>
      </c>
      <c r="C151" s="11" t="s">
        <v>22</v>
      </c>
      <c r="D151" s="29"/>
      <c r="E151" s="60"/>
      <c r="F151" s="29"/>
      <c r="G151" s="29"/>
      <c r="H151" s="29"/>
      <c r="I151" s="29"/>
      <c r="J151" s="29"/>
      <c r="K151" s="29"/>
      <c r="L151" s="29"/>
      <c r="M151" s="29"/>
      <c r="N151" s="29"/>
      <c r="O151" s="60"/>
      <c r="P151" s="29"/>
      <c r="Q151" s="29"/>
      <c r="R151" s="29"/>
      <c r="S151" s="29"/>
      <c r="T151" s="29"/>
      <c r="U151" s="29"/>
      <c r="V151" s="29"/>
      <c r="W151" s="29"/>
      <c r="X151" s="29"/>
      <c r="Y151" s="60"/>
      <c r="Z151" s="29"/>
      <c r="AA151" s="60"/>
      <c r="AB151" s="12"/>
      <c r="AC151" s="12"/>
      <c r="AD151" s="12"/>
      <c r="AE151" s="22"/>
    </row>
    <row r="152" spans="2:31" ht="16" customHeight="1" x14ac:dyDescent="0.35">
      <c r="B152" s="14" t="s">
        <v>262</v>
      </c>
      <c r="C152" s="14" t="s">
        <v>263</v>
      </c>
      <c r="D152" s="61"/>
      <c r="E152" s="62">
        <f>O152+Y152+AA152+AE152</f>
        <v>-88.084999999999994</v>
      </c>
      <c r="F152" s="61"/>
      <c r="G152" s="30"/>
      <c r="H152" s="30"/>
      <c r="I152" s="30"/>
      <c r="J152" s="30"/>
      <c r="K152" s="30">
        <f>SUM(G152:J152)</f>
        <v>0</v>
      </c>
      <c r="L152" s="30"/>
      <c r="M152" s="30"/>
      <c r="N152" s="30"/>
      <c r="O152" s="62">
        <f>SUM(K152:N152)</f>
        <v>0</v>
      </c>
      <c r="P152" s="61"/>
      <c r="Q152" s="30"/>
      <c r="R152" s="30"/>
      <c r="S152" s="30"/>
      <c r="T152" s="30"/>
      <c r="U152" s="30"/>
      <c r="V152" s="30"/>
      <c r="W152" s="30"/>
      <c r="X152" s="30"/>
      <c r="Y152" s="62">
        <f>SUM(Q152:X152)</f>
        <v>0</v>
      </c>
      <c r="Z152" s="61"/>
      <c r="AA152" s="62"/>
      <c r="AB152" s="63"/>
      <c r="AC152" s="15">
        <v>-88.084999999999994</v>
      </c>
      <c r="AD152" s="15"/>
      <c r="AE152" s="23">
        <f>AC152+AD152</f>
        <v>-88.084999999999994</v>
      </c>
    </row>
    <row r="153" spans="2:31" ht="16" customHeight="1" thickBot="1" x14ac:dyDescent="0.4">
      <c r="B153" s="11" t="s">
        <v>264</v>
      </c>
      <c r="C153" s="11" t="s">
        <v>22</v>
      </c>
      <c r="D153" s="29"/>
      <c r="E153" s="60"/>
      <c r="F153" s="29"/>
      <c r="G153" s="29"/>
      <c r="H153" s="29"/>
      <c r="I153" s="29"/>
      <c r="J153" s="29"/>
      <c r="K153" s="29"/>
      <c r="L153" s="29"/>
      <c r="M153" s="29"/>
      <c r="N153" s="29"/>
      <c r="O153" s="60"/>
      <c r="P153" s="29"/>
      <c r="Q153" s="29"/>
      <c r="R153" s="29"/>
      <c r="S153" s="29"/>
      <c r="T153" s="29"/>
      <c r="U153" s="29"/>
      <c r="V153" s="29"/>
      <c r="W153" s="29"/>
      <c r="X153" s="29"/>
      <c r="Y153" s="60"/>
      <c r="Z153" s="29"/>
      <c r="AA153" s="60"/>
      <c r="AB153" s="12"/>
      <c r="AC153" s="12"/>
      <c r="AD153" s="12"/>
      <c r="AE153" s="22"/>
    </row>
    <row r="154" spans="2:31" ht="16" customHeight="1" thickBot="1" x14ac:dyDescent="0.4">
      <c r="B154" s="18" t="s">
        <v>265</v>
      </c>
      <c r="C154" s="18" t="s">
        <v>266</v>
      </c>
      <c r="D154" s="66"/>
      <c r="E154" s="67">
        <f>E150+E152</f>
        <v>-24896.027059999826</v>
      </c>
      <c r="F154" s="66"/>
      <c r="G154" s="32">
        <f t="shared" ref="G154:O154" si="77">G150+G152</f>
        <v>0</v>
      </c>
      <c r="H154" s="32">
        <f t="shared" si="77"/>
        <v>0</v>
      </c>
      <c r="I154" s="19">
        <f t="shared" si="77"/>
        <v>0</v>
      </c>
      <c r="J154" s="19">
        <f t="shared" si="77"/>
        <v>0</v>
      </c>
      <c r="K154" s="19">
        <f t="shared" si="77"/>
        <v>0</v>
      </c>
      <c r="L154" s="19">
        <f t="shared" si="77"/>
        <v>31139.913470000003</v>
      </c>
      <c r="M154" s="19">
        <f t="shared" si="77"/>
        <v>-28206.206709999991</v>
      </c>
      <c r="N154" s="19">
        <f t="shared" si="77"/>
        <v>0</v>
      </c>
      <c r="O154" s="25">
        <f t="shared" si="77"/>
        <v>2933.7067600001265</v>
      </c>
      <c r="P154" s="68"/>
      <c r="Q154" s="19">
        <f t="shared" ref="Q154:Y154" si="78">Q150+Q152</f>
        <v>7.1111599999999981</v>
      </c>
      <c r="R154" s="19">
        <f t="shared" si="78"/>
        <v>-2370.0798000000082</v>
      </c>
      <c r="S154" s="19">
        <f t="shared" si="78"/>
        <v>-8158.1392100000066</v>
      </c>
      <c r="T154" s="19">
        <f t="shared" si="78"/>
        <v>0</v>
      </c>
      <c r="U154" s="19">
        <f t="shared" si="78"/>
        <v>0</v>
      </c>
      <c r="V154" s="19">
        <f t="shared" si="78"/>
        <v>0</v>
      </c>
      <c r="W154" s="19">
        <f t="shared" si="78"/>
        <v>27.755179999999875</v>
      </c>
      <c r="X154" s="19">
        <f t="shared" si="78"/>
        <v>0</v>
      </c>
      <c r="Y154" s="25">
        <f t="shared" si="78"/>
        <v>-10493.352670000015</v>
      </c>
      <c r="Z154" s="68"/>
      <c r="AA154" s="25">
        <f>AA150+AA152</f>
        <v>0</v>
      </c>
      <c r="AB154" s="68"/>
      <c r="AC154" s="19">
        <f>AC150+AC152</f>
        <v>-17336.381150000001</v>
      </c>
      <c r="AD154" s="19">
        <f>AD150+AD152</f>
        <v>0</v>
      </c>
      <c r="AE154" s="25">
        <f>AE150+AE152</f>
        <v>-17336.381150000001</v>
      </c>
    </row>
    <row r="155" spans="2:31" ht="16" customHeight="1" x14ac:dyDescent="0.45">
      <c r="B155" s="9"/>
      <c r="C155" s="9"/>
      <c r="D155" s="9"/>
      <c r="E155" s="9"/>
      <c r="F155" s="9"/>
      <c r="G155" s="9"/>
      <c r="H155" s="9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</row>
    <row r="156" spans="2:31" ht="16" customHeight="1" x14ac:dyDescent="0.45">
      <c r="B156" s="9"/>
      <c r="C156" s="9"/>
      <c r="D156" s="9"/>
      <c r="E156" s="9"/>
      <c r="F156" s="9"/>
      <c r="G156" s="9"/>
      <c r="H156" s="9"/>
      <c r="I156" s="13"/>
      <c r="J156" s="13"/>
      <c r="K156" s="13"/>
      <c r="L156" s="13"/>
    </row>
  </sheetData>
  <mergeCells count="2">
    <mergeCell ref="B4:E4"/>
    <mergeCell ref="B6:C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8AE2-D9D8-446B-A184-A3BB82064B28}">
  <dimension ref="A3:U378"/>
  <sheetViews>
    <sheetView showGridLines="0" zoomScale="90" zoomScaleNormal="90" workbookViewId="0">
      <pane xSplit="6" ySplit="8" topLeftCell="G9" activePane="bottomRight" state="frozen"/>
      <selection pane="topRight" activeCell="G1" sqref="G1"/>
      <selection pane="bottomLeft" activeCell="A7" sqref="A7"/>
      <selection pane="bottomRight" activeCell="B4" sqref="B4:E4"/>
    </sheetView>
  </sheetViews>
  <sheetFormatPr defaultColWidth="9.1796875" defaultRowHeight="16" customHeight="1" x14ac:dyDescent="0.35"/>
  <cols>
    <col min="1" max="1" width="2.453125" style="1" customWidth="1"/>
    <col min="2" max="2" width="10.7265625" style="1" customWidth="1"/>
    <col min="3" max="3" width="60.7265625" style="1" customWidth="1"/>
    <col min="4" max="4" width="2.7265625" style="1" customWidth="1"/>
    <col min="5" max="5" width="14.7265625" style="1" customWidth="1"/>
    <col min="6" max="6" width="2.7265625" style="1" customWidth="1"/>
    <col min="7" max="80" width="14.7265625" style="1" customWidth="1"/>
    <col min="81" max="130" width="15.7265625" style="1" customWidth="1"/>
    <col min="131" max="16384" width="9.1796875" style="1"/>
  </cols>
  <sheetData>
    <row r="3" spans="1:21" ht="16" customHeight="1" x14ac:dyDescent="0.35">
      <c r="B3" s="2" t="s">
        <v>1041</v>
      </c>
    </row>
    <row r="4" spans="1:21" ht="16" customHeight="1" x14ac:dyDescent="0.35">
      <c r="B4" s="33" t="s">
        <v>270</v>
      </c>
      <c r="C4" s="33"/>
      <c r="D4" s="33"/>
      <c r="E4" s="33"/>
    </row>
    <row r="5" spans="1:21" ht="16" customHeight="1" x14ac:dyDescent="0.35">
      <c r="B5" s="4" t="s">
        <v>1016</v>
      </c>
    </row>
    <row r="6" spans="1:21" ht="16" customHeight="1" x14ac:dyDescent="0.35">
      <c r="A6" s="20"/>
      <c r="B6" s="56">
        <v>46194.596943576391</v>
      </c>
      <c r="C6" s="56"/>
    </row>
    <row r="8" spans="1:21" ht="16.5" thickBot="1" x14ac:dyDescent="0.5">
      <c r="B8" s="7"/>
      <c r="C8" s="28"/>
      <c r="D8" s="59"/>
      <c r="E8" s="21" t="s">
        <v>1017</v>
      </c>
      <c r="F8" s="59"/>
      <c r="G8" s="8" t="s">
        <v>1023</v>
      </c>
      <c r="H8" s="8" t="s">
        <v>1024</v>
      </c>
      <c r="I8" s="8" t="s">
        <v>1027</v>
      </c>
      <c r="J8" s="8" t="s">
        <v>1028</v>
      </c>
      <c r="K8" s="8" t="s">
        <v>1029</v>
      </c>
      <c r="L8" s="8" t="s">
        <v>1033</v>
      </c>
      <c r="M8" s="8" t="s">
        <v>1042</v>
      </c>
      <c r="N8" s="9"/>
      <c r="O8" s="9"/>
      <c r="P8" s="9"/>
      <c r="Q8" s="9"/>
      <c r="R8" s="13"/>
      <c r="S8" s="9"/>
      <c r="T8" s="13"/>
      <c r="U8" s="13"/>
    </row>
    <row r="9" spans="1:21" ht="15" customHeight="1" x14ac:dyDescent="0.45">
      <c r="B9" s="11"/>
      <c r="C9" s="11"/>
      <c r="D9" s="29"/>
      <c r="E9" s="60"/>
      <c r="F9" s="29"/>
      <c r="G9" s="12"/>
      <c r="H9" s="12"/>
      <c r="I9" s="12"/>
      <c r="J9" s="12"/>
      <c r="K9" s="12"/>
      <c r="L9" s="12"/>
      <c r="M9" s="12"/>
      <c r="N9" s="13"/>
      <c r="O9" s="13"/>
      <c r="P9" s="13"/>
      <c r="Q9" s="13"/>
      <c r="R9" s="13"/>
      <c r="S9" s="13"/>
      <c r="T9" s="13"/>
      <c r="U9" s="13"/>
    </row>
    <row r="10" spans="1:21" ht="16" customHeight="1" x14ac:dyDescent="0.45">
      <c r="B10" s="34"/>
      <c r="C10" s="34" t="s">
        <v>754</v>
      </c>
      <c r="D10" s="69"/>
      <c r="E10" s="70"/>
      <c r="F10" s="69"/>
      <c r="G10" s="35"/>
      <c r="H10" s="35"/>
      <c r="I10" s="35"/>
      <c r="J10" s="35"/>
      <c r="K10" s="35"/>
      <c r="L10" s="35"/>
      <c r="M10" s="35"/>
      <c r="N10" s="13"/>
      <c r="O10" s="13"/>
      <c r="P10" s="13"/>
      <c r="Q10" s="13"/>
      <c r="R10" s="13"/>
      <c r="S10" s="13"/>
      <c r="T10" s="13"/>
      <c r="U10" s="13"/>
    </row>
    <row r="11" spans="1:21" ht="16" customHeight="1" x14ac:dyDescent="0.45">
      <c r="B11" s="11"/>
      <c r="C11" s="11" t="s">
        <v>22</v>
      </c>
      <c r="D11" s="29"/>
      <c r="E11" s="60"/>
      <c r="F11" s="29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3"/>
      <c r="R11" s="13"/>
      <c r="S11" s="13"/>
    </row>
    <row r="12" spans="1:21" ht="16" customHeight="1" x14ac:dyDescent="0.45">
      <c r="B12" s="14" t="s">
        <v>755</v>
      </c>
      <c r="C12" s="14" t="s">
        <v>138</v>
      </c>
      <c r="D12" s="61"/>
      <c r="E12" s="62">
        <v>730.27642000000003</v>
      </c>
      <c r="F12" s="61"/>
      <c r="G12" s="15">
        <v>36960.223360000004</v>
      </c>
      <c r="H12" s="15">
        <v>-27785.738740000001</v>
      </c>
      <c r="I12" s="15">
        <v>7.1111599999999999</v>
      </c>
      <c r="J12" s="15">
        <v>-393.07544000000001</v>
      </c>
      <c r="K12" s="15">
        <v>-8085.9960799999999</v>
      </c>
      <c r="L12" s="15">
        <v>27.755179999999999</v>
      </c>
      <c r="M12" s="15">
        <v>-3.0200000000000001E-3</v>
      </c>
      <c r="N12" s="13"/>
      <c r="O12" s="13"/>
      <c r="P12" s="13"/>
      <c r="Q12" s="13"/>
      <c r="R12" s="13"/>
      <c r="S12" s="13"/>
    </row>
    <row r="13" spans="1:21" ht="16" customHeight="1" x14ac:dyDescent="0.45">
      <c r="B13" s="11"/>
      <c r="C13" s="11" t="s">
        <v>22</v>
      </c>
      <c r="D13" s="29"/>
      <c r="E13" s="60"/>
      <c r="F13" s="29"/>
      <c r="G13" s="12"/>
      <c r="H13" s="12"/>
      <c r="I13" s="12"/>
      <c r="J13" s="12"/>
      <c r="K13" s="12"/>
      <c r="L13" s="12"/>
      <c r="M13" s="12"/>
      <c r="N13" s="13"/>
      <c r="O13" s="13"/>
      <c r="P13" s="13"/>
      <c r="Q13" s="13"/>
      <c r="R13" s="13"/>
      <c r="S13" s="13"/>
    </row>
    <row r="14" spans="1:21" ht="16" customHeight="1" x14ac:dyDescent="0.45">
      <c r="B14" s="14" t="s">
        <v>756</v>
      </c>
      <c r="C14" s="14" t="s">
        <v>757</v>
      </c>
      <c r="D14" s="61"/>
      <c r="E14" s="62">
        <v>59403.00434</v>
      </c>
      <c r="F14" s="61"/>
      <c r="G14" s="15">
        <v>47016.569349999998</v>
      </c>
      <c r="H14" s="15">
        <v>9186.0607099999997</v>
      </c>
      <c r="I14" s="15">
        <v>21.55988</v>
      </c>
      <c r="J14" s="15">
        <v>2045.6123299999999</v>
      </c>
      <c r="K14" s="15">
        <v>1132.5985800000001</v>
      </c>
      <c r="L14" s="15">
        <v>0.60348999999999997</v>
      </c>
      <c r="M14" s="15">
        <v>0</v>
      </c>
      <c r="N14" s="13"/>
      <c r="O14" s="13"/>
      <c r="P14" s="13"/>
      <c r="Q14" s="13"/>
      <c r="R14" s="13"/>
      <c r="S14" s="13"/>
    </row>
    <row r="15" spans="1:21" ht="16" customHeight="1" x14ac:dyDescent="0.45">
      <c r="B15" s="11"/>
      <c r="C15" s="11" t="s">
        <v>22</v>
      </c>
      <c r="D15" s="29"/>
      <c r="E15" s="60"/>
      <c r="F15" s="29"/>
      <c r="G15" s="12"/>
      <c r="H15" s="12"/>
      <c r="I15" s="12"/>
      <c r="J15" s="12"/>
      <c r="K15" s="12"/>
      <c r="L15" s="12"/>
      <c r="M15" s="12"/>
      <c r="N15" s="13"/>
      <c r="O15" s="13"/>
      <c r="P15" s="13"/>
      <c r="Q15" s="13"/>
      <c r="R15" s="13"/>
      <c r="S15" s="13"/>
    </row>
    <row r="16" spans="1:21" ht="16" customHeight="1" x14ac:dyDescent="0.45">
      <c r="B16" s="34" t="s">
        <v>758</v>
      </c>
      <c r="C16" s="34" t="s">
        <v>126</v>
      </c>
      <c r="D16" s="69"/>
      <c r="E16" s="70">
        <f>E12+E14</f>
        <v>60133.280760000001</v>
      </c>
      <c r="F16" s="69"/>
      <c r="G16" s="35">
        <f t="shared" ref="G16:M16" si="0">G12+G14</f>
        <v>83976.792710000009</v>
      </c>
      <c r="H16" s="35">
        <f t="shared" si="0"/>
        <v>-18599.678030000003</v>
      </c>
      <c r="I16" s="35">
        <f t="shared" si="0"/>
        <v>28.671039999999998</v>
      </c>
      <c r="J16" s="35">
        <f t="shared" si="0"/>
        <v>1652.5368899999999</v>
      </c>
      <c r="K16" s="35">
        <f t="shared" si="0"/>
        <v>-6953.3975</v>
      </c>
      <c r="L16" s="35">
        <f t="shared" si="0"/>
        <v>28.35867</v>
      </c>
      <c r="M16" s="35">
        <f t="shared" si="0"/>
        <v>-3.0200000000000001E-3</v>
      </c>
      <c r="N16" s="13"/>
      <c r="O16" s="13"/>
      <c r="P16" s="13"/>
      <c r="Q16" s="13"/>
      <c r="R16" s="13"/>
      <c r="S16" s="13"/>
    </row>
    <row r="17" spans="2:19" ht="16" customHeight="1" x14ac:dyDescent="0.45">
      <c r="B17" s="11"/>
      <c r="C17" s="11" t="s">
        <v>22</v>
      </c>
      <c r="D17" s="29"/>
      <c r="E17" s="60"/>
      <c r="F17" s="29"/>
      <c r="G17" s="12"/>
      <c r="H17" s="12"/>
      <c r="I17" s="12"/>
      <c r="J17" s="12"/>
      <c r="K17" s="12"/>
      <c r="L17" s="12"/>
      <c r="M17" s="12"/>
      <c r="N17" s="13"/>
      <c r="O17" s="13"/>
      <c r="P17" s="13"/>
      <c r="Q17" s="13"/>
      <c r="R17" s="13"/>
      <c r="S17" s="13"/>
    </row>
    <row r="18" spans="2:19" ht="16" customHeight="1" x14ac:dyDescent="0.45">
      <c r="B18" s="14" t="s">
        <v>759</v>
      </c>
      <c r="C18" s="14" t="s">
        <v>760</v>
      </c>
      <c r="D18" s="61"/>
      <c r="E18" s="62">
        <v>22084.158899999999</v>
      </c>
      <c r="F18" s="61"/>
      <c r="G18" s="15">
        <v>8969.4129699999994</v>
      </c>
      <c r="H18" s="15">
        <v>10773.38213</v>
      </c>
      <c r="I18" s="15"/>
      <c r="J18" s="15">
        <v>385.54046</v>
      </c>
      <c r="K18" s="15">
        <v>1955.8233399999999</v>
      </c>
      <c r="L18" s="15"/>
      <c r="M18" s="15"/>
      <c r="N18" s="13"/>
      <c r="O18" s="13"/>
      <c r="P18" s="13"/>
      <c r="Q18" s="13"/>
      <c r="R18" s="13"/>
      <c r="S18" s="13"/>
    </row>
    <row r="19" spans="2:19" ht="16" customHeight="1" x14ac:dyDescent="0.45">
      <c r="B19" s="14"/>
      <c r="C19" s="14" t="s">
        <v>762</v>
      </c>
      <c r="D19" s="61"/>
      <c r="E19" s="62">
        <v>20275.206399999999</v>
      </c>
      <c r="F19" s="61"/>
      <c r="G19" s="15">
        <v>11684.90662</v>
      </c>
      <c r="H19" s="15">
        <v>4786.4349099999999</v>
      </c>
      <c r="I19" s="15"/>
      <c r="J19" s="15">
        <v>983.84370000000001</v>
      </c>
      <c r="K19" s="15">
        <v>976.30912999999998</v>
      </c>
      <c r="L19" s="15"/>
      <c r="M19" s="15">
        <v>1843.7120399999999</v>
      </c>
      <c r="N19" s="13"/>
      <c r="O19" s="13"/>
      <c r="P19" s="13"/>
      <c r="Q19" s="13"/>
      <c r="R19" s="13"/>
      <c r="S19" s="13"/>
    </row>
    <row r="20" spans="2:19" ht="16" customHeight="1" x14ac:dyDescent="0.45">
      <c r="B20" s="11"/>
      <c r="C20" s="11" t="s">
        <v>22</v>
      </c>
      <c r="D20" s="29"/>
      <c r="E20" s="60"/>
      <c r="F20" s="29"/>
      <c r="G20" s="12"/>
      <c r="H20" s="12"/>
      <c r="I20" s="12"/>
      <c r="J20" s="12"/>
      <c r="K20" s="12"/>
      <c r="L20" s="12"/>
      <c r="M20" s="12"/>
      <c r="N20" s="13"/>
      <c r="O20" s="13"/>
      <c r="P20" s="13"/>
      <c r="Q20" s="13"/>
      <c r="R20" s="13"/>
      <c r="S20" s="13"/>
    </row>
    <row r="21" spans="2:19" ht="16" customHeight="1" x14ac:dyDescent="0.45">
      <c r="B21" s="34"/>
      <c r="C21" s="34" t="s">
        <v>763</v>
      </c>
      <c r="D21" s="69"/>
      <c r="E21" s="70">
        <f>E22+E23</f>
        <v>0</v>
      </c>
      <c r="F21" s="69"/>
      <c r="G21" s="35">
        <f t="shared" ref="G21:M21" si="1">G22+G23</f>
        <v>0</v>
      </c>
      <c r="H21" s="35">
        <f t="shared" si="1"/>
        <v>0</v>
      </c>
      <c r="I21" s="35">
        <f t="shared" si="1"/>
        <v>0</v>
      </c>
      <c r="J21" s="35">
        <f t="shared" si="1"/>
        <v>0</v>
      </c>
      <c r="K21" s="35">
        <f t="shared" si="1"/>
        <v>0</v>
      </c>
      <c r="L21" s="35">
        <f t="shared" si="1"/>
        <v>0</v>
      </c>
      <c r="M21" s="35">
        <f t="shared" si="1"/>
        <v>0</v>
      </c>
      <c r="N21" s="13"/>
      <c r="O21" s="13"/>
      <c r="P21" s="13"/>
      <c r="Q21" s="13"/>
      <c r="R21" s="13"/>
      <c r="S21" s="13"/>
    </row>
    <row r="22" spans="2:19" ht="16" customHeight="1" x14ac:dyDescent="0.45">
      <c r="B22" s="14" t="s">
        <v>764</v>
      </c>
      <c r="C22" s="14" t="s">
        <v>112</v>
      </c>
      <c r="D22" s="61"/>
      <c r="E22" s="62"/>
      <c r="F22" s="61"/>
      <c r="G22" s="15"/>
      <c r="H22" s="15"/>
      <c r="I22" s="15"/>
      <c r="J22" s="15"/>
      <c r="K22" s="15"/>
      <c r="L22" s="15"/>
      <c r="M22" s="15"/>
      <c r="N22" s="13"/>
      <c r="O22" s="13"/>
      <c r="P22" s="13"/>
      <c r="Q22" s="13"/>
      <c r="R22" s="13"/>
      <c r="S22" s="13"/>
    </row>
    <row r="23" spans="2:19" ht="16" customHeight="1" x14ac:dyDescent="0.45">
      <c r="B23" s="14" t="s">
        <v>765</v>
      </c>
      <c r="C23" s="14" t="s">
        <v>110</v>
      </c>
      <c r="D23" s="61"/>
      <c r="E23" s="62"/>
      <c r="F23" s="61"/>
      <c r="G23" s="15"/>
      <c r="H23" s="15"/>
      <c r="I23" s="15"/>
      <c r="J23" s="15"/>
      <c r="K23" s="15"/>
      <c r="L23" s="15"/>
      <c r="M23" s="15"/>
      <c r="N23" s="13"/>
      <c r="O23" s="13"/>
      <c r="P23" s="13"/>
      <c r="Q23" s="13"/>
      <c r="R23" s="13"/>
      <c r="S23" s="13"/>
    </row>
    <row r="24" spans="2:19" ht="16" customHeight="1" x14ac:dyDescent="0.45">
      <c r="B24" s="11"/>
      <c r="C24" s="11" t="s">
        <v>22</v>
      </c>
      <c r="D24" s="29"/>
      <c r="E24" s="60"/>
      <c r="F24" s="29"/>
      <c r="G24" s="12"/>
      <c r="H24" s="12"/>
      <c r="I24" s="12"/>
      <c r="J24" s="12"/>
      <c r="K24" s="12"/>
      <c r="L24" s="12"/>
      <c r="M24" s="12"/>
      <c r="N24" s="13"/>
      <c r="O24" s="13"/>
      <c r="P24" s="13"/>
      <c r="Q24" s="13"/>
      <c r="R24" s="13"/>
      <c r="S24" s="13"/>
    </row>
    <row r="25" spans="2:19" ht="16" customHeight="1" x14ac:dyDescent="0.45">
      <c r="B25" s="34"/>
      <c r="C25" s="34" t="s">
        <v>766</v>
      </c>
      <c r="D25" s="69"/>
      <c r="E25" s="70">
        <f>E26+E27</f>
        <v>-7544.4553499999993</v>
      </c>
      <c r="F25" s="69"/>
      <c r="G25" s="35">
        <f t="shared" ref="G25:M25" si="2">G26+G27</f>
        <v>-4323.7169600000007</v>
      </c>
      <c r="H25" s="35">
        <f t="shared" si="2"/>
        <v>-1200.4186199999999</v>
      </c>
      <c r="I25" s="35">
        <f t="shared" si="2"/>
        <v>0</v>
      </c>
      <c r="J25" s="35">
        <f t="shared" si="2"/>
        <v>-1964.3736399999998</v>
      </c>
      <c r="K25" s="35">
        <f t="shared" si="2"/>
        <v>-55.946129999999997</v>
      </c>
      <c r="L25" s="35">
        <f t="shared" si="2"/>
        <v>0</v>
      </c>
      <c r="M25" s="35">
        <f t="shared" si="2"/>
        <v>0</v>
      </c>
      <c r="N25" s="13"/>
      <c r="O25" s="13"/>
      <c r="P25" s="13"/>
      <c r="Q25" s="13"/>
      <c r="R25" s="13"/>
      <c r="S25" s="13"/>
    </row>
    <row r="26" spans="2:19" ht="16" customHeight="1" x14ac:dyDescent="0.45">
      <c r="B26" s="14" t="s">
        <v>767</v>
      </c>
      <c r="C26" s="14" t="s">
        <v>768</v>
      </c>
      <c r="D26" s="61"/>
      <c r="E26" s="62">
        <v>-8289.9253499999995</v>
      </c>
      <c r="F26" s="61"/>
      <c r="G26" s="15">
        <v>-5820.3098900000005</v>
      </c>
      <c r="H26" s="15">
        <v>-420.46796999999998</v>
      </c>
      <c r="I26" s="15"/>
      <c r="J26" s="15">
        <v>-1977.0043599999999</v>
      </c>
      <c r="K26" s="15">
        <v>-72.143129999999999</v>
      </c>
      <c r="L26" s="15"/>
      <c r="M26" s="15"/>
      <c r="N26" s="13"/>
      <c r="O26" s="13"/>
      <c r="P26" s="13"/>
      <c r="Q26" s="13"/>
      <c r="R26" s="13"/>
      <c r="S26" s="13"/>
    </row>
    <row r="27" spans="2:19" ht="16" customHeight="1" x14ac:dyDescent="0.45">
      <c r="B27" s="14" t="s">
        <v>769</v>
      </c>
      <c r="C27" s="14" t="s">
        <v>770</v>
      </c>
      <c r="D27" s="61"/>
      <c r="E27" s="62">
        <v>745.47</v>
      </c>
      <c r="F27" s="61"/>
      <c r="G27" s="15">
        <v>1496.59293</v>
      </c>
      <c r="H27" s="15">
        <v>-779.95065</v>
      </c>
      <c r="I27" s="15"/>
      <c r="J27" s="15">
        <v>12.63072</v>
      </c>
      <c r="K27" s="15">
        <v>16.196999999999999</v>
      </c>
      <c r="L27" s="15"/>
      <c r="M27" s="15"/>
      <c r="N27" s="13"/>
      <c r="O27" s="13"/>
      <c r="P27" s="13"/>
      <c r="Q27" s="13"/>
      <c r="R27" s="13"/>
      <c r="S27" s="13"/>
    </row>
    <row r="28" spans="2:19" ht="16" customHeight="1" x14ac:dyDescent="0.45">
      <c r="B28" s="11"/>
      <c r="C28" s="11" t="s">
        <v>22</v>
      </c>
      <c r="D28" s="29"/>
      <c r="E28" s="60"/>
      <c r="F28" s="29"/>
      <c r="G28" s="12"/>
      <c r="H28" s="12"/>
      <c r="I28" s="12"/>
      <c r="J28" s="12"/>
      <c r="K28" s="12"/>
      <c r="L28" s="12"/>
      <c r="M28" s="12"/>
      <c r="N28" s="13"/>
      <c r="O28" s="13"/>
      <c r="P28" s="13"/>
      <c r="Q28" s="13"/>
      <c r="R28" s="13"/>
      <c r="S28" s="13"/>
    </row>
    <row r="29" spans="2:19" ht="16" customHeight="1" x14ac:dyDescent="0.45">
      <c r="B29" s="34"/>
      <c r="C29" s="34" t="s">
        <v>771</v>
      </c>
      <c r="D29" s="69"/>
      <c r="E29" s="70">
        <f>E30+E31+E32+E33+E34+E35+E36</f>
        <v>692.4393500000001</v>
      </c>
      <c r="F29" s="69"/>
      <c r="G29" s="35">
        <f t="shared" ref="G29:M29" si="3">G30+G31+G32+G33+G34+G35+G36</f>
        <v>458.66660000000002</v>
      </c>
      <c r="H29" s="35">
        <f t="shared" si="3"/>
        <v>-101.94838000000004</v>
      </c>
      <c r="I29" s="35">
        <f t="shared" si="3"/>
        <v>0</v>
      </c>
      <c r="J29" s="35">
        <f t="shared" si="3"/>
        <v>36.013689999999997</v>
      </c>
      <c r="K29" s="35">
        <f t="shared" si="3"/>
        <v>299.70744000000002</v>
      </c>
      <c r="L29" s="35">
        <f t="shared" si="3"/>
        <v>0</v>
      </c>
      <c r="M29" s="35">
        <f t="shared" si="3"/>
        <v>0</v>
      </c>
      <c r="N29" s="13"/>
      <c r="O29" s="13"/>
      <c r="P29" s="13"/>
      <c r="Q29" s="13"/>
      <c r="R29" s="13"/>
      <c r="S29" s="13"/>
    </row>
    <row r="30" spans="2:19" ht="16" customHeight="1" x14ac:dyDescent="0.45">
      <c r="B30" s="14" t="s">
        <v>772</v>
      </c>
      <c r="C30" s="14" t="s">
        <v>88</v>
      </c>
      <c r="D30" s="61"/>
      <c r="E30" s="62">
        <v>-2350.6073999999999</v>
      </c>
      <c r="F30" s="61"/>
      <c r="G30" s="15">
        <v>-592.21164999999996</v>
      </c>
      <c r="H30" s="15">
        <v>-1683.57725</v>
      </c>
      <c r="I30" s="15"/>
      <c r="J30" s="15">
        <v>-25.864249999999998</v>
      </c>
      <c r="K30" s="15">
        <v>-48.954250000000002</v>
      </c>
      <c r="L30" s="15"/>
      <c r="M30" s="15"/>
      <c r="N30" s="13"/>
      <c r="O30" s="13"/>
      <c r="P30" s="13"/>
      <c r="Q30" s="13"/>
      <c r="R30" s="13"/>
      <c r="S30" s="13"/>
    </row>
    <row r="31" spans="2:19" ht="16" customHeight="1" x14ac:dyDescent="0.45">
      <c r="B31" s="14" t="s">
        <v>773</v>
      </c>
      <c r="C31" s="14" t="s">
        <v>774</v>
      </c>
      <c r="D31" s="61"/>
      <c r="E31" s="62">
        <v>154.20959999999999</v>
      </c>
      <c r="F31" s="61"/>
      <c r="G31" s="15">
        <v>138.72944000000001</v>
      </c>
      <c r="H31" s="15">
        <v>16.771840000000001</v>
      </c>
      <c r="I31" s="15"/>
      <c r="J31" s="15"/>
      <c r="K31" s="15">
        <v>-1.2916799999999999</v>
      </c>
      <c r="L31" s="15"/>
      <c r="M31" s="15"/>
      <c r="N31" s="13"/>
      <c r="O31" s="13"/>
      <c r="P31" s="13"/>
      <c r="Q31" s="13"/>
      <c r="R31" s="13"/>
      <c r="S31" s="13"/>
    </row>
    <row r="32" spans="2:19" ht="16" customHeight="1" x14ac:dyDescent="0.45">
      <c r="B32" s="14" t="s">
        <v>775</v>
      </c>
      <c r="C32" s="14" t="s">
        <v>776</v>
      </c>
      <c r="D32" s="61"/>
      <c r="E32" s="62">
        <v>-358</v>
      </c>
      <c r="F32" s="61"/>
      <c r="G32" s="15">
        <v>-251.22772000000001</v>
      </c>
      <c r="H32" s="15">
        <v>-73.158829999999995</v>
      </c>
      <c r="I32" s="15"/>
      <c r="J32" s="15">
        <v>-33.61345</v>
      </c>
      <c r="K32" s="15"/>
      <c r="L32" s="15"/>
      <c r="M32" s="15"/>
      <c r="N32" s="13"/>
      <c r="O32" s="13"/>
      <c r="P32" s="13"/>
      <c r="Q32" s="13"/>
      <c r="R32" s="13"/>
      <c r="S32" s="13"/>
    </row>
    <row r="33" spans="2:19" ht="16" customHeight="1" x14ac:dyDescent="0.45">
      <c r="B33" s="14" t="s">
        <v>777</v>
      </c>
      <c r="C33" s="14" t="s">
        <v>778</v>
      </c>
      <c r="D33" s="61"/>
      <c r="E33" s="62"/>
      <c r="F33" s="61"/>
      <c r="G33" s="15"/>
      <c r="H33" s="15"/>
      <c r="I33" s="15"/>
      <c r="J33" s="15"/>
      <c r="K33" s="15"/>
      <c r="L33" s="15"/>
      <c r="M33" s="15"/>
      <c r="N33" s="13"/>
      <c r="O33" s="13"/>
      <c r="P33" s="13"/>
      <c r="Q33" s="13"/>
      <c r="R33" s="13"/>
      <c r="S33" s="13"/>
    </row>
    <row r="34" spans="2:19" ht="16" customHeight="1" x14ac:dyDescent="0.45">
      <c r="B34" s="14" t="s">
        <v>779</v>
      </c>
      <c r="C34" s="14" t="s">
        <v>780</v>
      </c>
      <c r="D34" s="61"/>
      <c r="E34" s="62"/>
      <c r="F34" s="61"/>
      <c r="G34" s="15"/>
      <c r="H34" s="15"/>
      <c r="I34" s="15"/>
      <c r="J34" s="15"/>
      <c r="K34" s="15"/>
      <c r="L34" s="15"/>
      <c r="M34" s="15"/>
      <c r="N34" s="13"/>
      <c r="O34" s="13"/>
      <c r="P34" s="13"/>
      <c r="Q34" s="13"/>
      <c r="R34" s="13"/>
      <c r="S34" s="13"/>
    </row>
    <row r="35" spans="2:19" ht="16" customHeight="1" x14ac:dyDescent="0.45">
      <c r="B35" s="14" t="s">
        <v>781</v>
      </c>
      <c r="C35" s="14" t="s">
        <v>782</v>
      </c>
      <c r="D35" s="61"/>
      <c r="E35" s="62">
        <v>3246.8371499999998</v>
      </c>
      <c r="F35" s="61"/>
      <c r="G35" s="15">
        <v>1163.37653</v>
      </c>
      <c r="H35" s="15">
        <v>1638.01586</v>
      </c>
      <c r="I35" s="15"/>
      <c r="J35" s="15">
        <v>95.491389999999996</v>
      </c>
      <c r="K35" s="15">
        <v>349.95337000000001</v>
      </c>
      <c r="L35" s="15"/>
      <c r="M35" s="15"/>
      <c r="N35" s="13"/>
      <c r="O35" s="13"/>
      <c r="P35" s="13"/>
      <c r="Q35" s="13"/>
      <c r="R35" s="13"/>
      <c r="S35" s="13"/>
    </row>
    <row r="36" spans="2:19" ht="16" customHeight="1" x14ac:dyDescent="0.45">
      <c r="B36" s="14"/>
      <c r="C36" s="14" t="s">
        <v>784</v>
      </c>
      <c r="D36" s="61"/>
      <c r="E36" s="62"/>
      <c r="F36" s="61"/>
      <c r="G36" s="15"/>
      <c r="H36" s="15"/>
      <c r="I36" s="15"/>
      <c r="J36" s="15"/>
      <c r="K36" s="15"/>
      <c r="L36" s="15"/>
      <c r="M36" s="15"/>
      <c r="N36" s="13"/>
      <c r="O36" s="13"/>
      <c r="P36" s="13"/>
      <c r="Q36" s="13"/>
      <c r="R36" s="13"/>
      <c r="S36" s="13"/>
    </row>
    <row r="37" spans="2:19" ht="16" customHeight="1" x14ac:dyDescent="0.45">
      <c r="B37" s="11"/>
      <c r="C37" s="11" t="s">
        <v>22</v>
      </c>
      <c r="D37" s="29"/>
      <c r="E37" s="60"/>
      <c r="F37" s="29"/>
      <c r="G37" s="12"/>
      <c r="H37" s="12"/>
      <c r="I37" s="12"/>
      <c r="J37" s="12"/>
      <c r="K37" s="12"/>
      <c r="L37" s="12"/>
      <c r="M37" s="12"/>
      <c r="N37" s="13"/>
      <c r="O37" s="13"/>
      <c r="P37" s="13"/>
      <c r="Q37" s="13"/>
      <c r="R37" s="13"/>
      <c r="S37" s="13"/>
    </row>
    <row r="38" spans="2:19" ht="16" customHeight="1" x14ac:dyDescent="0.45">
      <c r="B38" s="34"/>
      <c r="C38" s="34" t="s">
        <v>785</v>
      </c>
      <c r="D38" s="69"/>
      <c r="E38" s="70">
        <f>-(-(E39+E40)-E41)</f>
        <v>0</v>
      </c>
      <c r="F38" s="69"/>
      <c r="G38" s="35">
        <f t="shared" ref="G38:M38" si="4">-(-(G39+G40)-G41)</f>
        <v>0</v>
      </c>
      <c r="H38" s="35">
        <f t="shared" si="4"/>
        <v>0</v>
      </c>
      <c r="I38" s="35">
        <f t="shared" si="4"/>
        <v>0</v>
      </c>
      <c r="J38" s="35">
        <f t="shared" si="4"/>
        <v>0</v>
      </c>
      <c r="K38" s="35">
        <f t="shared" si="4"/>
        <v>0</v>
      </c>
      <c r="L38" s="35">
        <f t="shared" si="4"/>
        <v>0</v>
      </c>
      <c r="M38" s="35">
        <f t="shared" si="4"/>
        <v>0</v>
      </c>
      <c r="N38" s="13"/>
      <c r="O38" s="13"/>
      <c r="P38" s="13"/>
      <c r="Q38" s="13"/>
      <c r="R38" s="13"/>
      <c r="S38" s="13"/>
    </row>
    <row r="39" spans="2:19" ht="16" customHeight="1" x14ac:dyDescent="0.45">
      <c r="B39" s="14" t="s">
        <v>786</v>
      </c>
      <c r="C39" s="14" t="s">
        <v>787</v>
      </c>
      <c r="D39" s="61"/>
      <c r="E39" s="62"/>
      <c r="F39" s="61"/>
      <c r="G39" s="15"/>
      <c r="H39" s="15"/>
      <c r="I39" s="15"/>
      <c r="J39" s="15"/>
      <c r="K39" s="15"/>
      <c r="L39" s="15"/>
      <c r="M39" s="15"/>
      <c r="N39" s="13"/>
      <c r="O39" s="13"/>
      <c r="P39" s="13"/>
      <c r="Q39" s="13"/>
      <c r="R39" s="13"/>
      <c r="S39" s="13"/>
    </row>
    <row r="40" spans="2:19" ht="16" customHeight="1" x14ac:dyDescent="0.45">
      <c r="B40" s="14" t="s">
        <v>788</v>
      </c>
      <c r="C40" s="14" t="s">
        <v>789</v>
      </c>
      <c r="D40" s="61"/>
      <c r="E40" s="62"/>
      <c r="F40" s="61"/>
      <c r="G40" s="15"/>
      <c r="H40" s="15"/>
      <c r="I40" s="15"/>
      <c r="J40" s="15"/>
      <c r="K40" s="15"/>
      <c r="L40" s="15"/>
      <c r="M40" s="15"/>
      <c r="N40" s="13"/>
      <c r="O40" s="13"/>
      <c r="P40" s="13"/>
      <c r="Q40" s="13"/>
      <c r="R40" s="13"/>
      <c r="S40" s="13"/>
    </row>
    <row r="41" spans="2:19" ht="16" customHeight="1" x14ac:dyDescent="0.45">
      <c r="B41" s="14" t="s">
        <v>790</v>
      </c>
      <c r="C41" s="14" t="s">
        <v>791</v>
      </c>
      <c r="D41" s="61"/>
      <c r="E41" s="62"/>
      <c r="F41" s="61"/>
      <c r="G41" s="15"/>
      <c r="H41" s="15"/>
      <c r="I41" s="15"/>
      <c r="J41" s="15"/>
      <c r="K41" s="15"/>
      <c r="L41" s="15"/>
      <c r="M41" s="15"/>
      <c r="N41" s="13"/>
      <c r="O41" s="13"/>
      <c r="P41" s="13"/>
      <c r="Q41" s="13"/>
      <c r="R41" s="13"/>
      <c r="S41" s="13"/>
    </row>
    <row r="42" spans="2:19" ht="16" customHeight="1" x14ac:dyDescent="0.45">
      <c r="B42" s="11"/>
      <c r="C42" s="11" t="s">
        <v>22</v>
      </c>
      <c r="D42" s="29"/>
      <c r="E42" s="60"/>
      <c r="F42" s="29"/>
      <c r="G42" s="12"/>
      <c r="H42" s="12"/>
      <c r="I42" s="12"/>
      <c r="J42" s="12"/>
      <c r="K42" s="12"/>
      <c r="L42" s="12"/>
      <c r="M42" s="12"/>
      <c r="N42" s="13"/>
      <c r="O42" s="13"/>
      <c r="P42" s="13"/>
      <c r="Q42" s="13"/>
      <c r="R42" s="13"/>
      <c r="S42" s="13"/>
    </row>
    <row r="43" spans="2:19" ht="16" customHeight="1" x14ac:dyDescent="0.45">
      <c r="B43" s="34"/>
      <c r="C43" s="34" t="s">
        <v>792</v>
      </c>
      <c r="D43" s="69"/>
      <c r="E43" s="70">
        <f>E45+E49</f>
        <v>-14700.600719999999</v>
      </c>
      <c r="F43" s="69"/>
      <c r="G43" s="35">
        <f t="shared" ref="G43:M43" si="5">G45+G49</f>
        <v>-2710.4173799999999</v>
      </c>
      <c r="H43" s="35">
        <f t="shared" si="5"/>
        <v>-399.029</v>
      </c>
      <c r="I43" s="35">
        <f t="shared" si="5"/>
        <v>-8.3130000000000006</v>
      </c>
      <c r="J43" s="35">
        <f t="shared" si="5"/>
        <v>-97.045400000000001</v>
      </c>
      <c r="K43" s="35">
        <f t="shared" si="5"/>
        <v>-3.4139200000000001</v>
      </c>
      <c r="L43" s="35">
        <f t="shared" si="5"/>
        <v>0</v>
      </c>
      <c r="M43" s="35">
        <f t="shared" si="5"/>
        <v>-11482.382019999999</v>
      </c>
      <c r="N43" s="13"/>
      <c r="O43" s="13"/>
      <c r="P43" s="13"/>
      <c r="Q43" s="13"/>
      <c r="R43" s="13"/>
      <c r="S43" s="13"/>
    </row>
    <row r="44" spans="2:19" ht="16" customHeight="1" x14ac:dyDescent="0.45">
      <c r="B44" s="11"/>
      <c r="C44" s="11" t="s">
        <v>22</v>
      </c>
      <c r="D44" s="29"/>
      <c r="E44" s="60"/>
      <c r="F44" s="29"/>
      <c r="G44" s="12"/>
      <c r="H44" s="12"/>
      <c r="I44" s="12"/>
      <c r="J44" s="12"/>
      <c r="K44" s="12"/>
      <c r="L44" s="12"/>
      <c r="M44" s="12"/>
      <c r="N44" s="13"/>
      <c r="O44" s="13"/>
      <c r="P44" s="13"/>
      <c r="Q44" s="13"/>
      <c r="R44" s="13"/>
      <c r="S44" s="13"/>
    </row>
    <row r="45" spans="2:19" ht="16" customHeight="1" x14ac:dyDescent="0.45">
      <c r="B45" s="34"/>
      <c r="C45" s="34" t="s">
        <v>793</v>
      </c>
      <c r="D45" s="69"/>
      <c r="E45" s="70">
        <f>E46+E47</f>
        <v>3.88246</v>
      </c>
      <c r="F45" s="69"/>
      <c r="G45" s="35">
        <f t="shared" ref="G45:M45" si="6">G46+G47</f>
        <v>0</v>
      </c>
      <c r="H45" s="35">
        <f t="shared" si="6"/>
        <v>0</v>
      </c>
      <c r="I45" s="35">
        <f t="shared" si="6"/>
        <v>0</v>
      </c>
      <c r="J45" s="35">
        <f t="shared" si="6"/>
        <v>0</v>
      </c>
      <c r="K45" s="35">
        <f t="shared" si="6"/>
        <v>0</v>
      </c>
      <c r="L45" s="35">
        <f t="shared" si="6"/>
        <v>0</v>
      </c>
      <c r="M45" s="35">
        <f t="shared" si="6"/>
        <v>3.88246</v>
      </c>
      <c r="N45" s="13"/>
      <c r="O45" s="13"/>
      <c r="P45" s="13"/>
      <c r="Q45" s="13"/>
      <c r="R45" s="13"/>
      <c r="S45" s="13"/>
    </row>
    <row r="46" spans="2:19" ht="16" customHeight="1" x14ac:dyDescent="0.45">
      <c r="B46" s="14" t="s">
        <v>794</v>
      </c>
      <c r="C46" s="14" t="s">
        <v>795</v>
      </c>
      <c r="D46" s="61"/>
      <c r="E46" s="62"/>
      <c r="F46" s="61"/>
      <c r="G46" s="15"/>
      <c r="H46" s="15"/>
      <c r="I46" s="15"/>
      <c r="J46" s="15"/>
      <c r="K46" s="15"/>
      <c r="L46" s="15"/>
      <c r="M46" s="15"/>
      <c r="N46" s="13"/>
      <c r="O46" s="13"/>
      <c r="P46" s="13"/>
      <c r="Q46" s="13"/>
      <c r="R46" s="13"/>
      <c r="S46" s="13"/>
    </row>
    <row r="47" spans="2:19" ht="16" customHeight="1" x14ac:dyDescent="0.45">
      <c r="B47" s="14" t="s">
        <v>796</v>
      </c>
      <c r="C47" s="14" t="s">
        <v>797</v>
      </c>
      <c r="D47" s="61"/>
      <c r="E47" s="62">
        <v>3.88246</v>
      </c>
      <c r="F47" s="61"/>
      <c r="G47" s="15"/>
      <c r="H47" s="15"/>
      <c r="I47" s="15"/>
      <c r="J47" s="15"/>
      <c r="K47" s="15"/>
      <c r="L47" s="15"/>
      <c r="M47" s="15">
        <v>3.88246</v>
      </c>
      <c r="N47" s="13"/>
      <c r="O47" s="13"/>
      <c r="P47" s="13"/>
      <c r="Q47" s="13"/>
      <c r="R47" s="13"/>
      <c r="S47" s="13"/>
    </row>
    <row r="48" spans="2:19" ht="16" customHeight="1" x14ac:dyDescent="0.45">
      <c r="B48" s="11"/>
      <c r="C48" s="11" t="s">
        <v>22</v>
      </c>
      <c r="D48" s="29"/>
      <c r="E48" s="60"/>
      <c r="F48" s="29"/>
      <c r="G48" s="12"/>
      <c r="H48" s="12"/>
      <c r="I48" s="12"/>
      <c r="J48" s="12"/>
      <c r="K48" s="12"/>
      <c r="L48" s="12"/>
      <c r="M48" s="12"/>
      <c r="N48" s="13"/>
      <c r="O48" s="13"/>
      <c r="P48" s="13"/>
      <c r="Q48" s="13"/>
      <c r="R48" s="13"/>
      <c r="S48" s="13"/>
    </row>
    <row r="49" spans="2:19" ht="16" customHeight="1" x14ac:dyDescent="0.45">
      <c r="B49" s="34"/>
      <c r="C49" s="34" t="s">
        <v>798</v>
      </c>
      <c r="D49" s="69"/>
      <c r="E49" s="70">
        <f>-(-(E50+E51)-E52)</f>
        <v>-14704.483179999999</v>
      </c>
      <c r="F49" s="69"/>
      <c r="G49" s="35">
        <f t="shared" ref="G49:M49" si="7">-(-(G50+G51)-G52)</f>
        <v>-2710.4173799999999</v>
      </c>
      <c r="H49" s="35">
        <f t="shared" si="7"/>
        <v>-399.029</v>
      </c>
      <c r="I49" s="35">
        <f t="shared" si="7"/>
        <v>-8.3130000000000006</v>
      </c>
      <c r="J49" s="35">
        <f t="shared" si="7"/>
        <v>-97.045400000000001</v>
      </c>
      <c r="K49" s="35">
        <f t="shared" si="7"/>
        <v>-3.4139200000000001</v>
      </c>
      <c r="L49" s="35">
        <f t="shared" si="7"/>
        <v>0</v>
      </c>
      <c r="M49" s="35">
        <f t="shared" si="7"/>
        <v>-11486.26448</v>
      </c>
      <c r="N49" s="13"/>
      <c r="O49" s="13"/>
      <c r="P49" s="13"/>
      <c r="Q49" s="13"/>
      <c r="R49" s="13"/>
      <c r="S49" s="13"/>
    </row>
    <row r="50" spans="2:19" ht="16" customHeight="1" x14ac:dyDescent="0.45">
      <c r="B50" s="14" t="s">
        <v>799</v>
      </c>
      <c r="C50" s="14" t="s">
        <v>800</v>
      </c>
      <c r="D50" s="61"/>
      <c r="E50" s="62">
        <v>-8988.1359900000007</v>
      </c>
      <c r="F50" s="61"/>
      <c r="G50" s="15"/>
      <c r="H50" s="15"/>
      <c r="I50" s="15"/>
      <c r="J50" s="15"/>
      <c r="K50" s="15"/>
      <c r="L50" s="15"/>
      <c r="M50" s="15">
        <v>-8988.1359900000007</v>
      </c>
      <c r="N50" s="13"/>
      <c r="O50" s="13"/>
      <c r="P50" s="13"/>
      <c r="Q50" s="13"/>
      <c r="R50" s="13"/>
      <c r="S50" s="13"/>
    </row>
    <row r="51" spans="2:19" ht="16" customHeight="1" x14ac:dyDescent="0.45">
      <c r="B51" s="14" t="s">
        <v>801</v>
      </c>
      <c r="C51" s="14" t="s">
        <v>802</v>
      </c>
      <c r="D51" s="61"/>
      <c r="E51" s="62">
        <v>-3106.40103</v>
      </c>
      <c r="F51" s="61"/>
      <c r="G51" s="15">
        <v>-2710.4173799999999</v>
      </c>
      <c r="H51" s="15">
        <v>-399.029</v>
      </c>
      <c r="I51" s="15">
        <v>-8.3130000000000006</v>
      </c>
      <c r="J51" s="15">
        <v>-97.045400000000001</v>
      </c>
      <c r="K51" s="15">
        <v>-3.4139200000000001</v>
      </c>
      <c r="L51" s="15"/>
      <c r="M51" s="15">
        <v>111.81767000000001</v>
      </c>
      <c r="N51" s="13"/>
      <c r="O51" s="13"/>
      <c r="P51" s="13"/>
      <c r="Q51" s="13"/>
      <c r="R51" s="13"/>
      <c r="S51" s="13"/>
    </row>
    <row r="52" spans="2:19" ht="16" customHeight="1" x14ac:dyDescent="0.45">
      <c r="B52" s="14" t="s">
        <v>803</v>
      </c>
      <c r="C52" s="14" t="s">
        <v>804</v>
      </c>
      <c r="D52" s="61"/>
      <c r="E52" s="62">
        <v>-2609.94616</v>
      </c>
      <c r="F52" s="61"/>
      <c r="G52" s="15"/>
      <c r="H52" s="15"/>
      <c r="I52" s="15"/>
      <c r="J52" s="15"/>
      <c r="K52" s="15"/>
      <c r="L52" s="15"/>
      <c r="M52" s="15">
        <v>-2609.94616</v>
      </c>
      <c r="N52" s="13"/>
      <c r="O52" s="13"/>
      <c r="P52" s="13"/>
      <c r="Q52" s="13"/>
      <c r="R52" s="13"/>
      <c r="S52" s="13"/>
    </row>
    <row r="53" spans="2:19" ht="16" customHeight="1" x14ac:dyDescent="0.45">
      <c r="B53" s="11"/>
      <c r="C53" s="11" t="s">
        <v>22</v>
      </c>
      <c r="D53" s="29"/>
      <c r="E53" s="60"/>
      <c r="F53" s="29"/>
      <c r="G53" s="12"/>
      <c r="H53" s="12"/>
      <c r="I53" s="12"/>
      <c r="J53" s="12"/>
      <c r="K53" s="12"/>
      <c r="L53" s="12"/>
      <c r="M53" s="12"/>
      <c r="N53" s="13"/>
      <c r="O53" s="13"/>
      <c r="P53" s="13"/>
      <c r="Q53" s="13"/>
      <c r="R53" s="13"/>
      <c r="S53" s="13"/>
    </row>
    <row r="54" spans="2:19" ht="16" customHeight="1" x14ac:dyDescent="0.45">
      <c r="B54" s="34"/>
      <c r="C54" s="34" t="s">
        <v>805</v>
      </c>
      <c r="D54" s="69"/>
      <c r="E54" s="70">
        <f>E55+E56</f>
        <v>-74.426760000000002</v>
      </c>
      <c r="F54" s="69"/>
      <c r="G54" s="35">
        <f t="shared" ref="G54:M54" si="8">G55+G56</f>
        <v>0</v>
      </c>
      <c r="H54" s="35">
        <f t="shared" si="8"/>
        <v>0</v>
      </c>
      <c r="I54" s="35">
        <f t="shared" si="8"/>
        <v>0</v>
      </c>
      <c r="J54" s="35">
        <f t="shared" si="8"/>
        <v>0</v>
      </c>
      <c r="K54" s="35">
        <f t="shared" si="8"/>
        <v>0</v>
      </c>
      <c r="L54" s="35">
        <f t="shared" si="8"/>
        <v>0</v>
      </c>
      <c r="M54" s="35">
        <f t="shared" si="8"/>
        <v>-74.426760000000002</v>
      </c>
      <c r="N54" s="13"/>
      <c r="O54" s="13"/>
      <c r="P54" s="13"/>
      <c r="Q54" s="13"/>
      <c r="R54" s="13"/>
      <c r="S54" s="13"/>
    </row>
    <row r="55" spans="2:19" ht="16" customHeight="1" x14ac:dyDescent="0.45">
      <c r="B55" s="14" t="s">
        <v>806</v>
      </c>
      <c r="C55" s="14" t="s">
        <v>805</v>
      </c>
      <c r="D55" s="61"/>
      <c r="E55" s="62">
        <v>-74.426760000000002</v>
      </c>
      <c r="F55" s="61"/>
      <c r="G55" s="15"/>
      <c r="H55" s="15"/>
      <c r="I55" s="15"/>
      <c r="J55" s="15"/>
      <c r="K55" s="15"/>
      <c r="L55" s="15"/>
      <c r="M55" s="15">
        <v>-74.426760000000002</v>
      </c>
      <c r="N55" s="13"/>
      <c r="O55" s="13"/>
      <c r="P55" s="13"/>
      <c r="Q55" s="13"/>
      <c r="R55" s="13"/>
      <c r="S55" s="13"/>
    </row>
    <row r="56" spans="2:19" ht="16" customHeight="1" x14ac:dyDescent="0.45">
      <c r="B56" s="14" t="s">
        <v>807</v>
      </c>
      <c r="C56" s="14" t="s">
        <v>808</v>
      </c>
      <c r="D56" s="61"/>
      <c r="E56" s="62"/>
      <c r="F56" s="61"/>
      <c r="G56" s="15"/>
      <c r="H56" s="15"/>
      <c r="I56" s="15"/>
      <c r="J56" s="15"/>
      <c r="K56" s="15"/>
      <c r="L56" s="15"/>
      <c r="M56" s="15"/>
      <c r="N56" s="13"/>
      <c r="O56" s="13"/>
      <c r="P56" s="13"/>
      <c r="Q56" s="13"/>
      <c r="R56" s="13"/>
      <c r="S56" s="13"/>
    </row>
    <row r="57" spans="2:19" ht="16" customHeight="1" x14ac:dyDescent="0.45">
      <c r="B57" s="11"/>
      <c r="C57" s="11" t="s">
        <v>22</v>
      </c>
      <c r="D57" s="29"/>
      <c r="E57" s="60"/>
      <c r="F57" s="29"/>
      <c r="G57" s="12"/>
      <c r="H57" s="12"/>
      <c r="I57" s="12"/>
      <c r="J57" s="12"/>
      <c r="K57" s="12"/>
      <c r="L57" s="12"/>
      <c r="M57" s="12"/>
      <c r="N57" s="13"/>
      <c r="O57" s="13"/>
      <c r="P57" s="13"/>
      <c r="Q57" s="13"/>
      <c r="R57" s="13"/>
      <c r="S57" s="13"/>
    </row>
    <row r="58" spans="2:19" ht="16" customHeight="1" x14ac:dyDescent="0.45">
      <c r="B58" s="14" t="s">
        <v>809</v>
      </c>
      <c r="C58" s="14" t="s">
        <v>810</v>
      </c>
      <c r="D58" s="61"/>
      <c r="E58" s="62">
        <v>-4108.8074999999999</v>
      </c>
      <c r="F58" s="61"/>
      <c r="G58" s="15"/>
      <c r="H58" s="15"/>
      <c r="I58" s="15"/>
      <c r="J58" s="15"/>
      <c r="K58" s="15"/>
      <c r="L58" s="15"/>
      <c r="M58" s="15">
        <v>-4108.8074999999999</v>
      </c>
      <c r="N58" s="13"/>
      <c r="O58" s="13"/>
      <c r="P58" s="13"/>
      <c r="Q58" s="13"/>
      <c r="R58" s="13"/>
      <c r="S58" s="13"/>
    </row>
    <row r="59" spans="2:19" ht="16" customHeight="1" x14ac:dyDescent="0.45">
      <c r="B59" s="11"/>
      <c r="C59" s="11" t="s">
        <v>22</v>
      </c>
      <c r="D59" s="29"/>
      <c r="E59" s="60"/>
      <c r="F59" s="29"/>
      <c r="G59" s="12"/>
      <c r="H59" s="12"/>
      <c r="I59" s="12"/>
      <c r="J59" s="12"/>
      <c r="K59" s="12"/>
      <c r="L59" s="12"/>
      <c r="M59" s="12"/>
      <c r="N59" s="13"/>
      <c r="O59" s="13"/>
      <c r="P59" s="13"/>
      <c r="Q59" s="13"/>
      <c r="R59" s="13"/>
      <c r="S59" s="13"/>
    </row>
    <row r="60" spans="2:19" ht="16" customHeight="1" x14ac:dyDescent="0.45">
      <c r="B60" s="34"/>
      <c r="C60" s="34" t="s">
        <v>811</v>
      </c>
      <c r="D60" s="69"/>
      <c r="E60" s="70">
        <f>-(-(E61+E62)-E63)</f>
        <v>-24809.41908</v>
      </c>
      <c r="F60" s="69"/>
      <c r="G60" s="35">
        <f t="shared" ref="G60:M60" si="9">-(-(G61+G62)-G63)</f>
        <v>0</v>
      </c>
      <c r="H60" s="35">
        <f t="shared" si="9"/>
        <v>0</v>
      </c>
      <c r="I60" s="35">
        <f t="shared" si="9"/>
        <v>0</v>
      </c>
      <c r="J60" s="35">
        <f t="shared" si="9"/>
        <v>0</v>
      </c>
      <c r="K60" s="35">
        <f t="shared" si="9"/>
        <v>0</v>
      </c>
      <c r="L60" s="35">
        <f t="shared" si="9"/>
        <v>0</v>
      </c>
      <c r="M60" s="35">
        <f t="shared" si="9"/>
        <v>-24809.41908</v>
      </c>
      <c r="N60" s="13"/>
      <c r="O60" s="13"/>
      <c r="P60" s="13"/>
      <c r="Q60" s="13"/>
      <c r="R60" s="13"/>
      <c r="S60" s="13"/>
    </row>
    <row r="61" spans="2:19" ht="16" customHeight="1" x14ac:dyDescent="0.45">
      <c r="B61" s="14" t="s">
        <v>812</v>
      </c>
      <c r="C61" s="14" t="s">
        <v>813</v>
      </c>
      <c r="D61" s="61"/>
      <c r="E61" s="62">
        <v>-24809.41908</v>
      </c>
      <c r="F61" s="61"/>
      <c r="G61" s="15"/>
      <c r="H61" s="15"/>
      <c r="I61" s="15"/>
      <c r="J61" s="15"/>
      <c r="K61" s="15"/>
      <c r="L61" s="15"/>
      <c r="M61" s="15">
        <v>-24809.41908</v>
      </c>
      <c r="N61" s="13"/>
      <c r="O61" s="13"/>
      <c r="P61" s="13"/>
      <c r="Q61" s="13"/>
      <c r="R61" s="13"/>
      <c r="S61" s="13"/>
    </row>
    <row r="62" spans="2:19" ht="16" customHeight="1" x14ac:dyDescent="0.45">
      <c r="B62" s="14" t="s">
        <v>814</v>
      </c>
      <c r="C62" s="14" t="s">
        <v>815</v>
      </c>
      <c r="D62" s="61"/>
      <c r="E62" s="62"/>
      <c r="F62" s="61"/>
      <c r="G62" s="15"/>
      <c r="H62" s="15"/>
      <c r="I62" s="15"/>
      <c r="J62" s="15"/>
      <c r="K62" s="15"/>
      <c r="L62" s="15"/>
      <c r="M62" s="15"/>
      <c r="N62" s="13"/>
      <c r="O62" s="13"/>
      <c r="P62" s="13"/>
      <c r="Q62" s="13"/>
      <c r="R62" s="13"/>
      <c r="S62" s="13"/>
    </row>
    <row r="63" spans="2:19" ht="16" customHeight="1" x14ac:dyDescent="0.45">
      <c r="B63" s="14" t="s">
        <v>816</v>
      </c>
      <c r="C63" s="14" t="s">
        <v>817</v>
      </c>
      <c r="D63" s="61"/>
      <c r="E63" s="62"/>
      <c r="F63" s="61"/>
      <c r="G63" s="15"/>
      <c r="H63" s="15"/>
      <c r="I63" s="15"/>
      <c r="J63" s="15"/>
      <c r="K63" s="15"/>
      <c r="L63" s="15"/>
      <c r="M63" s="15"/>
      <c r="N63" s="13"/>
      <c r="O63" s="13"/>
      <c r="P63" s="13"/>
      <c r="Q63" s="13"/>
      <c r="R63" s="13"/>
      <c r="S63" s="13"/>
    </row>
    <row r="64" spans="2:19" ht="16" customHeight="1" x14ac:dyDescent="0.45">
      <c r="B64" s="11"/>
      <c r="C64" s="11" t="s">
        <v>22</v>
      </c>
      <c r="D64" s="29"/>
      <c r="E64" s="60"/>
      <c r="F64" s="29"/>
      <c r="G64" s="12"/>
      <c r="H64" s="12"/>
      <c r="I64" s="12"/>
      <c r="J64" s="12"/>
      <c r="K64" s="12"/>
      <c r="L64" s="12"/>
      <c r="M64" s="12"/>
      <c r="N64" s="13"/>
      <c r="O64" s="13"/>
      <c r="P64" s="13"/>
      <c r="Q64" s="13"/>
      <c r="R64" s="13"/>
      <c r="S64" s="13"/>
    </row>
    <row r="65" spans="2:19" ht="16" customHeight="1" x14ac:dyDescent="0.45">
      <c r="B65" s="34" t="s">
        <v>818</v>
      </c>
      <c r="C65" s="34" t="s">
        <v>819</v>
      </c>
      <c r="D65" s="69"/>
      <c r="E65" s="70">
        <f>E66+E67</f>
        <v>-29130.592549999998</v>
      </c>
      <c r="F65" s="69"/>
      <c r="G65" s="35">
        <f t="shared" ref="G65:M65" si="10">G66+G67</f>
        <v>-10708.509829999999</v>
      </c>
      <c r="H65" s="35">
        <f t="shared" si="10"/>
        <v>-6510.0873499999998</v>
      </c>
      <c r="I65" s="35">
        <f t="shared" si="10"/>
        <v>-3.0254599999999998</v>
      </c>
      <c r="J65" s="35">
        <f t="shared" si="10"/>
        <v>-12068.3256</v>
      </c>
      <c r="K65" s="35">
        <f t="shared" si="10"/>
        <v>12.88744</v>
      </c>
      <c r="L65" s="35">
        <f t="shared" si="10"/>
        <v>146.46825000000001</v>
      </c>
      <c r="M65" s="35">
        <f t="shared" si="10"/>
        <v>0</v>
      </c>
      <c r="N65" s="13"/>
      <c r="O65" s="13"/>
      <c r="P65" s="13"/>
      <c r="Q65" s="13"/>
      <c r="R65" s="13"/>
      <c r="S65" s="13"/>
    </row>
    <row r="66" spans="2:19" ht="16" customHeight="1" x14ac:dyDescent="0.45">
      <c r="B66" s="14"/>
      <c r="C66" s="14" t="s">
        <v>821</v>
      </c>
      <c r="D66" s="61"/>
      <c r="E66" s="62">
        <v>-25577.179359999998</v>
      </c>
      <c r="F66" s="61"/>
      <c r="G66" s="15">
        <v>-7142.9134199999999</v>
      </c>
      <c r="H66" s="15">
        <v>-6504.2908299999999</v>
      </c>
      <c r="I66" s="15">
        <v>-3.0254599999999998</v>
      </c>
      <c r="J66" s="15">
        <v>-12075.61699</v>
      </c>
      <c r="K66" s="15">
        <v>12.88744</v>
      </c>
      <c r="L66" s="15">
        <v>135.7799</v>
      </c>
      <c r="M66" s="15"/>
      <c r="N66" s="13"/>
      <c r="O66" s="13"/>
      <c r="P66" s="13"/>
      <c r="Q66" s="13"/>
      <c r="R66" s="13"/>
      <c r="S66" s="13"/>
    </row>
    <row r="67" spans="2:19" ht="16" customHeight="1" x14ac:dyDescent="0.45">
      <c r="B67" s="14"/>
      <c r="C67" s="14" t="s">
        <v>823</v>
      </c>
      <c r="D67" s="61"/>
      <c r="E67" s="62">
        <v>-3553.4131900000002</v>
      </c>
      <c r="F67" s="61"/>
      <c r="G67" s="15">
        <v>-3565.5964100000001</v>
      </c>
      <c r="H67" s="15">
        <v>-5.7965200000000001</v>
      </c>
      <c r="I67" s="15"/>
      <c r="J67" s="15">
        <v>7.2913899999999998</v>
      </c>
      <c r="K67" s="15"/>
      <c r="L67" s="15">
        <v>10.68835</v>
      </c>
      <c r="M67" s="15"/>
      <c r="N67" s="13"/>
      <c r="O67" s="13"/>
      <c r="P67" s="13"/>
      <c r="Q67" s="13"/>
      <c r="R67" s="13"/>
      <c r="S67" s="13"/>
    </row>
    <row r="68" spans="2:19" ht="16" customHeight="1" x14ac:dyDescent="0.45">
      <c r="B68" s="11"/>
      <c r="C68" s="11" t="s">
        <v>22</v>
      </c>
      <c r="D68" s="29"/>
      <c r="E68" s="60"/>
      <c r="F68" s="29"/>
      <c r="G68" s="12"/>
      <c r="H68" s="12"/>
      <c r="I68" s="12"/>
      <c r="J68" s="12"/>
      <c r="K68" s="12"/>
      <c r="L68" s="12"/>
      <c r="M68" s="12"/>
      <c r="N68" s="13"/>
      <c r="O68" s="13"/>
      <c r="P68" s="13"/>
      <c r="Q68" s="13"/>
      <c r="R68" s="13"/>
      <c r="S68" s="13"/>
    </row>
    <row r="69" spans="2:19" ht="16" customHeight="1" x14ac:dyDescent="0.45">
      <c r="B69" s="34"/>
      <c r="C69" s="34" t="s">
        <v>824</v>
      </c>
      <c r="D69" s="69"/>
      <c r="E69" s="70">
        <f>-(-(E70+E71)-E72)</f>
        <v>-78503.521380000006</v>
      </c>
      <c r="F69" s="69"/>
      <c r="G69" s="35">
        <f t="shared" ref="G69:M69" si="11">-(-(G70+G71)-G72)</f>
        <v>-40533.627010000004</v>
      </c>
      <c r="H69" s="35">
        <f t="shared" si="11"/>
        <v>-31657.255630000003</v>
      </c>
      <c r="I69" s="35">
        <f t="shared" si="11"/>
        <v>1.39106</v>
      </c>
      <c r="J69" s="35">
        <f t="shared" si="11"/>
        <v>-17875.531950000001</v>
      </c>
      <c r="K69" s="35">
        <f t="shared" si="11"/>
        <v>11554.79206</v>
      </c>
      <c r="L69" s="35">
        <f t="shared" si="11"/>
        <v>6.7107999999999999</v>
      </c>
      <c r="M69" s="35">
        <f t="shared" si="11"/>
        <v>-7.1000000000000002E-4</v>
      </c>
      <c r="N69" s="13"/>
      <c r="O69" s="13"/>
      <c r="P69" s="13"/>
      <c r="Q69" s="13"/>
      <c r="R69" s="13"/>
      <c r="S69" s="13"/>
    </row>
    <row r="70" spans="2:19" ht="16" customHeight="1" x14ac:dyDescent="0.45">
      <c r="B70" s="14" t="s">
        <v>825</v>
      </c>
      <c r="C70" s="14" t="s">
        <v>826</v>
      </c>
      <c r="D70" s="61"/>
      <c r="E70" s="62">
        <v>-418.37396999999999</v>
      </c>
      <c r="F70" s="61"/>
      <c r="G70" s="15">
        <v>-418.37326000000002</v>
      </c>
      <c r="H70" s="15"/>
      <c r="I70" s="15"/>
      <c r="J70" s="15"/>
      <c r="K70" s="15"/>
      <c r="L70" s="15"/>
      <c r="M70" s="15">
        <v>-7.1000000000000002E-4</v>
      </c>
      <c r="N70" s="13"/>
      <c r="O70" s="13"/>
      <c r="P70" s="13"/>
      <c r="Q70" s="13"/>
      <c r="R70" s="13"/>
      <c r="S70" s="13"/>
    </row>
    <row r="71" spans="2:19" ht="16" customHeight="1" x14ac:dyDescent="0.45">
      <c r="B71" s="14" t="s">
        <v>827</v>
      </c>
      <c r="C71" s="14" t="s">
        <v>828</v>
      </c>
      <c r="D71" s="61"/>
      <c r="E71" s="62">
        <v>-79418.081940000004</v>
      </c>
      <c r="F71" s="61"/>
      <c r="G71" s="15">
        <v>-40667.676780000002</v>
      </c>
      <c r="H71" s="15">
        <v>-32417.757130000002</v>
      </c>
      <c r="I71" s="15">
        <v>1.39106</v>
      </c>
      <c r="J71" s="15">
        <v>-17895.541949999999</v>
      </c>
      <c r="K71" s="15">
        <v>11554.79206</v>
      </c>
      <c r="L71" s="15">
        <v>6.7107999999999999</v>
      </c>
      <c r="M71" s="15"/>
      <c r="N71" s="13"/>
      <c r="O71" s="13"/>
      <c r="P71" s="13"/>
      <c r="Q71" s="13"/>
      <c r="R71" s="13"/>
      <c r="S71" s="13"/>
    </row>
    <row r="72" spans="2:19" ht="16" customHeight="1" x14ac:dyDescent="0.45">
      <c r="B72" s="14" t="s">
        <v>829</v>
      </c>
      <c r="C72" s="14" t="s">
        <v>830</v>
      </c>
      <c r="D72" s="61"/>
      <c r="E72" s="62">
        <v>1332.93453</v>
      </c>
      <c r="F72" s="61"/>
      <c r="G72" s="15">
        <v>552.42303000000004</v>
      </c>
      <c r="H72" s="15">
        <v>760.50149999999996</v>
      </c>
      <c r="I72" s="15"/>
      <c r="J72" s="15">
        <v>20.010000000000002</v>
      </c>
      <c r="K72" s="15"/>
      <c r="L72" s="15"/>
      <c r="M72" s="15"/>
      <c r="N72" s="13"/>
      <c r="O72" s="13"/>
      <c r="P72" s="13"/>
      <c r="Q72" s="13"/>
      <c r="R72" s="13"/>
      <c r="S72" s="13"/>
    </row>
    <row r="73" spans="2:19" ht="16" customHeight="1" x14ac:dyDescent="0.45">
      <c r="B73" s="11"/>
      <c r="C73" s="11" t="s">
        <v>22</v>
      </c>
      <c r="D73" s="29"/>
      <c r="E73" s="60"/>
      <c r="F73" s="29"/>
      <c r="G73" s="12"/>
      <c r="H73" s="12"/>
      <c r="I73" s="12"/>
      <c r="J73" s="12"/>
      <c r="K73" s="12"/>
      <c r="L73" s="12"/>
      <c r="M73" s="12"/>
      <c r="N73" s="13"/>
      <c r="O73" s="13"/>
      <c r="P73" s="13"/>
      <c r="Q73" s="13"/>
      <c r="R73" s="13"/>
      <c r="S73" s="13"/>
    </row>
    <row r="74" spans="2:19" ht="16" customHeight="1" x14ac:dyDescent="0.45">
      <c r="B74" s="34"/>
      <c r="C74" s="34" t="s">
        <v>831</v>
      </c>
      <c r="D74" s="69"/>
      <c r="E74" s="70">
        <f>E75+E76</f>
        <v>-42522.774440000001</v>
      </c>
      <c r="F74" s="69"/>
      <c r="G74" s="35">
        <f t="shared" ref="G74:M74" si="12">G75+G76</f>
        <v>208287.54838000002</v>
      </c>
      <c r="H74" s="35">
        <f t="shared" si="12"/>
        <v>-9794.668889999999</v>
      </c>
      <c r="I74" s="35">
        <f t="shared" si="12"/>
        <v>-116.20031</v>
      </c>
      <c r="J74" s="35">
        <f t="shared" si="12"/>
        <v>-4491.5421699999997</v>
      </c>
      <c r="K74" s="35">
        <f t="shared" si="12"/>
        <v>-4601.8953600000004</v>
      </c>
      <c r="L74" s="35">
        <f t="shared" si="12"/>
        <v>-222.08391999999998</v>
      </c>
      <c r="M74" s="35">
        <f t="shared" si="12"/>
        <v>-231583.93217000001</v>
      </c>
      <c r="N74" s="13"/>
      <c r="O74" s="13"/>
      <c r="P74" s="13"/>
      <c r="Q74" s="13"/>
      <c r="R74" s="13"/>
      <c r="S74" s="13"/>
    </row>
    <row r="75" spans="2:19" ht="16" customHeight="1" x14ac:dyDescent="0.45">
      <c r="B75" s="14" t="s">
        <v>832</v>
      </c>
      <c r="C75" s="14" t="s">
        <v>833</v>
      </c>
      <c r="D75" s="61"/>
      <c r="E75" s="62">
        <v>8596.7953899999993</v>
      </c>
      <c r="F75" s="61"/>
      <c r="G75" s="15">
        <v>956.94101000000001</v>
      </c>
      <c r="H75" s="15">
        <v>7599.75353</v>
      </c>
      <c r="I75" s="15"/>
      <c r="J75" s="15">
        <v>15.19923</v>
      </c>
      <c r="K75" s="15">
        <v>3.7132800000000001</v>
      </c>
      <c r="L75" s="15">
        <v>21.188800000000001</v>
      </c>
      <c r="M75" s="15">
        <v>-4.6000000000000001E-4</v>
      </c>
      <c r="N75" s="13"/>
      <c r="O75" s="13"/>
      <c r="P75" s="13"/>
      <c r="Q75" s="13"/>
      <c r="R75" s="13"/>
      <c r="S75" s="13"/>
    </row>
    <row r="76" spans="2:19" ht="16" customHeight="1" x14ac:dyDescent="0.45">
      <c r="B76" s="14" t="s">
        <v>834</v>
      </c>
      <c r="C76" s="14" t="s">
        <v>835</v>
      </c>
      <c r="D76" s="61"/>
      <c r="E76" s="62">
        <v>-51119.56983</v>
      </c>
      <c r="F76" s="61"/>
      <c r="G76" s="15">
        <v>207330.60737000001</v>
      </c>
      <c r="H76" s="15">
        <v>-17394.422419999999</v>
      </c>
      <c r="I76" s="15">
        <v>-116.20031</v>
      </c>
      <c r="J76" s="15">
        <v>-4506.7413999999999</v>
      </c>
      <c r="K76" s="15">
        <v>-4605.6086400000004</v>
      </c>
      <c r="L76" s="15">
        <v>-243.27271999999999</v>
      </c>
      <c r="M76" s="15">
        <v>-231583.93171</v>
      </c>
      <c r="N76" s="13"/>
      <c r="O76" s="13"/>
      <c r="P76" s="13"/>
      <c r="Q76" s="13"/>
      <c r="R76" s="13"/>
      <c r="S76" s="13"/>
    </row>
    <row r="77" spans="2:19" ht="16" customHeight="1" x14ac:dyDescent="0.45">
      <c r="B77" s="11"/>
      <c r="C77" s="11" t="s">
        <v>22</v>
      </c>
      <c r="D77" s="29"/>
      <c r="E77" s="60"/>
      <c r="F77" s="29"/>
      <c r="G77" s="12"/>
      <c r="H77" s="12"/>
      <c r="I77" s="12"/>
      <c r="J77" s="12"/>
      <c r="K77" s="12"/>
      <c r="L77" s="12"/>
      <c r="M77" s="12"/>
      <c r="N77" s="13"/>
      <c r="O77" s="13"/>
      <c r="P77" s="13"/>
      <c r="Q77" s="13"/>
      <c r="R77" s="13"/>
      <c r="S77" s="13"/>
    </row>
    <row r="78" spans="2:19" ht="16" customHeight="1" x14ac:dyDescent="0.45">
      <c r="B78" s="34"/>
      <c r="C78" s="34" t="s">
        <v>836</v>
      </c>
      <c r="D78" s="69"/>
      <c r="E78" s="70">
        <f>-(-(E65+E69)-E74)</f>
        <v>-150156.88837</v>
      </c>
      <c r="F78" s="69"/>
      <c r="G78" s="35">
        <f t="shared" ref="G78:M78" si="13">-(-(G65+G69)-G74)</f>
        <v>157045.41154</v>
      </c>
      <c r="H78" s="35">
        <f t="shared" si="13"/>
        <v>-47962.011870000002</v>
      </c>
      <c r="I78" s="35">
        <f t="shared" si="13"/>
        <v>-117.83471</v>
      </c>
      <c r="J78" s="35">
        <f t="shared" si="13"/>
        <v>-34435.399720000001</v>
      </c>
      <c r="K78" s="35">
        <f t="shared" si="13"/>
        <v>6965.7841399999998</v>
      </c>
      <c r="L78" s="35">
        <f t="shared" si="13"/>
        <v>-68.90486999999996</v>
      </c>
      <c r="M78" s="35">
        <f t="shared" si="13"/>
        <v>-231583.93288000001</v>
      </c>
      <c r="N78" s="13"/>
      <c r="O78" s="13"/>
      <c r="P78" s="13"/>
      <c r="Q78" s="13"/>
      <c r="R78" s="13"/>
      <c r="S78" s="13"/>
    </row>
    <row r="79" spans="2:19" ht="16" customHeight="1" x14ac:dyDescent="0.45">
      <c r="B79" s="11"/>
      <c r="C79" s="11" t="s">
        <v>22</v>
      </c>
      <c r="D79" s="29"/>
      <c r="E79" s="60"/>
      <c r="F79" s="29"/>
      <c r="G79" s="12"/>
      <c r="H79" s="12"/>
      <c r="I79" s="12"/>
      <c r="J79" s="12"/>
      <c r="K79" s="12"/>
      <c r="L79" s="12"/>
      <c r="M79" s="12"/>
      <c r="N79" s="13"/>
      <c r="O79" s="13"/>
      <c r="P79" s="13"/>
      <c r="Q79" s="13"/>
      <c r="R79" s="13"/>
      <c r="S79" s="13"/>
    </row>
    <row r="80" spans="2:19" ht="16" customHeight="1" x14ac:dyDescent="0.45">
      <c r="B80" s="34"/>
      <c r="C80" s="34" t="s">
        <v>837</v>
      </c>
      <c r="D80" s="69"/>
      <c r="E80" s="70">
        <f>-(-(E82+E84)-E89-E94-E96)</f>
        <v>-9139.5804200000002</v>
      </c>
      <c r="F80" s="69"/>
      <c r="G80" s="35">
        <f t="shared" ref="G80:M80" si="14">-(-(G82+G84)-G89-G94-G96)</f>
        <v>-5737.4515499999998</v>
      </c>
      <c r="H80" s="35">
        <f t="shared" si="14"/>
        <v>4315.4233999999988</v>
      </c>
      <c r="I80" s="35">
        <f t="shared" si="14"/>
        <v>3.3799500000000009</v>
      </c>
      <c r="J80" s="35">
        <f t="shared" si="14"/>
        <v>-597.63287000000014</v>
      </c>
      <c r="K80" s="35">
        <f t="shared" si="14"/>
        <v>-6367.6604699999998</v>
      </c>
      <c r="L80" s="35">
        <f t="shared" si="14"/>
        <v>-126.92472000000002</v>
      </c>
      <c r="M80" s="35">
        <f t="shared" si="14"/>
        <v>-628.71415999999999</v>
      </c>
      <c r="N80" s="13"/>
      <c r="O80" s="13"/>
      <c r="P80" s="13"/>
      <c r="Q80" s="13"/>
      <c r="R80" s="13"/>
      <c r="S80" s="13"/>
    </row>
    <row r="81" spans="2:19" ht="16" customHeight="1" x14ac:dyDescent="0.45">
      <c r="B81" s="11"/>
      <c r="C81" s="11" t="s">
        <v>22</v>
      </c>
      <c r="D81" s="29"/>
      <c r="E81" s="60"/>
      <c r="F81" s="29"/>
      <c r="G81" s="12"/>
      <c r="H81" s="12"/>
      <c r="I81" s="12"/>
      <c r="J81" s="12"/>
      <c r="K81" s="12"/>
      <c r="L81" s="12"/>
      <c r="M81" s="12"/>
      <c r="N81" s="13"/>
      <c r="O81" s="13"/>
      <c r="P81" s="13"/>
      <c r="Q81" s="13"/>
      <c r="R81" s="13"/>
      <c r="S81" s="13"/>
    </row>
    <row r="82" spans="2:19" ht="16" customHeight="1" x14ac:dyDescent="0.45">
      <c r="B82" s="14" t="s">
        <v>838</v>
      </c>
      <c r="C82" s="14" t="s">
        <v>839</v>
      </c>
      <c r="D82" s="61"/>
      <c r="E82" s="62"/>
      <c r="F82" s="61"/>
      <c r="G82" s="15"/>
      <c r="H82" s="15"/>
      <c r="I82" s="15"/>
      <c r="J82" s="15"/>
      <c r="K82" s="15"/>
      <c r="L82" s="15"/>
      <c r="M82" s="15"/>
      <c r="N82" s="13"/>
      <c r="O82" s="13"/>
      <c r="P82" s="13"/>
      <c r="Q82" s="13"/>
      <c r="R82" s="13"/>
      <c r="S82" s="13"/>
    </row>
    <row r="83" spans="2:19" ht="16" customHeight="1" x14ac:dyDescent="0.45">
      <c r="B83" s="11"/>
      <c r="C83" s="11" t="s">
        <v>22</v>
      </c>
      <c r="D83" s="29"/>
      <c r="E83" s="60"/>
      <c r="F83" s="29"/>
      <c r="G83" s="12"/>
      <c r="H83" s="12"/>
      <c r="I83" s="12"/>
      <c r="J83" s="12"/>
      <c r="K83" s="12"/>
      <c r="L83" s="12"/>
      <c r="M83" s="12"/>
      <c r="N83" s="13"/>
      <c r="O83" s="13"/>
      <c r="P83" s="13"/>
      <c r="Q83" s="13"/>
      <c r="R83" s="13"/>
      <c r="S83" s="13"/>
    </row>
    <row r="84" spans="2:19" ht="16" customHeight="1" x14ac:dyDescent="0.45">
      <c r="B84" s="34"/>
      <c r="C84" s="34" t="s">
        <v>840</v>
      </c>
      <c r="D84" s="69"/>
      <c r="E84" s="70">
        <f>-(-(E85+E86)-E87)</f>
        <v>6782.0288200000005</v>
      </c>
      <c r="F84" s="69"/>
      <c r="G84" s="35">
        <f t="shared" ref="G84:M84" si="15">-(-(G85+G86)-G87)</f>
        <v>3224.0701099999997</v>
      </c>
      <c r="H84" s="35">
        <f t="shared" si="15"/>
        <v>7490.9541099999997</v>
      </c>
      <c r="I84" s="35">
        <f t="shared" si="15"/>
        <v>19.720420000000001</v>
      </c>
      <c r="J84" s="35">
        <f t="shared" si="15"/>
        <v>512.68657999999994</v>
      </c>
      <c r="K84" s="35">
        <f t="shared" si="15"/>
        <v>-4515.39426</v>
      </c>
      <c r="L84" s="35">
        <f t="shared" si="15"/>
        <v>51.968960000000003</v>
      </c>
      <c r="M84" s="35">
        <f t="shared" si="15"/>
        <v>-1.9771000000000001</v>
      </c>
      <c r="N84" s="13"/>
      <c r="O84" s="13"/>
      <c r="P84" s="13"/>
      <c r="Q84" s="13"/>
      <c r="R84" s="13"/>
      <c r="S84" s="13"/>
    </row>
    <row r="85" spans="2:19" ht="16" customHeight="1" x14ac:dyDescent="0.45">
      <c r="B85" s="14" t="s">
        <v>841</v>
      </c>
      <c r="C85" s="14" t="s">
        <v>842</v>
      </c>
      <c r="D85" s="61"/>
      <c r="E85" s="62">
        <v>-1057.03828</v>
      </c>
      <c r="F85" s="61"/>
      <c r="G85" s="15">
        <v>-1044.5553199999999</v>
      </c>
      <c r="H85" s="15">
        <v>-27.221050000000002</v>
      </c>
      <c r="I85" s="15">
        <v>19.720420000000001</v>
      </c>
      <c r="J85" s="15">
        <v>-10.917450000000001</v>
      </c>
      <c r="K85" s="15">
        <v>0.46354000000000001</v>
      </c>
      <c r="L85" s="15">
        <v>7.4485799999999998</v>
      </c>
      <c r="M85" s="15">
        <v>-1.9770000000000001</v>
      </c>
      <c r="N85" s="13"/>
      <c r="O85" s="13"/>
      <c r="P85" s="13"/>
      <c r="Q85" s="13"/>
      <c r="R85" s="13"/>
      <c r="S85" s="13"/>
    </row>
    <row r="86" spans="2:19" ht="16" customHeight="1" x14ac:dyDescent="0.45">
      <c r="B86" s="14" t="s">
        <v>843</v>
      </c>
      <c r="C86" s="14" t="s">
        <v>844</v>
      </c>
      <c r="D86" s="61"/>
      <c r="E86" s="62">
        <v>2936.8966799999998</v>
      </c>
      <c r="F86" s="61"/>
      <c r="G86" s="15">
        <v>1286.4770799999999</v>
      </c>
      <c r="H86" s="15">
        <v>1432.10589</v>
      </c>
      <c r="I86" s="15"/>
      <c r="J86" s="15">
        <v>25.879619999999999</v>
      </c>
      <c r="K86" s="15">
        <v>147.91381000000001</v>
      </c>
      <c r="L86" s="15">
        <v>44.520380000000003</v>
      </c>
      <c r="M86" s="15">
        <v>-1E-4</v>
      </c>
      <c r="N86" s="13"/>
      <c r="O86" s="13"/>
      <c r="P86" s="13"/>
      <c r="Q86" s="13"/>
      <c r="R86" s="13"/>
      <c r="S86" s="13"/>
    </row>
    <row r="87" spans="2:19" ht="16" customHeight="1" x14ac:dyDescent="0.45">
      <c r="B87" s="14" t="s">
        <v>845</v>
      </c>
      <c r="C87" s="14" t="s">
        <v>846</v>
      </c>
      <c r="D87" s="61"/>
      <c r="E87" s="62">
        <v>4902.1704200000004</v>
      </c>
      <c r="F87" s="61"/>
      <c r="G87" s="15">
        <v>2982.1483499999999</v>
      </c>
      <c r="H87" s="15">
        <v>6086.06927</v>
      </c>
      <c r="I87" s="15"/>
      <c r="J87" s="15">
        <v>497.72440999999998</v>
      </c>
      <c r="K87" s="15">
        <v>-4663.7716099999998</v>
      </c>
      <c r="L87" s="15"/>
      <c r="M87" s="15"/>
      <c r="N87" s="13"/>
      <c r="O87" s="13"/>
      <c r="P87" s="13"/>
      <c r="Q87" s="13"/>
      <c r="R87" s="13"/>
      <c r="S87" s="13"/>
    </row>
    <row r="88" spans="2:19" ht="16" customHeight="1" x14ac:dyDescent="0.45">
      <c r="B88" s="11"/>
      <c r="C88" s="11" t="s">
        <v>22</v>
      </c>
      <c r="D88" s="29"/>
      <c r="E88" s="60"/>
      <c r="F88" s="29"/>
      <c r="G88" s="12"/>
      <c r="H88" s="12"/>
      <c r="I88" s="12"/>
      <c r="J88" s="12"/>
      <c r="K88" s="12"/>
      <c r="L88" s="12"/>
      <c r="M88" s="12"/>
      <c r="N88" s="13"/>
      <c r="O88" s="13"/>
      <c r="P88" s="13"/>
      <c r="Q88" s="13"/>
      <c r="R88" s="13"/>
      <c r="S88" s="13"/>
    </row>
    <row r="89" spans="2:19" ht="16" customHeight="1" x14ac:dyDescent="0.45">
      <c r="B89" s="34"/>
      <c r="C89" s="34" t="s">
        <v>847</v>
      </c>
      <c r="D89" s="69"/>
      <c r="E89" s="70">
        <f>-(-(E90+E91)-E92)</f>
        <v>-5662.8189600000005</v>
      </c>
      <c r="F89" s="69"/>
      <c r="G89" s="35">
        <f t="shared" ref="G89:M89" si="16">-(-(G90+G91)-G92)</f>
        <v>-1819.6519700000001</v>
      </c>
      <c r="H89" s="35">
        <f t="shared" si="16"/>
        <v>-1227.7877400000002</v>
      </c>
      <c r="I89" s="35">
        <f t="shared" si="16"/>
        <v>-16.34047</v>
      </c>
      <c r="J89" s="35">
        <f t="shared" si="16"/>
        <v>-674.6662</v>
      </c>
      <c r="K89" s="35">
        <f t="shared" si="16"/>
        <v>-1118.75668</v>
      </c>
      <c r="L89" s="35">
        <f t="shared" si="16"/>
        <v>-178.87884000000003</v>
      </c>
      <c r="M89" s="35">
        <f t="shared" si="16"/>
        <v>-626.73706000000004</v>
      </c>
      <c r="N89" s="13"/>
      <c r="O89" s="13"/>
      <c r="P89" s="13"/>
      <c r="Q89" s="13"/>
      <c r="R89" s="13"/>
      <c r="S89" s="13"/>
    </row>
    <row r="90" spans="2:19" ht="16" customHeight="1" x14ac:dyDescent="0.45">
      <c r="B90" s="14" t="s">
        <v>848</v>
      </c>
      <c r="C90" s="14" t="s">
        <v>849</v>
      </c>
      <c r="D90" s="61"/>
      <c r="E90" s="62">
        <v>4494.4689399999997</v>
      </c>
      <c r="F90" s="61"/>
      <c r="G90" s="15">
        <v>1790.8632500000001</v>
      </c>
      <c r="H90" s="15">
        <v>2260.3652099999999</v>
      </c>
      <c r="I90" s="15"/>
      <c r="J90" s="15">
        <v>229.32653999999999</v>
      </c>
      <c r="K90" s="15">
        <v>256.91138000000001</v>
      </c>
      <c r="L90" s="15">
        <v>-42.995220000000003</v>
      </c>
      <c r="M90" s="15">
        <v>-2.2200000000000002E-3</v>
      </c>
      <c r="N90" s="13"/>
      <c r="O90" s="13"/>
      <c r="P90" s="13"/>
      <c r="Q90" s="13"/>
      <c r="R90" s="13"/>
      <c r="S90" s="13"/>
    </row>
    <row r="91" spans="2:19" ht="16" customHeight="1" x14ac:dyDescent="0.45">
      <c r="B91" s="14" t="s">
        <v>850</v>
      </c>
      <c r="C91" s="14" t="s">
        <v>636</v>
      </c>
      <c r="D91" s="61"/>
      <c r="E91" s="62">
        <v>-29.824999999999999</v>
      </c>
      <c r="F91" s="61"/>
      <c r="G91" s="15"/>
      <c r="H91" s="15"/>
      <c r="I91" s="15"/>
      <c r="J91" s="15"/>
      <c r="K91" s="15"/>
      <c r="L91" s="15"/>
      <c r="M91" s="15">
        <v>-29.824999999999999</v>
      </c>
      <c r="N91" s="13"/>
      <c r="O91" s="13"/>
      <c r="P91" s="13"/>
      <c r="Q91" s="13"/>
      <c r="R91" s="13"/>
      <c r="S91" s="13"/>
    </row>
    <row r="92" spans="2:19" ht="16" customHeight="1" x14ac:dyDescent="0.45">
      <c r="B92" s="14" t="s">
        <v>851</v>
      </c>
      <c r="C92" s="14" t="s">
        <v>852</v>
      </c>
      <c r="D92" s="61"/>
      <c r="E92" s="62">
        <v>-10127.4629</v>
      </c>
      <c r="F92" s="61"/>
      <c r="G92" s="15">
        <v>-3610.5152200000002</v>
      </c>
      <c r="H92" s="15">
        <v>-3488.1529500000001</v>
      </c>
      <c r="I92" s="15">
        <v>-16.34047</v>
      </c>
      <c r="J92" s="15">
        <v>-903.99274000000003</v>
      </c>
      <c r="K92" s="15">
        <v>-1375.66806</v>
      </c>
      <c r="L92" s="15">
        <v>-135.88362000000001</v>
      </c>
      <c r="M92" s="15">
        <v>-596.90984000000003</v>
      </c>
      <c r="N92" s="13"/>
      <c r="O92" s="13"/>
      <c r="P92" s="13"/>
      <c r="Q92" s="13"/>
      <c r="R92" s="13"/>
      <c r="S92" s="13"/>
    </row>
    <row r="93" spans="2:19" ht="16" customHeight="1" x14ac:dyDescent="0.45">
      <c r="B93" s="11"/>
      <c r="C93" s="11" t="s">
        <v>22</v>
      </c>
      <c r="D93" s="29"/>
      <c r="E93" s="60"/>
      <c r="F93" s="29"/>
      <c r="G93" s="12"/>
      <c r="H93" s="12"/>
      <c r="I93" s="12"/>
      <c r="J93" s="12"/>
      <c r="K93" s="12"/>
      <c r="L93" s="12"/>
      <c r="M93" s="12"/>
      <c r="N93" s="13"/>
      <c r="O93" s="13"/>
      <c r="P93" s="13"/>
      <c r="Q93" s="13"/>
      <c r="R93" s="13"/>
      <c r="S93" s="13"/>
    </row>
    <row r="94" spans="2:19" ht="16" customHeight="1" x14ac:dyDescent="0.45">
      <c r="B94" s="14" t="s">
        <v>853</v>
      </c>
      <c r="C94" s="14" t="s">
        <v>854</v>
      </c>
      <c r="D94" s="61"/>
      <c r="E94" s="62">
        <v>-4916.4663200000005</v>
      </c>
      <c r="F94" s="61"/>
      <c r="G94" s="15">
        <v>-4240.3588</v>
      </c>
      <c r="H94" s="15">
        <v>-509.05207999999999</v>
      </c>
      <c r="I94" s="15"/>
      <c r="J94" s="15">
        <v>-75.048919999999995</v>
      </c>
      <c r="K94" s="15">
        <v>-91.991680000000002</v>
      </c>
      <c r="L94" s="15">
        <v>-1.4840000000000001E-2</v>
      </c>
      <c r="M94" s="15"/>
      <c r="N94" s="13"/>
      <c r="O94" s="13"/>
      <c r="P94" s="13"/>
      <c r="Q94" s="13"/>
      <c r="R94" s="13"/>
      <c r="S94" s="13"/>
    </row>
    <row r="95" spans="2:19" ht="16" customHeight="1" x14ac:dyDescent="0.45">
      <c r="B95" s="11"/>
      <c r="C95" s="11" t="s">
        <v>22</v>
      </c>
      <c r="D95" s="29"/>
      <c r="E95" s="60"/>
      <c r="F95" s="29"/>
      <c r="G95" s="12"/>
      <c r="H95" s="12"/>
      <c r="I95" s="12"/>
      <c r="J95" s="12"/>
      <c r="K95" s="12"/>
      <c r="L95" s="12"/>
      <c r="M95" s="12"/>
      <c r="N95" s="13"/>
      <c r="O95" s="13"/>
      <c r="P95" s="13"/>
      <c r="Q95" s="13"/>
      <c r="R95" s="13"/>
      <c r="S95" s="13"/>
    </row>
    <row r="96" spans="2:19" ht="16" customHeight="1" x14ac:dyDescent="0.45">
      <c r="B96" s="14" t="s">
        <v>855</v>
      </c>
      <c r="C96" s="14" t="s">
        <v>856</v>
      </c>
      <c r="D96" s="61"/>
      <c r="E96" s="62">
        <v>-5342.3239599999997</v>
      </c>
      <c r="F96" s="61"/>
      <c r="G96" s="15">
        <v>-2901.51089</v>
      </c>
      <c r="H96" s="15">
        <v>-1438.6908900000001</v>
      </c>
      <c r="I96" s="15"/>
      <c r="J96" s="15">
        <v>-360.60433</v>
      </c>
      <c r="K96" s="15">
        <v>-641.51784999999995</v>
      </c>
      <c r="L96" s="15"/>
      <c r="M96" s="15"/>
      <c r="N96" s="13"/>
      <c r="O96" s="13"/>
      <c r="P96" s="13"/>
      <c r="Q96" s="13"/>
      <c r="R96" s="13"/>
      <c r="S96" s="13"/>
    </row>
    <row r="97" spans="2:19" ht="16" customHeight="1" x14ac:dyDescent="0.45">
      <c r="B97" s="11"/>
      <c r="C97" s="11" t="s">
        <v>22</v>
      </c>
      <c r="D97" s="29"/>
      <c r="E97" s="60"/>
      <c r="F97" s="29"/>
      <c r="G97" s="12"/>
      <c r="H97" s="12"/>
      <c r="I97" s="12"/>
      <c r="J97" s="12"/>
      <c r="K97" s="12"/>
      <c r="L97" s="12"/>
      <c r="M97" s="12"/>
      <c r="N97" s="13"/>
      <c r="O97" s="13"/>
      <c r="P97" s="13"/>
      <c r="Q97" s="13"/>
      <c r="R97" s="13"/>
      <c r="S97" s="13"/>
    </row>
    <row r="98" spans="2:19" ht="16" customHeight="1" x14ac:dyDescent="0.45">
      <c r="B98" s="34"/>
      <c r="C98" s="34" t="s">
        <v>857</v>
      </c>
      <c r="D98" s="69"/>
      <c r="E98" s="70">
        <f>E78+E80</f>
        <v>-159296.46879000001</v>
      </c>
      <c r="F98" s="69"/>
      <c r="G98" s="35">
        <f t="shared" ref="G98:M98" si="17">G78+G80</f>
        <v>151307.95999</v>
      </c>
      <c r="H98" s="35">
        <f t="shared" si="17"/>
        <v>-43646.588470000002</v>
      </c>
      <c r="I98" s="35">
        <f t="shared" si="17"/>
        <v>-114.45475999999999</v>
      </c>
      <c r="J98" s="35">
        <f t="shared" si="17"/>
        <v>-35033.032590000003</v>
      </c>
      <c r="K98" s="35">
        <f t="shared" si="17"/>
        <v>598.12366999999995</v>
      </c>
      <c r="L98" s="35">
        <f t="shared" si="17"/>
        <v>-195.82959</v>
      </c>
      <c r="M98" s="35">
        <f t="shared" si="17"/>
        <v>-232212.64704000001</v>
      </c>
      <c r="N98" s="13"/>
      <c r="O98" s="13"/>
      <c r="P98" s="13"/>
      <c r="Q98" s="13"/>
      <c r="R98" s="13"/>
      <c r="S98" s="13"/>
    </row>
    <row r="99" spans="2:19" ht="16" customHeight="1" x14ac:dyDescent="0.45">
      <c r="B99" s="11"/>
      <c r="C99" s="11" t="s">
        <v>22</v>
      </c>
      <c r="D99" s="29"/>
      <c r="E99" s="60"/>
      <c r="F99" s="29"/>
      <c r="G99" s="12"/>
      <c r="H99" s="12"/>
      <c r="I99" s="12"/>
      <c r="J99" s="12"/>
      <c r="K99" s="12"/>
      <c r="L99" s="12"/>
      <c r="M99" s="12"/>
      <c r="N99" s="13"/>
      <c r="O99" s="13"/>
      <c r="P99" s="13"/>
      <c r="Q99" s="13"/>
      <c r="R99" s="13"/>
      <c r="S99" s="13"/>
    </row>
    <row r="100" spans="2:19" ht="16" customHeight="1" x14ac:dyDescent="0.45">
      <c r="B100" s="14" t="s">
        <v>858</v>
      </c>
      <c r="C100" s="14" t="s">
        <v>859</v>
      </c>
      <c r="D100" s="61"/>
      <c r="E100" s="62">
        <v>-21114.303</v>
      </c>
      <c r="F100" s="61"/>
      <c r="G100" s="15"/>
      <c r="H100" s="15"/>
      <c r="I100" s="15"/>
      <c r="J100" s="15"/>
      <c r="K100" s="15"/>
      <c r="L100" s="15"/>
      <c r="M100" s="15">
        <v>-21114.303</v>
      </c>
      <c r="N100" s="13"/>
      <c r="O100" s="13"/>
      <c r="P100" s="13"/>
      <c r="Q100" s="13"/>
      <c r="R100" s="13"/>
      <c r="S100" s="13"/>
    </row>
    <row r="101" spans="2:19" ht="16" customHeight="1" x14ac:dyDescent="0.45">
      <c r="B101" s="11"/>
      <c r="C101" s="11" t="s">
        <v>22</v>
      </c>
      <c r="D101" s="29"/>
      <c r="E101" s="60"/>
      <c r="F101" s="29"/>
      <c r="G101" s="12"/>
      <c r="H101" s="12"/>
      <c r="I101" s="12"/>
      <c r="J101" s="12"/>
      <c r="K101" s="12"/>
      <c r="L101" s="12"/>
      <c r="M101" s="12"/>
      <c r="N101" s="13"/>
      <c r="O101" s="13"/>
      <c r="P101" s="13"/>
      <c r="Q101" s="13"/>
      <c r="R101" s="13"/>
      <c r="S101" s="13"/>
    </row>
    <row r="102" spans="2:19" ht="16" customHeight="1" x14ac:dyDescent="0.45">
      <c r="B102" s="40"/>
      <c r="C102" s="40" t="s">
        <v>860</v>
      </c>
      <c r="D102" s="53"/>
      <c r="E102" s="53">
        <f>E16+E18+E19+E21+E25+E29+E38+E43+E54+E58+E60+E98+E100</f>
        <v>-128463.39579000002</v>
      </c>
      <c r="F102" s="53"/>
      <c r="G102" s="24">
        <f t="shared" ref="G102:M102" si="18">G16+G18+G19+G21+G25+G29+G38+G43+G54+G58+G60+G98+G100</f>
        <v>249363.60454999999</v>
      </c>
      <c r="H102" s="24">
        <f t="shared" si="18"/>
        <v>-48387.845460000004</v>
      </c>
      <c r="I102" s="24">
        <f t="shared" si="18"/>
        <v>-94.096720000000005</v>
      </c>
      <c r="J102" s="24">
        <f t="shared" si="18"/>
        <v>-34036.516889999999</v>
      </c>
      <c r="K102" s="24">
        <f t="shared" si="18"/>
        <v>-3182.7939699999997</v>
      </c>
      <c r="L102" s="24">
        <f t="shared" si="18"/>
        <v>-167.47092000000001</v>
      </c>
      <c r="M102" s="24">
        <f t="shared" si="18"/>
        <v>-291958.27638</v>
      </c>
      <c r="N102" s="13"/>
      <c r="O102" s="13"/>
      <c r="P102" s="13"/>
      <c r="Q102" s="13"/>
      <c r="R102" s="13"/>
      <c r="S102" s="13"/>
    </row>
    <row r="103" spans="2:19" ht="16" customHeight="1" x14ac:dyDescent="0.45">
      <c r="B103" s="11"/>
      <c r="C103" s="11" t="s">
        <v>22</v>
      </c>
      <c r="D103" s="29"/>
      <c r="E103" s="60"/>
      <c r="F103" s="29"/>
      <c r="G103" s="12"/>
      <c r="H103" s="12"/>
      <c r="I103" s="12"/>
      <c r="J103" s="12"/>
      <c r="K103" s="12"/>
      <c r="L103" s="12"/>
      <c r="M103" s="12"/>
      <c r="N103" s="13"/>
      <c r="O103" s="13"/>
      <c r="P103" s="13"/>
      <c r="Q103" s="13"/>
      <c r="R103" s="13"/>
      <c r="S103" s="13"/>
    </row>
    <row r="104" spans="2:19" ht="16" customHeight="1" x14ac:dyDescent="0.45">
      <c r="B104" s="34"/>
      <c r="C104" s="34" t="s">
        <v>861</v>
      </c>
      <c r="D104" s="69"/>
      <c r="E104" s="70"/>
      <c r="F104" s="69"/>
      <c r="G104" s="35"/>
      <c r="H104" s="35"/>
      <c r="I104" s="35"/>
      <c r="J104" s="35"/>
      <c r="K104" s="35"/>
      <c r="L104" s="35"/>
      <c r="M104" s="35"/>
      <c r="N104" s="13"/>
      <c r="O104" s="13"/>
      <c r="P104" s="13"/>
      <c r="Q104" s="13"/>
      <c r="R104" s="13"/>
      <c r="S104" s="13"/>
    </row>
    <row r="105" spans="2:19" ht="16" customHeight="1" x14ac:dyDescent="0.45">
      <c r="B105" s="11"/>
      <c r="C105" s="11" t="s">
        <v>22</v>
      </c>
      <c r="D105" s="29"/>
      <c r="E105" s="60"/>
      <c r="F105" s="29"/>
      <c r="G105" s="12"/>
      <c r="H105" s="12"/>
      <c r="I105" s="12"/>
      <c r="J105" s="12"/>
      <c r="K105" s="12"/>
      <c r="L105" s="12"/>
      <c r="M105" s="12"/>
      <c r="N105" s="13"/>
      <c r="O105" s="13"/>
      <c r="P105" s="13"/>
      <c r="Q105" s="13"/>
      <c r="R105" s="13"/>
      <c r="S105" s="13"/>
    </row>
    <row r="106" spans="2:19" ht="16" customHeight="1" x14ac:dyDescent="0.45">
      <c r="B106" s="34"/>
      <c r="C106" s="34" t="s">
        <v>862</v>
      </c>
      <c r="D106" s="69"/>
      <c r="E106" s="70">
        <f>-(-(E107+E108)-E109-E110-E111-E112)</f>
        <v>-51492.21286</v>
      </c>
      <c r="F106" s="69"/>
      <c r="G106" s="35">
        <f t="shared" ref="G106:M106" si="19">-(-(G107+G108)-G109-G110-G111-G112)</f>
        <v>-37314.140979999996</v>
      </c>
      <c r="H106" s="35">
        <f t="shared" si="19"/>
        <v>-7989.1475099999998</v>
      </c>
      <c r="I106" s="35">
        <f t="shared" si="19"/>
        <v>0</v>
      </c>
      <c r="J106" s="35">
        <f t="shared" si="19"/>
        <v>-4716.6750499999998</v>
      </c>
      <c r="K106" s="35">
        <f t="shared" si="19"/>
        <v>-1511.2948999999999</v>
      </c>
      <c r="L106" s="35">
        <f t="shared" si="19"/>
        <v>0</v>
      </c>
      <c r="M106" s="35">
        <f t="shared" si="19"/>
        <v>39.045580000000001</v>
      </c>
      <c r="N106" s="13"/>
      <c r="O106" s="13"/>
      <c r="P106" s="13"/>
      <c r="Q106" s="13"/>
      <c r="R106" s="13"/>
      <c r="S106" s="13"/>
    </row>
    <row r="107" spans="2:19" ht="16" customHeight="1" x14ac:dyDescent="0.45">
      <c r="B107" s="14" t="s">
        <v>863</v>
      </c>
      <c r="C107" s="14" t="s">
        <v>864</v>
      </c>
      <c r="D107" s="61"/>
      <c r="E107" s="62">
        <v>-19819.449710000001</v>
      </c>
      <c r="F107" s="61"/>
      <c r="G107" s="15">
        <v>-14126.345359999999</v>
      </c>
      <c r="H107" s="15">
        <v>-4803.07834</v>
      </c>
      <c r="I107" s="15"/>
      <c r="J107" s="15">
        <v>-299.42984000000001</v>
      </c>
      <c r="K107" s="15">
        <v>-579.29975000000002</v>
      </c>
      <c r="L107" s="15"/>
      <c r="M107" s="15">
        <v>-11.296419999999999</v>
      </c>
      <c r="N107" s="13"/>
      <c r="O107" s="13"/>
      <c r="P107" s="13"/>
      <c r="Q107" s="13"/>
      <c r="R107" s="13"/>
      <c r="S107" s="13"/>
    </row>
    <row r="108" spans="2:19" ht="16" customHeight="1" x14ac:dyDescent="0.45">
      <c r="B108" s="14" t="s">
        <v>865</v>
      </c>
      <c r="C108" s="14" t="s">
        <v>866</v>
      </c>
      <c r="D108" s="61"/>
      <c r="E108" s="62">
        <v>-2215.3391200000001</v>
      </c>
      <c r="F108" s="61"/>
      <c r="G108" s="15">
        <v>-1629.94373</v>
      </c>
      <c r="H108" s="15">
        <v>-0.31980999999999998</v>
      </c>
      <c r="I108" s="15"/>
      <c r="J108" s="15">
        <v>-585.07557999999995</v>
      </c>
      <c r="K108" s="15"/>
      <c r="L108" s="15"/>
      <c r="M108" s="15"/>
      <c r="N108" s="13"/>
      <c r="O108" s="13"/>
      <c r="P108" s="13"/>
      <c r="Q108" s="13"/>
      <c r="R108" s="13"/>
      <c r="S108" s="13"/>
    </row>
    <row r="109" spans="2:19" ht="16" customHeight="1" x14ac:dyDescent="0.45">
      <c r="B109" s="14" t="s">
        <v>867</v>
      </c>
      <c r="C109" s="14" t="s">
        <v>868</v>
      </c>
      <c r="D109" s="61"/>
      <c r="E109" s="62">
        <v>-2154.8672900000001</v>
      </c>
      <c r="F109" s="61"/>
      <c r="G109" s="15">
        <v>-1993.0283400000001</v>
      </c>
      <c r="H109" s="15">
        <v>-135.97017</v>
      </c>
      <c r="I109" s="15"/>
      <c r="J109" s="15"/>
      <c r="K109" s="15">
        <v>-25.868780000000001</v>
      </c>
      <c r="L109" s="15"/>
      <c r="M109" s="15"/>
      <c r="N109" s="13"/>
      <c r="O109" s="13"/>
      <c r="P109" s="13"/>
      <c r="Q109" s="13"/>
      <c r="R109" s="13"/>
      <c r="S109" s="13"/>
    </row>
    <row r="110" spans="2:19" ht="16" customHeight="1" x14ac:dyDescent="0.45">
      <c r="B110" s="14" t="s">
        <v>869</v>
      </c>
      <c r="C110" s="14" t="s">
        <v>870</v>
      </c>
      <c r="D110" s="61"/>
      <c r="E110" s="62">
        <v>-1943.0861600000001</v>
      </c>
      <c r="F110" s="61"/>
      <c r="G110" s="15">
        <v>-1943.0861600000001</v>
      </c>
      <c r="H110" s="15"/>
      <c r="I110" s="15"/>
      <c r="J110" s="15"/>
      <c r="K110" s="15"/>
      <c r="L110" s="15"/>
      <c r="M110" s="15"/>
      <c r="N110" s="13"/>
      <c r="O110" s="13"/>
      <c r="P110" s="13"/>
      <c r="Q110" s="13"/>
      <c r="R110" s="13"/>
      <c r="S110" s="13"/>
    </row>
    <row r="111" spans="2:19" ht="16" customHeight="1" x14ac:dyDescent="0.45">
      <c r="B111" s="14" t="s">
        <v>871</v>
      </c>
      <c r="C111" s="14" t="s">
        <v>872</v>
      </c>
      <c r="D111" s="61"/>
      <c r="E111" s="62">
        <v>-25359.470580000001</v>
      </c>
      <c r="F111" s="61"/>
      <c r="G111" s="15">
        <v>-17621.737389999998</v>
      </c>
      <c r="H111" s="15">
        <v>-3049.7791900000002</v>
      </c>
      <c r="I111" s="15"/>
      <c r="J111" s="15">
        <v>-3832.1696299999999</v>
      </c>
      <c r="K111" s="15">
        <v>-906.12636999999995</v>
      </c>
      <c r="L111" s="15"/>
      <c r="M111" s="15">
        <v>50.341999999999999</v>
      </c>
      <c r="N111" s="13"/>
      <c r="O111" s="13"/>
      <c r="P111" s="13"/>
      <c r="Q111" s="13"/>
      <c r="R111" s="13"/>
      <c r="S111" s="13"/>
    </row>
    <row r="112" spans="2:19" ht="16" customHeight="1" x14ac:dyDescent="0.45">
      <c r="B112" s="14" t="s">
        <v>873</v>
      </c>
      <c r="C112" s="14" t="s">
        <v>874</v>
      </c>
      <c r="D112" s="61"/>
      <c r="E112" s="62"/>
      <c r="F112" s="61"/>
      <c r="G112" s="15"/>
      <c r="H112" s="15"/>
      <c r="I112" s="15"/>
      <c r="J112" s="15"/>
      <c r="K112" s="15"/>
      <c r="L112" s="15"/>
      <c r="M112" s="15"/>
      <c r="N112" s="13"/>
      <c r="O112" s="13"/>
      <c r="P112" s="13"/>
      <c r="Q112" s="13"/>
      <c r="R112" s="13"/>
      <c r="S112" s="13"/>
    </row>
    <row r="113" spans="2:19" ht="16" customHeight="1" x14ac:dyDescent="0.45">
      <c r="B113" s="11"/>
      <c r="C113" s="11" t="s">
        <v>22</v>
      </c>
      <c r="D113" s="29"/>
      <c r="E113" s="60"/>
      <c r="F113" s="29"/>
      <c r="G113" s="12"/>
      <c r="H113" s="12"/>
      <c r="I113" s="12"/>
      <c r="J113" s="12"/>
      <c r="K113" s="12"/>
      <c r="L113" s="12"/>
      <c r="M113" s="12"/>
      <c r="N113" s="13"/>
      <c r="O113" s="13"/>
      <c r="P113" s="13"/>
      <c r="Q113" s="13"/>
      <c r="R113" s="13"/>
      <c r="S113" s="13"/>
    </row>
    <row r="114" spans="2:19" ht="16" customHeight="1" x14ac:dyDescent="0.45">
      <c r="B114" s="34"/>
      <c r="C114" s="34" t="s">
        <v>875</v>
      </c>
      <c r="D114" s="69"/>
      <c r="E114" s="70">
        <f>-(-(E115+E116)-E117-E118)</f>
        <v>-10639.06919</v>
      </c>
      <c r="F114" s="69"/>
      <c r="G114" s="35">
        <f t="shared" ref="G114:M114" si="20">-(-(G115+G116)-G117-G118)</f>
        <v>-6572.3078299999997</v>
      </c>
      <c r="H114" s="35">
        <f t="shared" si="20"/>
        <v>-2749.2384999999999</v>
      </c>
      <c r="I114" s="35">
        <f t="shared" si="20"/>
        <v>0</v>
      </c>
      <c r="J114" s="35">
        <f t="shared" si="20"/>
        <v>-1317.52286</v>
      </c>
      <c r="K114" s="35">
        <f t="shared" si="20"/>
        <v>0</v>
      </c>
      <c r="L114" s="35">
        <f t="shared" si="20"/>
        <v>0</v>
      </c>
      <c r="M114" s="35">
        <f t="shared" si="20"/>
        <v>0</v>
      </c>
      <c r="N114" s="13"/>
      <c r="O114" s="13"/>
      <c r="P114" s="13"/>
      <c r="Q114" s="13"/>
      <c r="R114" s="13"/>
      <c r="S114" s="13"/>
    </row>
    <row r="115" spans="2:19" ht="16" customHeight="1" x14ac:dyDescent="0.45">
      <c r="B115" s="14" t="s">
        <v>876</v>
      </c>
      <c r="C115" s="14" t="s">
        <v>877</v>
      </c>
      <c r="D115" s="61"/>
      <c r="E115" s="62">
        <v>-586.46839999999997</v>
      </c>
      <c r="F115" s="61"/>
      <c r="G115" s="15">
        <v>-586.46839999999997</v>
      </c>
      <c r="H115" s="15"/>
      <c r="I115" s="15"/>
      <c r="J115" s="15"/>
      <c r="K115" s="15"/>
      <c r="L115" s="15"/>
      <c r="M115" s="15"/>
      <c r="N115" s="13"/>
      <c r="O115" s="13"/>
      <c r="P115" s="13"/>
      <c r="Q115" s="13"/>
      <c r="R115" s="13"/>
      <c r="S115" s="13"/>
    </row>
    <row r="116" spans="2:19" ht="16" customHeight="1" x14ac:dyDescent="0.45">
      <c r="B116" s="14" t="s">
        <v>878</v>
      </c>
      <c r="C116" s="14" t="s">
        <v>879</v>
      </c>
      <c r="D116" s="61"/>
      <c r="E116" s="62">
        <v>-6961.8361800000002</v>
      </c>
      <c r="F116" s="61"/>
      <c r="G116" s="15">
        <v>-5644.3133200000002</v>
      </c>
      <c r="H116" s="15"/>
      <c r="I116" s="15"/>
      <c r="J116" s="15">
        <v>-1317.52286</v>
      </c>
      <c r="K116" s="15"/>
      <c r="L116" s="15"/>
      <c r="M116" s="15"/>
      <c r="N116" s="13"/>
      <c r="O116" s="13"/>
      <c r="P116" s="13"/>
      <c r="Q116" s="13"/>
      <c r="R116" s="13"/>
      <c r="S116" s="13"/>
    </row>
    <row r="117" spans="2:19" ht="16" customHeight="1" x14ac:dyDescent="0.45">
      <c r="B117" s="14" t="s">
        <v>880</v>
      </c>
      <c r="C117" s="14" t="s">
        <v>881</v>
      </c>
      <c r="D117" s="61"/>
      <c r="E117" s="62">
        <v>-291.3125</v>
      </c>
      <c r="F117" s="61"/>
      <c r="G117" s="15">
        <v>-291.3125</v>
      </c>
      <c r="H117" s="15"/>
      <c r="I117" s="15"/>
      <c r="J117" s="15"/>
      <c r="K117" s="15"/>
      <c r="L117" s="15"/>
      <c r="M117" s="15"/>
      <c r="N117" s="13"/>
      <c r="O117" s="13"/>
      <c r="P117" s="13"/>
      <c r="Q117" s="13"/>
      <c r="R117" s="13"/>
      <c r="S117" s="13"/>
    </row>
    <row r="118" spans="2:19" ht="16" customHeight="1" x14ac:dyDescent="0.45">
      <c r="B118" s="14" t="s">
        <v>882</v>
      </c>
      <c r="C118" s="14" t="s">
        <v>883</v>
      </c>
      <c r="D118" s="61"/>
      <c r="E118" s="62">
        <v>-2799.4521100000002</v>
      </c>
      <c r="F118" s="61"/>
      <c r="G118" s="15">
        <v>-50.213610000000003</v>
      </c>
      <c r="H118" s="15">
        <v>-2749.2384999999999</v>
      </c>
      <c r="I118" s="15"/>
      <c r="J118" s="15"/>
      <c r="K118" s="15"/>
      <c r="L118" s="15"/>
      <c r="M118" s="15"/>
      <c r="N118" s="13"/>
      <c r="O118" s="13"/>
      <c r="P118" s="13"/>
      <c r="Q118" s="13"/>
      <c r="R118" s="13"/>
      <c r="S118" s="13"/>
    </row>
    <row r="119" spans="2:19" ht="16" customHeight="1" x14ac:dyDescent="0.45">
      <c r="B119" s="11"/>
      <c r="C119" s="11" t="s">
        <v>22</v>
      </c>
      <c r="D119" s="29"/>
      <c r="E119" s="60"/>
      <c r="F119" s="29"/>
      <c r="G119" s="12"/>
      <c r="H119" s="12"/>
      <c r="I119" s="12"/>
      <c r="J119" s="12"/>
      <c r="K119" s="12"/>
      <c r="L119" s="12"/>
      <c r="M119" s="12"/>
      <c r="N119" s="13"/>
      <c r="O119" s="13"/>
      <c r="P119" s="13"/>
      <c r="Q119" s="13"/>
      <c r="R119" s="13"/>
      <c r="S119" s="13"/>
    </row>
    <row r="120" spans="2:19" ht="16" customHeight="1" x14ac:dyDescent="0.45">
      <c r="B120" s="34"/>
      <c r="C120" s="34" t="s">
        <v>884</v>
      </c>
      <c r="D120" s="69"/>
      <c r="E120" s="70">
        <f>E106+E114</f>
        <v>-62131.282050000002</v>
      </c>
      <c r="F120" s="69"/>
      <c r="G120" s="35">
        <f t="shared" ref="G120:M120" si="21">G106+G114</f>
        <v>-43886.448809999994</v>
      </c>
      <c r="H120" s="35">
        <f t="shared" si="21"/>
        <v>-10738.38601</v>
      </c>
      <c r="I120" s="35">
        <f t="shared" si="21"/>
        <v>0</v>
      </c>
      <c r="J120" s="35">
        <f t="shared" si="21"/>
        <v>-6034.1979099999999</v>
      </c>
      <c r="K120" s="35">
        <f t="shared" si="21"/>
        <v>-1511.2948999999999</v>
      </c>
      <c r="L120" s="35">
        <f t="shared" si="21"/>
        <v>0</v>
      </c>
      <c r="M120" s="35">
        <f t="shared" si="21"/>
        <v>39.045580000000001</v>
      </c>
      <c r="N120" s="13"/>
      <c r="O120" s="13"/>
      <c r="P120" s="13"/>
      <c r="Q120" s="13"/>
      <c r="R120" s="13"/>
      <c r="S120" s="13"/>
    </row>
    <row r="121" spans="2:19" ht="16" customHeight="1" x14ac:dyDescent="0.45">
      <c r="B121" s="11"/>
      <c r="C121" s="11" t="s">
        <v>22</v>
      </c>
      <c r="D121" s="29"/>
      <c r="E121" s="60"/>
      <c r="F121" s="29"/>
      <c r="G121" s="12"/>
      <c r="H121" s="12"/>
      <c r="I121" s="12"/>
      <c r="J121" s="12"/>
      <c r="K121" s="12"/>
      <c r="L121" s="12"/>
      <c r="M121" s="12"/>
      <c r="N121" s="13"/>
      <c r="O121" s="13"/>
      <c r="P121" s="13"/>
      <c r="Q121" s="13"/>
      <c r="R121" s="13"/>
      <c r="S121" s="13"/>
    </row>
    <row r="122" spans="2:19" ht="16" customHeight="1" x14ac:dyDescent="0.45">
      <c r="B122" s="34"/>
      <c r="C122" s="34" t="s">
        <v>885</v>
      </c>
      <c r="D122" s="69"/>
      <c r="E122" s="70">
        <f>E123+E124</f>
        <v>0</v>
      </c>
      <c r="F122" s="69"/>
      <c r="G122" s="35">
        <f t="shared" ref="G122:M122" si="22">G123+G124</f>
        <v>0</v>
      </c>
      <c r="H122" s="35">
        <f t="shared" si="22"/>
        <v>0</v>
      </c>
      <c r="I122" s="35">
        <f t="shared" si="22"/>
        <v>0</v>
      </c>
      <c r="J122" s="35">
        <f t="shared" si="22"/>
        <v>0</v>
      </c>
      <c r="K122" s="35">
        <f t="shared" si="22"/>
        <v>0</v>
      </c>
      <c r="L122" s="35">
        <f t="shared" si="22"/>
        <v>0</v>
      </c>
      <c r="M122" s="35">
        <f t="shared" si="22"/>
        <v>0</v>
      </c>
      <c r="N122" s="13"/>
      <c r="O122" s="13"/>
      <c r="P122" s="13"/>
      <c r="Q122" s="13"/>
      <c r="R122" s="13"/>
      <c r="S122" s="13"/>
    </row>
    <row r="123" spans="2:19" ht="16" customHeight="1" x14ac:dyDescent="0.45">
      <c r="B123" s="14" t="s">
        <v>886</v>
      </c>
      <c r="C123" s="14" t="s">
        <v>887</v>
      </c>
      <c r="D123" s="61"/>
      <c r="E123" s="62"/>
      <c r="F123" s="61"/>
      <c r="G123" s="15"/>
      <c r="H123" s="15"/>
      <c r="I123" s="15"/>
      <c r="J123" s="15"/>
      <c r="K123" s="15"/>
      <c r="L123" s="15"/>
      <c r="M123" s="15"/>
      <c r="N123" s="13"/>
      <c r="O123" s="13"/>
      <c r="P123" s="13"/>
      <c r="Q123" s="13"/>
      <c r="R123" s="13"/>
      <c r="S123" s="13"/>
    </row>
    <row r="124" spans="2:19" ht="16" customHeight="1" x14ac:dyDescent="0.45">
      <c r="B124" s="14" t="s">
        <v>888</v>
      </c>
      <c r="C124" s="14" t="s">
        <v>889</v>
      </c>
      <c r="D124" s="61"/>
      <c r="E124" s="62"/>
      <c r="F124" s="61"/>
      <c r="G124" s="15"/>
      <c r="H124" s="15"/>
      <c r="I124" s="15"/>
      <c r="J124" s="15"/>
      <c r="K124" s="15"/>
      <c r="L124" s="15"/>
      <c r="M124" s="15"/>
      <c r="N124" s="13"/>
      <c r="O124" s="13"/>
      <c r="P124" s="13"/>
      <c r="Q124" s="13"/>
      <c r="R124" s="13"/>
      <c r="S124" s="13"/>
    </row>
    <row r="125" spans="2:19" ht="16" customHeight="1" x14ac:dyDescent="0.45">
      <c r="B125" s="11"/>
      <c r="C125" s="11" t="s">
        <v>22</v>
      </c>
      <c r="D125" s="29"/>
      <c r="E125" s="60"/>
      <c r="F125" s="29"/>
      <c r="G125" s="12"/>
      <c r="H125" s="12"/>
      <c r="I125" s="12"/>
      <c r="J125" s="12"/>
      <c r="K125" s="12"/>
      <c r="L125" s="12"/>
      <c r="M125" s="12"/>
      <c r="N125" s="13"/>
      <c r="O125" s="13"/>
      <c r="P125" s="13"/>
      <c r="Q125" s="13"/>
      <c r="R125" s="13"/>
      <c r="S125" s="13"/>
    </row>
    <row r="126" spans="2:19" ht="16" customHeight="1" x14ac:dyDescent="0.45">
      <c r="B126" s="34"/>
      <c r="C126" s="34" t="s">
        <v>890</v>
      </c>
      <c r="D126" s="69"/>
      <c r="E126" s="70">
        <f>E120+E122</f>
        <v>-62131.282050000002</v>
      </c>
      <c r="F126" s="69"/>
      <c r="G126" s="35">
        <f t="shared" ref="G126:M126" si="23">G120+G122</f>
        <v>-43886.448809999994</v>
      </c>
      <c r="H126" s="35">
        <f t="shared" si="23"/>
        <v>-10738.38601</v>
      </c>
      <c r="I126" s="35">
        <f t="shared" si="23"/>
        <v>0</v>
      </c>
      <c r="J126" s="35">
        <f t="shared" si="23"/>
        <v>-6034.1979099999999</v>
      </c>
      <c r="K126" s="35">
        <f t="shared" si="23"/>
        <v>-1511.2948999999999</v>
      </c>
      <c r="L126" s="35">
        <f t="shared" si="23"/>
        <v>0</v>
      </c>
      <c r="M126" s="35">
        <f t="shared" si="23"/>
        <v>39.045580000000001</v>
      </c>
      <c r="N126" s="13"/>
      <c r="O126" s="13"/>
      <c r="P126" s="13"/>
      <c r="Q126" s="13"/>
      <c r="R126" s="13"/>
      <c r="S126" s="13"/>
    </row>
    <row r="127" spans="2:19" ht="16" customHeight="1" x14ac:dyDescent="0.45">
      <c r="B127" s="11"/>
      <c r="C127" s="11" t="s">
        <v>22</v>
      </c>
      <c r="D127" s="29"/>
      <c r="E127" s="60"/>
      <c r="F127" s="29"/>
      <c r="G127" s="12"/>
      <c r="H127" s="12"/>
      <c r="I127" s="12"/>
      <c r="J127" s="12"/>
      <c r="K127" s="12"/>
      <c r="L127" s="12"/>
      <c r="M127" s="12"/>
      <c r="N127" s="13"/>
      <c r="O127" s="13"/>
      <c r="P127" s="13"/>
      <c r="Q127" s="13"/>
      <c r="R127" s="13"/>
      <c r="S127" s="13"/>
    </row>
    <row r="128" spans="2:19" ht="16" customHeight="1" x14ac:dyDescent="0.45">
      <c r="B128" s="34" t="s">
        <v>891</v>
      </c>
      <c r="C128" s="34" t="s">
        <v>892</v>
      </c>
      <c r="D128" s="69"/>
      <c r="E128" s="70">
        <f>E129+E130</f>
        <v>3192.2789400000001</v>
      </c>
      <c r="F128" s="69"/>
      <c r="G128" s="35">
        <f t="shared" ref="G128:M128" si="24">G129+G130</f>
        <v>1229.6881900000001</v>
      </c>
      <c r="H128" s="35">
        <f t="shared" si="24"/>
        <v>1854.7972500000001</v>
      </c>
      <c r="I128" s="35">
        <f t="shared" si="24"/>
        <v>0</v>
      </c>
      <c r="J128" s="35">
        <f t="shared" si="24"/>
        <v>52.171250000000001</v>
      </c>
      <c r="K128" s="35">
        <f t="shared" si="24"/>
        <v>55.622250000000001</v>
      </c>
      <c r="L128" s="35">
        <f t="shared" si="24"/>
        <v>0</v>
      </c>
      <c r="M128" s="35">
        <f t="shared" si="24"/>
        <v>0</v>
      </c>
      <c r="N128" s="13"/>
      <c r="O128" s="13"/>
      <c r="P128" s="13"/>
      <c r="Q128" s="13"/>
      <c r="R128" s="13"/>
      <c r="S128" s="13"/>
    </row>
    <row r="129" spans="2:19" ht="16" customHeight="1" x14ac:dyDescent="0.45">
      <c r="B129" s="14"/>
      <c r="C129" s="14" t="s">
        <v>894</v>
      </c>
      <c r="D129" s="61"/>
      <c r="E129" s="62"/>
      <c r="F129" s="61"/>
      <c r="G129" s="15"/>
      <c r="H129" s="15"/>
      <c r="I129" s="15"/>
      <c r="J129" s="15"/>
      <c r="K129" s="15"/>
      <c r="L129" s="15"/>
      <c r="M129" s="15"/>
      <c r="N129" s="13"/>
      <c r="O129" s="13"/>
      <c r="P129" s="13"/>
      <c r="Q129" s="13"/>
      <c r="R129" s="13"/>
      <c r="S129" s="13"/>
    </row>
    <row r="130" spans="2:19" ht="16" customHeight="1" x14ac:dyDescent="0.45">
      <c r="B130" s="14"/>
      <c r="C130" s="14" t="s">
        <v>896</v>
      </c>
      <c r="D130" s="61"/>
      <c r="E130" s="62">
        <v>3192.2789400000001</v>
      </c>
      <c r="F130" s="61"/>
      <c r="G130" s="15">
        <v>1229.6881900000001</v>
      </c>
      <c r="H130" s="15">
        <v>1854.7972500000001</v>
      </c>
      <c r="I130" s="15"/>
      <c r="J130" s="15">
        <v>52.171250000000001</v>
      </c>
      <c r="K130" s="15">
        <v>55.622250000000001</v>
      </c>
      <c r="L130" s="15"/>
      <c r="M130" s="15"/>
      <c r="N130" s="13"/>
      <c r="O130" s="13"/>
      <c r="P130" s="13"/>
      <c r="Q130" s="13"/>
      <c r="R130" s="13"/>
      <c r="S130" s="13"/>
    </row>
    <row r="131" spans="2:19" ht="16" customHeight="1" x14ac:dyDescent="0.45">
      <c r="B131" s="11"/>
      <c r="C131" s="11" t="s">
        <v>22</v>
      </c>
      <c r="D131" s="29"/>
      <c r="E131" s="60"/>
      <c r="F131" s="29"/>
      <c r="G131" s="12"/>
      <c r="H131" s="12"/>
      <c r="I131" s="12"/>
      <c r="J131" s="12"/>
      <c r="K131" s="12"/>
      <c r="L131" s="12"/>
      <c r="M131" s="12"/>
      <c r="N131" s="13"/>
      <c r="O131" s="13"/>
      <c r="P131" s="13"/>
      <c r="Q131" s="13"/>
      <c r="R131" s="13"/>
      <c r="S131" s="13"/>
    </row>
    <row r="132" spans="2:19" ht="16" customHeight="1" x14ac:dyDescent="0.45">
      <c r="B132" s="34"/>
      <c r="C132" s="34" t="s">
        <v>897</v>
      </c>
      <c r="D132" s="69"/>
      <c r="E132" s="70">
        <f>E126+E128</f>
        <v>-58939.003110000005</v>
      </c>
      <c r="F132" s="69"/>
      <c r="G132" s="35">
        <f t="shared" ref="G132:M132" si="25">G126+G128</f>
        <v>-42656.760619999994</v>
      </c>
      <c r="H132" s="35">
        <f t="shared" si="25"/>
        <v>-8883.5887600000005</v>
      </c>
      <c r="I132" s="35">
        <f t="shared" si="25"/>
        <v>0</v>
      </c>
      <c r="J132" s="35">
        <f t="shared" si="25"/>
        <v>-5982.0266599999995</v>
      </c>
      <c r="K132" s="35">
        <f t="shared" si="25"/>
        <v>-1455.67265</v>
      </c>
      <c r="L132" s="35">
        <f t="shared" si="25"/>
        <v>0</v>
      </c>
      <c r="M132" s="35">
        <f t="shared" si="25"/>
        <v>39.045580000000001</v>
      </c>
      <c r="N132" s="13"/>
      <c r="O132" s="13"/>
      <c r="P132" s="13"/>
      <c r="Q132" s="13"/>
      <c r="R132" s="13"/>
      <c r="S132" s="13"/>
    </row>
    <row r="133" spans="2:19" ht="16" customHeight="1" x14ac:dyDescent="0.45">
      <c r="B133" s="11"/>
      <c r="C133" s="11" t="s">
        <v>22</v>
      </c>
      <c r="D133" s="29"/>
      <c r="E133" s="60"/>
      <c r="F133" s="29"/>
      <c r="G133" s="12"/>
      <c r="H133" s="12"/>
      <c r="I133" s="12"/>
      <c r="J133" s="12"/>
      <c r="K133" s="12"/>
      <c r="L133" s="12"/>
      <c r="M133" s="12"/>
      <c r="N133" s="13"/>
      <c r="O133" s="13"/>
      <c r="P133" s="13"/>
      <c r="Q133" s="13"/>
      <c r="R133" s="13"/>
      <c r="S133" s="13"/>
    </row>
    <row r="134" spans="2:19" ht="16" customHeight="1" x14ac:dyDescent="0.45">
      <c r="B134" s="34"/>
      <c r="C134" s="34" t="s">
        <v>898</v>
      </c>
      <c r="D134" s="69"/>
      <c r="E134" s="70">
        <f>E135+E136</f>
        <v>-426391.13639</v>
      </c>
      <c r="F134" s="69"/>
      <c r="G134" s="35">
        <f t="shared" ref="G134:M134" si="26">G135+G136</f>
        <v>1053.5636099999999</v>
      </c>
      <c r="H134" s="35">
        <f t="shared" si="26"/>
        <v>0</v>
      </c>
      <c r="I134" s="35">
        <f t="shared" si="26"/>
        <v>0</v>
      </c>
      <c r="J134" s="35">
        <f t="shared" si="26"/>
        <v>0</v>
      </c>
      <c r="K134" s="35">
        <f t="shared" si="26"/>
        <v>0</v>
      </c>
      <c r="L134" s="35">
        <f t="shared" si="26"/>
        <v>0</v>
      </c>
      <c r="M134" s="35">
        <f t="shared" si="26"/>
        <v>-427444.7</v>
      </c>
      <c r="N134" s="13"/>
      <c r="O134" s="13"/>
      <c r="P134" s="13"/>
      <c r="Q134" s="13"/>
      <c r="R134" s="13"/>
      <c r="S134" s="13"/>
    </row>
    <row r="135" spans="2:19" ht="16" customHeight="1" x14ac:dyDescent="0.45">
      <c r="B135" s="14" t="s">
        <v>899</v>
      </c>
      <c r="C135" s="14" t="s">
        <v>900</v>
      </c>
      <c r="D135" s="61"/>
      <c r="E135" s="62"/>
      <c r="F135" s="61"/>
      <c r="G135" s="15"/>
      <c r="H135" s="15"/>
      <c r="I135" s="15"/>
      <c r="J135" s="15"/>
      <c r="K135" s="15"/>
      <c r="L135" s="15"/>
      <c r="M135" s="15"/>
      <c r="N135" s="13"/>
      <c r="O135" s="13"/>
      <c r="P135" s="13"/>
      <c r="Q135" s="13"/>
      <c r="R135" s="13"/>
      <c r="S135" s="13"/>
    </row>
    <row r="136" spans="2:19" ht="16" customHeight="1" x14ac:dyDescent="0.45">
      <c r="B136" s="14" t="s">
        <v>901</v>
      </c>
      <c r="C136" s="14" t="s">
        <v>902</v>
      </c>
      <c r="D136" s="61"/>
      <c r="E136" s="62">
        <v>-426391.13639</v>
      </c>
      <c r="F136" s="61"/>
      <c r="G136" s="15">
        <v>1053.5636099999999</v>
      </c>
      <c r="H136" s="15"/>
      <c r="I136" s="15"/>
      <c r="J136" s="15"/>
      <c r="K136" s="15"/>
      <c r="L136" s="15"/>
      <c r="M136" s="15">
        <v>-427444.7</v>
      </c>
      <c r="N136" s="13"/>
      <c r="O136" s="13"/>
      <c r="P136" s="13"/>
      <c r="Q136" s="13"/>
      <c r="R136" s="13"/>
      <c r="S136" s="13"/>
    </row>
    <row r="137" spans="2:19" ht="16" customHeight="1" x14ac:dyDescent="0.45">
      <c r="B137" s="11"/>
      <c r="C137" s="11" t="s">
        <v>22</v>
      </c>
      <c r="D137" s="29"/>
      <c r="E137" s="60"/>
      <c r="F137" s="29"/>
      <c r="G137" s="12"/>
      <c r="H137" s="12"/>
      <c r="I137" s="12"/>
      <c r="J137" s="12"/>
      <c r="K137" s="12"/>
      <c r="L137" s="12"/>
      <c r="M137" s="12"/>
      <c r="N137" s="13"/>
      <c r="O137" s="13"/>
      <c r="P137" s="13"/>
      <c r="Q137" s="13"/>
      <c r="R137" s="13"/>
      <c r="S137" s="13"/>
    </row>
    <row r="138" spans="2:19" ht="16" customHeight="1" x14ac:dyDescent="0.45">
      <c r="B138" s="34"/>
      <c r="C138" s="34" t="s">
        <v>903</v>
      </c>
      <c r="D138" s="69"/>
      <c r="E138" s="70">
        <f>E139+E140</f>
        <v>0</v>
      </c>
      <c r="F138" s="69"/>
      <c r="G138" s="35">
        <f t="shared" ref="G138:M138" si="27">G139+G140</f>
        <v>0</v>
      </c>
      <c r="H138" s="35">
        <f t="shared" si="27"/>
        <v>0</v>
      </c>
      <c r="I138" s="35">
        <f t="shared" si="27"/>
        <v>0</v>
      </c>
      <c r="J138" s="35">
        <f t="shared" si="27"/>
        <v>0</v>
      </c>
      <c r="K138" s="35">
        <f t="shared" si="27"/>
        <v>0</v>
      </c>
      <c r="L138" s="35">
        <f t="shared" si="27"/>
        <v>0</v>
      </c>
      <c r="M138" s="35">
        <f t="shared" si="27"/>
        <v>0</v>
      </c>
      <c r="N138" s="13"/>
      <c r="O138" s="13"/>
      <c r="P138" s="13"/>
      <c r="Q138" s="13"/>
      <c r="R138" s="13"/>
      <c r="S138" s="13"/>
    </row>
    <row r="139" spans="2:19" ht="16" customHeight="1" x14ac:dyDescent="0.45">
      <c r="B139" s="14" t="s">
        <v>904</v>
      </c>
      <c r="C139" s="14" t="s">
        <v>905</v>
      </c>
      <c r="D139" s="61"/>
      <c r="E139" s="62"/>
      <c r="F139" s="61"/>
      <c r="G139" s="15"/>
      <c r="H139" s="15"/>
      <c r="I139" s="15"/>
      <c r="J139" s="15"/>
      <c r="K139" s="15"/>
      <c r="L139" s="15"/>
      <c r="M139" s="15"/>
      <c r="N139" s="13"/>
      <c r="O139" s="13"/>
      <c r="P139" s="13"/>
      <c r="Q139" s="13"/>
      <c r="R139" s="13"/>
      <c r="S139" s="13"/>
    </row>
    <row r="140" spans="2:19" ht="16" customHeight="1" x14ac:dyDescent="0.45">
      <c r="B140" s="14" t="s">
        <v>906</v>
      </c>
      <c r="C140" s="14" t="s">
        <v>907</v>
      </c>
      <c r="D140" s="61"/>
      <c r="E140" s="62">
        <f>E141+E142</f>
        <v>0</v>
      </c>
      <c r="F140" s="61"/>
      <c r="G140" s="15">
        <f t="shared" ref="G140:M140" si="28">G141+G142</f>
        <v>0</v>
      </c>
      <c r="H140" s="15">
        <f t="shared" si="28"/>
        <v>0</v>
      </c>
      <c r="I140" s="15">
        <f t="shared" si="28"/>
        <v>0</v>
      </c>
      <c r="J140" s="15">
        <f t="shared" si="28"/>
        <v>0</v>
      </c>
      <c r="K140" s="15">
        <f t="shared" si="28"/>
        <v>0</v>
      </c>
      <c r="L140" s="15">
        <f t="shared" si="28"/>
        <v>0</v>
      </c>
      <c r="M140" s="15">
        <f t="shared" si="28"/>
        <v>0</v>
      </c>
      <c r="N140" s="13"/>
      <c r="O140" s="13"/>
      <c r="P140" s="13"/>
      <c r="Q140" s="13"/>
      <c r="R140" s="13"/>
      <c r="S140" s="13"/>
    </row>
    <row r="141" spans="2:19" ht="16" customHeight="1" x14ac:dyDescent="0.45">
      <c r="B141" s="14"/>
      <c r="C141" s="14" t="s">
        <v>909</v>
      </c>
      <c r="D141" s="61"/>
      <c r="E141" s="62"/>
      <c r="F141" s="61"/>
      <c r="G141" s="15"/>
      <c r="H141" s="15"/>
      <c r="I141" s="15"/>
      <c r="J141" s="15"/>
      <c r="K141" s="15"/>
      <c r="L141" s="15"/>
      <c r="M141" s="15"/>
      <c r="N141" s="13"/>
      <c r="O141" s="13"/>
      <c r="P141" s="13"/>
      <c r="Q141" s="13"/>
      <c r="R141" s="13"/>
      <c r="S141" s="13"/>
    </row>
    <row r="142" spans="2:19" ht="16" customHeight="1" x14ac:dyDescent="0.45">
      <c r="B142" s="14"/>
      <c r="C142" s="14" t="s">
        <v>911</v>
      </c>
      <c r="D142" s="61"/>
      <c r="E142" s="62"/>
      <c r="F142" s="61"/>
      <c r="G142" s="15"/>
      <c r="H142" s="15"/>
      <c r="I142" s="15"/>
      <c r="J142" s="15"/>
      <c r="K142" s="15"/>
      <c r="L142" s="15"/>
      <c r="M142" s="15"/>
      <c r="N142" s="13"/>
      <c r="O142" s="13"/>
      <c r="P142" s="13"/>
      <c r="Q142" s="13"/>
      <c r="R142" s="13"/>
      <c r="S142" s="13"/>
    </row>
    <row r="143" spans="2:19" ht="16" customHeight="1" x14ac:dyDescent="0.45">
      <c r="B143" s="11"/>
      <c r="C143" s="11" t="s">
        <v>22</v>
      </c>
      <c r="D143" s="29"/>
      <c r="E143" s="60"/>
      <c r="F143" s="29"/>
      <c r="G143" s="12"/>
      <c r="H143" s="12"/>
      <c r="I143" s="12"/>
      <c r="J143" s="12"/>
      <c r="K143" s="12"/>
      <c r="L143" s="12"/>
      <c r="M143" s="12"/>
      <c r="N143" s="13"/>
      <c r="O143" s="13"/>
      <c r="P143" s="13"/>
      <c r="Q143" s="13"/>
      <c r="R143" s="13"/>
      <c r="S143" s="13"/>
    </row>
    <row r="144" spans="2:19" ht="16" customHeight="1" x14ac:dyDescent="0.45">
      <c r="B144" s="34"/>
      <c r="C144" s="34" t="s">
        <v>912</v>
      </c>
      <c r="D144" s="69"/>
      <c r="E144" s="70">
        <f>E145+E146</f>
        <v>-32.159999999999997</v>
      </c>
      <c r="F144" s="69"/>
      <c r="G144" s="35">
        <f t="shared" ref="G144:M144" si="29">G145+G146</f>
        <v>0</v>
      </c>
      <c r="H144" s="35">
        <f t="shared" si="29"/>
        <v>0</v>
      </c>
      <c r="I144" s="35">
        <f t="shared" si="29"/>
        <v>0</v>
      </c>
      <c r="J144" s="35">
        <f t="shared" si="29"/>
        <v>0</v>
      </c>
      <c r="K144" s="35">
        <f t="shared" si="29"/>
        <v>0</v>
      </c>
      <c r="L144" s="35">
        <f t="shared" si="29"/>
        <v>0</v>
      </c>
      <c r="M144" s="35">
        <f t="shared" si="29"/>
        <v>-32.159999999999997</v>
      </c>
      <c r="N144" s="13"/>
      <c r="O144" s="13"/>
      <c r="P144" s="13"/>
      <c r="Q144" s="13"/>
      <c r="R144" s="13"/>
      <c r="S144" s="13"/>
    </row>
    <row r="145" spans="2:19" ht="16" customHeight="1" x14ac:dyDescent="0.45">
      <c r="B145" s="14" t="s">
        <v>913</v>
      </c>
      <c r="C145" s="14" t="s">
        <v>914</v>
      </c>
      <c r="D145" s="61"/>
      <c r="E145" s="62">
        <v>0</v>
      </c>
      <c r="F145" s="61"/>
      <c r="G145" s="15"/>
      <c r="H145" s="15"/>
      <c r="I145" s="15"/>
      <c r="J145" s="15"/>
      <c r="K145" s="15"/>
      <c r="L145" s="15"/>
      <c r="M145" s="15">
        <v>0</v>
      </c>
      <c r="N145" s="13"/>
      <c r="O145" s="13"/>
      <c r="P145" s="13"/>
      <c r="Q145" s="13"/>
      <c r="R145" s="13"/>
      <c r="S145" s="13"/>
    </row>
    <row r="146" spans="2:19" ht="16" customHeight="1" x14ac:dyDescent="0.45">
      <c r="B146" s="14" t="s">
        <v>915</v>
      </c>
      <c r="C146" s="14" t="s">
        <v>916</v>
      </c>
      <c r="D146" s="61"/>
      <c r="E146" s="62">
        <v>-32.159999999999997</v>
      </c>
      <c r="F146" s="61"/>
      <c r="G146" s="15"/>
      <c r="H146" s="15"/>
      <c r="I146" s="15"/>
      <c r="J146" s="15"/>
      <c r="K146" s="15"/>
      <c r="L146" s="15"/>
      <c r="M146" s="15">
        <v>-32.159999999999997</v>
      </c>
      <c r="N146" s="13"/>
      <c r="O146" s="13"/>
      <c r="P146" s="13"/>
      <c r="Q146" s="13"/>
      <c r="R146" s="13"/>
      <c r="S146" s="13"/>
    </row>
    <row r="147" spans="2:19" ht="16" customHeight="1" x14ac:dyDescent="0.45">
      <c r="B147" s="11"/>
      <c r="C147" s="11" t="s">
        <v>22</v>
      </c>
      <c r="D147" s="29"/>
      <c r="E147" s="60"/>
      <c r="F147" s="29"/>
      <c r="G147" s="12"/>
      <c r="H147" s="12"/>
      <c r="I147" s="12"/>
      <c r="J147" s="12"/>
      <c r="K147" s="12"/>
      <c r="L147" s="12"/>
      <c r="M147" s="12"/>
      <c r="N147" s="13"/>
      <c r="O147" s="13"/>
      <c r="P147" s="13"/>
      <c r="Q147" s="13"/>
      <c r="R147" s="13"/>
      <c r="S147" s="13"/>
    </row>
    <row r="148" spans="2:19" ht="16" customHeight="1" x14ac:dyDescent="0.45">
      <c r="B148" s="34"/>
      <c r="C148" s="34" t="s">
        <v>917</v>
      </c>
      <c r="D148" s="69"/>
      <c r="E148" s="70">
        <f>E149+E150</f>
        <v>-22554.72525</v>
      </c>
      <c r="F148" s="69"/>
      <c r="G148" s="35">
        <f t="shared" ref="G148:M148" si="30">G149+G150</f>
        <v>0</v>
      </c>
      <c r="H148" s="35">
        <f t="shared" si="30"/>
        <v>0</v>
      </c>
      <c r="I148" s="35">
        <f t="shared" si="30"/>
        <v>0</v>
      </c>
      <c r="J148" s="35">
        <f t="shared" si="30"/>
        <v>0</v>
      </c>
      <c r="K148" s="35">
        <f t="shared" si="30"/>
        <v>0</v>
      </c>
      <c r="L148" s="35">
        <f t="shared" si="30"/>
        <v>0</v>
      </c>
      <c r="M148" s="35">
        <f t="shared" si="30"/>
        <v>-22554.72525</v>
      </c>
      <c r="N148" s="13"/>
      <c r="O148" s="13"/>
      <c r="P148" s="13"/>
      <c r="Q148" s="13"/>
      <c r="R148" s="13"/>
      <c r="S148" s="13"/>
    </row>
    <row r="149" spans="2:19" ht="16" customHeight="1" x14ac:dyDescent="0.45">
      <c r="B149" s="14" t="s">
        <v>918</v>
      </c>
      <c r="C149" s="14" t="s">
        <v>919</v>
      </c>
      <c r="D149" s="61"/>
      <c r="E149" s="62">
        <v>-22679.72525</v>
      </c>
      <c r="F149" s="61"/>
      <c r="G149" s="15"/>
      <c r="H149" s="15"/>
      <c r="I149" s="15"/>
      <c r="J149" s="15"/>
      <c r="K149" s="15"/>
      <c r="L149" s="15"/>
      <c r="M149" s="15">
        <v>-22679.72525</v>
      </c>
      <c r="N149" s="13"/>
      <c r="O149" s="13"/>
      <c r="P149" s="13"/>
      <c r="Q149" s="13"/>
      <c r="R149" s="13"/>
      <c r="S149" s="13"/>
    </row>
    <row r="150" spans="2:19" ht="16" customHeight="1" x14ac:dyDescent="0.35">
      <c r="B150" s="14" t="s">
        <v>920</v>
      </c>
      <c r="C150" s="14" t="s">
        <v>921</v>
      </c>
      <c r="D150" s="61"/>
      <c r="E150" s="62">
        <v>125</v>
      </c>
      <c r="F150" s="61"/>
      <c r="G150" s="15"/>
      <c r="H150" s="15"/>
      <c r="I150" s="15"/>
      <c r="J150" s="15"/>
      <c r="K150" s="15"/>
      <c r="L150" s="15"/>
      <c r="M150" s="15">
        <v>125</v>
      </c>
    </row>
    <row r="151" spans="2:19" ht="16" customHeight="1" x14ac:dyDescent="0.35">
      <c r="B151" s="11"/>
      <c r="C151" s="11" t="s">
        <v>22</v>
      </c>
      <c r="D151" s="29"/>
      <c r="E151" s="60"/>
      <c r="F151" s="29"/>
      <c r="G151" s="12"/>
      <c r="H151" s="12"/>
      <c r="I151" s="12"/>
      <c r="J151" s="12"/>
      <c r="K151" s="12"/>
      <c r="L151" s="12"/>
      <c r="M151" s="12"/>
    </row>
    <row r="152" spans="2:19" ht="16" customHeight="1" x14ac:dyDescent="0.35">
      <c r="B152" s="34"/>
      <c r="C152" s="34" t="s">
        <v>922</v>
      </c>
      <c r="D152" s="69"/>
      <c r="E152" s="70">
        <f>-(-E153)</f>
        <v>-343.81135</v>
      </c>
      <c r="F152" s="69"/>
      <c r="G152" s="35">
        <f t="shared" ref="G152:M152" si="31">-(-G153)</f>
        <v>-281.83976999999999</v>
      </c>
      <c r="H152" s="35">
        <f t="shared" si="31"/>
        <v>100</v>
      </c>
      <c r="I152" s="35">
        <f t="shared" si="31"/>
        <v>0</v>
      </c>
      <c r="J152" s="35">
        <f t="shared" si="31"/>
        <v>1.07222</v>
      </c>
      <c r="K152" s="35">
        <f t="shared" si="31"/>
        <v>-1.0000000000000001E-5</v>
      </c>
      <c r="L152" s="35">
        <f t="shared" si="31"/>
        <v>0</v>
      </c>
      <c r="M152" s="35">
        <f t="shared" si="31"/>
        <v>-163.04379</v>
      </c>
    </row>
    <row r="153" spans="2:19" ht="16" customHeight="1" x14ac:dyDescent="0.35">
      <c r="B153" s="14" t="s">
        <v>923</v>
      </c>
      <c r="C153" s="14" t="s">
        <v>924</v>
      </c>
      <c r="D153" s="61"/>
      <c r="E153" s="62">
        <v>-343.81135</v>
      </c>
      <c r="F153" s="61"/>
      <c r="G153" s="15">
        <v>-281.83976999999999</v>
      </c>
      <c r="H153" s="15">
        <v>100</v>
      </c>
      <c r="I153" s="15"/>
      <c r="J153" s="15">
        <v>1.07222</v>
      </c>
      <c r="K153" s="15">
        <v>-1.0000000000000001E-5</v>
      </c>
      <c r="L153" s="15"/>
      <c r="M153" s="15">
        <v>-163.04379</v>
      </c>
    </row>
    <row r="154" spans="2:19" ht="16" customHeight="1" x14ac:dyDescent="0.35">
      <c r="B154" s="11"/>
      <c r="C154" s="11" t="s">
        <v>22</v>
      </c>
      <c r="D154" s="29"/>
      <c r="E154" s="60"/>
      <c r="F154" s="29"/>
      <c r="G154" s="12"/>
      <c r="H154" s="12"/>
      <c r="I154" s="12"/>
      <c r="J154" s="12"/>
      <c r="K154" s="12"/>
      <c r="L154" s="12"/>
      <c r="M154" s="12"/>
    </row>
    <row r="155" spans="2:19" ht="16" customHeight="1" x14ac:dyDescent="0.35">
      <c r="B155" s="34"/>
      <c r="C155" s="34" t="s">
        <v>925</v>
      </c>
      <c r="D155" s="69"/>
      <c r="E155" s="70">
        <f>E156+E157</f>
        <v>0</v>
      </c>
      <c r="F155" s="69"/>
      <c r="G155" s="35">
        <f t="shared" ref="G155:M155" si="32">G156+G157</f>
        <v>0</v>
      </c>
      <c r="H155" s="35">
        <f t="shared" si="32"/>
        <v>0</v>
      </c>
      <c r="I155" s="35">
        <f t="shared" si="32"/>
        <v>0</v>
      </c>
      <c r="J155" s="35">
        <f t="shared" si="32"/>
        <v>0</v>
      </c>
      <c r="K155" s="35">
        <f t="shared" si="32"/>
        <v>0</v>
      </c>
      <c r="L155" s="35">
        <f t="shared" si="32"/>
        <v>0</v>
      </c>
      <c r="M155" s="35">
        <f t="shared" si="32"/>
        <v>0</v>
      </c>
    </row>
    <row r="156" spans="2:19" ht="16" customHeight="1" x14ac:dyDescent="0.35">
      <c r="B156" s="14" t="s">
        <v>926</v>
      </c>
      <c r="C156" s="14" t="s">
        <v>927</v>
      </c>
      <c r="D156" s="61"/>
      <c r="E156" s="62"/>
      <c r="F156" s="61"/>
      <c r="G156" s="15"/>
      <c r="H156" s="15"/>
      <c r="I156" s="15"/>
      <c r="J156" s="15"/>
      <c r="K156" s="15"/>
      <c r="L156" s="15"/>
      <c r="M156" s="15"/>
    </row>
    <row r="157" spans="2:19" ht="16" customHeight="1" x14ac:dyDescent="0.35">
      <c r="B157" s="14" t="s">
        <v>928</v>
      </c>
      <c r="C157" s="14" t="s">
        <v>929</v>
      </c>
      <c r="D157" s="61"/>
      <c r="E157" s="62"/>
      <c r="F157" s="61"/>
      <c r="G157" s="15"/>
      <c r="H157" s="15"/>
      <c r="I157" s="15"/>
      <c r="J157" s="15"/>
      <c r="K157" s="15"/>
      <c r="L157" s="15"/>
      <c r="M157" s="15"/>
    </row>
    <row r="158" spans="2:19" ht="16" customHeight="1" x14ac:dyDescent="0.35">
      <c r="B158" s="11"/>
      <c r="C158" s="11" t="s">
        <v>22</v>
      </c>
      <c r="D158" s="29"/>
      <c r="E158" s="60"/>
      <c r="F158" s="29"/>
      <c r="G158" s="12"/>
      <c r="H158" s="12"/>
      <c r="I158" s="12"/>
      <c r="J158" s="12"/>
      <c r="K158" s="12"/>
      <c r="L158" s="12"/>
      <c r="M158" s="12"/>
    </row>
    <row r="159" spans="2:19" ht="16" customHeight="1" x14ac:dyDescent="0.35">
      <c r="B159" s="34"/>
      <c r="C159" s="34" t="s">
        <v>930</v>
      </c>
      <c r="D159" s="69"/>
      <c r="E159" s="70">
        <f>-(-E134-E138-E144-E148-E152-E155)</f>
        <v>-449321.83298999997</v>
      </c>
      <c r="F159" s="69"/>
      <c r="G159" s="35">
        <f t="shared" ref="G159:M159" si="33">-(-G134-G138-G144-G148-G152-G155)</f>
        <v>771.72383999999988</v>
      </c>
      <c r="H159" s="35">
        <f t="shared" si="33"/>
        <v>100</v>
      </c>
      <c r="I159" s="35">
        <f t="shared" si="33"/>
        <v>0</v>
      </c>
      <c r="J159" s="35">
        <f t="shared" si="33"/>
        <v>1.07222</v>
      </c>
      <c r="K159" s="35">
        <f t="shared" si="33"/>
        <v>-1.0000000000000001E-5</v>
      </c>
      <c r="L159" s="35">
        <f t="shared" si="33"/>
        <v>0</v>
      </c>
      <c r="M159" s="35">
        <f t="shared" si="33"/>
        <v>-450194.62904000003</v>
      </c>
    </row>
    <row r="160" spans="2:19" ht="16" customHeight="1" x14ac:dyDescent="0.35">
      <c r="B160" s="11"/>
      <c r="C160" s="11" t="s">
        <v>22</v>
      </c>
      <c r="D160" s="29"/>
      <c r="E160" s="60"/>
      <c r="F160" s="29"/>
      <c r="G160" s="12"/>
      <c r="H160" s="12"/>
      <c r="I160" s="12"/>
      <c r="J160" s="12"/>
      <c r="K160" s="12"/>
      <c r="L160" s="12"/>
      <c r="M160" s="12"/>
    </row>
    <row r="161" spans="2:13" ht="16" customHeight="1" x14ac:dyDescent="0.35">
      <c r="B161" s="40"/>
      <c r="C161" s="40" t="s">
        <v>931</v>
      </c>
      <c r="D161" s="53"/>
      <c r="E161" s="53">
        <f>E132+E159</f>
        <v>-508260.83609999996</v>
      </c>
      <c r="F161" s="53"/>
      <c r="G161" s="24">
        <f t="shared" ref="G161:M161" si="34">G132+G159</f>
        <v>-41885.036779999995</v>
      </c>
      <c r="H161" s="24">
        <f t="shared" si="34"/>
        <v>-8783.5887600000005</v>
      </c>
      <c r="I161" s="24">
        <f t="shared" si="34"/>
        <v>0</v>
      </c>
      <c r="J161" s="24">
        <f t="shared" si="34"/>
        <v>-5980.9544399999995</v>
      </c>
      <c r="K161" s="24">
        <f t="shared" si="34"/>
        <v>-1455.67266</v>
      </c>
      <c r="L161" s="24">
        <f t="shared" si="34"/>
        <v>0</v>
      </c>
      <c r="M161" s="24">
        <f t="shared" si="34"/>
        <v>-450155.58346000005</v>
      </c>
    </row>
    <row r="162" spans="2:13" ht="16" customHeight="1" x14ac:dyDescent="0.35">
      <c r="B162" s="11"/>
      <c r="C162" s="11" t="s">
        <v>22</v>
      </c>
      <c r="D162" s="29"/>
      <c r="E162" s="60"/>
      <c r="F162" s="29"/>
      <c r="G162" s="12"/>
      <c r="H162" s="12"/>
      <c r="I162" s="12"/>
      <c r="J162" s="12"/>
      <c r="K162" s="12"/>
      <c r="L162" s="12"/>
      <c r="M162" s="12"/>
    </row>
    <row r="163" spans="2:13" ht="16" customHeight="1" x14ac:dyDescent="0.35">
      <c r="B163" s="34"/>
      <c r="C163" s="34" t="s">
        <v>932</v>
      </c>
      <c r="D163" s="69"/>
      <c r="E163" s="70"/>
      <c r="F163" s="69"/>
      <c r="G163" s="35"/>
      <c r="H163" s="35"/>
      <c r="I163" s="35"/>
      <c r="J163" s="35"/>
      <c r="K163" s="35"/>
      <c r="L163" s="35"/>
      <c r="M163" s="35"/>
    </row>
    <row r="164" spans="2:13" ht="16" customHeight="1" x14ac:dyDescent="0.35">
      <c r="B164" s="11"/>
      <c r="C164" s="11" t="s">
        <v>22</v>
      </c>
      <c r="D164" s="29"/>
      <c r="E164" s="60"/>
      <c r="F164" s="29"/>
      <c r="G164" s="12"/>
      <c r="H164" s="12"/>
      <c r="I164" s="12"/>
      <c r="J164" s="12"/>
      <c r="K164" s="12"/>
      <c r="L164" s="12"/>
      <c r="M164" s="12"/>
    </row>
    <row r="165" spans="2:13" ht="16" customHeight="1" x14ac:dyDescent="0.35">
      <c r="B165" s="34"/>
      <c r="C165" s="34" t="s">
        <v>933</v>
      </c>
      <c r="D165" s="69"/>
      <c r="E165" s="70">
        <f>-(-(E166+E167)-E168)</f>
        <v>0</v>
      </c>
      <c r="F165" s="69"/>
      <c r="G165" s="35">
        <f t="shared" ref="G165:M165" si="35">-(-(G166+G167)-G168)</f>
        <v>0</v>
      </c>
      <c r="H165" s="35">
        <f t="shared" si="35"/>
        <v>0</v>
      </c>
      <c r="I165" s="35">
        <f t="shared" si="35"/>
        <v>0</v>
      </c>
      <c r="J165" s="35">
        <f t="shared" si="35"/>
        <v>0</v>
      </c>
      <c r="K165" s="35">
        <f t="shared" si="35"/>
        <v>0</v>
      </c>
      <c r="L165" s="35">
        <f t="shared" si="35"/>
        <v>0</v>
      </c>
      <c r="M165" s="35">
        <f t="shared" si="35"/>
        <v>0</v>
      </c>
    </row>
    <row r="166" spans="2:13" ht="16" customHeight="1" x14ac:dyDescent="0.35">
      <c r="B166" s="14" t="s">
        <v>934</v>
      </c>
      <c r="C166" s="14" t="s">
        <v>935</v>
      </c>
      <c r="D166" s="61"/>
      <c r="E166" s="62"/>
      <c r="F166" s="61"/>
      <c r="G166" s="15"/>
      <c r="H166" s="15"/>
      <c r="I166" s="15"/>
      <c r="J166" s="15"/>
      <c r="K166" s="15"/>
      <c r="L166" s="15"/>
      <c r="M166" s="15"/>
    </row>
    <row r="167" spans="2:13" ht="16" customHeight="1" x14ac:dyDescent="0.35">
      <c r="B167" s="14" t="s">
        <v>936</v>
      </c>
      <c r="C167" s="14" t="s">
        <v>937</v>
      </c>
      <c r="D167" s="61"/>
      <c r="E167" s="62"/>
      <c r="F167" s="61"/>
      <c r="G167" s="15"/>
      <c r="H167" s="15"/>
      <c r="I167" s="15"/>
      <c r="J167" s="15"/>
      <c r="K167" s="15"/>
      <c r="L167" s="15"/>
      <c r="M167" s="15"/>
    </row>
    <row r="168" spans="2:13" ht="16" customHeight="1" x14ac:dyDescent="0.35">
      <c r="B168" s="14" t="s">
        <v>938</v>
      </c>
      <c r="C168" s="14" t="s">
        <v>939</v>
      </c>
      <c r="D168" s="61"/>
      <c r="E168" s="62"/>
      <c r="F168" s="61"/>
      <c r="G168" s="15"/>
      <c r="H168" s="15"/>
      <c r="I168" s="15"/>
      <c r="J168" s="15"/>
      <c r="K168" s="15"/>
      <c r="L168" s="15"/>
      <c r="M168" s="15"/>
    </row>
    <row r="169" spans="2:13" ht="16" customHeight="1" x14ac:dyDescent="0.35">
      <c r="B169" s="11"/>
      <c r="C169" s="11" t="s">
        <v>22</v>
      </c>
      <c r="D169" s="29"/>
      <c r="E169" s="60"/>
      <c r="F169" s="29"/>
      <c r="G169" s="12"/>
      <c r="H169" s="12"/>
      <c r="I169" s="12"/>
      <c r="J169" s="12"/>
      <c r="K169" s="12"/>
      <c r="L169" s="12"/>
      <c r="M169" s="12"/>
    </row>
    <row r="170" spans="2:13" ht="16" customHeight="1" x14ac:dyDescent="0.35">
      <c r="B170" s="34"/>
      <c r="C170" s="34" t="s">
        <v>940</v>
      </c>
      <c r="D170" s="69"/>
      <c r="E170" s="70">
        <f>E171+E172</f>
        <v>0</v>
      </c>
      <c r="F170" s="69"/>
      <c r="G170" s="35">
        <f t="shared" ref="G170:M170" si="36">G171+G172</f>
        <v>0</v>
      </c>
      <c r="H170" s="35">
        <f t="shared" si="36"/>
        <v>0</v>
      </c>
      <c r="I170" s="35">
        <f t="shared" si="36"/>
        <v>0</v>
      </c>
      <c r="J170" s="35">
        <f t="shared" si="36"/>
        <v>0</v>
      </c>
      <c r="K170" s="35">
        <f t="shared" si="36"/>
        <v>0</v>
      </c>
      <c r="L170" s="35">
        <f t="shared" si="36"/>
        <v>0</v>
      </c>
      <c r="M170" s="35">
        <f t="shared" si="36"/>
        <v>0</v>
      </c>
    </row>
    <row r="171" spans="2:13" ht="16" customHeight="1" x14ac:dyDescent="0.35">
      <c r="B171" s="14" t="s">
        <v>941</v>
      </c>
      <c r="C171" s="14" t="s">
        <v>942</v>
      </c>
      <c r="D171" s="61"/>
      <c r="E171" s="62"/>
      <c r="F171" s="61"/>
      <c r="G171" s="15"/>
      <c r="H171" s="15"/>
      <c r="I171" s="15"/>
      <c r="J171" s="15"/>
      <c r="K171" s="15"/>
      <c r="L171" s="15"/>
      <c r="M171" s="15"/>
    </row>
    <row r="172" spans="2:13" ht="16" customHeight="1" x14ac:dyDescent="0.35">
      <c r="B172" s="14" t="s">
        <v>943</v>
      </c>
      <c r="C172" s="14" t="s">
        <v>944</v>
      </c>
      <c r="D172" s="61"/>
      <c r="E172" s="62"/>
      <c r="F172" s="61"/>
      <c r="G172" s="15"/>
      <c r="H172" s="15"/>
      <c r="I172" s="15"/>
      <c r="J172" s="15"/>
      <c r="K172" s="15"/>
      <c r="L172" s="15"/>
      <c r="M172" s="15"/>
    </row>
    <row r="173" spans="2:13" ht="16" customHeight="1" x14ac:dyDescent="0.35">
      <c r="B173" s="11"/>
      <c r="C173" s="11" t="s">
        <v>22</v>
      </c>
      <c r="D173" s="29"/>
      <c r="E173" s="60"/>
      <c r="F173" s="29"/>
      <c r="G173" s="12"/>
      <c r="H173" s="12"/>
      <c r="I173" s="12"/>
      <c r="J173" s="12"/>
      <c r="K173" s="12"/>
      <c r="L173" s="12"/>
      <c r="M173" s="12"/>
    </row>
    <row r="174" spans="2:13" ht="16" customHeight="1" x14ac:dyDescent="0.35">
      <c r="B174" s="14" t="s">
        <v>945</v>
      </c>
      <c r="C174" s="14" t="s">
        <v>946</v>
      </c>
      <c r="D174" s="61"/>
      <c r="E174" s="62"/>
      <c r="F174" s="61"/>
      <c r="G174" s="15"/>
      <c r="H174" s="15"/>
      <c r="I174" s="15"/>
      <c r="J174" s="15"/>
      <c r="K174" s="15"/>
      <c r="L174" s="15"/>
      <c r="M174" s="15"/>
    </row>
    <row r="175" spans="2:13" ht="16" customHeight="1" x14ac:dyDescent="0.35">
      <c r="B175" s="11"/>
      <c r="C175" s="11" t="s">
        <v>22</v>
      </c>
      <c r="D175" s="29"/>
      <c r="E175" s="60"/>
      <c r="F175" s="29"/>
      <c r="G175" s="12"/>
      <c r="H175" s="12"/>
      <c r="I175" s="12"/>
      <c r="J175" s="12"/>
      <c r="K175" s="12"/>
      <c r="L175" s="12"/>
      <c r="M175" s="12"/>
    </row>
    <row r="176" spans="2:13" ht="16" customHeight="1" x14ac:dyDescent="0.35">
      <c r="B176" s="14" t="s">
        <v>947</v>
      </c>
      <c r="C176" s="14" t="s">
        <v>948</v>
      </c>
      <c r="D176" s="61"/>
      <c r="E176" s="62"/>
      <c r="F176" s="61"/>
      <c r="G176" s="15"/>
      <c r="H176" s="15"/>
      <c r="I176" s="15"/>
      <c r="J176" s="15"/>
      <c r="K176" s="15"/>
      <c r="L176" s="15"/>
      <c r="M176" s="15"/>
    </row>
    <row r="177" spans="2:13" ht="16" customHeight="1" x14ac:dyDescent="0.35">
      <c r="B177" s="11"/>
      <c r="C177" s="11" t="s">
        <v>22</v>
      </c>
      <c r="D177" s="29"/>
      <c r="E177" s="60"/>
      <c r="F177" s="29"/>
      <c r="G177" s="12"/>
      <c r="H177" s="12"/>
      <c r="I177" s="12"/>
      <c r="J177" s="12"/>
      <c r="K177" s="12"/>
      <c r="L177" s="12"/>
      <c r="M177" s="12"/>
    </row>
    <row r="178" spans="2:13" ht="16" customHeight="1" x14ac:dyDescent="0.35">
      <c r="B178" s="14" t="s">
        <v>949</v>
      </c>
      <c r="C178" s="14" t="s">
        <v>950</v>
      </c>
      <c r="D178" s="61"/>
      <c r="E178" s="62"/>
      <c r="F178" s="61"/>
      <c r="G178" s="15"/>
      <c r="H178" s="15"/>
      <c r="I178" s="15"/>
      <c r="J178" s="15"/>
      <c r="K178" s="15"/>
      <c r="L178" s="15"/>
      <c r="M178" s="15"/>
    </row>
    <row r="179" spans="2:13" ht="16" customHeight="1" x14ac:dyDescent="0.35">
      <c r="B179" s="11"/>
      <c r="C179" s="11" t="s">
        <v>22</v>
      </c>
      <c r="D179" s="29"/>
      <c r="E179" s="60"/>
      <c r="F179" s="29"/>
      <c r="G179" s="12"/>
      <c r="H179" s="12"/>
      <c r="I179" s="12"/>
      <c r="J179" s="12"/>
      <c r="K179" s="12"/>
      <c r="L179" s="12"/>
      <c r="M179" s="12"/>
    </row>
    <row r="180" spans="2:13" ht="16" customHeight="1" x14ac:dyDescent="0.35">
      <c r="B180" s="34"/>
      <c r="C180" s="34" t="s">
        <v>951</v>
      </c>
      <c r="D180" s="69"/>
      <c r="E180" s="70">
        <f>E181+E182</f>
        <v>0</v>
      </c>
      <c r="F180" s="69"/>
      <c r="G180" s="35">
        <f t="shared" ref="G180:M180" si="37">G181+G182</f>
        <v>0</v>
      </c>
      <c r="H180" s="35">
        <f t="shared" si="37"/>
        <v>0</v>
      </c>
      <c r="I180" s="35">
        <f t="shared" si="37"/>
        <v>0</v>
      </c>
      <c r="J180" s="35">
        <f t="shared" si="37"/>
        <v>0</v>
      </c>
      <c r="K180" s="35">
        <f t="shared" si="37"/>
        <v>0</v>
      </c>
      <c r="L180" s="35">
        <f t="shared" si="37"/>
        <v>0</v>
      </c>
      <c r="M180" s="35">
        <f t="shared" si="37"/>
        <v>0</v>
      </c>
    </row>
    <row r="181" spans="2:13" ht="16" customHeight="1" x14ac:dyDescent="0.35">
      <c r="B181" s="14" t="s">
        <v>952</v>
      </c>
      <c r="C181" s="14" t="s">
        <v>953</v>
      </c>
      <c r="D181" s="61"/>
      <c r="E181" s="62"/>
      <c r="F181" s="61"/>
      <c r="G181" s="15"/>
      <c r="H181" s="15"/>
      <c r="I181" s="15"/>
      <c r="J181" s="15"/>
      <c r="K181" s="15"/>
      <c r="L181" s="15"/>
      <c r="M181" s="15"/>
    </row>
    <row r="182" spans="2:13" ht="16" customHeight="1" x14ac:dyDescent="0.35">
      <c r="B182" s="14" t="s">
        <v>954</v>
      </c>
      <c r="C182" s="14" t="s">
        <v>955</v>
      </c>
      <c r="D182" s="61"/>
      <c r="E182" s="62"/>
      <c r="F182" s="61"/>
      <c r="G182" s="15"/>
      <c r="H182" s="15"/>
      <c r="I182" s="15"/>
      <c r="J182" s="15"/>
      <c r="K182" s="15"/>
      <c r="L182" s="15"/>
      <c r="M182" s="15"/>
    </row>
    <row r="183" spans="2:13" ht="16" customHeight="1" x14ac:dyDescent="0.35">
      <c r="B183" s="11"/>
      <c r="C183" s="11" t="s">
        <v>22</v>
      </c>
      <c r="D183" s="29"/>
      <c r="E183" s="60"/>
      <c r="F183" s="29"/>
      <c r="G183" s="12"/>
      <c r="H183" s="12"/>
      <c r="I183" s="12"/>
      <c r="J183" s="12"/>
      <c r="K183" s="12"/>
      <c r="L183" s="12"/>
      <c r="M183" s="12"/>
    </row>
    <row r="184" spans="2:13" ht="16" customHeight="1" x14ac:dyDescent="0.35">
      <c r="B184" s="34"/>
      <c r="C184" s="34" t="s">
        <v>956</v>
      </c>
      <c r="D184" s="69"/>
      <c r="E184" s="70">
        <f>-(-(E185+E186)-E187-E188-E189)</f>
        <v>629199.91052000003</v>
      </c>
      <c r="F184" s="69"/>
      <c r="G184" s="35">
        <f t="shared" ref="G184:M184" si="38">-(-(G185+G186)-G187-G188-G189)</f>
        <v>0</v>
      </c>
      <c r="H184" s="35">
        <f t="shared" si="38"/>
        <v>0</v>
      </c>
      <c r="I184" s="35">
        <f t="shared" si="38"/>
        <v>0</v>
      </c>
      <c r="J184" s="35">
        <f t="shared" si="38"/>
        <v>0</v>
      </c>
      <c r="K184" s="35">
        <f t="shared" si="38"/>
        <v>0</v>
      </c>
      <c r="L184" s="35">
        <f t="shared" si="38"/>
        <v>0</v>
      </c>
      <c r="M184" s="35">
        <f t="shared" si="38"/>
        <v>629199.91052000003</v>
      </c>
    </row>
    <row r="185" spans="2:13" ht="16" customHeight="1" x14ac:dyDescent="0.35">
      <c r="B185" s="14" t="s">
        <v>957</v>
      </c>
      <c r="C185" s="14" t="s">
        <v>958</v>
      </c>
      <c r="D185" s="61"/>
      <c r="E185" s="62">
        <v>856151</v>
      </c>
      <c r="F185" s="61"/>
      <c r="G185" s="15"/>
      <c r="H185" s="15"/>
      <c r="I185" s="15"/>
      <c r="J185" s="15"/>
      <c r="K185" s="15"/>
      <c r="L185" s="15"/>
      <c r="M185" s="15">
        <v>856151</v>
      </c>
    </row>
    <row r="186" spans="2:13" ht="16" customHeight="1" x14ac:dyDescent="0.35">
      <c r="B186" s="14" t="s">
        <v>959</v>
      </c>
      <c r="C186" s="14" t="s">
        <v>960</v>
      </c>
      <c r="D186" s="61"/>
      <c r="E186" s="62">
        <v>177.31700000000001</v>
      </c>
      <c r="F186" s="61"/>
      <c r="G186" s="15"/>
      <c r="H186" s="15"/>
      <c r="I186" s="15"/>
      <c r="J186" s="15"/>
      <c r="K186" s="15"/>
      <c r="L186" s="15"/>
      <c r="M186" s="15">
        <v>177.31700000000001</v>
      </c>
    </row>
    <row r="187" spans="2:13" ht="16" customHeight="1" x14ac:dyDescent="0.35">
      <c r="B187" s="14" t="s">
        <v>961</v>
      </c>
      <c r="C187" s="14" t="s">
        <v>962</v>
      </c>
      <c r="D187" s="61"/>
      <c r="E187" s="62">
        <v>-226951</v>
      </c>
      <c r="F187" s="61"/>
      <c r="G187" s="15"/>
      <c r="H187" s="15"/>
      <c r="I187" s="15"/>
      <c r="J187" s="15"/>
      <c r="K187" s="15"/>
      <c r="L187" s="15"/>
      <c r="M187" s="15">
        <v>-226951</v>
      </c>
    </row>
    <row r="188" spans="2:13" ht="16" customHeight="1" x14ac:dyDescent="0.35">
      <c r="B188" s="14" t="s">
        <v>963</v>
      </c>
      <c r="C188" s="14" t="s">
        <v>964</v>
      </c>
      <c r="D188" s="61"/>
      <c r="E188" s="62">
        <v>-177.40647999999999</v>
      </c>
      <c r="F188" s="61"/>
      <c r="G188" s="15"/>
      <c r="H188" s="15"/>
      <c r="I188" s="15"/>
      <c r="J188" s="15"/>
      <c r="K188" s="15"/>
      <c r="L188" s="15"/>
      <c r="M188" s="15">
        <v>-177.40647999999999</v>
      </c>
    </row>
    <row r="189" spans="2:13" ht="16" customHeight="1" x14ac:dyDescent="0.35">
      <c r="B189" s="14" t="s">
        <v>965</v>
      </c>
      <c r="C189" s="14" t="s">
        <v>966</v>
      </c>
      <c r="D189" s="61"/>
      <c r="E189" s="62">
        <v>0</v>
      </c>
      <c r="F189" s="61"/>
      <c r="G189" s="15"/>
      <c r="H189" s="15"/>
      <c r="I189" s="15"/>
      <c r="J189" s="15"/>
      <c r="K189" s="15"/>
      <c r="L189" s="15"/>
      <c r="M189" s="15">
        <v>0</v>
      </c>
    </row>
    <row r="190" spans="2:13" ht="16" customHeight="1" x14ac:dyDescent="0.35">
      <c r="B190" s="11"/>
      <c r="C190" s="11" t="s">
        <v>22</v>
      </c>
      <c r="D190" s="29"/>
      <c r="E190" s="60"/>
      <c r="F190" s="29"/>
      <c r="G190" s="12"/>
      <c r="H190" s="12"/>
      <c r="I190" s="12"/>
      <c r="J190" s="12"/>
      <c r="K190" s="12"/>
      <c r="L190" s="12"/>
      <c r="M190" s="12"/>
    </row>
    <row r="191" spans="2:13" ht="16" customHeight="1" x14ac:dyDescent="0.35">
      <c r="B191" s="34"/>
      <c r="C191" s="34" t="s">
        <v>967</v>
      </c>
      <c r="D191" s="69"/>
      <c r="E191" s="70">
        <f>E193+E198+E202</f>
        <v>9251.8544899999979</v>
      </c>
      <c r="F191" s="69"/>
      <c r="G191" s="35">
        <f t="shared" ref="G191:M191" si="39">G193+G198+G202</f>
        <v>0</v>
      </c>
      <c r="H191" s="35">
        <f t="shared" si="39"/>
        <v>0</v>
      </c>
      <c r="I191" s="35">
        <f t="shared" si="39"/>
        <v>0</v>
      </c>
      <c r="J191" s="35">
        <f t="shared" si="39"/>
        <v>0</v>
      </c>
      <c r="K191" s="35">
        <f t="shared" si="39"/>
        <v>0</v>
      </c>
      <c r="L191" s="35">
        <f t="shared" si="39"/>
        <v>0</v>
      </c>
      <c r="M191" s="35">
        <f t="shared" si="39"/>
        <v>9251.8544899999979</v>
      </c>
    </row>
    <row r="192" spans="2:13" ht="16" customHeight="1" x14ac:dyDescent="0.35">
      <c r="B192" s="11"/>
      <c r="C192" s="11" t="s">
        <v>22</v>
      </c>
      <c r="D192" s="29"/>
      <c r="E192" s="60"/>
      <c r="F192" s="29"/>
      <c r="G192" s="12"/>
      <c r="H192" s="12"/>
      <c r="I192" s="12"/>
      <c r="J192" s="12"/>
      <c r="K192" s="12"/>
      <c r="L192" s="12"/>
      <c r="M192" s="12"/>
    </row>
    <row r="193" spans="2:13" ht="16" customHeight="1" x14ac:dyDescent="0.35">
      <c r="B193" s="34"/>
      <c r="C193" s="34" t="s">
        <v>968</v>
      </c>
      <c r="D193" s="69"/>
      <c r="E193" s="70">
        <f>-(-(E194+E195)-E196)</f>
        <v>31415.391970000001</v>
      </c>
      <c r="F193" s="69"/>
      <c r="G193" s="35">
        <f t="shared" ref="G193:M193" si="40">-(-(G194+G195)-G196)</f>
        <v>0</v>
      </c>
      <c r="H193" s="35">
        <f t="shared" si="40"/>
        <v>0</v>
      </c>
      <c r="I193" s="35">
        <f t="shared" si="40"/>
        <v>0</v>
      </c>
      <c r="J193" s="35">
        <f t="shared" si="40"/>
        <v>0</v>
      </c>
      <c r="K193" s="35">
        <f t="shared" si="40"/>
        <v>0</v>
      </c>
      <c r="L193" s="35">
        <f t="shared" si="40"/>
        <v>0</v>
      </c>
      <c r="M193" s="35">
        <f t="shared" si="40"/>
        <v>31415.391970000001</v>
      </c>
    </row>
    <row r="194" spans="2:13" ht="16" customHeight="1" x14ac:dyDescent="0.35">
      <c r="B194" s="14" t="s">
        <v>969</v>
      </c>
      <c r="C194" s="14" t="s">
        <v>970</v>
      </c>
      <c r="D194" s="61"/>
      <c r="E194" s="62">
        <v>31694.17945</v>
      </c>
      <c r="F194" s="61"/>
      <c r="G194" s="15"/>
      <c r="H194" s="15"/>
      <c r="I194" s="15"/>
      <c r="J194" s="15"/>
      <c r="K194" s="15"/>
      <c r="L194" s="15"/>
      <c r="M194" s="15">
        <v>31694.17945</v>
      </c>
    </row>
    <row r="195" spans="2:13" ht="16" customHeight="1" x14ac:dyDescent="0.35">
      <c r="B195" s="14" t="s">
        <v>971</v>
      </c>
      <c r="C195" s="14" t="s">
        <v>972</v>
      </c>
      <c r="D195" s="61"/>
      <c r="E195" s="62">
        <v>-278.78748000000002</v>
      </c>
      <c r="F195" s="61"/>
      <c r="G195" s="15"/>
      <c r="H195" s="15"/>
      <c r="I195" s="15"/>
      <c r="J195" s="15"/>
      <c r="K195" s="15"/>
      <c r="L195" s="15"/>
      <c r="M195" s="15">
        <v>-278.78748000000002</v>
      </c>
    </row>
    <row r="196" spans="2:13" ht="16" customHeight="1" x14ac:dyDescent="0.35">
      <c r="B196" s="14" t="s">
        <v>973</v>
      </c>
      <c r="C196" s="14" t="s">
        <v>974</v>
      </c>
      <c r="D196" s="61"/>
      <c r="E196" s="62"/>
      <c r="F196" s="61"/>
      <c r="G196" s="15"/>
      <c r="H196" s="15"/>
      <c r="I196" s="15"/>
      <c r="J196" s="15"/>
      <c r="K196" s="15"/>
      <c r="L196" s="15"/>
      <c r="M196" s="15"/>
    </row>
    <row r="197" spans="2:13" ht="16" customHeight="1" x14ac:dyDescent="0.35">
      <c r="B197" s="11"/>
      <c r="C197" s="11" t="s">
        <v>22</v>
      </c>
      <c r="D197" s="29"/>
      <c r="E197" s="60"/>
      <c r="F197" s="29"/>
      <c r="G197" s="12"/>
      <c r="H197" s="12"/>
      <c r="I197" s="12"/>
      <c r="J197" s="12"/>
      <c r="K197" s="12"/>
      <c r="L197" s="12"/>
      <c r="M197" s="12"/>
    </row>
    <row r="198" spans="2:13" ht="16" customHeight="1" x14ac:dyDescent="0.35">
      <c r="B198" s="34" t="s">
        <v>975</v>
      </c>
      <c r="C198" s="34" t="s">
        <v>976</v>
      </c>
      <c r="D198" s="69"/>
      <c r="E198" s="70">
        <f>E199+E200</f>
        <v>-21898.765330000002</v>
      </c>
      <c r="F198" s="69"/>
      <c r="G198" s="35">
        <f t="shared" ref="G198:M198" si="41">G199+G200</f>
        <v>0</v>
      </c>
      <c r="H198" s="35">
        <f t="shared" si="41"/>
        <v>0</v>
      </c>
      <c r="I198" s="35">
        <f t="shared" si="41"/>
        <v>0</v>
      </c>
      <c r="J198" s="35">
        <f t="shared" si="41"/>
        <v>0</v>
      </c>
      <c r="K198" s="35">
        <f t="shared" si="41"/>
        <v>0</v>
      </c>
      <c r="L198" s="35">
        <f t="shared" si="41"/>
        <v>0</v>
      </c>
      <c r="M198" s="35">
        <f t="shared" si="41"/>
        <v>-21898.765330000002</v>
      </c>
    </row>
    <row r="199" spans="2:13" ht="16" customHeight="1" x14ac:dyDescent="0.35">
      <c r="B199" s="14"/>
      <c r="C199" s="14" t="s">
        <v>978</v>
      </c>
      <c r="D199" s="61"/>
      <c r="E199" s="62">
        <v>-24508.711490000002</v>
      </c>
      <c r="F199" s="61"/>
      <c r="G199" s="15"/>
      <c r="H199" s="15"/>
      <c r="I199" s="15"/>
      <c r="J199" s="15"/>
      <c r="K199" s="15"/>
      <c r="L199" s="15"/>
      <c r="M199" s="15">
        <v>-24508.711490000002</v>
      </c>
    </row>
    <row r="200" spans="2:13" ht="16" customHeight="1" x14ac:dyDescent="0.35">
      <c r="B200" s="14"/>
      <c r="C200" s="14" t="s">
        <v>980</v>
      </c>
      <c r="D200" s="61"/>
      <c r="E200" s="62">
        <v>2609.94616</v>
      </c>
      <c r="F200" s="61"/>
      <c r="G200" s="15"/>
      <c r="H200" s="15"/>
      <c r="I200" s="15"/>
      <c r="J200" s="15"/>
      <c r="K200" s="15"/>
      <c r="L200" s="15"/>
      <c r="M200" s="15">
        <v>2609.94616</v>
      </c>
    </row>
    <row r="201" spans="2:13" ht="16" customHeight="1" x14ac:dyDescent="0.35">
      <c r="B201" s="11"/>
      <c r="C201" s="11" t="s">
        <v>22</v>
      </c>
      <c r="D201" s="29"/>
      <c r="E201" s="60"/>
      <c r="F201" s="29"/>
      <c r="G201" s="12"/>
      <c r="H201" s="12"/>
      <c r="I201" s="12"/>
      <c r="J201" s="12"/>
      <c r="K201" s="12"/>
      <c r="L201" s="12"/>
      <c r="M201" s="12"/>
    </row>
    <row r="202" spans="2:13" ht="16" customHeight="1" x14ac:dyDescent="0.35">
      <c r="B202" s="34"/>
      <c r="C202" s="34" t="s">
        <v>981</v>
      </c>
      <c r="D202" s="69"/>
      <c r="E202" s="70">
        <f>E204+E208</f>
        <v>-264.77215000000001</v>
      </c>
      <c r="F202" s="69"/>
      <c r="G202" s="35">
        <f t="shared" ref="G202:M202" si="42">G204+G208</f>
        <v>0</v>
      </c>
      <c r="H202" s="35">
        <f t="shared" si="42"/>
        <v>0</v>
      </c>
      <c r="I202" s="35">
        <f t="shared" si="42"/>
        <v>0</v>
      </c>
      <c r="J202" s="35">
        <f t="shared" si="42"/>
        <v>0</v>
      </c>
      <c r="K202" s="35">
        <f t="shared" si="42"/>
        <v>0</v>
      </c>
      <c r="L202" s="35">
        <f t="shared" si="42"/>
        <v>0</v>
      </c>
      <c r="M202" s="35">
        <f t="shared" si="42"/>
        <v>-264.77215000000001</v>
      </c>
    </row>
    <row r="203" spans="2:13" ht="16" customHeight="1" x14ac:dyDescent="0.35">
      <c r="B203" s="11"/>
      <c r="C203" s="11" t="s">
        <v>22</v>
      </c>
      <c r="D203" s="29"/>
      <c r="E203" s="60"/>
      <c r="F203" s="29"/>
      <c r="G203" s="12"/>
      <c r="H203" s="12"/>
      <c r="I203" s="12"/>
      <c r="J203" s="12"/>
      <c r="K203" s="12"/>
      <c r="L203" s="12"/>
      <c r="M203" s="12"/>
    </row>
    <row r="204" spans="2:13" ht="16" customHeight="1" x14ac:dyDescent="0.35">
      <c r="B204" s="34"/>
      <c r="C204" s="34" t="s">
        <v>982</v>
      </c>
      <c r="D204" s="69"/>
      <c r="E204" s="70">
        <f>E205+E206</f>
        <v>-195.41114999999999</v>
      </c>
      <c r="F204" s="69"/>
      <c r="G204" s="35">
        <f t="shared" ref="G204:M204" si="43">G205+G206</f>
        <v>0</v>
      </c>
      <c r="H204" s="35">
        <f t="shared" si="43"/>
        <v>0</v>
      </c>
      <c r="I204" s="35">
        <f t="shared" si="43"/>
        <v>0</v>
      </c>
      <c r="J204" s="35">
        <f t="shared" si="43"/>
        <v>0</v>
      </c>
      <c r="K204" s="35">
        <f t="shared" si="43"/>
        <v>0</v>
      </c>
      <c r="L204" s="35">
        <f t="shared" si="43"/>
        <v>0</v>
      </c>
      <c r="M204" s="35">
        <f t="shared" si="43"/>
        <v>-195.41114999999999</v>
      </c>
    </row>
    <row r="205" spans="2:13" ht="16" customHeight="1" x14ac:dyDescent="0.35">
      <c r="B205" s="14" t="s">
        <v>983</v>
      </c>
      <c r="C205" s="14" t="s">
        <v>984</v>
      </c>
      <c r="D205" s="61"/>
      <c r="E205" s="62"/>
      <c r="F205" s="61"/>
      <c r="G205" s="15"/>
      <c r="H205" s="15"/>
      <c r="I205" s="15"/>
      <c r="J205" s="15"/>
      <c r="K205" s="15"/>
      <c r="L205" s="15"/>
      <c r="M205" s="15"/>
    </row>
    <row r="206" spans="2:13" ht="16" customHeight="1" x14ac:dyDescent="0.35">
      <c r="B206" s="14" t="s">
        <v>985</v>
      </c>
      <c r="C206" s="14" t="s">
        <v>986</v>
      </c>
      <c r="D206" s="61"/>
      <c r="E206" s="62">
        <v>-195.41114999999999</v>
      </c>
      <c r="F206" s="61"/>
      <c r="G206" s="15"/>
      <c r="H206" s="15"/>
      <c r="I206" s="15"/>
      <c r="J206" s="15"/>
      <c r="K206" s="15"/>
      <c r="L206" s="15"/>
      <c r="M206" s="15">
        <v>-195.41114999999999</v>
      </c>
    </row>
    <row r="207" spans="2:13" ht="16" customHeight="1" x14ac:dyDescent="0.35">
      <c r="B207" s="11"/>
      <c r="C207" s="11" t="s">
        <v>22</v>
      </c>
      <c r="D207" s="29"/>
      <c r="E207" s="60"/>
      <c r="F207" s="29"/>
      <c r="G207" s="12"/>
      <c r="H207" s="12"/>
      <c r="I207" s="12"/>
      <c r="J207" s="12"/>
      <c r="K207" s="12"/>
      <c r="L207" s="12"/>
      <c r="M207" s="12"/>
    </row>
    <row r="208" spans="2:13" ht="16" customHeight="1" x14ac:dyDescent="0.35">
      <c r="B208" s="34"/>
      <c r="C208" s="34" t="s">
        <v>987</v>
      </c>
      <c r="D208" s="69"/>
      <c r="E208" s="70">
        <f>-(-(E209+E210)-E211)</f>
        <v>-69.361000000000004</v>
      </c>
      <c r="F208" s="69"/>
      <c r="G208" s="35">
        <f t="shared" ref="G208:M208" si="44">-(-(G209+G210)-G211)</f>
        <v>0</v>
      </c>
      <c r="H208" s="35">
        <f t="shared" si="44"/>
        <v>0</v>
      </c>
      <c r="I208" s="35">
        <f t="shared" si="44"/>
        <v>0</v>
      </c>
      <c r="J208" s="35">
        <f t="shared" si="44"/>
        <v>0</v>
      </c>
      <c r="K208" s="35">
        <f t="shared" si="44"/>
        <v>0</v>
      </c>
      <c r="L208" s="35">
        <f t="shared" si="44"/>
        <v>0</v>
      </c>
      <c r="M208" s="35">
        <f t="shared" si="44"/>
        <v>-69.361000000000004</v>
      </c>
    </row>
    <row r="209" spans="2:13" ht="16" customHeight="1" x14ac:dyDescent="0.35">
      <c r="B209" s="14" t="s">
        <v>988</v>
      </c>
      <c r="C209" s="14" t="s">
        <v>989</v>
      </c>
      <c r="D209" s="61"/>
      <c r="E209" s="62"/>
      <c r="F209" s="61"/>
      <c r="G209" s="15"/>
      <c r="H209" s="15"/>
      <c r="I209" s="15"/>
      <c r="J209" s="15"/>
      <c r="K209" s="15"/>
      <c r="L209" s="15"/>
      <c r="M209" s="15"/>
    </row>
    <row r="210" spans="2:13" ht="16" customHeight="1" x14ac:dyDescent="0.35">
      <c r="B210" s="14" t="s">
        <v>990</v>
      </c>
      <c r="C210" s="14" t="s">
        <v>991</v>
      </c>
      <c r="D210" s="61"/>
      <c r="E210" s="62"/>
      <c r="F210" s="61"/>
      <c r="G210" s="15"/>
      <c r="H210" s="15"/>
      <c r="I210" s="15"/>
      <c r="J210" s="15"/>
      <c r="K210" s="15"/>
      <c r="L210" s="15"/>
      <c r="M210" s="15"/>
    </row>
    <row r="211" spans="2:13" ht="16" customHeight="1" x14ac:dyDescent="0.35">
      <c r="B211" s="14" t="s">
        <v>992</v>
      </c>
      <c r="C211" s="14" t="s">
        <v>993</v>
      </c>
      <c r="D211" s="61"/>
      <c r="E211" s="62">
        <v>-69.361000000000004</v>
      </c>
      <c r="F211" s="61"/>
      <c r="G211" s="15"/>
      <c r="H211" s="15"/>
      <c r="I211" s="15"/>
      <c r="J211" s="15"/>
      <c r="K211" s="15"/>
      <c r="L211" s="15"/>
      <c r="M211" s="15">
        <v>-69.361000000000004</v>
      </c>
    </row>
    <row r="212" spans="2:13" ht="16" customHeight="1" x14ac:dyDescent="0.35">
      <c r="B212" s="11"/>
      <c r="C212" s="11" t="s">
        <v>22</v>
      </c>
      <c r="D212" s="29"/>
      <c r="E212" s="60"/>
      <c r="F212" s="29"/>
      <c r="G212" s="12"/>
      <c r="H212" s="12"/>
      <c r="I212" s="12"/>
      <c r="J212" s="12"/>
      <c r="K212" s="12"/>
      <c r="L212" s="12"/>
      <c r="M212" s="12"/>
    </row>
    <row r="213" spans="2:13" ht="16" customHeight="1" x14ac:dyDescent="0.35">
      <c r="B213" s="40"/>
      <c r="C213" s="40" t="s">
        <v>994</v>
      </c>
      <c r="D213" s="53"/>
      <c r="E213" s="53">
        <f>E165+E170+E174+E176+E178+E180+E184+E191</f>
        <v>638451.76500999997</v>
      </c>
      <c r="F213" s="53"/>
      <c r="G213" s="24">
        <f t="shared" ref="G213:M213" si="45">G165+G170+G174+G176+G178+G180+G184+G191</f>
        <v>0</v>
      </c>
      <c r="H213" s="24">
        <f t="shared" si="45"/>
        <v>0</v>
      </c>
      <c r="I213" s="24">
        <f t="shared" si="45"/>
        <v>0</v>
      </c>
      <c r="J213" s="24">
        <f t="shared" si="45"/>
        <v>0</v>
      </c>
      <c r="K213" s="24">
        <f t="shared" si="45"/>
        <v>0</v>
      </c>
      <c r="L213" s="24">
        <f t="shared" si="45"/>
        <v>0</v>
      </c>
      <c r="M213" s="24">
        <f t="shared" si="45"/>
        <v>638451.76500999997</v>
      </c>
    </row>
    <row r="214" spans="2:13" ht="16" customHeight="1" x14ac:dyDescent="0.35">
      <c r="B214" s="11"/>
      <c r="C214" s="11" t="s">
        <v>22</v>
      </c>
      <c r="D214" s="29"/>
      <c r="E214" s="60"/>
      <c r="F214" s="29"/>
      <c r="G214" s="12"/>
      <c r="H214" s="12"/>
      <c r="I214" s="12"/>
      <c r="J214" s="12"/>
      <c r="K214" s="12"/>
      <c r="L214" s="12"/>
      <c r="M214" s="12"/>
    </row>
    <row r="215" spans="2:13" ht="16" customHeight="1" x14ac:dyDescent="0.35">
      <c r="B215" s="40" t="s">
        <v>995</v>
      </c>
      <c r="C215" s="40" t="s">
        <v>996</v>
      </c>
      <c r="D215" s="53"/>
      <c r="E215" s="53">
        <f>E102+E161+E213</f>
        <v>1727.5331200000364</v>
      </c>
      <c r="F215" s="53"/>
      <c r="G215" s="24">
        <f t="shared" ref="G215:M215" si="46">G102+G161+G213</f>
        <v>207478.56776999999</v>
      </c>
      <c r="H215" s="24">
        <f t="shared" si="46"/>
        <v>-57171.434220000003</v>
      </c>
      <c r="I215" s="24">
        <f t="shared" si="46"/>
        <v>-94.096720000000005</v>
      </c>
      <c r="J215" s="24">
        <f t="shared" si="46"/>
        <v>-40017.47133</v>
      </c>
      <c r="K215" s="24">
        <f t="shared" si="46"/>
        <v>-4638.4666299999999</v>
      </c>
      <c r="L215" s="24">
        <f t="shared" si="46"/>
        <v>-167.47092000000001</v>
      </c>
      <c r="M215" s="24">
        <f t="shared" si="46"/>
        <v>-103662.09483000007</v>
      </c>
    </row>
    <row r="216" spans="2:13" ht="16" customHeight="1" x14ac:dyDescent="0.35">
      <c r="B216" s="11"/>
      <c r="C216" s="11" t="s">
        <v>22</v>
      </c>
      <c r="D216" s="29"/>
      <c r="E216" s="60"/>
      <c r="F216" s="29"/>
      <c r="G216" s="12"/>
      <c r="H216" s="12"/>
      <c r="I216" s="12"/>
      <c r="J216" s="12"/>
      <c r="K216" s="12"/>
      <c r="L216" s="12"/>
      <c r="M216" s="12"/>
    </row>
    <row r="217" spans="2:13" ht="16" customHeight="1" x14ac:dyDescent="0.35">
      <c r="B217" s="14" t="s">
        <v>997</v>
      </c>
      <c r="C217" s="14" t="s">
        <v>998</v>
      </c>
      <c r="D217" s="61"/>
      <c r="E217" s="62">
        <v>1931.7006699999999</v>
      </c>
      <c r="F217" s="61"/>
      <c r="G217" s="15"/>
      <c r="H217" s="15"/>
      <c r="I217" s="15"/>
      <c r="J217" s="15"/>
      <c r="K217" s="15"/>
      <c r="L217" s="15"/>
      <c r="M217" s="15">
        <v>1931.7006699999999</v>
      </c>
    </row>
    <row r="218" spans="2:13" ht="16" customHeight="1" x14ac:dyDescent="0.35">
      <c r="B218" s="14" t="s">
        <v>999</v>
      </c>
      <c r="C218" s="14" t="s">
        <v>996</v>
      </c>
      <c r="D218" s="61"/>
      <c r="E218" s="62">
        <f>E220-E219-E217</f>
        <v>1727.5347199999999</v>
      </c>
      <c r="F218" s="61"/>
      <c r="G218" s="15">
        <f t="shared" ref="G218:M218" si="47">G220-G219-G217</f>
        <v>0</v>
      </c>
      <c r="H218" s="15">
        <f t="shared" si="47"/>
        <v>0</v>
      </c>
      <c r="I218" s="15">
        <f t="shared" si="47"/>
        <v>0</v>
      </c>
      <c r="J218" s="15">
        <f t="shared" si="47"/>
        <v>0</v>
      </c>
      <c r="K218" s="15">
        <f t="shared" si="47"/>
        <v>0</v>
      </c>
      <c r="L218" s="15">
        <f t="shared" si="47"/>
        <v>0</v>
      </c>
      <c r="M218" s="15">
        <f t="shared" si="47"/>
        <v>1727.5347199999999</v>
      </c>
    </row>
    <row r="219" spans="2:13" ht="16" customHeight="1" x14ac:dyDescent="0.35">
      <c r="B219" s="14" t="s">
        <v>1000</v>
      </c>
      <c r="C219" s="14" t="s">
        <v>1001</v>
      </c>
      <c r="D219" s="61"/>
      <c r="E219" s="62">
        <v>-18.133299999999998</v>
      </c>
      <c r="F219" s="61"/>
      <c r="G219" s="15"/>
      <c r="H219" s="15"/>
      <c r="I219" s="15"/>
      <c r="J219" s="15"/>
      <c r="K219" s="15"/>
      <c r="L219" s="15"/>
      <c r="M219" s="15">
        <v>-18.133299999999998</v>
      </c>
    </row>
    <row r="220" spans="2:13" ht="16" customHeight="1" x14ac:dyDescent="0.35">
      <c r="B220" s="14" t="s">
        <v>1002</v>
      </c>
      <c r="C220" s="14" t="s">
        <v>1003</v>
      </c>
      <c r="D220" s="61"/>
      <c r="E220" s="62">
        <v>3641.1020899999999</v>
      </c>
      <c r="F220" s="61"/>
      <c r="G220" s="15"/>
      <c r="H220" s="15"/>
      <c r="I220" s="15"/>
      <c r="J220" s="15"/>
      <c r="K220" s="15"/>
      <c r="L220" s="15"/>
      <c r="M220" s="15">
        <v>3641.1020899999999</v>
      </c>
    </row>
    <row r="221" spans="2:13" ht="16" customHeight="1" x14ac:dyDescent="0.35">
      <c r="B221" s="11"/>
      <c r="C221" s="11" t="s">
        <v>22</v>
      </c>
      <c r="D221" s="29"/>
      <c r="E221" s="60"/>
      <c r="F221" s="29"/>
      <c r="G221" s="12"/>
      <c r="H221" s="12"/>
      <c r="I221" s="12"/>
      <c r="J221" s="12"/>
      <c r="K221" s="12"/>
      <c r="L221" s="12"/>
      <c r="M221" s="12"/>
    </row>
    <row r="222" spans="2:13" ht="16" customHeight="1" x14ac:dyDescent="0.35">
      <c r="B222" s="11"/>
      <c r="C222" s="11" t="s">
        <v>22</v>
      </c>
      <c r="D222" s="29"/>
      <c r="E222" s="60"/>
      <c r="F222" s="29"/>
      <c r="G222" s="12"/>
      <c r="H222" s="12"/>
      <c r="I222" s="12"/>
      <c r="J222" s="12"/>
      <c r="K222" s="12"/>
      <c r="L222" s="12"/>
      <c r="M222" s="12"/>
    </row>
    <row r="223" spans="2:13" ht="16" customHeight="1" x14ac:dyDescent="0.35">
      <c r="B223" s="36"/>
      <c r="C223" s="36" t="s">
        <v>751</v>
      </c>
      <c r="D223" s="71"/>
      <c r="E223" s="72">
        <f>E215-E218</f>
        <v>-1.5999999634459527E-3</v>
      </c>
      <c r="F223" s="71"/>
      <c r="G223" s="37">
        <f t="shared" ref="G223:M223" si="48">G215-G218</f>
        <v>207478.56776999999</v>
      </c>
      <c r="H223" s="37">
        <f t="shared" si="48"/>
        <v>-57171.434220000003</v>
      </c>
      <c r="I223" s="37">
        <f t="shared" si="48"/>
        <v>-94.096720000000005</v>
      </c>
      <c r="J223" s="37">
        <f t="shared" si="48"/>
        <v>-40017.47133</v>
      </c>
      <c r="K223" s="37">
        <f t="shared" si="48"/>
        <v>-4638.4666299999999</v>
      </c>
      <c r="L223" s="37">
        <f t="shared" si="48"/>
        <v>-167.47092000000001</v>
      </c>
      <c r="M223" s="37">
        <f t="shared" si="48"/>
        <v>-105389.62955000007</v>
      </c>
    </row>
    <row r="224" spans="2:13" ht="16" customHeight="1" x14ac:dyDescent="0.35">
      <c r="B224" s="11"/>
      <c r="C224" s="11" t="s">
        <v>22</v>
      </c>
      <c r="D224" s="29"/>
      <c r="E224" s="60"/>
      <c r="F224" s="29"/>
      <c r="G224" s="12"/>
      <c r="H224" s="12"/>
      <c r="I224" s="12"/>
      <c r="J224" s="12"/>
      <c r="K224" s="12"/>
      <c r="L224" s="12"/>
      <c r="M224" s="12"/>
    </row>
    <row r="225" spans="2:13" ht="16" customHeight="1" x14ac:dyDescent="0.35">
      <c r="B225" s="11"/>
      <c r="C225" s="11" t="s">
        <v>22</v>
      </c>
      <c r="D225" s="29"/>
      <c r="E225" s="60"/>
      <c r="F225" s="29"/>
      <c r="G225" s="12"/>
      <c r="H225" s="12"/>
      <c r="I225" s="12"/>
      <c r="J225" s="12"/>
      <c r="K225" s="12"/>
      <c r="L225" s="12"/>
      <c r="M225" s="12"/>
    </row>
    <row r="226" spans="2:13" ht="16" customHeight="1" x14ac:dyDescent="0.35">
      <c r="B226" s="34"/>
      <c r="C226" s="34" t="s">
        <v>1004</v>
      </c>
      <c r="D226" s="69"/>
      <c r="E226" s="70"/>
      <c r="F226" s="69"/>
      <c r="G226" s="35"/>
      <c r="H226" s="35"/>
      <c r="I226" s="35"/>
      <c r="J226" s="35"/>
      <c r="K226" s="35"/>
      <c r="L226" s="35"/>
      <c r="M226" s="35"/>
    </row>
    <row r="227" spans="2:13" ht="16" customHeight="1" x14ac:dyDescent="0.35">
      <c r="B227" s="11"/>
      <c r="C227" s="11" t="s">
        <v>22</v>
      </c>
      <c r="D227" s="29"/>
      <c r="E227" s="60"/>
      <c r="F227" s="29"/>
      <c r="G227" s="12"/>
      <c r="H227" s="12"/>
      <c r="I227" s="12"/>
      <c r="J227" s="12"/>
      <c r="K227" s="12"/>
      <c r="L227" s="12"/>
      <c r="M227" s="12"/>
    </row>
    <row r="228" spans="2:13" ht="16" customHeight="1" x14ac:dyDescent="0.35">
      <c r="B228" s="14"/>
      <c r="C228" s="14" t="s">
        <v>890</v>
      </c>
      <c r="D228" s="61"/>
      <c r="E228" s="62">
        <f>E126</f>
        <v>-62131.282050000002</v>
      </c>
      <c r="F228" s="61"/>
      <c r="G228" s="15">
        <f t="shared" ref="G228:M228" si="49">G126</f>
        <v>-43886.448809999994</v>
      </c>
      <c r="H228" s="15">
        <f t="shared" si="49"/>
        <v>-10738.38601</v>
      </c>
      <c r="I228" s="15">
        <f t="shared" si="49"/>
        <v>0</v>
      </c>
      <c r="J228" s="15">
        <f t="shared" si="49"/>
        <v>-6034.1979099999999</v>
      </c>
      <c r="K228" s="15">
        <f t="shared" si="49"/>
        <v>-1511.2948999999999</v>
      </c>
      <c r="L228" s="15">
        <f t="shared" si="49"/>
        <v>0</v>
      </c>
      <c r="M228" s="15">
        <f t="shared" si="49"/>
        <v>39.045580000000001</v>
      </c>
    </row>
    <row r="229" spans="2:13" ht="16" customHeight="1" x14ac:dyDescent="0.35">
      <c r="B229" s="14"/>
      <c r="C229" s="14" t="s">
        <v>892</v>
      </c>
      <c r="D229" s="61"/>
      <c r="E229" s="62">
        <f>E128</f>
        <v>3192.2789400000001</v>
      </c>
      <c r="F229" s="61"/>
      <c r="G229" s="15">
        <f t="shared" ref="G229:M229" si="50">G128</f>
        <v>1229.6881900000001</v>
      </c>
      <c r="H229" s="15">
        <f t="shared" si="50"/>
        <v>1854.7972500000001</v>
      </c>
      <c r="I229" s="15">
        <f t="shared" si="50"/>
        <v>0</v>
      </c>
      <c r="J229" s="15">
        <f t="shared" si="50"/>
        <v>52.171250000000001</v>
      </c>
      <c r="K229" s="15">
        <f t="shared" si="50"/>
        <v>55.622250000000001</v>
      </c>
      <c r="L229" s="15">
        <f t="shared" si="50"/>
        <v>0</v>
      </c>
      <c r="M229" s="15">
        <f t="shared" si="50"/>
        <v>0</v>
      </c>
    </row>
    <row r="230" spans="2:13" ht="16" customHeight="1" x14ac:dyDescent="0.35">
      <c r="B230" s="34"/>
      <c r="C230" s="34" t="s">
        <v>1005</v>
      </c>
      <c r="D230" s="69"/>
      <c r="E230" s="70">
        <f>E102+E228+E229</f>
        <v>-187402.39890000003</v>
      </c>
      <c r="F230" s="69"/>
      <c r="G230" s="35">
        <f t="shared" ref="G230:M230" si="51">G102+G228+G229</f>
        <v>206706.84392999997</v>
      </c>
      <c r="H230" s="35">
        <f t="shared" si="51"/>
        <v>-57271.434220000003</v>
      </c>
      <c r="I230" s="35">
        <f t="shared" si="51"/>
        <v>-94.096720000000005</v>
      </c>
      <c r="J230" s="35">
        <f t="shared" si="51"/>
        <v>-40018.543550000002</v>
      </c>
      <c r="K230" s="35">
        <f t="shared" si="51"/>
        <v>-4638.4666199999992</v>
      </c>
      <c r="L230" s="35">
        <f t="shared" si="51"/>
        <v>-167.47092000000001</v>
      </c>
      <c r="M230" s="35">
        <f t="shared" si="51"/>
        <v>-291919.23080000002</v>
      </c>
    </row>
    <row r="231" spans="2:13" ht="16" customHeight="1" x14ac:dyDescent="0.35">
      <c r="B231" s="14"/>
      <c r="C231" s="14" t="s">
        <v>976</v>
      </c>
      <c r="D231" s="61"/>
      <c r="E231" s="62">
        <f>E198</f>
        <v>-21898.765330000002</v>
      </c>
      <c r="F231" s="61"/>
      <c r="G231" s="15">
        <f t="shared" ref="G231:M231" si="52">G198</f>
        <v>0</v>
      </c>
      <c r="H231" s="15">
        <f t="shared" si="52"/>
        <v>0</v>
      </c>
      <c r="I231" s="15">
        <f t="shared" si="52"/>
        <v>0</v>
      </c>
      <c r="J231" s="15">
        <f t="shared" si="52"/>
        <v>0</v>
      </c>
      <c r="K231" s="15">
        <f t="shared" si="52"/>
        <v>0</v>
      </c>
      <c r="L231" s="15">
        <f t="shared" si="52"/>
        <v>0</v>
      </c>
      <c r="M231" s="15">
        <f t="shared" si="52"/>
        <v>-21898.765330000002</v>
      </c>
    </row>
    <row r="232" spans="2:13" ht="16" customHeight="1" x14ac:dyDescent="0.35">
      <c r="B232" s="34"/>
      <c r="C232" s="34" t="s">
        <v>1006</v>
      </c>
      <c r="D232" s="69"/>
      <c r="E232" s="70">
        <f>E230+E231</f>
        <v>-209301.16423000002</v>
      </c>
      <c r="F232" s="69"/>
      <c r="G232" s="35">
        <f t="shared" ref="G232:M232" si="53">G230+G231</f>
        <v>206706.84392999997</v>
      </c>
      <c r="H232" s="35">
        <f t="shared" si="53"/>
        <v>-57271.434220000003</v>
      </c>
      <c r="I232" s="35">
        <f t="shared" si="53"/>
        <v>-94.096720000000005</v>
      </c>
      <c r="J232" s="35">
        <f t="shared" si="53"/>
        <v>-40018.543550000002</v>
      </c>
      <c r="K232" s="35">
        <f t="shared" si="53"/>
        <v>-4638.4666199999992</v>
      </c>
      <c r="L232" s="35">
        <f t="shared" si="53"/>
        <v>-167.47092000000001</v>
      </c>
      <c r="M232" s="35">
        <f t="shared" si="53"/>
        <v>-313817.99613000004</v>
      </c>
    </row>
    <row r="233" spans="2:13" ht="16" customHeight="1" x14ac:dyDescent="0.35">
      <c r="B233" s="14"/>
      <c r="C233" s="14" t="s">
        <v>813</v>
      </c>
      <c r="D233" s="61"/>
      <c r="E233" s="62">
        <f>E61</f>
        <v>-24809.41908</v>
      </c>
      <c r="F233" s="61"/>
      <c r="G233" s="15">
        <f t="shared" ref="G233:M233" si="54">G61</f>
        <v>0</v>
      </c>
      <c r="H233" s="15">
        <f t="shared" si="54"/>
        <v>0</v>
      </c>
      <c r="I233" s="15">
        <f t="shared" si="54"/>
        <v>0</v>
      </c>
      <c r="J233" s="15">
        <f t="shared" si="54"/>
        <v>0</v>
      </c>
      <c r="K233" s="15">
        <f t="shared" si="54"/>
        <v>0</v>
      </c>
      <c r="L233" s="15">
        <f t="shared" si="54"/>
        <v>0</v>
      </c>
      <c r="M233" s="15">
        <f t="shared" si="54"/>
        <v>-24809.41908</v>
      </c>
    </row>
    <row r="234" spans="2:13" ht="16" customHeight="1" x14ac:dyDescent="0.35">
      <c r="B234" s="34"/>
      <c r="C234" s="34" t="s">
        <v>1007</v>
      </c>
      <c r="D234" s="69"/>
      <c r="E234" s="70">
        <f>E232-E233</f>
        <v>-184491.74515000003</v>
      </c>
      <c r="F234" s="69"/>
      <c r="G234" s="35">
        <f t="shared" ref="G234:M234" si="55">G232-G233</f>
        <v>206706.84392999997</v>
      </c>
      <c r="H234" s="35">
        <f t="shared" si="55"/>
        <v>-57271.434220000003</v>
      </c>
      <c r="I234" s="35">
        <f t="shared" si="55"/>
        <v>-94.096720000000005</v>
      </c>
      <c r="J234" s="35">
        <f t="shared" si="55"/>
        <v>-40018.543550000002</v>
      </c>
      <c r="K234" s="35">
        <f t="shared" si="55"/>
        <v>-4638.4666199999992</v>
      </c>
      <c r="L234" s="35">
        <f t="shared" si="55"/>
        <v>-167.47092000000001</v>
      </c>
      <c r="M234" s="35">
        <f t="shared" si="55"/>
        <v>-289008.57705000002</v>
      </c>
    </row>
    <row r="235" spans="2:13" ht="16" customHeight="1" x14ac:dyDescent="0.35">
      <c r="B235" s="11"/>
      <c r="C235" s="11" t="s">
        <v>22</v>
      </c>
      <c r="D235" s="29"/>
      <c r="E235" s="60"/>
      <c r="F235" s="29"/>
      <c r="G235" s="12"/>
      <c r="H235" s="12"/>
      <c r="I235" s="12"/>
      <c r="J235" s="12"/>
      <c r="K235" s="12"/>
      <c r="L235" s="12"/>
      <c r="M235" s="12"/>
    </row>
    <row r="236" spans="2:13" ht="16" customHeight="1" x14ac:dyDescent="0.35">
      <c r="B236" s="44"/>
      <c r="C236" s="44" t="s">
        <v>1008</v>
      </c>
      <c r="D236" s="73"/>
      <c r="E236" s="74">
        <v>-3.0680472249999999</v>
      </c>
      <c r="F236" s="73"/>
      <c r="G236" s="45">
        <v>2.4614758110000001</v>
      </c>
      <c r="H236" s="45">
        <v>3.0791626679999999</v>
      </c>
      <c r="I236" s="45">
        <v>-3.2819430340000002</v>
      </c>
      <c r="J236" s="45">
        <v>-24.216429776999998</v>
      </c>
      <c r="K236" s="45">
        <v>0.667079168</v>
      </c>
      <c r="L236" s="45">
        <v>-5.9054574840000003</v>
      </c>
      <c r="M236" s="45">
        <v>0</v>
      </c>
    </row>
    <row r="237" spans="2:13" ht="16" customHeight="1" x14ac:dyDescent="0.35">
      <c r="B237" s="44"/>
      <c r="C237" s="44" t="s">
        <v>1009</v>
      </c>
      <c r="D237" s="73"/>
      <c r="E237" s="74">
        <v>7.554129176</v>
      </c>
      <c r="F237" s="73"/>
      <c r="G237" s="45">
        <v>6.638003157</v>
      </c>
      <c r="H237" s="45">
        <v>2.0304550269999999</v>
      </c>
      <c r="I237" s="45">
        <v>-13.232260278</v>
      </c>
      <c r="J237" s="45">
        <v>16.884892883999999</v>
      </c>
      <c r="K237" s="45">
        <v>0.568569192</v>
      </c>
      <c r="L237" s="45">
        <v>-6.0338617870000002</v>
      </c>
      <c r="M237" s="45">
        <v>16.924525661000001</v>
      </c>
    </row>
    <row r="238" spans="2:13" ht="16" customHeight="1" x14ac:dyDescent="0.35">
      <c r="B238" s="44"/>
      <c r="C238" s="44" t="s">
        <v>1010</v>
      </c>
      <c r="D238" s="73"/>
      <c r="E238" s="74">
        <v>-0.22985065199999999</v>
      </c>
      <c r="F238" s="73"/>
      <c r="G238" s="45">
        <v>0.49005226099999999</v>
      </c>
      <c r="H238" s="45">
        <v>-0.15586908599999999</v>
      </c>
      <c r="I238" s="45">
        <v>0</v>
      </c>
      <c r="J238" s="45">
        <v>-0.71025837000000003</v>
      </c>
      <c r="K238" s="45">
        <v>-7.2823845999999998E-2</v>
      </c>
      <c r="L238" s="45">
        <v>-0.12696227099999999</v>
      </c>
      <c r="M238" s="45">
        <v>0</v>
      </c>
    </row>
    <row r="239" spans="2:13" ht="16" customHeight="1" x14ac:dyDescent="0.35">
      <c r="B239" s="11"/>
      <c r="C239" s="11" t="s">
        <v>22</v>
      </c>
      <c r="D239" s="29"/>
      <c r="E239" s="22"/>
      <c r="F239" s="12"/>
      <c r="G239" s="12"/>
      <c r="H239" s="12"/>
      <c r="I239" s="12"/>
      <c r="J239" s="12"/>
      <c r="K239" s="12"/>
      <c r="L239" s="12"/>
      <c r="M239" s="12"/>
    </row>
    <row r="240" spans="2:13" ht="16" customHeight="1" x14ac:dyDescent="0.45">
      <c r="B240" s="13"/>
      <c r="C240" s="9"/>
      <c r="D240" s="9"/>
      <c r="E240" s="13"/>
      <c r="F240" s="13"/>
      <c r="G240" s="13"/>
      <c r="H240" s="13"/>
      <c r="I240" s="13"/>
      <c r="J240" s="13"/>
      <c r="K240" s="13"/>
      <c r="L240" s="13"/>
      <c r="M240" s="13"/>
    </row>
    <row r="241" spans="2:13" ht="16" customHeight="1" x14ac:dyDescent="0.45">
      <c r="B241" s="13"/>
      <c r="C241" s="9"/>
      <c r="D241" s="9"/>
      <c r="E241" s="13"/>
      <c r="F241" s="13"/>
      <c r="G241" s="13"/>
      <c r="H241" s="13"/>
      <c r="I241" s="13"/>
      <c r="J241" s="13"/>
      <c r="K241" s="13"/>
      <c r="L241" s="13"/>
      <c r="M241" s="13"/>
    </row>
    <row r="242" spans="2:13" ht="16" customHeight="1" x14ac:dyDescent="0.45">
      <c r="B242" s="13"/>
      <c r="C242" s="9"/>
      <c r="D242" s="9"/>
      <c r="E242" s="13"/>
      <c r="F242" s="13"/>
      <c r="G242" s="13"/>
      <c r="H242" s="13"/>
      <c r="I242" s="13"/>
      <c r="J242" s="13"/>
      <c r="K242" s="13"/>
      <c r="L242" s="13"/>
      <c r="M242" s="13"/>
    </row>
    <row r="243" spans="2:13" ht="16" customHeight="1" x14ac:dyDescent="0.45">
      <c r="B243" s="13"/>
      <c r="C243" s="9"/>
      <c r="D243" s="9"/>
      <c r="E243" s="13"/>
      <c r="F243" s="13"/>
      <c r="G243" s="13"/>
      <c r="H243" s="13"/>
      <c r="I243" s="13"/>
      <c r="J243" s="13"/>
      <c r="K243" s="13"/>
      <c r="L243" s="13"/>
      <c r="M243" s="13"/>
    </row>
    <row r="244" spans="2:13" ht="16" customHeight="1" x14ac:dyDescent="0.45">
      <c r="B244" s="13"/>
      <c r="C244" s="9"/>
      <c r="D244" s="9"/>
      <c r="E244" s="13"/>
      <c r="F244" s="13"/>
      <c r="G244" s="13"/>
      <c r="H244" s="13"/>
      <c r="I244" s="13"/>
      <c r="J244" s="13"/>
      <c r="K244" s="13"/>
      <c r="L244" s="13"/>
      <c r="M244" s="13"/>
    </row>
    <row r="245" spans="2:13" ht="16" customHeight="1" x14ac:dyDescent="0.45">
      <c r="B245" s="13"/>
      <c r="C245" s="9"/>
      <c r="D245" s="9"/>
      <c r="E245" s="13"/>
      <c r="F245" s="13"/>
      <c r="G245" s="13"/>
      <c r="H245" s="13"/>
      <c r="I245" s="13"/>
      <c r="J245" s="13"/>
      <c r="K245" s="13"/>
      <c r="L245" s="13"/>
      <c r="M245" s="13"/>
    </row>
    <row r="246" spans="2:13" ht="16" customHeight="1" x14ac:dyDescent="0.45">
      <c r="B246" s="13"/>
      <c r="C246" s="9"/>
      <c r="D246" s="9"/>
      <c r="E246" s="13"/>
      <c r="F246" s="13"/>
      <c r="G246" s="13"/>
      <c r="H246" s="13"/>
      <c r="I246" s="13"/>
      <c r="J246" s="13"/>
      <c r="K246" s="13"/>
      <c r="L246" s="13"/>
      <c r="M246" s="13"/>
    </row>
    <row r="247" spans="2:13" ht="16" customHeight="1" x14ac:dyDescent="0.45">
      <c r="B247" s="13"/>
      <c r="C247" s="9"/>
      <c r="D247" s="9"/>
      <c r="E247" s="13"/>
      <c r="F247" s="13"/>
      <c r="G247" s="13"/>
      <c r="H247" s="13"/>
      <c r="I247" s="13"/>
      <c r="J247" s="13"/>
      <c r="K247" s="13"/>
      <c r="L247" s="13"/>
      <c r="M247" s="13"/>
    </row>
    <row r="248" spans="2:13" ht="16" customHeight="1" x14ac:dyDescent="0.45">
      <c r="B248" s="13"/>
      <c r="C248" s="9"/>
      <c r="D248" s="9"/>
      <c r="E248" s="13"/>
      <c r="F248" s="13"/>
      <c r="G248" s="13"/>
      <c r="H248" s="13"/>
      <c r="I248" s="13"/>
      <c r="J248" s="13"/>
      <c r="K248" s="13"/>
      <c r="L248" s="13"/>
      <c r="M248" s="13"/>
    </row>
    <row r="249" spans="2:13" ht="16" customHeight="1" x14ac:dyDescent="0.45">
      <c r="B249" s="13"/>
      <c r="C249" s="9"/>
      <c r="D249" s="9"/>
      <c r="E249" s="13"/>
      <c r="F249" s="13"/>
      <c r="G249" s="13"/>
      <c r="H249" s="13"/>
      <c r="I249" s="13"/>
      <c r="J249" s="13"/>
      <c r="K249" s="13"/>
      <c r="L249" s="13"/>
      <c r="M249" s="13"/>
    </row>
    <row r="250" spans="2:13" ht="16" customHeight="1" x14ac:dyDescent="0.45">
      <c r="B250" s="13"/>
      <c r="C250" s="9"/>
      <c r="D250" s="9"/>
      <c r="E250" s="13"/>
      <c r="F250" s="13"/>
      <c r="G250" s="13"/>
      <c r="H250" s="13"/>
      <c r="I250" s="13"/>
      <c r="J250" s="13"/>
      <c r="K250" s="13"/>
      <c r="L250" s="13"/>
      <c r="M250" s="13"/>
    </row>
    <row r="251" spans="2:13" ht="16" customHeight="1" x14ac:dyDescent="0.45">
      <c r="B251" s="13"/>
      <c r="C251" s="9"/>
      <c r="D251" s="9"/>
      <c r="E251" s="13"/>
      <c r="F251" s="13"/>
      <c r="G251" s="13"/>
      <c r="H251" s="13"/>
      <c r="I251" s="13"/>
      <c r="J251" s="13"/>
      <c r="K251" s="13"/>
      <c r="L251" s="13"/>
      <c r="M251" s="13"/>
    </row>
    <row r="252" spans="2:13" ht="16" customHeight="1" x14ac:dyDescent="0.45">
      <c r="B252" s="13"/>
      <c r="C252" s="9"/>
      <c r="D252" s="9"/>
      <c r="E252" s="13"/>
      <c r="F252" s="13"/>
      <c r="G252" s="13"/>
      <c r="H252" s="13"/>
      <c r="I252" s="13"/>
      <c r="J252" s="13"/>
      <c r="K252" s="13"/>
      <c r="L252" s="13"/>
      <c r="M252" s="13"/>
    </row>
    <row r="253" spans="2:13" ht="16" customHeight="1" x14ac:dyDescent="0.45">
      <c r="B253" s="13"/>
      <c r="C253" s="9"/>
      <c r="D253" s="9"/>
      <c r="E253" s="13"/>
      <c r="F253" s="13"/>
      <c r="G253" s="13"/>
      <c r="H253" s="13"/>
      <c r="I253" s="13"/>
      <c r="J253" s="13"/>
      <c r="K253" s="13"/>
      <c r="L253" s="13"/>
      <c r="M253" s="13"/>
    </row>
    <row r="254" spans="2:13" ht="16" customHeight="1" x14ac:dyDescent="0.45">
      <c r="B254" s="13"/>
      <c r="C254" s="9"/>
      <c r="D254" s="9"/>
      <c r="E254" s="13"/>
      <c r="F254" s="13"/>
      <c r="G254" s="13"/>
      <c r="H254" s="13"/>
      <c r="I254" s="13"/>
      <c r="J254" s="13"/>
      <c r="K254" s="13"/>
      <c r="L254" s="13"/>
      <c r="M254" s="13"/>
    </row>
    <row r="255" spans="2:13" ht="16" customHeight="1" x14ac:dyDescent="0.45">
      <c r="B255" s="13"/>
      <c r="C255" s="9"/>
      <c r="D255" s="9"/>
      <c r="E255" s="13"/>
      <c r="F255" s="13"/>
      <c r="G255" s="13"/>
      <c r="H255" s="13"/>
      <c r="I255" s="13"/>
      <c r="J255" s="13"/>
      <c r="K255" s="13"/>
      <c r="L255" s="13"/>
      <c r="M255" s="13"/>
    </row>
    <row r="256" spans="2:13" ht="16" customHeight="1" x14ac:dyDescent="0.45">
      <c r="B256" s="13"/>
      <c r="C256" s="9"/>
      <c r="D256" s="9"/>
      <c r="E256" s="13"/>
      <c r="F256" s="13"/>
      <c r="G256" s="13"/>
      <c r="H256" s="13"/>
      <c r="I256" s="13"/>
      <c r="J256" s="13"/>
      <c r="K256" s="13"/>
      <c r="L256" s="13"/>
      <c r="M256" s="13"/>
    </row>
    <row r="257" spans="2:13" ht="16" customHeight="1" x14ac:dyDescent="0.45">
      <c r="B257" s="13"/>
      <c r="C257" s="9"/>
      <c r="D257" s="9"/>
      <c r="E257" s="13"/>
      <c r="F257" s="13"/>
      <c r="G257" s="13"/>
      <c r="H257" s="13"/>
      <c r="I257" s="13"/>
      <c r="J257" s="13"/>
      <c r="K257" s="13"/>
      <c r="L257" s="13"/>
      <c r="M257" s="13"/>
    </row>
    <row r="258" spans="2:13" ht="16" customHeight="1" x14ac:dyDescent="0.45">
      <c r="B258" s="13"/>
      <c r="C258" s="9"/>
      <c r="D258" s="9"/>
      <c r="E258" s="13"/>
      <c r="F258" s="13"/>
      <c r="G258" s="13"/>
      <c r="H258" s="13"/>
      <c r="I258" s="13"/>
      <c r="J258" s="13"/>
      <c r="K258" s="13"/>
      <c r="L258" s="13"/>
      <c r="M258" s="13"/>
    </row>
    <row r="259" spans="2:13" ht="16" customHeight="1" x14ac:dyDescent="0.45">
      <c r="B259" s="13"/>
      <c r="C259" s="9"/>
      <c r="D259" s="9"/>
      <c r="E259" s="13"/>
      <c r="F259" s="13"/>
      <c r="G259" s="13"/>
      <c r="H259" s="13"/>
      <c r="I259" s="13"/>
      <c r="J259" s="13"/>
      <c r="K259" s="13"/>
      <c r="L259" s="13"/>
      <c r="M259" s="13"/>
    </row>
    <row r="260" spans="2:13" ht="16" customHeight="1" x14ac:dyDescent="0.45">
      <c r="B260" s="13"/>
      <c r="C260" s="9"/>
      <c r="D260" s="9"/>
      <c r="E260" s="13"/>
      <c r="F260" s="13"/>
      <c r="G260" s="13"/>
      <c r="H260" s="13"/>
      <c r="I260" s="13"/>
      <c r="J260" s="13"/>
      <c r="K260" s="13"/>
      <c r="L260" s="13"/>
      <c r="M260" s="13"/>
    </row>
    <row r="261" spans="2:13" ht="16" customHeight="1" x14ac:dyDescent="0.45">
      <c r="B261" s="13"/>
      <c r="C261" s="9"/>
      <c r="D261" s="9"/>
      <c r="E261" s="13"/>
      <c r="F261" s="13"/>
      <c r="G261" s="13"/>
      <c r="H261" s="13"/>
      <c r="I261" s="13"/>
      <c r="J261" s="13"/>
      <c r="K261" s="13"/>
      <c r="L261" s="13"/>
      <c r="M261" s="13"/>
    </row>
    <row r="262" spans="2:13" ht="16" customHeight="1" x14ac:dyDescent="0.45">
      <c r="B262" s="13"/>
      <c r="C262" s="9"/>
      <c r="D262" s="9"/>
      <c r="E262" s="13"/>
      <c r="F262" s="13"/>
      <c r="G262" s="13"/>
      <c r="H262" s="13"/>
      <c r="I262" s="13"/>
      <c r="J262" s="13"/>
      <c r="K262" s="13"/>
      <c r="L262" s="13"/>
      <c r="M262" s="13"/>
    </row>
    <row r="263" spans="2:13" ht="16" customHeight="1" x14ac:dyDescent="0.45">
      <c r="B263" s="13"/>
      <c r="C263" s="9"/>
      <c r="D263" s="9"/>
      <c r="E263" s="13"/>
      <c r="F263" s="13"/>
      <c r="G263" s="13"/>
      <c r="H263" s="13"/>
      <c r="I263" s="13"/>
      <c r="J263" s="13"/>
      <c r="K263" s="13"/>
      <c r="L263" s="13"/>
      <c r="M263" s="13"/>
    </row>
    <row r="264" spans="2:13" ht="16" customHeight="1" x14ac:dyDescent="0.45">
      <c r="B264" s="13"/>
      <c r="C264" s="9"/>
      <c r="D264" s="9"/>
      <c r="E264" s="13"/>
      <c r="F264" s="13"/>
      <c r="G264" s="13"/>
      <c r="H264" s="13"/>
      <c r="I264" s="13"/>
      <c r="J264" s="13"/>
      <c r="K264" s="13"/>
      <c r="L264" s="13"/>
      <c r="M264" s="13"/>
    </row>
    <row r="265" spans="2:13" ht="16" customHeight="1" x14ac:dyDescent="0.45">
      <c r="B265" s="13"/>
      <c r="C265" s="9"/>
      <c r="D265" s="9"/>
      <c r="E265" s="13"/>
      <c r="F265" s="13"/>
      <c r="G265" s="13"/>
      <c r="H265" s="13"/>
      <c r="I265" s="13"/>
      <c r="J265" s="13"/>
      <c r="K265" s="13"/>
      <c r="L265" s="13"/>
      <c r="M265" s="13"/>
    </row>
    <row r="266" spans="2:13" ht="16" customHeight="1" x14ac:dyDescent="0.45">
      <c r="B266" s="13"/>
      <c r="C266" s="9"/>
      <c r="D266" s="9"/>
      <c r="E266" s="13"/>
      <c r="F266" s="13"/>
      <c r="G266" s="13"/>
      <c r="H266" s="13"/>
      <c r="I266" s="13"/>
      <c r="J266" s="13"/>
      <c r="K266" s="13"/>
      <c r="L266" s="13"/>
      <c r="M266" s="13"/>
    </row>
    <row r="267" spans="2:13" ht="16" customHeight="1" x14ac:dyDescent="0.45">
      <c r="B267" s="13"/>
      <c r="C267" s="9"/>
      <c r="D267" s="9"/>
      <c r="E267" s="13"/>
      <c r="F267" s="13"/>
      <c r="G267" s="13"/>
      <c r="H267" s="13"/>
      <c r="I267" s="13"/>
      <c r="J267" s="13"/>
      <c r="K267" s="13"/>
      <c r="L267" s="13"/>
      <c r="M267" s="13"/>
    </row>
    <row r="268" spans="2:13" ht="16" customHeight="1" x14ac:dyDescent="0.45">
      <c r="B268" s="13"/>
      <c r="C268" s="9"/>
      <c r="D268" s="9"/>
      <c r="E268" s="13"/>
      <c r="F268" s="13"/>
      <c r="G268" s="13"/>
      <c r="H268" s="13"/>
      <c r="I268" s="13"/>
      <c r="J268" s="13"/>
      <c r="K268" s="13"/>
      <c r="L268" s="13"/>
      <c r="M268" s="13"/>
    </row>
    <row r="269" spans="2:13" ht="16" customHeight="1" x14ac:dyDescent="0.45">
      <c r="B269" s="13"/>
      <c r="C269" s="9"/>
      <c r="D269" s="9"/>
      <c r="E269" s="13"/>
      <c r="F269" s="13"/>
      <c r="G269" s="13"/>
      <c r="H269" s="13"/>
      <c r="I269" s="13"/>
      <c r="J269" s="13"/>
      <c r="K269" s="13"/>
      <c r="L269" s="13"/>
      <c r="M269" s="13"/>
    </row>
    <row r="270" spans="2:13" ht="16" customHeight="1" x14ac:dyDescent="0.45">
      <c r="B270" s="13"/>
      <c r="C270" s="9"/>
      <c r="D270" s="9"/>
      <c r="E270" s="13"/>
      <c r="F270" s="13"/>
      <c r="G270" s="13"/>
      <c r="H270" s="13"/>
      <c r="I270" s="13"/>
      <c r="J270" s="13"/>
      <c r="K270" s="13"/>
      <c r="L270" s="13"/>
      <c r="M270" s="13"/>
    </row>
    <row r="271" spans="2:13" ht="16" customHeight="1" x14ac:dyDescent="0.45">
      <c r="B271" s="13"/>
      <c r="C271" s="9"/>
      <c r="D271" s="9"/>
      <c r="E271" s="13"/>
      <c r="F271" s="13"/>
      <c r="G271" s="13"/>
      <c r="H271" s="13"/>
      <c r="I271" s="13"/>
      <c r="J271" s="13"/>
      <c r="K271" s="13"/>
      <c r="L271" s="13"/>
      <c r="M271" s="13"/>
    </row>
    <row r="272" spans="2:13" ht="16" customHeight="1" x14ac:dyDescent="0.45">
      <c r="B272" s="13"/>
      <c r="C272" s="9"/>
      <c r="D272" s="9"/>
      <c r="E272" s="13"/>
      <c r="F272" s="13"/>
      <c r="G272" s="13"/>
      <c r="H272" s="13"/>
      <c r="I272" s="13"/>
      <c r="J272" s="13"/>
      <c r="K272" s="13"/>
      <c r="L272" s="13"/>
      <c r="M272" s="13"/>
    </row>
    <row r="273" spans="2:13" ht="16" customHeight="1" x14ac:dyDescent="0.45">
      <c r="B273" s="13"/>
      <c r="C273" s="9"/>
      <c r="D273" s="9"/>
      <c r="E273" s="13"/>
      <c r="F273" s="13"/>
      <c r="G273" s="13"/>
      <c r="H273" s="13"/>
      <c r="I273" s="13"/>
      <c r="J273" s="13"/>
      <c r="K273" s="13"/>
      <c r="L273" s="13"/>
      <c r="M273" s="13"/>
    </row>
    <row r="274" spans="2:13" ht="16" customHeight="1" x14ac:dyDescent="0.45">
      <c r="B274" s="13"/>
      <c r="C274" s="9"/>
      <c r="D274" s="9"/>
      <c r="E274" s="13"/>
      <c r="F274" s="13"/>
      <c r="G274" s="13"/>
      <c r="H274" s="13"/>
      <c r="I274" s="13"/>
      <c r="J274" s="13"/>
      <c r="K274" s="13"/>
      <c r="L274" s="13"/>
      <c r="M274" s="13"/>
    </row>
    <row r="275" spans="2:13" ht="16" customHeight="1" x14ac:dyDescent="0.45">
      <c r="B275" s="13"/>
      <c r="C275" s="9"/>
      <c r="D275" s="9"/>
      <c r="E275" s="13"/>
      <c r="F275" s="13"/>
      <c r="G275" s="13"/>
      <c r="H275" s="13"/>
      <c r="I275" s="13"/>
      <c r="J275" s="13"/>
      <c r="K275" s="13"/>
      <c r="L275" s="13"/>
      <c r="M275" s="13"/>
    </row>
    <row r="276" spans="2:13" ht="16" customHeight="1" x14ac:dyDescent="0.45">
      <c r="B276" s="13"/>
      <c r="C276" s="9"/>
      <c r="D276" s="9"/>
      <c r="E276" s="13"/>
      <c r="F276" s="13"/>
      <c r="G276" s="13"/>
      <c r="H276" s="13"/>
      <c r="I276" s="13"/>
      <c r="J276" s="13"/>
      <c r="K276" s="13"/>
      <c r="L276" s="13"/>
      <c r="M276" s="13"/>
    </row>
    <row r="277" spans="2:13" ht="16" customHeight="1" x14ac:dyDescent="0.45">
      <c r="B277" s="13"/>
      <c r="C277" s="9"/>
      <c r="D277" s="9"/>
      <c r="E277" s="13"/>
      <c r="F277" s="13"/>
      <c r="G277" s="13"/>
      <c r="H277" s="13"/>
      <c r="I277" s="13"/>
      <c r="J277" s="13"/>
      <c r="K277" s="13"/>
      <c r="L277" s="13"/>
      <c r="M277" s="13"/>
    </row>
    <row r="278" spans="2:13" ht="16" customHeight="1" x14ac:dyDescent="0.45">
      <c r="B278" s="13"/>
      <c r="C278" s="9"/>
      <c r="D278" s="9"/>
      <c r="E278" s="13"/>
      <c r="F278" s="13"/>
      <c r="G278" s="13"/>
      <c r="H278" s="13"/>
      <c r="I278" s="13"/>
      <c r="J278" s="13"/>
      <c r="K278" s="13"/>
      <c r="L278" s="13"/>
      <c r="M278" s="13"/>
    </row>
    <row r="279" spans="2:13" ht="16" customHeight="1" x14ac:dyDescent="0.45">
      <c r="B279" s="13"/>
      <c r="C279" s="9"/>
      <c r="D279" s="9"/>
      <c r="E279" s="13"/>
      <c r="F279" s="13"/>
      <c r="G279" s="13"/>
      <c r="H279" s="13"/>
      <c r="I279" s="13"/>
      <c r="J279" s="13"/>
      <c r="K279" s="13"/>
      <c r="L279" s="13"/>
      <c r="M279" s="13"/>
    </row>
    <row r="280" spans="2:13" ht="16" customHeight="1" x14ac:dyDescent="0.45">
      <c r="B280" s="13"/>
      <c r="C280" s="9"/>
      <c r="D280" s="9"/>
      <c r="E280" s="13"/>
      <c r="F280" s="13"/>
      <c r="G280" s="13"/>
      <c r="H280" s="13"/>
      <c r="I280" s="13"/>
      <c r="J280" s="13"/>
      <c r="K280" s="13"/>
      <c r="L280" s="13"/>
      <c r="M280" s="13"/>
    </row>
    <row r="281" spans="2:13" ht="16" customHeight="1" x14ac:dyDescent="0.45">
      <c r="B281" s="13"/>
      <c r="C281" s="9"/>
      <c r="D281" s="9"/>
      <c r="E281" s="13"/>
      <c r="F281" s="13"/>
      <c r="G281" s="13"/>
      <c r="H281" s="13"/>
      <c r="I281" s="13"/>
      <c r="J281" s="13"/>
      <c r="K281" s="13"/>
      <c r="L281" s="13"/>
      <c r="M281" s="13"/>
    </row>
    <row r="282" spans="2:13" ht="16" customHeight="1" x14ac:dyDescent="0.45">
      <c r="B282" s="13"/>
      <c r="C282" s="9"/>
      <c r="D282" s="9"/>
      <c r="E282" s="13"/>
      <c r="F282" s="13"/>
      <c r="G282" s="13"/>
      <c r="H282" s="13"/>
      <c r="I282" s="13"/>
      <c r="J282" s="13"/>
      <c r="K282" s="13"/>
      <c r="L282" s="13"/>
      <c r="M282" s="13"/>
    </row>
    <row r="283" spans="2:13" ht="16" customHeight="1" x14ac:dyDescent="0.45">
      <c r="B283" s="13"/>
      <c r="C283" s="9"/>
      <c r="D283" s="9"/>
      <c r="E283" s="13"/>
      <c r="F283" s="13"/>
      <c r="G283" s="13"/>
      <c r="H283" s="13"/>
      <c r="I283" s="13"/>
      <c r="J283" s="13"/>
      <c r="K283" s="13"/>
      <c r="L283" s="13"/>
      <c r="M283" s="13"/>
    </row>
    <row r="284" spans="2:13" ht="16" customHeight="1" x14ac:dyDescent="0.45">
      <c r="B284" s="13"/>
      <c r="C284" s="9"/>
      <c r="D284" s="9"/>
      <c r="E284" s="13"/>
      <c r="F284" s="13"/>
      <c r="G284" s="13"/>
      <c r="H284" s="13"/>
      <c r="I284" s="13"/>
      <c r="J284" s="13"/>
      <c r="K284" s="13"/>
      <c r="L284" s="13"/>
      <c r="M284" s="13"/>
    </row>
    <row r="285" spans="2:13" ht="16" customHeight="1" x14ac:dyDescent="0.45">
      <c r="B285" s="13"/>
      <c r="C285" s="9"/>
      <c r="D285" s="9"/>
      <c r="E285" s="13"/>
      <c r="F285" s="13"/>
      <c r="G285" s="13"/>
      <c r="H285" s="13"/>
      <c r="I285" s="13"/>
      <c r="J285" s="13"/>
      <c r="K285" s="13"/>
      <c r="L285" s="13"/>
      <c r="M285" s="13"/>
    </row>
    <row r="286" spans="2:13" ht="16" customHeight="1" x14ac:dyDescent="0.45">
      <c r="B286" s="13"/>
      <c r="C286" s="9"/>
      <c r="D286" s="9"/>
      <c r="E286" s="13"/>
      <c r="F286" s="13"/>
      <c r="G286" s="13"/>
      <c r="H286" s="13"/>
      <c r="I286" s="13"/>
      <c r="J286" s="13"/>
      <c r="K286" s="13"/>
      <c r="L286" s="13"/>
      <c r="M286" s="13"/>
    </row>
    <row r="287" spans="2:13" ht="16" customHeight="1" x14ac:dyDescent="0.45">
      <c r="B287" s="13"/>
      <c r="C287" s="9"/>
      <c r="D287" s="9"/>
      <c r="E287" s="13"/>
      <c r="F287" s="13"/>
      <c r="G287" s="13"/>
      <c r="H287" s="13"/>
      <c r="I287" s="13"/>
      <c r="J287" s="13"/>
      <c r="K287" s="13"/>
      <c r="L287" s="13"/>
      <c r="M287" s="13"/>
    </row>
    <row r="288" spans="2:13" ht="16" customHeight="1" x14ac:dyDescent="0.45">
      <c r="B288" s="13"/>
      <c r="C288" s="9"/>
      <c r="D288" s="9"/>
      <c r="E288" s="13"/>
      <c r="F288" s="13"/>
      <c r="G288" s="13"/>
      <c r="H288" s="13"/>
      <c r="I288" s="13"/>
      <c r="J288" s="13"/>
      <c r="K288" s="13"/>
      <c r="L288" s="13"/>
      <c r="M288" s="13"/>
    </row>
    <row r="289" spans="2:13" ht="16" customHeight="1" x14ac:dyDescent="0.45">
      <c r="B289" s="13"/>
      <c r="C289" s="9"/>
      <c r="D289" s="9"/>
      <c r="E289" s="13"/>
      <c r="F289" s="13"/>
      <c r="G289" s="13"/>
      <c r="H289" s="13"/>
      <c r="I289" s="13"/>
      <c r="J289" s="13"/>
      <c r="K289" s="13"/>
      <c r="L289" s="13"/>
      <c r="M289" s="13"/>
    </row>
    <row r="290" spans="2:13" ht="16" customHeight="1" x14ac:dyDescent="0.45">
      <c r="B290" s="13"/>
      <c r="C290" s="9"/>
      <c r="D290" s="9"/>
      <c r="E290" s="13"/>
      <c r="F290" s="13"/>
      <c r="G290" s="13"/>
      <c r="H290" s="13"/>
      <c r="I290" s="13"/>
      <c r="J290" s="13"/>
      <c r="K290" s="13"/>
      <c r="L290" s="13"/>
      <c r="M290" s="13"/>
    </row>
    <row r="291" spans="2:13" ht="16" customHeight="1" x14ac:dyDescent="0.45">
      <c r="B291" s="13"/>
      <c r="C291" s="9"/>
      <c r="D291" s="9"/>
      <c r="E291" s="13"/>
      <c r="F291" s="13"/>
      <c r="G291" s="13"/>
      <c r="H291" s="13"/>
      <c r="I291" s="13"/>
      <c r="J291" s="13"/>
      <c r="K291" s="13"/>
      <c r="L291" s="13"/>
      <c r="M291" s="13"/>
    </row>
    <row r="292" spans="2:13" ht="16" customHeight="1" x14ac:dyDescent="0.45">
      <c r="B292" s="13"/>
      <c r="C292" s="9"/>
      <c r="D292" s="9"/>
      <c r="E292" s="13"/>
      <c r="F292" s="13"/>
      <c r="G292" s="13"/>
      <c r="H292" s="13"/>
      <c r="I292" s="13"/>
      <c r="J292" s="13"/>
      <c r="K292" s="13"/>
      <c r="L292" s="13"/>
      <c r="M292" s="13"/>
    </row>
    <row r="293" spans="2:13" ht="16" customHeight="1" x14ac:dyDescent="0.45">
      <c r="B293" s="13"/>
      <c r="C293" s="9"/>
      <c r="D293" s="9"/>
      <c r="E293" s="13"/>
      <c r="F293" s="13"/>
      <c r="G293" s="13"/>
      <c r="H293" s="13"/>
      <c r="I293" s="13"/>
      <c r="J293" s="13"/>
      <c r="K293" s="13"/>
      <c r="L293" s="13"/>
      <c r="M293" s="13"/>
    </row>
    <row r="294" spans="2:13" ht="16" customHeight="1" x14ac:dyDescent="0.45">
      <c r="B294" s="13"/>
      <c r="C294" s="9"/>
      <c r="D294" s="9"/>
      <c r="E294" s="13"/>
      <c r="F294" s="13"/>
      <c r="G294" s="13"/>
      <c r="H294" s="13"/>
      <c r="I294" s="13"/>
      <c r="J294" s="13"/>
      <c r="K294" s="13"/>
      <c r="L294" s="13"/>
      <c r="M294" s="13"/>
    </row>
    <row r="295" spans="2:13" ht="16" customHeight="1" x14ac:dyDescent="0.45">
      <c r="B295" s="13"/>
      <c r="C295" s="9"/>
      <c r="D295" s="9"/>
      <c r="E295" s="13"/>
      <c r="F295" s="13"/>
      <c r="G295" s="13"/>
      <c r="H295" s="13"/>
      <c r="I295" s="13"/>
      <c r="J295" s="13"/>
      <c r="K295" s="13"/>
      <c r="L295" s="13"/>
      <c r="M295" s="13"/>
    </row>
    <row r="296" spans="2:13" ht="16" customHeight="1" x14ac:dyDescent="0.45">
      <c r="B296" s="13"/>
      <c r="C296" s="9"/>
      <c r="D296" s="9"/>
      <c r="E296" s="13"/>
      <c r="F296" s="13"/>
      <c r="G296" s="13"/>
      <c r="H296" s="13"/>
      <c r="I296" s="13"/>
      <c r="J296" s="13"/>
      <c r="K296" s="13"/>
      <c r="L296" s="13"/>
      <c r="M296" s="13"/>
    </row>
    <row r="297" spans="2:13" ht="16" customHeight="1" x14ac:dyDescent="0.45">
      <c r="B297" s="13"/>
      <c r="C297" s="9"/>
      <c r="D297" s="9"/>
      <c r="E297" s="13"/>
      <c r="F297" s="13"/>
      <c r="G297" s="13"/>
      <c r="H297" s="13"/>
      <c r="I297" s="13"/>
      <c r="J297" s="13"/>
      <c r="K297" s="13"/>
      <c r="L297" s="13"/>
      <c r="M297" s="13"/>
    </row>
    <row r="298" spans="2:13" ht="16" customHeight="1" x14ac:dyDescent="0.45">
      <c r="B298" s="13"/>
      <c r="C298" s="9"/>
      <c r="D298" s="9"/>
      <c r="E298" s="13"/>
      <c r="F298" s="13"/>
      <c r="G298" s="13"/>
      <c r="H298" s="13"/>
      <c r="I298" s="13"/>
      <c r="J298" s="13"/>
      <c r="K298" s="13"/>
      <c r="L298" s="13"/>
      <c r="M298" s="13"/>
    </row>
    <row r="299" spans="2:13" ht="16" customHeight="1" x14ac:dyDescent="0.45">
      <c r="B299" s="13"/>
      <c r="C299" s="9"/>
      <c r="D299" s="9"/>
      <c r="E299" s="13"/>
      <c r="F299" s="13"/>
      <c r="G299" s="13"/>
      <c r="H299" s="13"/>
      <c r="I299" s="13"/>
      <c r="J299" s="13"/>
      <c r="K299" s="13"/>
      <c r="L299" s="13"/>
      <c r="M299" s="13"/>
    </row>
    <row r="300" spans="2:13" ht="16" customHeight="1" x14ac:dyDescent="0.45">
      <c r="B300" s="13"/>
      <c r="C300" s="9"/>
      <c r="D300" s="9"/>
      <c r="E300" s="13"/>
      <c r="F300" s="13"/>
      <c r="G300" s="13"/>
      <c r="H300" s="13"/>
      <c r="I300" s="13"/>
      <c r="J300" s="13"/>
      <c r="K300" s="13"/>
      <c r="L300" s="13"/>
      <c r="M300" s="13"/>
    </row>
    <row r="301" spans="2:13" ht="16" customHeight="1" x14ac:dyDescent="0.45">
      <c r="B301" s="13"/>
      <c r="C301" s="9"/>
      <c r="D301" s="9"/>
      <c r="E301" s="13"/>
      <c r="F301" s="13"/>
      <c r="G301" s="13"/>
      <c r="H301" s="13"/>
      <c r="I301" s="13"/>
      <c r="J301" s="13"/>
      <c r="K301" s="13"/>
      <c r="L301" s="13"/>
      <c r="M301" s="13"/>
    </row>
    <row r="302" spans="2:13" ht="16" customHeight="1" x14ac:dyDescent="0.45">
      <c r="B302" s="13"/>
      <c r="C302" s="9"/>
      <c r="D302" s="9"/>
      <c r="E302" s="13"/>
      <c r="F302" s="13"/>
      <c r="G302" s="13"/>
      <c r="H302" s="13"/>
      <c r="I302" s="13"/>
      <c r="J302" s="13"/>
      <c r="K302" s="13"/>
      <c r="L302" s="13"/>
      <c r="M302" s="13"/>
    </row>
    <row r="303" spans="2:13" ht="16" customHeight="1" x14ac:dyDescent="0.45">
      <c r="B303" s="13"/>
      <c r="C303" s="9"/>
      <c r="D303" s="9"/>
      <c r="E303" s="13"/>
      <c r="F303" s="13"/>
      <c r="G303" s="13"/>
      <c r="H303" s="13"/>
      <c r="I303" s="13"/>
      <c r="J303" s="13"/>
      <c r="K303" s="13"/>
      <c r="L303" s="13"/>
      <c r="M303" s="13"/>
    </row>
    <row r="304" spans="2:13" ht="16" customHeight="1" x14ac:dyDescent="0.45">
      <c r="B304" s="13"/>
      <c r="C304" s="9"/>
      <c r="D304" s="9"/>
      <c r="E304" s="13"/>
      <c r="F304" s="13"/>
      <c r="G304" s="13"/>
      <c r="H304" s="13"/>
      <c r="I304" s="13"/>
      <c r="J304" s="13"/>
      <c r="K304" s="13"/>
      <c r="L304" s="13"/>
      <c r="M304" s="13"/>
    </row>
    <row r="305" spans="2:13" ht="16" customHeight="1" x14ac:dyDescent="0.45">
      <c r="B305" s="13"/>
      <c r="C305" s="9"/>
      <c r="D305" s="9"/>
      <c r="E305" s="13"/>
      <c r="F305" s="13"/>
      <c r="G305" s="13"/>
      <c r="H305" s="13"/>
      <c r="I305" s="13"/>
      <c r="J305" s="13"/>
      <c r="K305" s="13"/>
      <c r="L305" s="13"/>
      <c r="M305" s="13"/>
    </row>
    <row r="306" spans="2:13" ht="16" customHeight="1" x14ac:dyDescent="0.45">
      <c r="B306" s="13"/>
      <c r="C306" s="9"/>
      <c r="D306" s="9"/>
      <c r="E306" s="13"/>
      <c r="F306" s="13"/>
      <c r="G306" s="13"/>
      <c r="H306" s="13"/>
      <c r="I306" s="13"/>
      <c r="J306" s="13"/>
      <c r="K306" s="13"/>
      <c r="L306" s="13"/>
      <c r="M306" s="13"/>
    </row>
    <row r="307" spans="2:13" ht="16" customHeight="1" x14ac:dyDescent="0.45">
      <c r="B307" s="13"/>
      <c r="C307" s="9"/>
      <c r="D307" s="9"/>
      <c r="E307" s="13"/>
      <c r="F307" s="13"/>
      <c r="G307" s="13"/>
      <c r="H307" s="13"/>
      <c r="I307" s="13"/>
      <c r="J307" s="13"/>
      <c r="K307" s="13"/>
      <c r="L307" s="13"/>
      <c r="M307" s="13"/>
    </row>
    <row r="308" spans="2:13" ht="16" customHeight="1" x14ac:dyDescent="0.45">
      <c r="B308" s="13"/>
      <c r="C308" s="9"/>
      <c r="D308" s="9"/>
      <c r="E308" s="13"/>
      <c r="F308" s="13"/>
      <c r="G308" s="13"/>
      <c r="H308" s="13"/>
      <c r="I308" s="13"/>
      <c r="J308" s="13"/>
      <c r="K308" s="13"/>
      <c r="L308" s="13"/>
      <c r="M308" s="13"/>
    </row>
    <row r="309" spans="2:13" ht="16" customHeight="1" x14ac:dyDescent="0.45">
      <c r="B309" s="13"/>
      <c r="C309" s="9"/>
      <c r="D309" s="9"/>
      <c r="E309" s="13"/>
      <c r="F309" s="13"/>
      <c r="G309" s="13"/>
      <c r="H309" s="13"/>
      <c r="I309" s="13"/>
      <c r="J309" s="13"/>
      <c r="K309" s="13"/>
      <c r="L309" s="13"/>
      <c r="M309" s="13"/>
    </row>
    <row r="310" spans="2:13" ht="16" customHeight="1" x14ac:dyDescent="0.45">
      <c r="B310" s="13"/>
      <c r="C310" s="9"/>
      <c r="D310" s="9"/>
      <c r="E310" s="13"/>
      <c r="F310" s="13"/>
      <c r="G310" s="13"/>
      <c r="H310" s="13"/>
      <c r="I310" s="13"/>
      <c r="J310" s="13"/>
      <c r="K310" s="13"/>
      <c r="L310" s="13"/>
      <c r="M310" s="13"/>
    </row>
    <row r="311" spans="2:13" ht="16" customHeight="1" x14ac:dyDescent="0.45">
      <c r="B311" s="13"/>
      <c r="C311" s="9"/>
      <c r="D311" s="9"/>
      <c r="E311" s="13"/>
      <c r="F311" s="13"/>
      <c r="G311" s="13"/>
      <c r="H311" s="13"/>
      <c r="I311" s="13"/>
      <c r="J311" s="13"/>
      <c r="K311" s="13"/>
      <c r="L311" s="13"/>
      <c r="M311" s="13"/>
    </row>
    <row r="312" spans="2:13" ht="16" customHeight="1" x14ac:dyDescent="0.45">
      <c r="B312" s="13"/>
      <c r="C312" s="9"/>
      <c r="D312" s="9"/>
      <c r="E312" s="13"/>
      <c r="F312" s="13"/>
      <c r="G312" s="13"/>
      <c r="H312" s="13"/>
      <c r="I312" s="13"/>
      <c r="J312" s="13"/>
      <c r="K312" s="13"/>
      <c r="L312" s="13"/>
      <c r="M312" s="13"/>
    </row>
    <row r="313" spans="2:13" ht="16" customHeight="1" x14ac:dyDescent="0.45">
      <c r="B313" s="13"/>
      <c r="C313" s="9"/>
      <c r="D313" s="9"/>
      <c r="E313" s="13"/>
      <c r="F313" s="13"/>
      <c r="G313" s="13"/>
      <c r="H313" s="13"/>
      <c r="I313" s="13"/>
      <c r="J313" s="13"/>
      <c r="K313" s="13"/>
      <c r="L313" s="13"/>
      <c r="M313" s="13"/>
    </row>
    <row r="314" spans="2:13" ht="16" customHeight="1" x14ac:dyDescent="0.45">
      <c r="B314" s="13"/>
      <c r="C314" s="9"/>
      <c r="D314" s="9"/>
      <c r="E314" s="13"/>
      <c r="F314" s="13"/>
      <c r="G314" s="13"/>
      <c r="H314" s="13"/>
      <c r="I314" s="13"/>
      <c r="J314" s="13"/>
      <c r="K314" s="13"/>
      <c r="L314" s="13"/>
      <c r="M314" s="13"/>
    </row>
    <row r="315" spans="2:13" ht="16" customHeight="1" x14ac:dyDescent="0.45">
      <c r="B315" s="13"/>
      <c r="C315" s="9"/>
      <c r="D315" s="9"/>
      <c r="E315" s="13"/>
      <c r="F315" s="13"/>
      <c r="G315" s="13"/>
      <c r="H315" s="13"/>
      <c r="I315" s="13"/>
      <c r="J315" s="13"/>
      <c r="K315" s="13"/>
      <c r="L315" s="13"/>
      <c r="M315" s="13"/>
    </row>
    <row r="316" spans="2:13" ht="16" customHeight="1" x14ac:dyDescent="0.45">
      <c r="B316" s="13"/>
      <c r="C316" s="9"/>
      <c r="D316" s="9"/>
      <c r="E316" s="13"/>
      <c r="F316" s="13"/>
      <c r="G316" s="13"/>
      <c r="H316" s="13"/>
      <c r="I316" s="13"/>
      <c r="J316" s="13"/>
      <c r="K316" s="13"/>
      <c r="L316" s="13"/>
      <c r="M316" s="13"/>
    </row>
    <row r="317" spans="2:13" ht="16" customHeight="1" x14ac:dyDescent="0.45">
      <c r="B317" s="13"/>
      <c r="C317" s="9"/>
      <c r="D317" s="9"/>
      <c r="E317" s="13"/>
      <c r="F317" s="13"/>
      <c r="G317" s="13"/>
      <c r="H317" s="13"/>
      <c r="I317" s="13"/>
      <c r="J317" s="13"/>
      <c r="K317" s="13"/>
      <c r="L317" s="13"/>
      <c r="M317" s="13"/>
    </row>
    <row r="318" spans="2:13" ht="16" customHeight="1" x14ac:dyDescent="0.45">
      <c r="B318" s="13"/>
      <c r="C318" s="9"/>
      <c r="D318" s="9"/>
      <c r="E318" s="13"/>
      <c r="F318" s="13"/>
      <c r="G318" s="13"/>
      <c r="H318" s="13"/>
      <c r="I318" s="13"/>
      <c r="J318" s="13"/>
      <c r="K318" s="13"/>
      <c r="L318" s="13"/>
      <c r="M318" s="13"/>
    </row>
    <row r="319" spans="2:13" ht="16" customHeight="1" x14ac:dyDescent="0.45">
      <c r="B319" s="13"/>
      <c r="C319" s="9"/>
      <c r="D319" s="9"/>
      <c r="E319" s="13"/>
      <c r="F319" s="13"/>
      <c r="G319" s="13"/>
      <c r="H319" s="13"/>
      <c r="I319" s="13"/>
      <c r="J319" s="13"/>
      <c r="K319" s="13"/>
      <c r="L319" s="13"/>
      <c r="M319" s="13"/>
    </row>
    <row r="320" spans="2:13" ht="16" customHeight="1" x14ac:dyDescent="0.45">
      <c r="B320" s="13"/>
      <c r="C320" s="9"/>
      <c r="D320" s="9"/>
      <c r="E320" s="13"/>
      <c r="F320" s="13"/>
      <c r="G320" s="13"/>
      <c r="H320" s="13"/>
      <c r="I320" s="13"/>
      <c r="J320" s="13"/>
      <c r="K320" s="13"/>
      <c r="L320" s="13"/>
      <c r="M320" s="13"/>
    </row>
    <row r="321" spans="2:13" ht="16" customHeight="1" x14ac:dyDescent="0.45">
      <c r="B321" s="13"/>
      <c r="C321" s="9"/>
      <c r="D321" s="9"/>
      <c r="E321" s="13"/>
      <c r="F321" s="13"/>
      <c r="G321" s="13"/>
      <c r="H321" s="13"/>
      <c r="I321" s="13"/>
      <c r="J321" s="13"/>
      <c r="K321" s="13"/>
      <c r="L321" s="13"/>
      <c r="M321" s="13"/>
    </row>
    <row r="322" spans="2:13" ht="16" customHeight="1" x14ac:dyDescent="0.45">
      <c r="B322" s="13"/>
      <c r="C322" s="9"/>
      <c r="D322" s="9"/>
      <c r="E322" s="13"/>
      <c r="F322" s="13"/>
      <c r="G322" s="13"/>
      <c r="H322" s="13"/>
      <c r="I322" s="13"/>
      <c r="J322" s="13"/>
      <c r="K322" s="13"/>
      <c r="L322" s="13"/>
      <c r="M322" s="13"/>
    </row>
    <row r="323" spans="2:13" ht="16" customHeight="1" x14ac:dyDescent="0.45">
      <c r="B323" s="13"/>
      <c r="C323" s="9"/>
      <c r="D323" s="9"/>
      <c r="E323" s="13"/>
      <c r="F323" s="13"/>
      <c r="G323" s="13"/>
      <c r="H323" s="13"/>
      <c r="I323" s="13"/>
      <c r="J323" s="13"/>
      <c r="K323" s="13"/>
      <c r="L323" s="13"/>
      <c r="M323" s="13"/>
    </row>
    <row r="324" spans="2:13" ht="16" customHeight="1" x14ac:dyDescent="0.45">
      <c r="B324" s="13"/>
      <c r="C324" s="9"/>
      <c r="D324" s="9"/>
      <c r="E324" s="13"/>
      <c r="F324" s="13"/>
      <c r="G324" s="13"/>
      <c r="H324" s="13"/>
      <c r="I324" s="13"/>
      <c r="J324" s="13"/>
      <c r="K324" s="13"/>
      <c r="L324" s="13"/>
      <c r="M324" s="13"/>
    </row>
    <row r="325" spans="2:13" ht="16" customHeight="1" x14ac:dyDescent="0.45">
      <c r="B325" s="13"/>
      <c r="C325" s="9"/>
      <c r="D325" s="9"/>
      <c r="E325" s="13"/>
      <c r="F325" s="13"/>
      <c r="G325" s="13"/>
      <c r="H325" s="13"/>
      <c r="I325" s="13"/>
      <c r="J325" s="13"/>
      <c r="K325" s="13"/>
      <c r="L325" s="13"/>
      <c r="M325" s="13"/>
    </row>
    <row r="326" spans="2:13" ht="16" customHeight="1" x14ac:dyDescent="0.45">
      <c r="B326" s="13"/>
      <c r="C326" s="9"/>
      <c r="D326" s="9"/>
      <c r="E326" s="13"/>
      <c r="F326" s="13"/>
      <c r="G326" s="13"/>
      <c r="H326" s="13"/>
      <c r="I326" s="13"/>
      <c r="J326" s="13"/>
      <c r="K326" s="13"/>
      <c r="L326" s="13"/>
      <c r="M326" s="13"/>
    </row>
    <row r="327" spans="2:13" ht="16" customHeight="1" x14ac:dyDescent="0.45">
      <c r="B327" s="13"/>
      <c r="C327" s="9"/>
      <c r="D327" s="9"/>
      <c r="E327" s="13"/>
      <c r="F327" s="13"/>
      <c r="G327" s="13"/>
      <c r="H327" s="13"/>
      <c r="I327" s="13"/>
      <c r="J327" s="13"/>
      <c r="K327" s="13"/>
      <c r="L327" s="13"/>
      <c r="M327" s="13"/>
    </row>
    <row r="328" spans="2:13" ht="16" customHeight="1" x14ac:dyDescent="0.45">
      <c r="B328" s="13"/>
      <c r="C328" s="9"/>
      <c r="D328" s="9"/>
      <c r="E328" s="13"/>
      <c r="F328" s="13"/>
      <c r="G328" s="13"/>
      <c r="H328" s="13"/>
      <c r="I328" s="13"/>
      <c r="J328" s="13"/>
      <c r="K328" s="13"/>
      <c r="L328" s="13"/>
      <c r="M328" s="13"/>
    </row>
    <row r="329" spans="2:13" ht="16" customHeight="1" x14ac:dyDescent="0.45">
      <c r="B329" s="13"/>
      <c r="C329" s="9"/>
      <c r="D329" s="9"/>
      <c r="E329" s="13"/>
      <c r="F329" s="13"/>
      <c r="G329" s="13"/>
      <c r="H329" s="13"/>
      <c r="I329" s="13"/>
      <c r="J329" s="13"/>
      <c r="K329" s="13"/>
      <c r="L329" s="13"/>
      <c r="M329" s="13"/>
    </row>
    <row r="330" spans="2:13" ht="16" customHeight="1" x14ac:dyDescent="0.45">
      <c r="B330" s="13"/>
      <c r="C330" s="9"/>
      <c r="D330" s="9"/>
      <c r="E330" s="13"/>
      <c r="F330" s="13"/>
      <c r="G330" s="13"/>
      <c r="H330" s="13"/>
      <c r="I330" s="13"/>
      <c r="J330" s="13"/>
      <c r="K330" s="13"/>
      <c r="L330" s="13"/>
      <c r="M330" s="13"/>
    </row>
    <row r="331" spans="2:13" ht="16" customHeight="1" x14ac:dyDescent="0.45">
      <c r="B331" s="13"/>
      <c r="C331" s="9"/>
      <c r="D331" s="9"/>
      <c r="E331" s="13"/>
      <c r="F331" s="13"/>
      <c r="G331" s="13"/>
      <c r="H331" s="13"/>
      <c r="I331" s="13"/>
      <c r="J331" s="13"/>
      <c r="K331" s="13"/>
      <c r="L331" s="13"/>
      <c r="M331" s="13"/>
    </row>
    <row r="332" spans="2:13" ht="16" customHeight="1" x14ac:dyDescent="0.45">
      <c r="B332" s="13"/>
      <c r="C332" s="9"/>
      <c r="D332" s="9"/>
      <c r="E332" s="13"/>
      <c r="F332" s="13"/>
      <c r="G332" s="13"/>
      <c r="H332" s="13"/>
      <c r="I332" s="13"/>
      <c r="J332" s="13"/>
      <c r="K332" s="13"/>
      <c r="L332" s="13"/>
      <c r="M332" s="13"/>
    </row>
    <row r="333" spans="2:13" ht="16" customHeight="1" x14ac:dyDescent="0.45">
      <c r="B333" s="13"/>
      <c r="C333" s="9"/>
      <c r="D333" s="9"/>
      <c r="E333" s="13"/>
      <c r="F333" s="13"/>
      <c r="G333" s="13"/>
      <c r="H333" s="13"/>
      <c r="I333" s="13"/>
      <c r="J333" s="13"/>
      <c r="K333" s="13"/>
      <c r="L333" s="13"/>
      <c r="M333" s="13"/>
    </row>
    <row r="334" spans="2:13" ht="16" customHeight="1" x14ac:dyDescent="0.45">
      <c r="B334" s="13"/>
      <c r="C334" s="9"/>
      <c r="D334" s="9"/>
      <c r="E334" s="13"/>
      <c r="F334" s="13"/>
      <c r="G334" s="13"/>
      <c r="H334" s="13"/>
      <c r="I334" s="13"/>
      <c r="J334" s="13"/>
      <c r="K334" s="13"/>
      <c r="L334" s="13"/>
      <c r="M334" s="13"/>
    </row>
    <row r="335" spans="2:13" ht="16" customHeight="1" x14ac:dyDescent="0.45">
      <c r="B335" s="13"/>
      <c r="C335" s="9"/>
      <c r="D335" s="9"/>
      <c r="E335" s="13"/>
      <c r="F335" s="13"/>
      <c r="G335" s="13"/>
      <c r="H335" s="13"/>
      <c r="I335" s="13"/>
      <c r="J335" s="13"/>
      <c r="K335" s="13"/>
      <c r="L335" s="13"/>
      <c r="M335" s="13"/>
    </row>
    <row r="336" spans="2:13" ht="16" customHeight="1" x14ac:dyDescent="0.45">
      <c r="B336" s="13"/>
      <c r="C336" s="9"/>
      <c r="D336" s="9"/>
      <c r="E336" s="13"/>
      <c r="F336" s="13"/>
      <c r="G336" s="13"/>
      <c r="H336" s="13"/>
      <c r="I336" s="13"/>
      <c r="J336" s="13"/>
      <c r="K336" s="13"/>
      <c r="L336" s="13"/>
      <c r="M336" s="13"/>
    </row>
    <row r="337" spans="2:13" ht="16" customHeight="1" x14ac:dyDescent="0.45">
      <c r="B337" s="13"/>
      <c r="C337" s="9"/>
      <c r="D337" s="9"/>
      <c r="E337" s="13"/>
      <c r="F337" s="13"/>
      <c r="G337" s="13"/>
      <c r="H337" s="13"/>
      <c r="I337" s="13"/>
      <c r="J337" s="13"/>
      <c r="K337" s="13"/>
      <c r="L337" s="13"/>
      <c r="M337" s="13"/>
    </row>
    <row r="338" spans="2:13" ht="16" customHeight="1" x14ac:dyDescent="0.45">
      <c r="B338" s="13"/>
      <c r="C338" s="9"/>
      <c r="D338" s="9"/>
      <c r="E338" s="13"/>
      <c r="F338" s="13"/>
      <c r="G338" s="13"/>
      <c r="H338" s="13"/>
      <c r="I338" s="13"/>
      <c r="J338" s="13"/>
      <c r="K338" s="13"/>
      <c r="L338" s="13"/>
      <c r="M338" s="13"/>
    </row>
    <row r="339" spans="2:13" ht="16" customHeight="1" x14ac:dyDescent="0.45">
      <c r="B339" s="13"/>
      <c r="C339" s="9"/>
      <c r="D339" s="9"/>
      <c r="E339" s="13"/>
      <c r="F339" s="13"/>
      <c r="G339" s="13"/>
      <c r="H339" s="13"/>
      <c r="I339" s="13"/>
      <c r="J339" s="13"/>
      <c r="K339" s="13"/>
      <c r="L339" s="13"/>
      <c r="M339" s="13"/>
    </row>
    <row r="340" spans="2:13" ht="16" customHeight="1" x14ac:dyDescent="0.45">
      <c r="B340" s="13"/>
      <c r="C340" s="9"/>
      <c r="D340" s="9"/>
      <c r="E340" s="13"/>
      <c r="F340" s="13"/>
      <c r="G340" s="13"/>
      <c r="H340" s="13"/>
      <c r="I340" s="13"/>
      <c r="J340" s="13"/>
      <c r="K340" s="13"/>
      <c r="L340" s="13"/>
      <c r="M340" s="13"/>
    </row>
    <row r="341" spans="2:13" ht="16" customHeight="1" x14ac:dyDescent="0.45">
      <c r="B341" s="13"/>
      <c r="C341" s="9"/>
      <c r="D341" s="9"/>
      <c r="E341" s="13"/>
      <c r="F341" s="13"/>
      <c r="G341" s="13"/>
      <c r="H341" s="13"/>
      <c r="I341" s="13"/>
      <c r="J341" s="13"/>
      <c r="K341" s="13"/>
      <c r="L341" s="13"/>
      <c r="M341" s="13"/>
    </row>
    <row r="342" spans="2:13" ht="16" customHeight="1" x14ac:dyDescent="0.45">
      <c r="B342" s="13"/>
      <c r="C342" s="9"/>
      <c r="D342" s="9"/>
      <c r="E342" s="13"/>
      <c r="F342" s="13"/>
      <c r="G342" s="13"/>
      <c r="H342" s="13"/>
      <c r="I342" s="13"/>
      <c r="J342" s="13"/>
      <c r="K342" s="13"/>
      <c r="L342" s="13"/>
      <c r="M342" s="13"/>
    </row>
    <row r="343" spans="2:13" ht="16" customHeight="1" x14ac:dyDescent="0.45">
      <c r="B343" s="13"/>
      <c r="C343" s="9"/>
      <c r="D343" s="9"/>
      <c r="E343" s="13"/>
      <c r="F343" s="13"/>
      <c r="G343" s="13"/>
      <c r="H343" s="13"/>
      <c r="I343" s="13"/>
      <c r="J343" s="13"/>
      <c r="K343" s="13"/>
      <c r="L343" s="13"/>
      <c r="M343" s="13"/>
    </row>
    <row r="344" spans="2:13" ht="16" customHeight="1" x14ac:dyDescent="0.45">
      <c r="B344" s="13"/>
      <c r="C344" s="9"/>
      <c r="D344" s="9"/>
      <c r="E344" s="13"/>
      <c r="F344" s="13"/>
      <c r="G344" s="13"/>
      <c r="H344" s="13"/>
      <c r="I344" s="13"/>
      <c r="J344" s="13"/>
      <c r="K344" s="13"/>
      <c r="L344" s="13"/>
      <c r="M344" s="13"/>
    </row>
    <row r="345" spans="2:13" ht="16" customHeight="1" x14ac:dyDescent="0.45">
      <c r="B345" s="13"/>
      <c r="C345" s="9"/>
      <c r="D345" s="9"/>
      <c r="E345" s="13"/>
      <c r="F345" s="13"/>
      <c r="G345" s="13"/>
      <c r="H345" s="13"/>
      <c r="I345" s="13"/>
      <c r="J345" s="13"/>
      <c r="K345" s="13"/>
      <c r="L345" s="13"/>
      <c r="M345" s="13"/>
    </row>
    <row r="346" spans="2:13" ht="16" customHeight="1" x14ac:dyDescent="0.45">
      <c r="B346" s="13"/>
      <c r="C346" s="9"/>
      <c r="D346" s="9"/>
      <c r="E346" s="13"/>
      <c r="F346" s="13"/>
      <c r="G346" s="13"/>
      <c r="H346" s="13"/>
      <c r="I346" s="13"/>
      <c r="J346" s="13"/>
      <c r="K346" s="13"/>
      <c r="L346" s="13"/>
      <c r="M346" s="13"/>
    </row>
    <row r="347" spans="2:13" ht="16" customHeight="1" x14ac:dyDescent="0.45">
      <c r="B347" s="13"/>
      <c r="C347" s="9"/>
      <c r="D347" s="9"/>
      <c r="E347" s="13"/>
      <c r="F347" s="13"/>
      <c r="G347" s="13"/>
      <c r="H347" s="13"/>
      <c r="I347" s="13"/>
      <c r="J347" s="13"/>
      <c r="K347" s="13"/>
      <c r="L347" s="13"/>
      <c r="M347" s="13"/>
    </row>
    <row r="348" spans="2:13" ht="16" customHeight="1" x14ac:dyDescent="0.45">
      <c r="B348" s="13"/>
      <c r="C348" s="9"/>
      <c r="D348" s="9"/>
      <c r="E348" s="13"/>
      <c r="F348" s="13"/>
      <c r="G348" s="13"/>
      <c r="H348" s="13"/>
      <c r="I348" s="13"/>
      <c r="J348" s="13"/>
      <c r="K348" s="13"/>
      <c r="L348" s="13"/>
      <c r="M348" s="13"/>
    </row>
    <row r="349" spans="2:13" ht="16" customHeight="1" x14ac:dyDescent="0.45">
      <c r="B349" s="13"/>
      <c r="C349" s="9"/>
      <c r="D349" s="9"/>
      <c r="E349" s="13"/>
      <c r="F349" s="13"/>
      <c r="G349" s="13"/>
      <c r="H349" s="13"/>
      <c r="I349" s="13"/>
      <c r="J349" s="13"/>
      <c r="K349" s="13"/>
      <c r="L349" s="13"/>
      <c r="M349" s="13"/>
    </row>
    <row r="350" spans="2:13" ht="16" customHeight="1" x14ac:dyDescent="0.45">
      <c r="B350" s="13"/>
      <c r="C350" s="9"/>
      <c r="D350" s="9"/>
      <c r="E350" s="13"/>
      <c r="F350" s="13"/>
      <c r="G350" s="13"/>
      <c r="H350" s="13"/>
      <c r="I350" s="13"/>
      <c r="J350" s="13"/>
      <c r="K350" s="13"/>
      <c r="L350" s="13"/>
      <c r="M350" s="13"/>
    </row>
    <row r="351" spans="2:13" ht="16" customHeight="1" x14ac:dyDescent="0.45">
      <c r="B351" s="13"/>
      <c r="C351" s="9"/>
      <c r="D351" s="9"/>
      <c r="E351" s="13"/>
      <c r="F351" s="13"/>
      <c r="G351" s="13"/>
      <c r="H351" s="13"/>
      <c r="I351" s="13"/>
      <c r="J351" s="13"/>
      <c r="K351" s="13"/>
      <c r="L351" s="13"/>
      <c r="M351" s="13"/>
    </row>
    <row r="352" spans="2:13" ht="16" customHeight="1" x14ac:dyDescent="0.45">
      <c r="B352" s="13"/>
      <c r="C352" s="9"/>
      <c r="D352" s="9"/>
      <c r="E352" s="13"/>
      <c r="F352" s="13"/>
      <c r="G352" s="13"/>
      <c r="H352" s="13"/>
      <c r="I352" s="13"/>
      <c r="J352" s="13"/>
      <c r="K352" s="13"/>
      <c r="L352" s="13"/>
      <c r="M352" s="13"/>
    </row>
    <row r="353" spans="2:13" ht="16" customHeight="1" x14ac:dyDescent="0.45">
      <c r="B353" s="13"/>
      <c r="C353" s="9"/>
      <c r="D353" s="9"/>
      <c r="E353" s="13"/>
      <c r="F353" s="13"/>
      <c r="G353" s="13"/>
      <c r="H353" s="13"/>
      <c r="I353" s="13"/>
      <c r="J353" s="13"/>
      <c r="K353" s="13"/>
      <c r="L353" s="13"/>
      <c r="M353" s="13"/>
    </row>
    <row r="354" spans="2:13" ht="16" customHeight="1" x14ac:dyDescent="0.45">
      <c r="B354" s="13"/>
      <c r="C354" s="9"/>
      <c r="D354" s="9"/>
      <c r="E354" s="13"/>
      <c r="F354" s="13"/>
      <c r="G354" s="13"/>
      <c r="H354" s="13"/>
      <c r="I354" s="13"/>
      <c r="J354" s="13"/>
      <c r="K354" s="13"/>
      <c r="L354" s="13"/>
      <c r="M354" s="13"/>
    </row>
    <row r="355" spans="2:13" ht="16" customHeight="1" x14ac:dyDescent="0.45">
      <c r="B355" s="13"/>
      <c r="C355" s="9"/>
      <c r="D355" s="9"/>
      <c r="E355" s="13"/>
      <c r="F355" s="13"/>
      <c r="G355" s="13"/>
      <c r="H355" s="13"/>
      <c r="I355" s="13"/>
      <c r="J355" s="13"/>
      <c r="K355" s="13"/>
      <c r="L355" s="13"/>
      <c r="M355" s="13"/>
    </row>
    <row r="356" spans="2:13" ht="16" customHeight="1" x14ac:dyDescent="0.45">
      <c r="B356" s="13"/>
      <c r="C356" s="9"/>
      <c r="D356" s="9"/>
      <c r="E356" s="13"/>
      <c r="F356" s="13"/>
      <c r="G356" s="13"/>
      <c r="H356" s="13"/>
      <c r="I356" s="13"/>
      <c r="J356" s="13"/>
      <c r="K356" s="13"/>
      <c r="L356" s="13"/>
      <c r="M356" s="13"/>
    </row>
    <row r="357" spans="2:13" ht="16" customHeight="1" x14ac:dyDescent="0.45">
      <c r="B357" s="13"/>
      <c r="C357" s="9"/>
      <c r="D357" s="9"/>
      <c r="E357" s="13"/>
      <c r="F357" s="13"/>
      <c r="G357" s="13"/>
      <c r="H357" s="13"/>
      <c r="I357" s="13"/>
      <c r="J357" s="13"/>
      <c r="K357" s="13"/>
      <c r="L357" s="13"/>
      <c r="M357" s="13"/>
    </row>
    <row r="358" spans="2:13" ht="16" customHeight="1" x14ac:dyDescent="0.45">
      <c r="B358" s="13"/>
      <c r="C358" s="9"/>
      <c r="D358" s="9"/>
      <c r="E358" s="13"/>
      <c r="F358" s="13"/>
      <c r="G358" s="13"/>
      <c r="H358" s="13"/>
      <c r="I358" s="13"/>
      <c r="J358" s="13"/>
      <c r="K358" s="13"/>
      <c r="L358" s="13"/>
      <c r="M358" s="13"/>
    </row>
    <row r="359" spans="2:13" ht="16" customHeight="1" x14ac:dyDescent="0.45">
      <c r="B359" s="13"/>
      <c r="C359" s="9"/>
      <c r="D359" s="9"/>
      <c r="E359" s="13"/>
      <c r="F359" s="13"/>
      <c r="G359" s="13"/>
      <c r="H359" s="13"/>
      <c r="I359" s="13"/>
      <c r="J359" s="13"/>
      <c r="K359" s="13"/>
      <c r="L359" s="13"/>
      <c r="M359" s="13"/>
    </row>
    <row r="360" spans="2:13" ht="16" customHeight="1" x14ac:dyDescent="0.45">
      <c r="B360" s="13"/>
      <c r="C360" s="9"/>
      <c r="D360" s="9"/>
      <c r="E360" s="13"/>
      <c r="F360" s="13"/>
      <c r="G360" s="13"/>
      <c r="H360" s="13"/>
      <c r="I360" s="13"/>
      <c r="J360" s="13"/>
      <c r="K360" s="13"/>
      <c r="L360" s="13"/>
      <c r="M360" s="13"/>
    </row>
    <row r="361" spans="2:13" ht="16" customHeight="1" x14ac:dyDescent="0.45">
      <c r="B361" s="13"/>
      <c r="C361" s="9"/>
      <c r="D361" s="9"/>
      <c r="E361" s="13"/>
      <c r="F361" s="13"/>
      <c r="G361" s="13"/>
      <c r="H361" s="13"/>
      <c r="I361" s="13"/>
      <c r="J361" s="13"/>
      <c r="K361" s="13"/>
      <c r="L361" s="13"/>
      <c r="M361" s="13"/>
    </row>
    <row r="362" spans="2:13" ht="16" customHeight="1" x14ac:dyDescent="0.45">
      <c r="B362" s="13"/>
      <c r="C362" s="9"/>
      <c r="D362" s="9"/>
      <c r="E362" s="13"/>
      <c r="F362" s="13"/>
      <c r="G362" s="13"/>
      <c r="H362" s="13"/>
      <c r="I362" s="13"/>
      <c r="J362" s="13"/>
      <c r="K362" s="13"/>
      <c r="L362" s="13"/>
      <c r="M362" s="13"/>
    </row>
    <row r="363" spans="2:13" ht="16" customHeight="1" x14ac:dyDescent="0.45">
      <c r="B363" s="13"/>
      <c r="C363" s="9"/>
      <c r="D363" s="9"/>
      <c r="E363" s="13"/>
      <c r="F363" s="13"/>
      <c r="G363" s="13"/>
      <c r="H363" s="13"/>
      <c r="I363" s="13"/>
      <c r="J363" s="13"/>
      <c r="K363" s="13"/>
      <c r="L363" s="13"/>
      <c r="M363" s="13"/>
    </row>
    <row r="364" spans="2:13" ht="16" customHeight="1" x14ac:dyDescent="0.45">
      <c r="B364" s="13"/>
      <c r="C364" s="9"/>
      <c r="D364" s="9"/>
      <c r="E364" s="13"/>
      <c r="F364" s="13"/>
      <c r="G364" s="13"/>
      <c r="H364" s="13"/>
      <c r="I364" s="13"/>
      <c r="J364" s="13"/>
      <c r="K364" s="13"/>
      <c r="L364" s="13"/>
      <c r="M364" s="13"/>
    </row>
    <row r="365" spans="2:13" ht="16" customHeight="1" x14ac:dyDescent="0.45">
      <c r="B365" s="13"/>
      <c r="C365" s="9"/>
      <c r="D365" s="9"/>
      <c r="E365" s="13"/>
      <c r="F365" s="13"/>
      <c r="G365" s="13"/>
      <c r="H365" s="13"/>
      <c r="I365" s="13"/>
      <c r="J365" s="13"/>
      <c r="K365" s="13"/>
      <c r="L365" s="13"/>
      <c r="M365" s="13"/>
    </row>
    <row r="366" spans="2:13" ht="16" customHeight="1" x14ac:dyDescent="0.45">
      <c r="B366" s="13"/>
      <c r="C366" s="9"/>
      <c r="D366" s="9"/>
      <c r="E366" s="13"/>
      <c r="F366" s="13"/>
      <c r="G366" s="13"/>
      <c r="H366" s="13"/>
      <c r="I366" s="13"/>
      <c r="J366" s="13"/>
      <c r="K366" s="13"/>
      <c r="L366" s="13"/>
      <c r="M366" s="13"/>
    </row>
    <row r="367" spans="2:13" ht="16" customHeight="1" x14ac:dyDescent="0.45">
      <c r="B367" s="13"/>
      <c r="C367" s="9"/>
      <c r="D367" s="9"/>
      <c r="E367" s="13"/>
      <c r="F367" s="13"/>
      <c r="G367" s="13"/>
      <c r="H367" s="13"/>
      <c r="I367" s="13"/>
      <c r="J367" s="13"/>
      <c r="K367" s="13"/>
      <c r="L367" s="13"/>
      <c r="M367" s="13"/>
    </row>
    <row r="368" spans="2:13" ht="16" customHeight="1" x14ac:dyDescent="0.45">
      <c r="B368" s="13"/>
      <c r="C368" s="9"/>
      <c r="D368" s="9"/>
      <c r="E368" s="13"/>
      <c r="F368" s="13"/>
      <c r="G368" s="13"/>
      <c r="H368" s="13"/>
      <c r="I368" s="13"/>
      <c r="J368" s="13"/>
      <c r="K368" s="13"/>
      <c r="L368" s="13"/>
      <c r="M368" s="13"/>
    </row>
    <row r="369" spans="2:13" ht="16" customHeight="1" x14ac:dyDescent="0.45">
      <c r="B369" s="13"/>
      <c r="C369" s="9"/>
      <c r="D369" s="9"/>
      <c r="E369" s="13"/>
      <c r="F369" s="13"/>
      <c r="G369" s="13"/>
      <c r="H369" s="13"/>
      <c r="I369" s="13"/>
      <c r="J369" s="13"/>
      <c r="K369" s="13"/>
      <c r="L369" s="13"/>
      <c r="M369" s="13"/>
    </row>
    <row r="370" spans="2:13" ht="16" customHeight="1" x14ac:dyDescent="0.45">
      <c r="B370" s="13"/>
      <c r="C370" s="9"/>
      <c r="D370" s="9"/>
      <c r="E370" s="13"/>
      <c r="F370" s="13"/>
      <c r="G370" s="13"/>
      <c r="H370" s="13"/>
      <c r="I370" s="13"/>
      <c r="J370" s="13"/>
      <c r="K370" s="13"/>
      <c r="L370" s="13"/>
      <c r="M370" s="13"/>
    </row>
    <row r="371" spans="2:13" ht="16" customHeight="1" x14ac:dyDescent="0.45">
      <c r="B371" s="13"/>
      <c r="C371" s="9"/>
      <c r="D371" s="9"/>
      <c r="E371" s="13"/>
      <c r="F371" s="13"/>
      <c r="G371" s="13"/>
      <c r="H371" s="13"/>
      <c r="I371" s="13"/>
      <c r="J371" s="13"/>
      <c r="K371" s="13"/>
      <c r="L371" s="13"/>
      <c r="M371" s="13"/>
    </row>
    <row r="372" spans="2:13" ht="16" customHeight="1" x14ac:dyDescent="0.45">
      <c r="B372" s="13"/>
      <c r="C372" s="9"/>
      <c r="D372" s="9"/>
      <c r="E372" s="13"/>
      <c r="F372" s="13"/>
      <c r="G372" s="13"/>
      <c r="H372" s="13"/>
      <c r="I372" s="13"/>
      <c r="J372" s="13"/>
      <c r="K372" s="13"/>
      <c r="L372" s="13"/>
      <c r="M372" s="13"/>
    </row>
    <row r="373" spans="2:13" ht="16" customHeight="1" x14ac:dyDescent="0.45">
      <c r="B373" s="13"/>
      <c r="C373" s="9"/>
      <c r="D373" s="9"/>
      <c r="E373" s="13"/>
      <c r="F373" s="13"/>
      <c r="G373" s="13"/>
      <c r="H373" s="13"/>
      <c r="I373" s="13"/>
      <c r="J373" s="13"/>
      <c r="K373" s="13"/>
      <c r="L373" s="13"/>
      <c r="M373" s="13"/>
    </row>
    <row r="374" spans="2:13" ht="16" customHeight="1" x14ac:dyDescent="0.45">
      <c r="B374" s="13"/>
      <c r="C374" s="9"/>
      <c r="D374" s="9"/>
      <c r="E374" s="13"/>
      <c r="F374" s="13"/>
      <c r="G374" s="13"/>
      <c r="H374" s="13"/>
      <c r="I374" s="13"/>
      <c r="J374" s="13"/>
      <c r="K374" s="13"/>
      <c r="L374" s="13"/>
      <c r="M374" s="13"/>
    </row>
    <row r="375" spans="2:13" ht="16" customHeight="1" x14ac:dyDescent="0.45">
      <c r="B375" s="13"/>
      <c r="C375" s="9"/>
      <c r="D375" s="9"/>
      <c r="E375" s="13"/>
      <c r="F375" s="13"/>
      <c r="G375" s="13"/>
      <c r="H375" s="13"/>
      <c r="I375" s="13"/>
      <c r="J375" s="13"/>
      <c r="K375" s="13"/>
      <c r="L375" s="13"/>
      <c r="M375" s="13"/>
    </row>
    <row r="376" spans="2:13" ht="16" customHeight="1" x14ac:dyDescent="0.45">
      <c r="B376" s="13"/>
      <c r="C376" s="9"/>
      <c r="D376" s="9"/>
      <c r="E376" s="13"/>
      <c r="F376" s="13"/>
      <c r="G376" s="13"/>
      <c r="H376" s="13"/>
      <c r="I376" s="13"/>
      <c r="J376" s="13"/>
      <c r="K376" s="13"/>
      <c r="L376" s="13"/>
      <c r="M376" s="13"/>
    </row>
    <row r="377" spans="2:13" ht="16" customHeight="1" x14ac:dyDescent="0.45">
      <c r="B377" s="13"/>
      <c r="C377" s="9"/>
      <c r="D377" s="9"/>
      <c r="E377" s="13"/>
      <c r="F377" s="13"/>
      <c r="G377" s="13"/>
      <c r="H377" s="13"/>
      <c r="I377" s="13"/>
      <c r="J377" s="13"/>
      <c r="K377" s="13"/>
      <c r="L377" s="13"/>
      <c r="M377" s="13"/>
    </row>
    <row r="378" spans="2:13" ht="16" customHeight="1" x14ac:dyDescent="0.45">
      <c r="B378" s="13"/>
      <c r="C378" s="9"/>
      <c r="D378" s="9"/>
      <c r="E378" s="13"/>
      <c r="F378" s="13"/>
      <c r="G378" s="13"/>
      <c r="H378" s="13"/>
      <c r="I378" s="13"/>
      <c r="J378" s="13"/>
      <c r="K378" s="13"/>
      <c r="L378" s="13"/>
      <c r="M378" s="13"/>
    </row>
  </sheetData>
  <mergeCells count="2">
    <mergeCell ref="B4:E4"/>
    <mergeCell ref="B6:C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4E251-FEC3-4A1E-A53E-935BB2793AF7}">
  <dimension ref="A3:U378"/>
  <sheetViews>
    <sheetView showGridLines="0" zoomScale="90" zoomScaleNormal="90" workbookViewId="0">
      <pane xSplit="6" ySplit="8" topLeftCell="G9" activePane="bottomRight" state="frozen"/>
      <selection pane="topRight" activeCell="G1" sqref="G1"/>
      <selection pane="bottomLeft" activeCell="A7" sqref="A7"/>
      <selection pane="bottomRight" activeCell="C35" sqref="C35"/>
    </sheetView>
  </sheetViews>
  <sheetFormatPr defaultColWidth="9.1796875" defaultRowHeight="16" customHeight="1" x14ac:dyDescent="0.35"/>
  <cols>
    <col min="1" max="1" width="5.7265625" style="1" customWidth="1"/>
    <col min="2" max="2" width="10.7265625" style="1" customWidth="1"/>
    <col min="3" max="3" width="60.7265625" style="1" customWidth="1"/>
    <col min="4" max="4" width="2.7265625" style="1" customWidth="1"/>
    <col min="5" max="5" width="14.7265625" style="1" customWidth="1"/>
    <col min="6" max="6" width="2.7265625" style="1" customWidth="1"/>
    <col min="7" max="80" width="14.7265625" style="1" customWidth="1"/>
    <col min="81" max="130" width="15.7265625" style="1" customWidth="1"/>
    <col min="131" max="16384" width="9.1796875" style="1"/>
  </cols>
  <sheetData>
    <row r="3" spans="1:21" ht="16" customHeight="1" x14ac:dyDescent="0.35">
      <c r="B3" s="2" t="s">
        <v>1041</v>
      </c>
    </row>
    <row r="4" spans="1:21" ht="16" customHeight="1" x14ac:dyDescent="0.35">
      <c r="B4" s="4" t="s">
        <v>270</v>
      </c>
      <c r="E4" s="3"/>
    </row>
    <row r="5" spans="1:21" ht="16" customHeight="1" x14ac:dyDescent="0.35">
      <c r="B5" s="4" t="s">
        <v>1016</v>
      </c>
    </row>
    <row r="6" spans="1:21" ht="16" customHeight="1" x14ac:dyDescent="0.35">
      <c r="A6" s="20"/>
      <c r="B6" s="56">
        <v>46194.596943576391</v>
      </c>
      <c r="C6" s="56"/>
    </row>
    <row r="8" spans="1:21" ht="16.5" thickBot="1" x14ac:dyDescent="0.5">
      <c r="B8" s="7"/>
      <c r="C8" s="28"/>
      <c r="D8" s="59"/>
      <c r="E8" s="21" t="s">
        <v>1017</v>
      </c>
      <c r="F8" s="59"/>
      <c r="G8" s="8" t="s">
        <v>1023</v>
      </c>
      <c r="H8" s="8" t="s">
        <v>1024</v>
      </c>
      <c r="I8" s="8" t="s">
        <v>1027</v>
      </c>
      <c r="J8" s="8" t="s">
        <v>1028</v>
      </c>
      <c r="K8" s="8" t="s">
        <v>1029</v>
      </c>
      <c r="L8" s="8" t="s">
        <v>1033</v>
      </c>
      <c r="M8" s="8" t="s">
        <v>1042</v>
      </c>
      <c r="N8" s="9"/>
      <c r="O8" s="9"/>
      <c r="P8" s="9"/>
      <c r="Q8" s="9"/>
      <c r="R8" s="13"/>
      <c r="S8" s="9"/>
      <c r="T8" s="13"/>
      <c r="U8" s="13"/>
    </row>
    <row r="9" spans="1:21" ht="15" customHeight="1" x14ac:dyDescent="0.45">
      <c r="B9" s="11"/>
      <c r="C9" s="11"/>
      <c r="D9" s="29"/>
      <c r="E9" s="60"/>
      <c r="F9" s="29"/>
      <c r="G9" s="12"/>
      <c r="H9" s="12"/>
      <c r="I9" s="12"/>
      <c r="J9" s="12"/>
      <c r="K9" s="12"/>
      <c r="L9" s="12"/>
      <c r="M9" s="12"/>
      <c r="N9" s="13"/>
      <c r="O9" s="13"/>
      <c r="P9" s="13"/>
      <c r="Q9" s="13"/>
      <c r="R9" s="13"/>
      <c r="S9" s="13"/>
      <c r="T9" s="13"/>
      <c r="U9" s="13"/>
    </row>
    <row r="10" spans="1:21" ht="16" customHeight="1" x14ac:dyDescent="0.45">
      <c r="B10" s="34"/>
      <c r="C10" s="34" t="s">
        <v>754</v>
      </c>
      <c r="D10" s="69"/>
      <c r="E10" s="70"/>
      <c r="F10" s="69"/>
      <c r="G10" s="35"/>
      <c r="H10" s="35"/>
      <c r="I10" s="35"/>
      <c r="J10" s="35"/>
      <c r="K10" s="35"/>
      <c r="L10" s="35"/>
      <c r="M10" s="35"/>
      <c r="N10" s="13"/>
      <c r="O10" s="13"/>
      <c r="P10" s="13"/>
      <c r="Q10" s="13"/>
      <c r="R10" s="13"/>
      <c r="S10" s="13"/>
      <c r="T10" s="13"/>
      <c r="U10" s="13"/>
    </row>
    <row r="11" spans="1:21" ht="16" customHeight="1" x14ac:dyDescent="0.45">
      <c r="B11" s="11"/>
      <c r="C11" s="11" t="s">
        <v>22</v>
      </c>
      <c r="D11" s="29"/>
      <c r="E11" s="60"/>
      <c r="F11" s="29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3"/>
      <c r="R11" s="13"/>
      <c r="S11" s="13"/>
    </row>
    <row r="12" spans="1:21" ht="16" customHeight="1" x14ac:dyDescent="0.45">
      <c r="B12" s="14" t="s">
        <v>755</v>
      </c>
      <c r="C12" s="14" t="s">
        <v>138</v>
      </c>
      <c r="D12" s="61"/>
      <c r="E12" s="62">
        <v>31168.959719999999</v>
      </c>
      <c r="F12" s="61"/>
      <c r="G12" s="15">
        <v>31070.397290000001</v>
      </c>
      <c r="H12" s="15">
        <v>-3011.5542599999999</v>
      </c>
      <c r="I12" s="15">
        <v>7.49465</v>
      </c>
      <c r="J12" s="15">
        <v>3934.03071</v>
      </c>
      <c r="K12" s="15">
        <v>-768.41386</v>
      </c>
      <c r="L12" s="15">
        <v>89.227950000000007</v>
      </c>
      <c r="M12" s="15">
        <v>-152.22275999999999</v>
      </c>
      <c r="N12" s="13"/>
      <c r="O12" s="13"/>
      <c r="P12" s="13"/>
      <c r="Q12" s="13"/>
      <c r="R12" s="13"/>
      <c r="S12" s="13"/>
    </row>
    <row r="13" spans="1:21" ht="16" customHeight="1" x14ac:dyDescent="0.45">
      <c r="B13" s="11"/>
      <c r="C13" s="11" t="s">
        <v>22</v>
      </c>
      <c r="D13" s="29"/>
      <c r="E13" s="60"/>
      <c r="F13" s="29"/>
      <c r="G13" s="12"/>
      <c r="H13" s="12"/>
      <c r="I13" s="12"/>
      <c r="J13" s="12"/>
      <c r="K13" s="12"/>
      <c r="L13" s="12"/>
      <c r="M13" s="12"/>
      <c r="N13" s="13"/>
      <c r="O13" s="13"/>
      <c r="P13" s="13"/>
      <c r="Q13" s="13"/>
      <c r="R13" s="13"/>
      <c r="S13" s="13"/>
    </row>
    <row r="14" spans="1:21" ht="16" customHeight="1" x14ac:dyDescent="0.45">
      <c r="B14" s="14" t="s">
        <v>756</v>
      </c>
      <c r="C14" s="14" t="s">
        <v>757</v>
      </c>
      <c r="D14" s="61"/>
      <c r="E14" s="62">
        <v>15259.73508</v>
      </c>
      <c r="F14" s="61"/>
      <c r="G14" s="15">
        <v>12636.34528</v>
      </c>
      <c r="H14" s="15">
        <v>1957.17938</v>
      </c>
      <c r="I14" s="15">
        <v>4.3313699999999997</v>
      </c>
      <c r="J14" s="15">
        <v>443.31581</v>
      </c>
      <c r="K14" s="15">
        <v>218.43928</v>
      </c>
      <c r="L14" s="15">
        <v>0.12396</v>
      </c>
      <c r="M14" s="15">
        <v>0</v>
      </c>
      <c r="N14" s="13"/>
      <c r="O14" s="13"/>
      <c r="P14" s="13"/>
      <c r="Q14" s="13"/>
      <c r="R14" s="13"/>
      <c r="S14" s="13"/>
    </row>
    <row r="15" spans="1:21" ht="16" customHeight="1" x14ac:dyDescent="0.45">
      <c r="B15" s="11"/>
      <c r="C15" s="11" t="s">
        <v>22</v>
      </c>
      <c r="D15" s="29"/>
      <c r="E15" s="60"/>
      <c r="F15" s="29"/>
      <c r="G15" s="12"/>
      <c r="H15" s="12"/>
      <c r="I15" s="12"/>
      <c r="J15" s="12"/>
      <c r="K15" s="12"/>
      <c r="L15" s="12"/>
      <c r="M15" s="12"/>
      <c r="N15" s="13"/>
      <c r="O15" s="13"/>
      <c r="P15" s="13"/>
      <c r="Q15" s="13"/>
      <c r="R15" s="13"/>
      <c r="S15" s="13"/>
    </row>
    <row r="16" spans="1:21" ht="16" customHeight="1" x14ac:dyDescent="0.45">
      <c r="B16" s="34" t="s">
        <v>758</v>
      </c>
      <c r="C16" s="34" t="s">
        <v>126</v>
      </c>
      <c r="D16" s="69"/>
      <c r="E16" s="70">
        <f>E12+E14</f>
        <v>46428.694799999997</v>
      </c>
      <c r="F16" s="69"/>
      <c r="G16" s="35">
        <f t="shared" ref="G16:M16" si="0">G12+G14</f>
        <v>43706.742570000002</v>
      </c>
      <c r="H16" s="35">
        <f t="shared" si="0"/>
        <v>-1054.3748799999998</v>
      </c>
      <c r="I16" s="35">
        <f t="shared" si="0"/>
        <v>11.82602</v>
      </c>
      <c r="J16" s="35">
        <f t="shared" si="0"/>
        <v>4377.3465200000001</v>
      </c>
      <c r="K16" s="35">
        <f t="shared" si="0"/>
        <v>-549.97458000000006</v>
      </c>
      <c r="L16" s="35">
        <f t="shared" si="0"/>
        <v>89.351910000000004</v>
      </c>
      <c r="M16" s="35">
        <f t="shared" si="0"/>
        <v>-152.22275999999999</v>
      </c>
      <c r="N16" s="13"/>
      <c r="O16" s="13"/>
      <c r="P16" s="13"/>
      <c r="Q16" s="13"/>
      <c r="R16" s="13"/>
      <c r="S16" s="13"/>
    </row>
    <row r="17" spans="2:19" ht="16" customHeight="1" x14ac:dyDescent="0.45">
      <c r="B17" s="11"/>
      <c r="C17" s="11" t="s">
        <v>22</v>
      </c>
      <c r="D17" s="29"/>
      <c r="E17" s="60"/>
      <c r="F17" s="29"/>
      <c r="G17" s="12"/>
      <c r="H17" s="12"/>
      <c r="I17" s="12"/>
      <c r="J17" s="12"/>
      <c r="K17" s="12"/>
      <c r="L17" s="12"/>
      <c r="M17" s="12"/>
      <c r="N17" s="13"/>
      <c r="O17" s="13"/>
      <c r="P17" s="13"/>
      <c r="Q17" s="13"/>
      <c r="R17" s="13"/>
      <c r="S17" s="13"/>
    </row>
    <row r="18" spans="2:19" ht="16" customHeight="1" x14ac:dyDescent="0.45">
      <c r="B18" s="14" t="s">
        <v>759</v>
      </c>
      <c r="C18" s="14" t="s">
        <v>760</v>
      </c>
      <c r="D18" s="61"/>
      <c r="E18" s="62">
        <v>4905.4648399999996</v>
      </c>
      <c r="F18" s="61"/>
      <c r="G18" s="15">
        <v>2169.6990599999999</v>
      </c>
      <c r="H18" s="15">
        <v>2221.3925399999998</v>
      </c>
      <c r="I18" s="15"/>
      <c r="J18" s="15">
        <v>75.336359999999999</v>
      </c>
      <c r="K18" s="15">
        <v>439.03688</v>
      </c>
      <c r="L18" s="15"/>
      <c r="M18" s="15"/>
      <c r="N18" s="13"/>
      <c r="O18" s="13"/>
      <c r="P18" s="13"/>
      <c r="Q18" s="13"/>
      <c r="R18" s="13"/>
      <c r="S18" s="13"/>
    </row>
    <row r="19" spans="2:19" ht="16" customHeight="1" x14ac:dyDescent="0.45">
      <c r="B19" s="14"/>
      <c r="C19" s="14" t="s">
        <v>762</v>
      </c>
      <c r="D19" s="61"/>
      <c r="E19" s="62">
        <v>3903.1449200000002</v>
      </c>
      <c r="F19" s="61"/>
      <c r="G19" s="15">
        <v>2226.7680799999998</v>
      </c>
      <c r="H19" s="15">
        <v>880.91315999999995</v>
      </c>
      <c r="I19" s="15"/>
      <c r="J19" s="15">
        <v>197.98284000000001</v>
      </c>
      <c r="K19" s="15">
        <v>195.57095000000001</v>
      </c>
      <c r="L19" s="15"/>
      <c r="M19" s="15">
        <v>401.90989000000002</v>
      </c>
      <c r="N19" s="13"/>
      <c r="O19" s="13"/>
      <c r="P19" s="13"/>
      <c r="Q19" s="13"/>
      <c r="R19" s="13"/>
      <c r="S19" s="13"/>
    </row>
    <row r="20" spans="2:19" ht="16" customHeight="1" x14ac:dyDescent="0.45">
      <c r="B20" s="11"/>
      <c r="C20" s="11" t="s">
        <v>22</v>
      </c>
      <c r="D20" s="29"/>
      <c r="E20" s="60"/>
      <c r="F20" s="29"/>
      <c r="G20" s="12"/>
      <c r="H20" s="12"/>
      <c r="I20" s="12"/>
      <c r="J20" s="12"/>
      <c r="K20" s="12"/>
      <c r="L20" s="12"/>
      <c r="M20" s="12"/>
      <c r="N20" s="13"/>
      <c r="O20" s="13"/>
      <c r="P20" s="13"/>
      <c r="Q20" s="13"/>
      <c r="R20" s="13"/>
      <c r="S20" s="13"/>
    </row>
    <row r="21" spans="2:19" ht="16" customHeight="1" x14ac:dyDescent="0.45">
      <c r="B21" s="34"/>
      <c r="C21" s="34" t="s">
        <v>763</v>
      </c>
      <c r="D21" s="69"/>
      <c r="E21" s="70">
        <f>E22+E23</f>
        <v>0</v>
      </c>
      <c r="F21" s="69"/>
      <c r="G21" s="35">
        <f t="shared" ref="G21:M21" si="1">G22+G23</f>
        <v>0</v>
      </c>
      <c r="H21" s="35">
        <f t="shared" si="1"/>
        <v>0</v>
      </c>
      <c r="I21" s="35">
        <f t="shared" si="1"/>
        <v>0</v>
      </c>
      <c r="J21" s="35">
        <f t="shared" si="1"/>
        <v>0</v>
      </c>
      <c r="K21" s="35">
        <f t="shared" si="1"/>
        <v>0</v>
      </c>
      <c r="L21" s="35">
        <f t="shared" si="1"/>
        <v>0</v>
      </c>
      <c r="M21" s="35">
        <f t="shared" si="1"/>
        <v>0</v>
      </c>
      <c r="N21" s="13"/>
      <c r="O21" s="13"/>
      <c r="P21" s="13"/>
      <c r="Q21" s="13"/>
      <c r="R21" s="13"/>
      <c r="S21" s="13"/>
    </row>
    <row r="22" spans="2:19" ht="16" customHeight="1" x14ac:dyDescent="0.45">
      <c r="B22" s="14" t="s">
        <v>764</v>
      </c>
      <c r="C22" s="14" t="s">
        <v>112</v>
      </c>
      <c r="D22" s="61"/>
      <c r="E22" s="62"/>
      <c r="F22" s="61"/>
      <c r="G22" s="15"/>
      <c r="H22" s="15"/>
      <c r="I22" s="15"/>
      <c r="J22" s="15"/>
      <c r="K22" s="15"/>
      <c r="L22" s="15"/>
      <c r="M22" s="15"/>
      <c r="N22" s="13"/>
      <c r="O22" s="13"/>
      <c r="P22" s="13"/>
      <c r="Q22" s="13"/>
      <c r="R22" s="13"/>
      <c r="S22" s="13"/>
    </row>
    <row r="23" spans="2:19" ht="16" customHeight="1" x14ac:dyDescent="0.45">
      <c r="B23" s="14" t="s">
        <v>765</v>
      </c>
      <c r="C23" s="14" t="s">
        <v>110</v>
      </c>
      <c r="D23" s="61"/>
      <c r="E23" s="62"/>
      <c r="F23" s="61"/>
      <c r="G23" s="15"/>
      <c r="H23" s="15"/>
      <c r="I23" s="15"/>
      <c r="J23" s="15"/>
      <c r="K23" s="15"/>
      <c r="L23" s="15"/>
      <c r="M23" s="15"/>
      <c r="N23" s="13"/>
      <c r="O23" s="13"/>
      <c r="P23" s="13"/>
      <c r="Q23" s="13"/>
      <c r="R23" s="13"/>
      <c r="S23" s="13"/>
    </row>
    <row r="24" spans="2:19" ht="16" customHeight="1" x14ac:dyDescent="0.45">
      <c r="B24" s="11"/>
      <c r="C24" s="11" t="s">
        <v>22</v>
      </c>
      <c r="D24" s="29"/>
      <c r="E24" s="60"/>
      <c r="F24" s="29"/>
      <c r="G24" s="12"/>
      <c r="H24" s="12"/>
      <c r="I24" s="12"/>
      <c r="J24" s="12"/>
      <c r="K24" s="12"/>
      <c r="L24" s="12"/>
      <c r="M24" s="12"/>
      <c r="N24" s="13"/>
      <c r="O24" s="13"/>
      <c r="P24" s="13"/>
      <c r="Q24" s="13"/>
      <c r="R24" s="13"/>
      <c r="S24" s="13"/>
    </row>
    <row r="25" spans="2:19" ht="16" customHeight="1" x14ac:dyDescent="0.45">
      <c r="B25" s="34"/>
      <c r="C25" s="34" t="s">
        <v>766</v>
      </c>
      <c r="D25" s="69"/>
      <c r="E25" s="70">
        <f>E26+E27</f>
        <v>-2255.9065799999998</v>
      </c>
      <c r="F25" s="69"/>
      <c r="G25" s="35">
        <f t="shared" ref="G25:M25" si="2">G26+G27</f>
        <v>-1886.6664000000001</v>
      </c>
      <c r="H25" s="35">
        <f t="shared" si="2"/>
        <v>-277.81112999999999</v>
      </c>
      <c r="I25" s="35">
        <f t="shared" si="2"/>
        <v>0</v>
      </c>
      <c r="J25" s="35">
        <f t="shared" si="2"/>
        <v>-40.91825</v>
      </c>
      <c r="K25" s="35">
        <f t="shared" si="2"/>
        <v>-50.510800000000003</v>
      </c>
      <c r="L25" s="35">
        <f t="shared" si="2"/>
        <v>0</v>
      </c>
      <c r="M25" s="35">
        <f t="shared" si="2"/>
        <v>0</v>
      </c>
      <c r="N25" s="13"/>
      <c r="O25" s="13"/>
      <c r="P25" s="13"/>
      <c r="Q25" s="13"/>
      <c r="R25" s="13"/>
      <c r="S25" s="13"/>
    </row>
    <row r="26" spans="2:19" ht="16" customHeight="1" x14ac:dyDescent="0.45">
      <c r="B26" s="14" t="s">
        <v>767</v>
      </c>
      <c r="C26" s="14" t="s">
        <v>768</v>
      </c>
      <c r="D26" s="61"/>
      <c r="E26" s="62">
        <v>-2250.9065799999998</v>
      </c>
      <c r="F26" s="61"/>
      <c r="G26" s="15">
        <v>-1883.9164000000001</v>
      </c>
      <c r="H26" s="15">
        <v>-275.56112999999999</v>
      </c>
      <c r="I26" s="15"/>
      <c r="J26" s="15">
        <v>-40.91825</v>
      </c>
      <c r="K26" s="15">
        <v>-50.510800000000003</v>
      </c>
      <c r="L26" s="15"/>
      <c r="M26" s="15"/>
      <c r="N26" s="13"/>
      <c r="O26" s="13"/>
      <c r="P26" s="13"/>
      <c r="Q26" s="13"/>
      <c r="R26" s="13"/>
      <c r="S26" s="13"/>
    </row>
    <row r="27" spans="2:19" ht="16" customHeight="1" x14ac:dyDescent="0.45">
      <c r="B27" s="14" t="s">
        <v>769</v>
      </c>
      <c r="C27" s="14" t="s">
        <v>770</v>
      </c>
      <c r="D27" s="61"/>
      <c r="E27" s="62">
        <v>-5</v>
      </c>
      <c r="F27" s="61"/>
      <c r="G27" s="15">
        <v>-2.75</v>
      </c>
      <c r="H27" s="15">
        <v>-2.25</v>
      </c>
      <c r="I27" s="15"/>
      <c r="J27" s="15">
        <v>0</v>
      </c>
      <c r="K27" s="15">
        <v>0</v>
      </c>
      <c r="L27" s="15"/>
      <c r="M27" s="15"/>
      <c r="N27" s="13"/>
      <c r="O27" s="13"/>
      <c r="P27" s="13"/>
      <c r="Q27" s="13"/>
      <c r="R27" s="13"/>
      <c r="S27" s="13"/>
    </row>
    <row r="28" spans="2:19" ht="16" customHeight="1" x14ac:dyDescent="0.45">
      <c r="B28" s="11"/>
      <c r="C28" s="11" t="s">
        <v>22</v>
      </c>
      <c r="D28" s="29"/>
      <c r="E28" s="60"/>
      <c r="F28" s="29"/>
      <c r="G28" s="12"/>
      <c r="H28" s="12"/>
      <c r="I28" s="12"/>
      <c r="J28" s="12"/>
      <c r="K28" s="12"/>
      <c r="L28" s="12"/>
      <c r="M28" s="12"/>
      <c r="N28" s="13"/>
      <c r="O28" s="13"/>
      <c r="P28" s="13"/>
      <c r="Q28" s="13"/>
      <c r="R28" s="13"/>
      <c r="S28" s="13"/>
    </row>
    <row r="29" spans="2:19" ht="16" customHeight="1" x14ac:dyDescent="0.45">
      <c r="B29" s="34"/>
      <c r="C29" s="34" t="s">
        <v>771</v>
      </c>
      <c r="D29" s="69"/>
      <c r="E29" s="70">
        <f>E30+E31+E32+E33+E34+E35+E36</f>
        <v>974.25776999999994</v>
      </c>
      <c r="F29" s="69"/>
      <c r="G29" s="35">
        <f t="shared" ref="G29:M29" si="3">G30+G31+G32+G33+G34+G35+G36</f>
        <v>475.32380000000001</v>
      </c>
      <c r="H29" s="35">
        <f t="shared" si="3"/>
        <v>322.65956999999997</v>
      </c>
      <c r="I29" s="35">
        <f t="shared" si="3"/>
        <v>0</v>
      </c>
      <c r="J29" s="35">
        <f t="shared" si="3"/>
        <v>72.535200000000003</v>
      </c>
      <c r="K29" s="35">
        <f t="shared" si="3"/>
        <v>103.73920000000001</v>
      </c>
      <c r="L29" s="35">
        <f t="shared" si="3"/>
        <v>0</v>
      </c>
      <c r="M29" s="35">
        <f t="shared" si="3"/>
        <v>0</v>
      </c>
      <c r="N29" s="13"/>
      <c r="O29" s="13"/>
      <c r="P29" s="13"/>
      <c r="Q29" s="13"/>
      <c r="R29" s="13"/>
      <c r="S29" s="13"/>
    </row>
    <row r="30" spans="2:19" ht="16" customHeight="1" x14ac:dyDescent="0.45">
      <c r="B30" s="14" t="s">
        <v>772</v>
      </c>
      <c r="C30" s="14" t="s">
        <v>88</v>
      </c>
      <c r="D30" s="61"/>
      <c r="E30" s="62">
        <v>-90.679270000000002</v>
      </c>
      <c r="F30" s="61"/>
      <c r="G30" s="15">
        <v>-98.032769999999999</v>
      </c>
      <c r="H30" s="15">
        <v>0</v>
      </c>
      <c r="I30" s="15"/>
      <c r="J30" s="15">
        <v>13.179500000000001</v>
      </c>
      <c r="K30" s="15">
        <v>-5.8259999999999996</v>
      </c>
      <c r="L30" s="15"/>
      <c r="M30" s="15"/>
      <c r="N30" s="13"/>
      <c r="O30" s="13"/>
      <c r="P30" s="13"/>
      <c r="Q30" s="13"/>
      <c r="R30" s="13"/>
      <c r="S30" s="13"/>
    </row>
    <row r="31" spans="2:19" ht="16" customHeight="1" x14ac:dyDescent="0.45">
      <c r="B31" s="14" t="s">
        <v>773</v>
      </c>
      <c r="C31" s="14" t="s">
        <v>774</v>
      </c>
      <c r="D31" s="61"/>
      <c r="E31" s="62">
        <v>-2.1911399999999999</v>
      </c>
      <c r="F31" s="61"/>
      <c r="G31" s="15">
        <v>-1.5268999999999999</v>
      </c>
      <c r="H31" s="15">
        <v>-0.66424000000000005</v>
      </c>
      <c r="I31" s="15"/>
      <c r="J31" s="15"/>
      <c r="K31" s="15">
        <v>0</v>
      </c>
      <c r="L31" s="15"/>
      <c r="M31" s="15"/>
      <c r="N31" s="13"/>
      <c r="O31" s="13"/>
      <c r="P31" s="13"/>
      <c r="Q31" s="13"/>
      <c r="R31" s="13"/>
      <c r="S31" s="13"/>
    </row>
    <row r="32" spans="2:19" ht="16" customHeight="1" x14ac:dyDescent="0.45">
      <c r="B32" s="14" t="s">
        <v>775</v>
      </c>
      <c r="C32" s="14" t="s">
        <v>776</v>
      </c>
      <c r="D32" s="61"/>
      <c r="E32" s="62">
        <v>0</v>
      </c>
      <c r="F32" s="61"/>
      <c r="G32" s="15">
        <v>0</v>
      </c>
      <c r="H32" s="15">
        <v>0</v>
      </c>
      <c r="I32" s="15"/>
      <c r="J32" s="15">
        <v>0</v>
      </c>
      <c r="K32" s="15"/>
      <c r="L32" s="15"/>
      <c r="M32" s="15"/>
      <c r="N32" s="13"/>
      <c r="O32" s="13"/>
      <c r="P32" s="13"/>
      <c r="Q32" s="13"/>
      <c r="R32" s="13"/>
      <c r="S32" s="13"/>
    </row>
    <row r="33" spans="2:19" ht="16" customHeight="1" x14ac:dyDescent="0.45">
      <c r="B33" s="14" t="s">
        <v>777</v>
      </c>
      <c r="C33" s="14" t="s">
        <v>778</v>
      </c>
      <c r="D33" s="61"/>
      <c r="E33" s="62"/>
      <c r="F33" s="61"/>
      <c r="G33" s="15"/>
      <c r="H33" s="15"/>
      <c r="I33" s="15"/>
      <c r="J33" s="15"/>
      <c r="K33" s="15"/>
      <c r="L33" s="15"/>
      <c r="M33" s="15"/>
      <c r="N33" s="13"/>
      <c r="O33" s="13"/>
      <c r="P33" s="13"/>
      <c r="Q33" s="13"/>
      <c r="R33" s="13"/>
      <c r="S33" s="13"/>
    </row>
    <row r="34" spans="2:19" ht="16" customHeight="1" x14ac:dyDescent="0.45">
      <c r="B34" s="14" t="s">
        <v>779</v>
      </c>
      <c r="C34" s="14" t="s">
        <v>780</v>
      </c>
      <c r="D34" s="61"/>
      <c r="E34" s="62"/>
      <c r="F34" s="61"/>
      <c r="G34" s="15"/>
      <c r="H34" s="15"/>
      <c r="I34" s="15"/>
      <c r="J34" s="15"/>
      <c r="K34" s="15"/>
      <c r="L34" s="15"/>
      <c r="M34" s="15"/>
      <c r="N34" s="13"/>
      <c r="O34" s="13"/>
      <c r="P34" s="13"/>
      <c r="Q34" s="13"/>
      <c r="R34" s="13"/>
      <c r="S34" s="13"/>
    </row>
    <row r="35" spans="2:19" ht="16" customHeight="1" x14ac:dyDescent="0.45">
      <c r="B35" s="14" t="s">
        <v>781</v>
      </c>
      <c r="C35" s="14" t="s">
        <v>782</v>
      </c>
      <c r="D35" s="61"/>
      <c r="E35" s="62">
        <v>1067.1281799999999</v>
      </c>
      <c r="F35" s="61"/>
      <c r="G35" s="15">
        <v>574.88346999999999</v>
      </c>
      <c r="H35" s="15">
        <v>323.32380999999998</v>
      </c>
      <c r="I35" s="15"/>
      <c r="J35" s="15">
        <v>59.355699999999999</v>
      </c>
      <c r="K35" s="15">
        <v>109.5652</v>
      </c>
      <c r="L35" s="15"/>
      <c r="M35" s="15"/>
      <c r="N35" s="13"/>
      <c r="O35" s="13"/>
      <c r="P35" s="13"/>
      <c r="Q35" s="13"/>
      <c r="R35" s="13"/>
      <c r="S35" s="13"/>
    </row>
    <row r="36" spans="2:19" ht="16" customHeight="1" x14ac:dyDescent="0.45">
      <c r="B36" s="14"/>
      <c r="C36" s="14" t="s">
        <v>784</v>
      </c>
      <c r="D36" s="61"/>
      <c r="E36" s="62"/>
      <c r="F36" s="61"/>
      <c r="G36" s="15"/>
      <c r="H36" s="15"/>
      <c r="I36" s="15"/>
      <c r="J36" s="15"/>
      <c r="K36" s="15"/>
      <c r="L36" s="15"/>
      <c r="M36" s="15"/>
      <c r="N36" s="13"/>
      <c r="O36" s="13"/>
      <c r="P36" s="13"/>
      <c r="Q36" s="13"/>
      <c r="R36" s="13"/>
      <c r="S36" s="13"/>
    </row>
    <row r="37" spans="2:19" ht="16" customHeight="1" x14ac:dyDescent="0.45">
      <c r="B37" s="11"/>
      <c r="C37" s="11" t="s">
        <v>22</v>
      </c>
      <c r="D37" s="29"/>
      <c r="E37" s="60"/>
      <c r="F37" s="29"/>
      <c r="G37" s="12"/>
      <c r="H37" s="12"/>
      <c r="I37" s="12"/>
      <c r="J37" s="12"/>
      <c r="K37" s="12"/>
      <c r="L37" s="12"/>
      <c r="M37" s="12"/>
      <c r="N37" s="13"/>
      <c r="O37" s="13"/>
      <c r="P37" s="13"/>
      <c r="Q37" s="13"/>
      <c r="R37" s="13"/>
      <c r="S37" s="13"/>
    </row>
    <row r="38" spans="2:19" ht="16" customHeight="1" x14ac:dyDescent="0.45">
      <c r="B38" s="34"/>
      <c r="C38" s="34" t="s">
        <v>785</v>
      </c>
      <c r="D38" s="69"/>
      <c r="E38" s="70">
        <f>-(-(E39+E40)-E41)</f>
        <v>0</v>
      </c>
      <c r="F38" s="69"/>
      <c r="G38" s="35">
        <f t="shared" ref="G38:M38" si="4">-(-(G39+G40)-G41)</f>
        <v>0</v>
      </c>
      <c r="H38" s="35">
        <f t="shared" si="4"/>
        <v>0</v>
      </c>
      <c r="I38" s="35">
        <f t="shared" si="4"/>
        <v>0</v>
      </c>
      <c r="J38" s="35">
        <f t="shared" si="4"/>
        <v>0</v>
      </c>
      <c r="K38" s="35">
        <f t="shared" si="4"/>
        <v>0</v>
      </c>
      <c r="L38" s="35">
        <f t="shared" si="4"/>
        <v>0</v>
      </c>
      <c r="M38" s="35">
        <f t="shared" si="4"/>
        <v>0</v>
      </c>
      <c r="N38" s="13"/>
      <c r="O38" s="13"/>
      <c r="P38" s="13"/>
      <c r="Q38" s="13"/>
      <c r="R38" s="13"/>
      <c r="S38" s="13"/>
    </row>
    <row r="39" spans="2:19" ht="16" customHeight="1" x14ac:dyDescent="0.45">
      <c r="B39" s="14" t="s">
        <v>786</v>
      </c>
      <c r="C39" s="14" t="s">
        <v>787</v>
      </c>
      <c r="D39" s="61"/>
      <c r="E39" s="62"/>
      <c r="F39" s="61"/>
      <c r="G39" s="15"/>
      <c r="H39" s="15"/>
      <c r="I39" s="15"/>
      <c r="J39" s="15"/>
      <c r="K39" s="15"/>
      <c r="L39" s="15"/>
      <c r="M39" s="15"/>
      <c r="N39" s="13"/>
      <c r="O39" s="13"/>
      <c r="P39" s="13"/>
      <c r="Q39" s="13"/>
      <c r="R39" s="13"/>
      <c r="S39" s="13"/>
    </row>
    <row r="40" spans="2:19" ht="16" customHeight="1" x14ac:dyDescent="0.45">
      <c r="B40" s="14" t="s">
        <v>788</v>
      </c>
      <c r="C40" s="14" t="s">
        <v>789</v>
      </c>
      <c r="D40" s="61"/>
      <c r="E40" s="62"/>
      <c r="F40" s="61"/>
      <c r="G40" s="15"/>
      <c r="H40" s="15"/>
      <c r="I40" s="15"/>
      <c r="J40" s="15"/>
      <c r="K40" s="15"/>
      <c r="L40" s="15"/>
      <c r="M40" s="15"/>
      <c r="N40" s="13"/>
      <c r="O40" s="13"/>
      <c r="P40" s="13"/>
      <c r="Q40" s="13"/>
      <c r="R40" s="13"/>
      <c r="S40" s="13"/>
    </row>
    <row r="41" spans="2:19" ht="16" customHeight="1" x14ac:dyDescent="0.45">
      <c r="B41" s="14" t="s">
        <v>790</v>
      </c>
      <c r="C41" s="14" t="s">
        <v>791</v>
      </c>
      <c r="D41" s="61"/>
      <c r="E41" s="62"/>
      <c r="F41" s="61"/>
      <c r="G41" s="15"/>
      <c r="H41" s="15"/>
      <c r="I41" s="15"/>
      <c r="J41" s="15"/>
      <c r="K41" s="15"/>
      <c r="L41" s="15"/>
      <c r="M41" s="15"/>
      <c r="N41" s="13"/>
      <c r="O41" s="13"/>
      <c r="P41" s="13"/>
      <c r="Q41" s="13"/>
      <c r="R41" s="13"/>
      <c r="S41" s="13"/>
    </row>
    <row r="42" spans="2:19" ht="16" customHeight="1" x14ac:dyDescent="0.45">
      <c r="B42" s="11"/>
      <c r="C42" s="11" t="s">
        <v>22</v>
      </c>
      <c r="D42" s="29"/>
      <c r="E42" s="60"/>
      <c r="F42" s="29"/>
      <c r="G42" s="12"/>
      <c r="H42" s="12"/>
      <c r="I42" s="12"/>
      <c r="J42" s="12"/>
      <c r="K42" s="12"/>
      <c r="L42" s="12"/>
      <c r="M42" s="12"/>
      <c r="N42" s="13"/>
      <c r="O42" s="13"/>
      <c r="P42" s="13"/>
      <c r="Q42" s="13"/>
      <c r="R42" s="13"/>
      <c r="S42" s="13"/>
    </row>
    <row r="43" spans="2:19" ht="16" customHeight="1" x14ac:dyDescent="0.45">
      <c r="B43" s="34"/>
      <c r="C43" s="34" t="s">
        <v>792</v>
      </c>
      <c r="D43" s="69"/>
      <c r="E43" s="70">
        <f>E45+E49</f>
        <v>-1871.6199600000002</v>
      </c>
      <c r="F43" s="69"/>
      <c r="G43" s="35">
        <f t="shared" ref="G43:M43" si="5">G45+G49</f>
        <v>-549.81745999999998</v>
      </c>
      <c r="H43" s="35">
        <f t="shared" si="5"/>
        <v>-79.069000000000003</v>
      </c>
      <c r="I43" s="35">
        <f t="shared" si="5"/>
        <v>-1.649</v>
      </c>
      <c r="J43" s="35">
        <f t="shared" si="5"/>
        <v>-19.27411</v>
      </c>
      <c r="K43" s="35">
        <f t="shared" si="5"/>
        <v>-0.65007000000000004</v>
      </c>
      <c r="L43" s="35">
        <f t="shared" si="5"/>
        <v>0</v>
      </c>
      <c r="M43" s="35">
        <f t="shared" si="5"/>
        <v>-1221.16032</v>
      </c>
      <c r="N43" s="13"/>
      <c r="O43" s="13"/>
      <c r="P43" s="13"/>
      <c r="Q43" s="13"/>
      <c r="R43" s="13"/>
      <c r="S43" s="13"/>
    </row>
    <row r="44" spans="2:19" ht="16" customHeight="1" x14ac:dyDescent="0.45">
      <c r="B44" s="11"/>
      <c r="C44" s="11" t="s">
        <v>22</v>
      </c>
      <c r="D44" s="29"/>
      <c r="E44" s="60"/>
      <c r="F44" s="29"/>
      <c r="G44" s="12"/>
      <c r="H44" s="12"/>
      <c r="I44" s="12"/>
      <c r="J44" s="12"/>
      <c r="K44" s="12"/>
      <c r="L44" s="12"/>
      <c r="M44" s="12"/>
      <c r="N44" s="13"/>
      <c r="O44" s="13"/>
      <c r="P44" s="13"/>
      <c r="Q44" s="13"/>
      <c r="R44" s="13"/>
      <c r="S44" s="13"/>
    </row>
    <row r="45" spans="2:19" ht="16" customHeight="1" x14ac:dyDescent="0.45">
      <c r="B45" s="34"/>
      <c r="C45" s="34" t="s">
        <v>793</v>
      </c>
      <c r="D45" s="69"/>
      <c r="E45" s="70">
        <f>E46+E47</f>
        <v>1.4986900000000001</v>
      </c>
      <c r="F45" s="69"/>
      <c r="G45" s="35">
        <f t="shared" ref="G45:M45" si="6">G46+G47</f>
        <v>0</v>
      </c>
      <c r="H45" s="35">
        <f t="shared" si="6"/>
        <v>0</v>
      </c>
      <c r="I45" s="35">
        <f t="shared" si="6"/>
        <v>0</v>
      </c>
      <c r="J45" s="35">
        <f t="shared" si="6"/>
        <v>0</v>
      </c>
      <c r="K45" s="35">
        <f t="shared" si="6"/>
        <v>0</v>
      </c>
      <c r="L45" s="35">
        <f t="shared" si="6"/>
        <v>0</v>
      </c>
      <c r="M45" s="35">
        <f t="shared" si="6"/>
        <v>1.4986900000000001</v>
      </c>
      <c r="N45" s="13"/>
      <c r="O45" s="13"/>
      <c r="P45" s="13"/>
      <c r="Q45" s="13"/>
      <c r="R45" s="13"/>
      <c r="S45" s="13"/>
    </row>
    <row r="46" spans="2:19" ht="16" customHeight="1" x14ac:dyDescent="0.45">
      <c r="B46" s="14" t="s">
        <v>794</v>
      </c>
      <c r="C46" s="14" t="s">
        <v>795</v>
      </c>
      <c r="D46" s="61"/>
      <c r="E46" s="62"/>
      <c r="F46" s="61"/>
      <c r="G46" s="15"/>
      <c r="H46" s="15"/>
      <c r="I46" s="15"/>
      <c r="J46" s="15"/>
      <c r="K46" s="15"/>
      <c r="L46" s="15"/>
      <c r="M46" s="15"/>
      <c r="N46" s="13"/>
      <c r="O46" s="13"/>
      <c r="P46" s="13"/>
      <c r="Q46" s="13"/>
      <c r="R46" s="13"/>
      <c r="S46" s="13"/>
    </row>
    <row r="47" spans="2:19" ht="16" customHeight="1" x14ac:dyDescent="0.45">
      <c r="B47" s="14" t="s">
        <v>796</v>
      </c>
      <c r="C47" s="14" t="s">
        <v>797</v>
      </c>
      <c r="D47" s="61"/>
      <c r="E47" s="62">
        <v>1.4986900000000001</v>
      </c>
      <c r="F47" s="61"/>
      <c r="G47" s="15"/>
      <c r="H47" s="15"/>
      <c r="I47" s="15"/>
      <c r="J47" s="15"/>
      <c r="K47" s="15"/>
      <c r="L47" s="15"/>
      <c r="M47" s="15">
        <v>1.4986900000000001</v>
      </c>
      <c r="N47" s="13"/>
      <c r="O47" s="13"/>
      <c r="P47" s="13"/>
      <c r="Q47" s="13"/>
      <c r="R47" s="13"/>
      <c r="S47" s="13"/>
    </row>
    <row r="48" spans="2:19" ht="16" customHeight="1" x14ac:dyDescent="0.45">
      <c r="B48" s="11"/>
      <c r="C48" s="11" t="s">
        <v>22</v>
      </c>
      <c r="D48" s="29"/>
      <c r="E48" s="60"/>
      <c r="F48" s="29"/>
      <c r="G48" s="12"/>
      <c r="H48" s="12"/>
      <c r="I48" s="12"/>
      <c r="J48" s="12"/>
      <c r="K48" s="12"/>
      <c r="L48" s="12"/>
      <c r="M48" s="12"/>
      <c r="N48" s="13"/>
      <c r="O48" s="13"/>
      <c r="P48" s="13"/>
      <c r="Q48" s="13"/>
      <c r="R48" s="13"/>
      <c r="S48" s="13"/>
    </row>
    <row r="49" spans="2:19" ht="16" customHeight="1" x14ac:dyDescent="0.45">
      <c r="B49" s="34"/>
      <c r="C49" s="34" t="s">
        <v>798</v>
      </c>
      <c r="D49" s="69"/>
      <c r="E49" s="70">
        <f>-(-(E50+E51)-E52)</f>
        <v>-1873.1186500000001</v>
      </c>
      <c r="F49" s="69"/>
      <c r="G49" s="35">
        <f t="shared" ref="G49:M49" si="7">-(-(G50+G51)-G52)</f>
        <v>-549.81745999999998</v>
      </c>
      <c r="H49" s="35">
        <f t="shared" si="7"/>
        <v>-79.069000000000003</v>
      </c>
      <c r="I49" s="35">
        <f t="shared" si="7"/>
        <v>-1.649</v>
      </c>
      <c r="J49" s="35">
        <f t="shared" si="7"/>
        <v>-19.27411</v>
      </c>
      <c r="K49" s="35">
        <f t="shared" si="7"/>
        <v>-0.65007000000000004</v>
      </c>
      <c r="L49" s="35">
        <f t="shared" si="7"/>
        <v>0</v>
      </c>
      <c r="M49" s="35">
        <f t="shared" si="7"/>
        <v>-1222.6590099999999</v>
      </c>
      <c r="N49" s="13"/>
      <c r="O49" s="13"/>
      <c r="P49" s="13"/>
      <c r="Q49" s="13"/>
      <c r="R49" s="13"/>
      <c r="S49" s="13"/>
    </row>
    <row r="50" spans="2:19" ht="16" customHeight="1" x14ac:dyDescent="0.45">
      <c r="B50" s="14" t="s">
        <v>799</v>
      </c>
      <c r="C50" s="14" t="s">
        <v>800</v>
      </c>
      <c r="D50" s="61"/>
      <c r="E50" s="62">
        <v>-627.15885000000003</v>
      </c>
      <c r="F50" s="61"/>
      <c r="G50" s="15"/>
      <c r="H50" s="15"/>
      <c r="I50" s="15"/>
      <c r="J50" s="15"/>
      <c r="K50" s="15"/>
      <c r="L50" s="15"/>
      <c r="M50" s="15">
        <v>-627.15885000000003</v>
      </c>
      <c r="N50" s="13"/>
      <c r="O50" s="13"/>
      <c r="P50" s="13"/>
      <c r="Q50" s="13"/>
      <c r="R50" s="13"/>
      <c r="S50" s="13"/>
    </row>
    <row r="51" spans="2:19" ht="16" customHeight="1" x14ac:dyDescent="0.45">
      <c r="B51" s="14" t="s">
        <v>801</v>
      </c>
      <c r="C51" s="14" t="s">
        <v>802</v>
      </c>
      <c r="D51" s="61"/>
      <c r="E51" s="62">
        <v>-647.43043</v>
      </c>
      <c r="F51" s="61"/>
      <c r="G51" s="15">
        <v>-549.81745999999998</v>
      </c>
      <c r="H51" s="15">
        <v>-79.069000000000003</v>
      </c>
      <c r="I51" s="15">
        <v>-1.649</v>
      </c>
      <c r="J51" s="15">
        <v>-19.27411</v>
      </c>
      <c r="K51" s="15">
        <v>-0.65007000000000004</v>
      </c>
      <c r="L51" s="15"/>
      <c r="M51" s="15">
        <v>3.02921</v>
      </c>
      <c r="N51" s="13"/>
      <c r="O51" s="13"/>
      <c r="P51" s="13"/>
      <c r="Q51" s="13"/>
      <c r="R51" s="13"/>
      <c r="S51" s="13"/>
    </row>
    <row r="52" spans="2:19" ht="16" customHeight="1" x14ac:dyDescent="0.45">
      <c r="B52" s="14" t="s">
        <v>803</v>
      </c>
      <c r="C52" s="14" t="s">
        <v>804</v>
      </c>
      <c r="D52" s="61"/>
      <c r="E52" s="62">
        <v>-598.52936999999997</v>
      </c>
      <c r="F52" s="61"/>
      <c r="G52" s="15"/>
      <c r="H52" s="15"/>
      <c r="I52" s="15"/>
      <c r="J52" s="15"/>
      <c r="K52" s="15"/>
      <c r="L52" s="15"/>
      <c r="M52" s="15">
        <v>-598.52936999999997</v>
      </c>
      <c r="N52" s="13"/>
      <c r="O52" s="13"/>
      <c r="P52" s="13"/>
      <c r="Q52" s="13"/>
      <c r="R52" s="13"/>
      <c r="S52" s="13"/>
    </row>
    <row r="53" spans="2:19" ht="16" customHeight="1" x14ac:dyDescent="0.45">
      <c r="B53" s="11"/>
      <c r="C53" s="11" t="s">
        <v>22</v>
      </c>
      <c r="D53" s="29"/>
      <c r="E53" s="60"/>
      <c r="F53" s="29"/>
      <c r="G53" s="12"/>
      <c r="H53" s="12"/>
      <c r="I53" s="12"/>
      <c r="J53" s="12"/>
      <c r="K53" s="12"/>
      <c r="L53" s="12"/>
      <c r="M53" s="12"/>
      <c r="N53" s="13"/>
      <c r="O53" s="13"/>
      <c r="P53" s="13"/>
      <c r="Q53" s="13"/>
      <c r="R53" s="13"/>
      <c r="S53" s="13"/>
    </row>
    <row r="54" spans="2:19" ht="16" customHeight="1" x14ac:dyDescent="0.45">
      <c r="B54" s="34"/>
      <c r="C54" s="34" t="s">
        <v>805</v>
      </c>
      <c r="D54" s="69"/>
      <c r="E54" s="70">
        <f>E55+E56</f>
        <v>11.128360000000001</v>
      </c>
      <c r="F54" s="69"/>
      <c r="G54" s="35">
        <f t="shared" ref="G54:M54" si="8">G55+G56</f>
        <v>0</v>
      </c>
      <c r="H54" s="35">
        <f t="shared" si="8"/>
        <v>0</v>
      </c>
      <c r="I54" s="35">
        <f t="shared" si="8"/>
        <v>0</v>
      </c>
      <c r="J54" s="35">
        <f t="shared" si="8"/>
        <v>0</v>
      </c>
      <c r="K54" s="35">
        <f t="shared" si="8"/>
        <v>0</v>
      </c>
      <c r="L54" s="35">
        <f t="shared" si="8"/>
        <v>0</v>
      </c>
      <c r="M54" s="35">
        <f t="shared" si="8"/>
        <v>11.128360000000001</v>
      </c>
      <c r="N54" s="13"/>
      <c r="O54" s="13"/>
      <c r="P54" s="13"/>
      <c r="Q54" s="13"/>
      <c r="R54" s="13"/>
      <c r="S54" s="13"/>
    </row>
    <row r="55" spans="2:19" ht="16" customHeight="1" x14ac:dyDescent="0.45">
      <c r="B55" s="14" t="s">
        <v>806</v>
      </c>
      <c r="C55" s="14" t="s">
        <v>805</v>
      </c>
      <c r="D55" s="61"/>
      <c r="E55" s="62">
        <v>11.128360000000001</v>
      </c>
      <c r="F55" s="61"/>
      <c r="G55" s="15"/>
      <c r="H55" s="15"/>
      <c r="I55" s="15"/>
      <c r="J55" s="15"/>
      <c r="K55" s="15"/>
      <c r="L55" s="15"/>
      <c r="M55" s="15">
        <v>11.128360000000001</v>
      </c>
      <c r="N55" s="13"/>
      <c r="O55" s="13"/>
      <c r="P55" s="13"/>
      <c r="Q55" s="13"/>
      <c r="R55" s="13"/>
      <c r="S55" s="13"/>
    </row>
    <row r="56" spans="2:19" ht="16" customHeight="1" x14ac:dyDescent="0.45">
      <c r="B56" s="14" t="s">
        <v>807</v>
      </c>
      <c r="C56" s="14" t="s">
        <v>808</v>
      </c>
      <c r="D56" s="61"/>
      <c r="E56" s="62"/>
      <c r="F56" s="61"/>
      <c r="G56" s="15"/>
      <c r="H56" s="15"/>
      <c r="I56" s="15"/>
      <c r="J56" s="15"/>
      <c r="K56" s="15"/>
      <c r="L56" s="15"/>
      <c r="M56" s="15"/>
      <c r="N56" s="13"/>
      <c r="O56" s="13"/>
      <c r="P56" s="13"/>
      <c r="Q56" s="13"/>
      <c r="R56" s="13"/>
      <c r="S56" s="13"/>
    </row>
    <row r="57" spans="2:19" ht="16" customHeight="1" x14ac:dyDescent="0.45">
      <c r="B57" s="11"/>
      <c r="C57" s="11" t="s">
        <v>22</v>
      </c>
      <c r="D57" s="29"/>
      <c r="E57" s="60"/>
      <c r="F57" s="29"/>
      <c r="G57" s="12"/>
      <c r="H57" s="12"/>
      <c r="I57" s="12"/>
      <c r="J57" s="12"/>
      <c r="K57" s="12"/>
      <c r="L57" s="12"/>
      <c r="M57" s="12"/>
      <c r="N57" s="13"/>
      <c r="O57" s="13"/>
      <c r="P57" s="13"/>
      <c r="Q57" s="13"/>
      <c r="R57" s="13"/>
      <c r="S57" s="13"/>
    </row>
    <row r="58" spans="2:19" ht="16" customHeight="1" x14ac:dyDescent="0.45">
      <c r="B58" s="14" t="s">
        <v>809</v>
      </c>
      <c r="C58" s="14" t="s">
        <v>810</v>
      </c>
      <c r="D58" s="61"/>
      <c r="E58" s="62">
        <v>-235.32496</v>
      </c>
      <c r="F58" s="61"/>
      <c r="G58" s="15"/>
      <c r="H58" s="15"/>
      <c r="I58" s="15"/>
      <c r="J58" s="15"/>
      <c r="K58" s="15"/>
      <c r="L58" s="15"/>
      <c r="M58" s="15">
        <v>-235.32496</v>
      </c>
      <c r="N58" s="13"/>
      <c r="O58" s="13"/>
      <c r="P58" s="13"/>
      <c r="Q58" s="13"/>
      <c r="R58" s="13"/>
      <c r="S58" s="13"/>
    </row>
    <row r="59" spans="2:19" ht="16" customHeight="1" x14ac:dyDescent="0.45">
      <c r="B59" s="11"/>
      <c r="C59" s="11" t="s">
        <v>22</v>
      </c>
      <c r="D59" s="29"/>
      <c r="E59" s="60"/>
      <c r="F59" s="29"/>
      <c r="G59" s="12"/>
      <c r="H59" s="12"/>
      <c r="I59" s="12"/>
      <c r="J59" s="12"/>
      <c r="K59" s="12"/>
      <c r="L59" s="12"/>
      <c r="M59" s="12"/>
      <c r="N59" s="13"/>
      <c r="O59" s="13"/>
      <c r="P59" s="13"/>
      <c r="Q59" s="13"/>
      <c r="R59" s="13"/>
      <c r="S59" s="13"/>
    </row>
    <row r="60" spans="2:19" ht="16" customHeight="1" x14ac:dyDescent="0.45">
      <c r="B60" s="34"/>
      <c r="C60" s="34" t="s">
        <v>811</v>
      </c>
      <c r="D60" s="69"/>
      <c r="E60" s="70">
        <f>-(-(E61+E62)-E63)</f>
        <v>-5.432E-2</v>
      </c>
      <c r="F60" s="69"/>
      <c r="G60" s="35">
        <f t="shared" ref="G60:M60" si="9">-(-(G61+G62)-G63)</f>
        <v>0</v>
      </c>
      <c r="H60" s="35">
        <f t="shared" si="9"/>
        <v>0</v>
      </c>
      <c r="I60" s="35">
        <f t="shared" si="9"/>
        <v>0</v>
      </c>
      <c r="J60" s="35">
        <f t="shared" si="9"/>
        <v>0</v>
      </c>
      <c r="K60" s="35">
        <f t="shared" si="9"/>
        <v>0</v>
      </c>
      <c r="L60" s="35">
        <f t="shared" si="9"/>
        <v>0</v>
      </c>
      <c r="M60" s="35">
        <f t="shared" si="9"/>
        <v>-5.432E-2</v>
      </c>
      <c r="N60" s="13"/>
      <c r="O60" s="13"/>
      <c r="P60" s="13"/>
      <c r="Q60" s="13"/>
      <c r="R60" s="13"/>
      <c r="S60" s="13"/>
    </row>
    <row r="61" spans="2:19" ht="16" customHeight="1" x14ac:dyDescent="0.45">
      <c r="B61" s="14" t="s">
        <v>812</v>
      </c>
      <c r="C61" s="14" t="s">
        <v>813</v>
      </c>
      <c r="D61" s="61"/>
      <c r="E61" s="62">
        <v>-5.432E-2</v>
      </c>
      <c r="F61" s="61"/>
      <c r="G61" s="15"/>
      <c r="H61" s="15"/>
      <c r="I61" s="15"/>
      <c r="J61" s="15"/>
      <c r="K61" s="15"/>
      <c r="L61" s="15"/>
      <c r="M61" s="15">
        <v>-5.432E-2</v>
      </c>
      <c r="N61" s="13"/>
      <c r="O61" s="13"/>
      <c r="P61" s="13"/>
      <c r="Q61" s="13"/>
      <c r="R61" s="13"/>
      <c r="S61" s="13"/>
    </row>
    <row r="62" spans="2:19" ht="16" customHeight="1" x14ac:dyDescent="0.45">
      <c r="B62" s="14" t="s">
        <v>814</v>
      </c>
      <c r="C62" s="14" t="s">
        <v>815</v>
      </c>
      <c r="D62" s="61"/>
      <c r="E62" s="62"/>
      <c r="F62" s="61"/>
      <c r="G62" s="15"/>
      <c r="H62" s="15"/>
      <c r="I62" s="15"/>
      <c r="J62" s="15"/>
      <c r="K62" s="15"/>
      <c r="L62" s="15"/>
      <c r="M62" s="15"/>
      <c r="N62" s="13"/>
      <c r="O62" s="13"/>
      <c r="P62" s="13"/>
      <c r="Q62" s="13"/>
      <c r="R62" s="13"/>
      <c r="S62" s="13"/>
    </row>
    <row r="63" spans="2:19" ht="16" customHeight="1" x14ac:dyDescent="0.45">
      <c r="B63" s="14" t="s">
        <v>816</v>
      </c>
      <c r="C63" s="14" t="s">
        <v>817</v>
      </c>
      <c r="D63" s="61"/>
      <c r="E63" s="62"/>
      <c r="F63" s="61"/>
      <c r="G63" s="15"/>
      <c r="H63" s="15"/>
      <c r="I63" s="15"/>
      <c r="J63" s="15"/>
      <c r="K63" s="15"/>
      <c r="L63" s="15"/>
      <c r="M63" s="15"/>
      <c r="N63" s="13"/>
      <c r="O63" s="13"/>
      <c r="P63" s="13"/>
      <c r="Q63" s="13"/>
      <c r="R63" s="13"/>
      <c r="S63" s="13"/>
    </row>
    <row r="64" spans="2:19" ht="16" customHeight="1" x14ac:dyDescent="0.45">
      <c r="B64" s="11"/>
      <c r="C64" s="11" t="s">
        <v>22</v>
      </c>
      <c r="D64" s="29"/>
      <c r="E64" s="60"/>
      <c r="F64" s="29"/>
      <c r="G64" s="12"/>
      <c r="H64" s="12"/>
      <c r="I64" s="12"/>
      <c r="J64" s="12"/>
      <c r="K64" s="12"/>
      <c r="L64" s="12"/>
      <c r="M64" s="12"/>
      <c r="N64" s="13"/>
      <c r="O64" s="13"/>
      <c r="P64" s="13"/>
      <c r="Q64" s="13"/>
      <c r="R64" s="13"/>
      <c r="S64" s="13"/>
    </row>
    <row r="65" spans="2:19" ht="16" customHeight="1" x14ac:dyDescent="0.45">
      <c r="B65" s="34" t="s">
        <v>818</v>
      </c>
      <c r="C65" s="34" t="s">
        <v>819</v>
      </c>
      <c r="D65" s="69"/>
      <c r="E65" s="70">
        <f>E66+E67</f>
        <v>-8260.0776299999998</v>
      </c>
      <c r="F65" s="69"/>
      <c r="G65" s="35">
        <f t="shared" ref="G65:M65" si="10">G66+G67</f>
        <v>-9959.2215999999989</v>
      </c>
      <c r="H65" s="35">
        <f t="shared" si="10"/>
        <v>-2142.9919100000002</v>
      </c>
      <c r="I65" s="35">
        <f t="shared" si="10"/>
        <v>0.12859999999999999</v>
      </c>
      <c r="J65" s="35">
        <f t="shared" si="10"/>
        <v>3832.5327400000001</v>
      </c>
      <c r="K65" s="35">
        <f t="shared" si="10"/>
        <v>-34.283230000000003</v>
      </c>
      <c r="L65" s="35">
        <f t="shared" si="10"/>
        <v>43.757769999999994</v>
      </c>
      <c r="M65" s="35">
        <f t="shared" si="10"/>
        <v>0</v>
      </c>
      <c r="N65" s="13"/>
      <c r="O65" s="13"/>
      <c r="P65" s="13"/>
      <c r="Q65" s="13"/>
      <c r="R65" s="13"/>
      <c r="S65" s="13"/>
    </row>
    <row r="66" spans="2:19" ht="16" customHeight="1" x14ac:dyDescent="0.45">
      <c r="B66" s="14"/>
      <c r="C66" s="14" t="s">
        <v>821</v>
      </c>
      <c r="D66" s="61"/>
      <c r="E66" s="62">
        <v>-6748.1050599999999</v>
      </c>
      <c r="F66" s="61"/>
      <c r="G66" s="15">
        <v>-8437.6716099999994</v>
      </c>
      <c r="H66" s="15">
        <v>-2142.9919100000002</v>
      </c>
      <c r="I66" s="15">
        <v>0.12859999999999999</v>
      </c>
      <c r="J66" s="15">
        <v>3832.5327400000001</v>
      </c>
      <c r="K66" s="15">
        <v>-34.283230000000003</v>
      </c>
      <c r="L66" s="15">
        <v>34.180349999999997</v>
      </c>
      <c r="M66" s="15"/>
      <c r="N66" s="13"/>
      <c r="O66" s="13"/>
      <c r="P66" s="13"/>
      <c r="Q66" s="13"/>
      <c r="R66" s="13"/>
      <c r="S66" s="13"/>
    </row>
    <row r="67" spans="2:19" ht="16" customHeight="1" x14ac:dyDescent="0.45">
      <c r="B67" s="14"/>
      <c r="C67" s="14" t="s">
        <v>823</v>
      </c>
      <c r="D67" s="61"/>
      <c r="E67" s="62">
        <v>-1511.9725699999999</v>
      </c>
      <c r="F67" s="61"/>
      <c r="G67" s="15">
        <v>-1521.54999</v>
      </c>
      <c r="H67" s="15">
        <v>0</v>
      </c>
      <c r="I67" s="15"/>
      <c r="J67" s="15">
        <v>0</v>
      </c>
      <c r="K67" s="15"/>
      <c r="L67" s="15">
        <v>9.57742</v>
      </c>
      <c r="M67" s="15"/>
      <c r="N67" s="13"/>
      <c r="O67" s="13"/>
      <c r="P67" s="13"/>
      <c r="Q67" s="13"/>
      <c r="R67" s="13"/>
      <c r="S67" s="13"/>
    </row>
    <row r="68" spans="2:19" ht="16" customHeight="1" x14ac:dyDescent="0.45">
      <c r="B68" s="11"/>
      <c r="C68" s="11" t="s">
        <v>22</v>
      </c>
      <c r="D68" s="29"/>
      <c r="E68" s="60"/>
      <c r="F68" s="29"/>
      <c r="G68" s="12"/>
      <c r="H68" s="12"/>
      <c r="I68" s="12"/>
      <c r="J68" s="12"/>
      <c r="K68" s="12"/>
      <c r="L68" s="12"/>
      <c r="M68" s="12"/>
      <c r="N68" s="13"/>
      <c r="O68" s="13"/>
      <c r="P68" s="13"/>
      <c r="Q68" s="13"/>
      <c r="R68" s="13"/>
      <c r="S68" s="13"/>
    </row>
    <row r="69" spans="2:19" ht="16" customHeight="1" x14ac:dyDescent="0.45">
      <c r="B69" s="34"/>
      <c r="C69" s="34" t="s">
        <v>824</v>
      </c>
      <c r="D69" s="69"/>
      <c r="E69" s="70">
        <f>-(-(E70+E71)-E72)</f>
        <v>-19177.335209999997</v>
      </c>
      <c r="F69" s="69"/>
      <c r="G69" s="35">
        <f t="shared" ref="G69:M69" si="11">-(-(G70+G71)-G72)</f>
        <v>-1335.7122300000001</v>
      </c>
      <c r="H69" s="35">
        <f t="shared" si="11"/>
        <v>-1751.7530700000002</v>
      </c>
      <c r="I69" s="35">
        <f t="shared" si="11"/>
        <v>-10.98</v>
      </c>
      <c r="J69" s="35">
        <f t="shared" si="11"/>
        <v>-12479.500760000001</v>
      </c>
      <c r="K69" s="35">
        <f t="shared" si="11"/>
        <v>-3737.83457</v>
      </c>
      <c r="L69" s="35">
        <f t="shared" si="11"/>
        <v>138.44421</v>
      </c>
      <c r="M69" s="35">
        <f t="shared" si="11"/>
        <v>1.2099999999999999E-3</v>
      </c>
      <c r="N69" s="13"/>
      <c r="O69" s="13"/>
      <c r="P69" s="13"/>
      <c r="Q69" s="13"/>
      <c r="R69" s="13"/>
      <c r="S69" s="13"/>
    </row>
    <row r="70" spans="2:19" ht="16" customHeight="1" x14ac:dyDescent="0.45">
      <c r="B70" s="14" t="s">
        <v>825</v>
      </c>
      <c r="C70" s="14" t="s">
        <v>826</v>
      </c>
      <c r="D70" s="61"/>
      <c r="E70" s="62">
        <v>188.92694</v>
      </c>
      <c r="F70" s="61"/>
      <c r="G70" s="15">
        <v>188.92572999999999</v>
      </c>
      <c r="H70" s="15"/>
      <c r="I70" s="15"/>
      <c r="J70" s="15"/>
      <c r="K70" s="15"/>
      <c r="L70" s="15"/>
      <c r="M70" s="15">
        <v>1.2099999999999999E-3</v>
      </c>
      <c r="N70" s="13"/>
      <c r="O70" s="13"/>
      <c r="P70" s="13"/>
      <c r="Q70" s="13"/>
      <c r="R70" s="13"/>
      <c r="S70" s="13"/>
    </row>
    <row r="71" spans="2:19" ht="16" customHeight="1" x14ac:dyDescent="0.45">
      <c r="B71" s="14" t="s">
        <v>827</v>
      </c>
      <c r="C71" s="14" t="s">
        <v>828</v>
      </c>
      <c r="D71" s="61"/>
      <c r="E71" s="62">
        <v>-19801.78472</v>
      </c>
      <c r="F71" s="61"/>
      <c r="G71" s="15">
        <v>-1699.9900299999999</v>
      </c>
      <c r="H71" s="15">
        <v>-2005.2535700000001</v>
      </c>
      <c r="I71" s="15">
        <v>-10.98</v>
      </c>
      <c r="J71" s="15">
        <v>-12486.170760000001</v>
      </c>
      <c r="K71" s="15">
        <v>-3737.83457</v>
      </c>
      <c r="L71" s="15">
        <v>138.44421</v>
      </c>
      <c r="M71" s="15"/>
      <c r="N71" s="13"/>
      <c r="O71" s="13"/>
      <c r="P71" s="13"/>
      <c r="Q71" s="13"/>
      <c r="R71" s="13"/>
      <c r="S71" s="13"/>
    </row>
    <row r="72" spans="2:19" ht="16" customHeight="1" x14ac:dyDescent="0.45">
      <c r="B72" s="14" t="s">
        <v>829</v>
      </c>
      <c r="C72" s="14" t="s">
        <v>830</v>
      </c>
      <c r="D72" s="61"/>
      <c r="E72" s="62">
        <v>435.52256999999997</v>
      </c>
      <c r="F72" s="61"/>
      <c r="G72" s="15">
        <v>175.35207</v>
      </c>
      <c r="H72" s="15">
        <v>253.50049999999999</v>
      </c>
      <c r="I72" s="15"/>
      <c r="J72" s="15">
        <v>6.67</v>
      </c>
      <c r="K72" s="15"/>
      <c r="L72" s="15"/>
      <c r="M72" s="15"/>
      <c r="N72" s="13"/>
      <c r="O72" s="13"/>
      <c r="P72" s="13"/>
      <c r="Q72" s="13"/>
      <c r="R72" s="13"/>
      <c r="S72" s="13"/>
    </row>
    <row r="73" spans="2:19" ht="16" customHeight="1" x14ac:dyDescent="0.45">
      <c r="B73" s="11"/>
      <c r="C73" s="11" t="s">
        <v>22</v>
      </c>
      <c r="D73" s="29"/>
      <c r="E73" s="60"/>
      <c r="F73" s="29"/>
      <c r="G73" s="12"/>
      <c r="H73" s="12"/>
      <c r="I73" s="12"/>
      <c r="J73" s="12"/>
      <c r="K73" s="12"/>
      <c r="L73" s="12"/>
      <c r="M73" s="12"/>
      <c r="N73" s="13"/>
      <c r="O73" s="13"/>
      <c r="P73" s="13"/>
      <c r="Q73" s="13"/>
      <c r="R73" s="13"/>
      <c r="S73" s="13"/>
    </row>
    <row r="74" spans="2:19" ht="16" customHeight="1" x14ac:dyDescent="0.45">
      <c r="B74" s="34"/>
      <c r="C74" s="34" t="s">
        <v>831</v>
      </c>
      <c r="D74" s="69"/>
      <c r="E74" s="70">
        <f>E75+E76</f>
        <v>17605.882890000001</v>
      </c>
      <c r="F74" s="69"/>
      <c r="G74" s="35">
        <f t="shared" ref="G74:M74" si="12">G75+G76</f>
        <v>15090.37932</v>
      </c>
      <c r="H74" s="35">
        <f t="shared" si="12"/>
        <v>-343.38175000000001</v>
      </c>
      <c r="I74" s="35">
        <f t="shared" si="12"/>
        <v>-1.4376800000000001</v>
      </c>
      <c r="J74" s="35">
        <f t="shared" si="12"/>
        <v>2327.4671399999997</v>
      </c>
      <c r="K74" s="35">
        <f t="shared" si="12"/>
        <v>838.6998000000001</v>
      </c>
      <c r="L74" s="35">
        <f t="shared" si="12"/>
        <v>-305.84389999999996</v>
      </c>
      <c r="M74" s="35">
        <f t="shared" si="12"/>
        <v>-4.0000000000000003E-5</v>
      </c>
      <c r="N74" s="13"/>
      <c r="O74" s="13"/>
      <c r="P74" s="13"/>
      <c r="Q74" s="13"/>
      <c r="R74" s="13"/>
      <c r="S74" s="13"/>
    </row>
    <row r="75" spans="2:19" ht="16" customHeight="1" x14ac:dyDescent="0.45">
      <c r="B75" s="14" t="s">
        <v>832</v>
      </c>
      <c r="C75" s="14" t="s">
        <v>833</v>
      </c>
      <c r="D75" s="61"/>
      <c r="E75" s="62">
        <v>-1960.0792300000001</v>
      </c>
      <c r="F75" s="61"/>
      <c r="G75" s="15">
        <v>-581.97997999999995</v>
      </c>
      <c r="H75" s="15">
        <v>-1401.0119500000001</v>
      </c>
      <c r="I75" s="15"/>
      <c r="J75" s="15">
        <v>0.91942999999999997</v>
      </c>
      <c r="K75" s="15">
        <v>0.80450999999999995</v>
      </c>
      <c r="L75" s="15">
        <v>21.188800000000001</v>
      </c>
      <c r="M75" s="15">
        <v>-4.0000000000000003E-5</v>
      </c>
      <c r="N75" s="13"/>
      <c r="O75" s="13"/>
      <c r="P75" s="13"/>
      <c r="Q75" s="13"/>
      <c r="R75" s="13"/>
      <c r="S75" s="13"/>
    </row>
    <row r="76" spans="2:19" ht="16" customHeight="1" x14ac:dyDescent="0.45">
      <c r="B76" s="14" t="s">
        <v>834</v>
      </c>
      <c r="C76" s="14" t="s">
        <v>835</v>
      </c>
      <c r="D76" s="61"/>
      <c r="E76" s="62">
        <v>19565.96212</v>
      </c>
      <c r="F76" s="61"/>
      <c r="G76" s="15">
        <v>15672.3593</v>
      </c>
      <c r="H76" s="15">
        <v>1057.6302000000001</v>
      </c>
      <c r="I76" s="15">
        <v>-1.4376800000000001</v>
      </c>
      <c r="J76" s="15">
        <v>2326.5477099999998</v>
      </c>
      <c r="K76" s="15">
        <v>837.89529000000005</v>
      </c>
      <c r="L76" s="15">
        <v>-327.03269999999998</v>
      </c>
      <c r="M76" s="15">
        <v>0</v>
      </c>
      <c r="N76" s="13"/>
      <c r="O76" s="13"/>
      <c r="P76" s="13"/>
      <c r="Q76" s="13"/>
      <c r="R76" s="13"/>
      <c r="S76" s="13"/>
    </row>
    <row r="77" spans="2:19" ht="16" customHeight="1" x14ac:dyDescent="0.45">
      <c r="B77" s="11"/>
      <c r="C77" s="11" t="s">
        <v>22</v>
      </c>
      <c r="D77" s="29"/>
      <c r="E77" s="60"/>
      <c r="F77" s="29"/>
      <c r="G77" s="12"/>
      <c r="H77" s="12"/>
      <c r="I77" s="12"/>
      <c r="J77" s="12"/>
      <c r="K77" s="12"/>
      <c r="L77" s="12"/>
      <c r="M77" s="12"/>
      <c r="N77" s="13"/>
      <c r="O77" s="13"/>
      <c r="P77" s="13"/>
      <c r="Q77" s="13"/>
      <c r="R77" s="13"/>
      <c r="S77" s="13"/>
    </row>
    <row r="78" spans="2:19" ht="16" customHeight="1" x14ac:dyDescent="0.45">
      <c r="B78" s="34"/>
      <c r="C78" s="34" t="s">
        <v>836</v>
      </c>
      <c r="D78" s="69"/>
      <c r="E78" s="70">
        <f>-(-(E65+E69)-E74)</f>
        <v>-9831.5299499999965</v>
      </c>
      <c r="F78" s="69"/>
      <c r="G78" s="35">
        <f t="shared" ref="G78:M78" si="13">-(-(G65+G69)-G74)</f>
        <v>3795.4454900000019</v>
      </c>
      <c r="H78" s="35">
        <f t="shared" si="13"/>
        <v>-4238.12673</v>
      </c>
      <c r="I78" s="35">
        <f t="shared" si="13"/>
        <v>-12.28908</v>
      </c>
      <c r="J78" s="35">
        <f t="shared" si="13"/>
        <v>-6319.5008800000005</v>
      </c>
      <c r="K78" s="35">
        <f t="shared" si="13"/>
        <v>-2933.4179999999997</v>
      </c>
      <c r="L78" s="35">
        <f t="shared" si="13"/>
        <v>-123.64191999999997</v>
      </c>
      <c r="M78" s="35">
        <f t="shared" si="13"/>
        <v>1.1699999999999998E-3</v>
      </c>
      <c r="N78" s="13"/>
      <c r="O78" s="13"/>
      <c r="P78" s="13"/>
      <c r="Q78" s="13"/>
      <c r="R78" s="13"/>
      <c r="S78" s="13"/>
    </row>
    <row r="79" spans="2:19" ht="16" customHeight="1" x14ac:dyDescent="0.45">
      <c r="B79" s="11"/>
      <c r="C79" s="11" t="s">
        <v>22</v>
      </c>
      <c r="D79" s="29"/>
      <c r="E79" s="60"/>
      <c r="F79" s="29"/>
      <c r="G79" s="12"/>
      <c r="H79" s="12"/>
      <c r="I79" s="12"/>
      <c r="J79" s="12"/>
      <c r="K79" s="12"/>
      <c r="L79" s="12"/>
      <c r="M79" s="12"/>
      <c r="N79" s="13"/>
      <c r="O79" s="13"/>
      <c r="P79" s="13"/>
      <c r="Q79" s="13"/>
      <c r="R79" s="13"/>
      <c r="S79" s="13"/>
    </row>
    <row r="80" spans="2:19" ht="16" customHeight="1" x14ac:dyDescent="0.45">
      <c r="B80" s="34"/>
      <c r="C80" s="34" t="s">
        <v>837</v>
      </c>
      <c r="D80" s="69"/>
      <c r="E80" s="70">
        <f>-(-(E82+E84)-E89-E94-E96)</f>
        <v>-3076.0200300000001</v>
      </c>
      <c r="F80" s="69"/>
      <c r="G80" s="35">
        <f t="shared" ref="G80:M80" si="14">-(-(G82+G84)-G89-G94-G96)</f>
        <v>-3496.4691499999999</v>
      </c>
      <c r="H80" s="35">
        <f t="shared" si="14"/>
        <v>2349.5836600000002</v>
      </c>
      <c r="I80" s="35">
        <f t="shared" si="14"/>
        <v>-141.12228999999999</v>
      </c>
      <c r="J80" s="35">
        <f t="shared" si="14"/>
        <v>80.442789999999974</v>
      </c>
      <c r="K80" s="35">
        <f t="shared" si="14"/>
        <v>-3445.2532499999998</v>
      </c>
      <c r="L80" s="35">
        <f t="shared" si="14"/>
        <v>35.824530000000003</v>
      </c>
      <c r="M80" s="35">
        <f t="shared" si="14"/>
        <v>1540.9736799999998</v>
      </c>
      <c r="N80" s="13"/>
      <c r="O80" s="13"/>
      <c r="P80" s="13"/>
      <c r="Q80" s="13"/>
      <c r="R80" s="13"/>
      <c r="S80" s="13"/>
    </row>
    <row r="81" spans="2:19" ht="16" customHeight="1" x14ac:dyDescent="0.45">
      <c r="B81" s="11"/>
      <c r="C81" s="11" t="s">
        <v>22</v>
      </c>
      <c r="D81" s="29"/>
      <c r="E81" s="60"/>
      <c r="F81" s="29"/>
      <c r="G81" s="12"/>
      <c r="H81" s="12"/>
      <c r="I81" s="12"/>
      <c r="J81" s="12"/>
      <c r="K81" s="12"/>
      <c r="L81" s="12"/>
      <c r="M81" s="12"/>
      <c r="N81" s="13"/>
      <c r="O81" s="13"/>
      <c r="P81" s="13"/>
      <c r="Q81" s="13"/>
      <c r="R81" s="13"/>
      <c r="S81" s="13"/>
    </row>
    <row r="82" spans="2:19" ht="16" customHeight="1" x14ac:dyDescent="0.45">
      <c r="B82" s="14" t="s">
        <v>838</v>
      </c>
      <c r="C82" s="14" t="s">
        <v>839</v>
      </c>
      <c r="D82" s="61"/>
      <c r="E82" s="62"/>
      <c r="F82" s="61"/>
      <c r="G82" s="15"/>
      <c r="H82" s="15"/>
      <c r="I82" s="15"/>
      <c r="J82" s="15"/>
      <c r="K82" s="15"/>
      <c r="L82" s="15"/>
      <c r="M82" s="15"/>
      <c r="N82" s="13"/>
      <c r="O82" s="13"/>
      <c r="P82" s="13"/>
      <c r="Q82" s="13"/>
      <c r="R82" s="13"/>
      <c r="S82" s="13"/>
    </row>
    <row r="83" spans="2:19" ht="16" customHeight="1" x14ac:dyDescent="0.45">
      <c r="B83" s="11"/>
      <c r="C83" s="11" t="s">
        <v>22</v>
      </c>
      <c r="D83" s="29"/>
      <c r="E83" s="60"/>
      <c r="F83" s="29"/>
      <c r="G83" s="12"/>
      <c r="H83" s="12"/>
      <c r="I83" s="12"/>
      <c r="J83" s="12"/>
      <c r="K83" s="12"/>
      <c r="L83" s="12"/>
      <c r="M83" s="12"/>
      <c r="N83" s="13"/>
      <c r="O83" s="13"/>
      <c r="P83" s="13"/>
      <c r="Q83" s="13"/>
      <c r="R83" s="13"/>
      <c r="S83" s="13"/>
    </row>
    <row r="84" spans="2:19" ht="16" customHeight="1" x14ac:dyDescent="0.45">
      <c r="B84" s="34"/>
      <c r="C84" s="34" t="s">
        <v>840</v>
      </c>
      <c r="D84" s="69"/>
      <c r="E84" s="70">
        <f>-(-(E85+E86)-E87)</f>
        <v>-3143.9866700000002</v>
      </c>
      <c r="F84" s="69"/>
      <c r="G84" s="35">
        <f t="shared" ref="G84:M84" si="15">-(-(G85+G86)-G87)</f>
        <v>-868.38686999999982</v>
      </c>
      <c r="H84" s="35">
        <f t="shared" si="15"/>
        <v>795.29692999999997</v>
      </c>
      <c r="I84" s="35">
        <f t="shared" si="15"/>
        <v>-140.81524999999999</v>
      </c>
      <c r="J84" s="35">
        <f t="shared" si="15"/>
        <v>49.689890000000005</v>
      </c>
      <c r="K84" s="35">
        <f t="shared" si="15"/>
        <v>-2989.06158</v>
      </c>
      <c r="L84" s="35">
        <f t="shared" si="15"/>
        <v>11.26778</v>
      </c>
      <c r="M84" s="35">
        <f t="shared" si="15"/>
        <v>-1.9775700000000001</v>
      </c>
      <c r="N84" s="13"/>
      <c r="O84" s="13"/>
      <c r="P84" s="13"/>
      <c r="Q84" s="13"/>
      <c r="R84" s="13"/>
      <c r="S84" s="13"/>
    </row>
    <row r="85" spans="2:19" ht="16" customHeight="1" x14ac:dyDescent="0.45">
      <c r="B85" s="14" t="s">
        <v>841</v>
      </c>
      <c r="C85" s="14" t="s">
        <v>842</v>
      </c>
      <c r="D85" s="61"/>
      <c r="E85" s="62">
        <v>-1715.8411799999999</v>
      </c>
      <c r="F85" s="61"/>
      <c r="G85" s="15">
        <v>-1215.9471699999999</v>
      </c>
      <c r="H85" s="15">
        <v>-352.03228999999999</v>
      </c>
      <c r="I85" s="15">
        <v>-140.81524999999999</v>
      </c>
      <c r="J85" s="15">
        <v>-13.41789</v>
      </c>
      <c r="K85" s="15">
        <v>0.89983999999999997</v>
      </c>
      <c r="L85" s="15">
        <v>7.4485799999999998</v>
      </c>
      <c r="M85" s="15">
        <v>-1.9770000000000001</v>
      </c>
      <c r="N85" s="13"/>
      <c r="O85" s="13"/>
      <c r="P85" s="13"/>
      <c r="Q85" s="13"/>
      <c r="R85" s="13"/>
      <c r="S85" s="13"/>
    </row>
    <row r="86" spans="2:19" ht="16" customHeight="1" x14ac:dyDescent="0.45">
      <c r="B86" s="14" t="s">
        <v>843</v>
      </c>
      <c r="C86" s="14" t="s">
        <v>844</v>
      </c>
      <c r="D86" s="61"/>
      <c r="E86" s="62">
        <v>3.3332299999999999</v>
      </c>
      <c r="F86" s="61"/>
      <c r="G86" s="15">
        <v>-10.300739999999999</v>
      </c>
      <c r="H86" s="15">
        <v>83.637500000000003</v>
      </c>
      <c r="I86" s="15"/>
      <c r="J86" s="15">
        <v>-46.856099999999998</v>
      </c>
      <c r="K86" s="15">
        <v>-26.966059999999999</v>
      </c>
      <c r="L86" s="15">
        <v>3.8191999999999999</v>
      </c>
      <c r="M86" s="15">
        <v>-5.6999999999999998E-4</v>
      </c>
      <c r="N86" s="13"/>
      <c r="O86" s="13"/>
      <c r="P86" s="13"/>
      <c r="Q86" s="13"/>
      <c r="R86" s="13"/>
      <c r="S86" s="13"/>
    </row>
    <row r="87" spans="2:19" ht="16" customHeight="1" x14ac:dyDescent="0.45">
      <c r="B87" s="14" t="s">
        <v>845</v>
      </c>
      <c r="C87" s="14" t="s">
        <v>846</v>
      </c>
      <c r="D87" s="61"/>
      <c r="E87" s="62">
        <v>-1431.4787200000001</v>
      </c>
      <c r="F87" s="61"/>
      <c r="G87" s="15">
        <v>357.86104</v>
      </c>
      <c r="H87" s="15">
        <v>1063.69172</v>
      </c>
      <c r="I87" s="15"/>
      <c r="J87" s="15">
        <v>109.96388</v>
      </c>
      <c r="K87" s="15">
        <v>-2962.9953599999999</v>
      </c>
      <c r="L87" s="15"/>
      <c r="M87" s="15"/>
      <c r="N87" s="13"/>
      <c r="O87" s="13"/>
      <c r="P87" s="13"/>
      <c r="Q87" s="13"/>
      <c r="R87" s="13"/>
      <c r="S87" s="13"/>
    </row>
    <row r="88" spans="2:19" ht="16" customHeight="1" x14ac:dyDescent="0.45">
      <c r="B88" s="11"/>
      <c r="C88" s="11" t="s">
        <v>22</v>
      </c>
      <c r="D88" s="29"/>
      <c r="E88" s="60"/>
      <c r="F88" s="29"/>
      <c r="G88" s="12"/>
      <c r="H88" s="12"/>
      <c r="I88" s="12"/>
      <c r="J88" s="12"/>
      <c r="K88" s="12"/>
      <c r="L88" s="12"/>
      <c r="M88" s="12"/>
      <c r="N88" s="13"/>
      <c r="O88" s="13"/>
      <c r="P88" s="13"/>
      <c r="Q88" s="13"/>
      <c r="R88" s="13"/>
      <c r="S88" s="13"/>
    </row>
    <row r="89" spans="2:19" ht="16" customHeight="1" x14ac:dyDescent="0.45">
      <c r="B89" s="34"/>
      <c r="C89" s="34" t="s">
        <v>847</v>
      </c>
      <c r="D89" s="69"/>
      <c r="E89" s="70">
        <f>-(-(E90+E91)-E92)</f>
        <v>2426.15184</v>
      </c>
      <c r="F89" s="69"/>
      <c r="G89" s="35">
        <f t="shared" ref="G89:M89" si="16">-(-(G90+G91)-G92)</f>
        <v>-1246.3509299999998</v>
      </c>
      <c r="H89" s="35">
        <f t="shared" si="16"/>
        <v>2198.91462</v>
      </c>
      <c r="I89" s="35">
        <f t="shared" si="16"/>
        <v>-0.30703999999999998</v>
      </c>
      <c r="J89" s="35">
        <f t="shared" si="16"/>
        <v>129.73827</v>
      </c>
      <c r="K89" s="35">
        <f t="shared" si="16"/>
        <v>-223.35108</v>
      </c>
      <c r="L89" s="35">
        <f t="shared" si="16"/>
        <v>24.556750000000001</v>
      </c>
      <c r="M89" s="35">
        <f t="shared" si="16"/>
        <v>1542.9512499999998</v>
      </c>
      <c r="N89" s="13"/>
      <c r="O89" s="13"/>
      <c r="P89" s="13"/>
      <c r="Q89" s="13"/>
      <c r="R89" s="13"/>
      <c r="S89" s="13"/>
    </row>
    <row r="90" spans="2:19" ht="16" customHeight="1" x14ac:dyDescent="0.45">
      <c r="B90" s="14" t="s">
        <v>848</v>
      </c>
      <c r="C90" s="14" t="s">
        <v>849</v>
      </c>
      <c r="D90" s="61"/>
      <c r="E90" s="62">
        <v>3166.1790999999998</v>
      </c>
      <c r="F90" s="61"/>
      <c r="G90" s="15">
        <v>1116.34329</v>
      </c>
      <c r="H90" s="15">
        <v>1699.2473399999999</v>
      </c>
      <c r="I90" s="15"/>
      <c r="J90" s="15">
        <v>166.68769</v>
      </c>
      <c r="K90" s="15">
        <v>183.68467999999999</v>
      </c>
      <c r="L90" s="15">
        <v>0.21753</v>
      </c>
      <c r="M90" s="15">
        <v>-1.4300000000000001E-3</v>
      </c>
      <c r="N90" s="13"/>
      <c r="O90" s="13"/>
      <c r="P90" s="13"/>
      <c r="Q90" s="13"/>
      <c r="R90" s="13"/>
      <c r="S90" s="13"/>
    </row>
    <row r="91" spans="2:19" ht="16" customHeight="1" x14ac:dyDescent="0.45">
      <c r="B91" s="14" t="s">
        <v>850</v>
      </c>
      <c r="C91" s="14" t="s">
        <v>636</v>
      </c>
      <c r="D91" s="61"/>
      <c r="E91" s="62">
        <v>-2.2490000000000001</v>
      </c>
      <c r="F91" s="61"/>
      <c r="G91" s="15"/>
      <c r="H91" s="15"/>
      <c r="I91" s="15"/>
      <c r="J91" s="15"/>
      <c r="K91" s="15"/>
      <c r="L91" s="15"/>
      <c r="M91" s="15">
        <v>-2.2490000000000001</v>
      </c>
      <c r="N91" s="13"/>
      <c r="O91" s="13"/>
      <c r="P91" s="13"/>
      <c r="Q91" s="13"/>
      <c r="R91" s="13"/>
      <c r="S91" s="13"/>
    </row>
    <row r="92" spans="2:19" ht="16" customHeight="1" x14ac:dyDescent="0.45">
      <c r="B92" s="14" t="s">
        <v>851</v>
      </c>
      <c r="C92" s="14" t="s">
        <v>852</v>
      </c>
      <c r="D92" s="61"/>
      <c r="E92" s="62">
        <v>-737.77826000000005</v>
      </c>
      <c r="F92" s="61"/>
      <c r="G92" s="15">
        <v>-2362.6942199999999</v>
      </c>
      <c r="H92" s="15">
        <v>499.66728000000001</v>
      </c>
      <c r="I92" s="15">
        <v>-0.30703999999999998</v>
      </c>
      <c r="J92" s="15">
        <v>-36.949420000000003</v>
      </c>
      <c r="K92" s="15">
        <v>-407.03575999999998</v>
      </c>
      <c r="L92" s="15">
        <v>24.339220000000001</v>
      </c>
      <c r="M92" s="15">
        <v>1545.2016799999999</v>
      </c>
      <c r="N92" s="13"/>
      <c r="O92" s="13"/>
      <c r="P92" s="13"/>
      <c r="Q92" s="13"/>
      <c r="R92" s="13"/>
      <c r="S92" s="13"/>
    </row>
    <row r="93" spans="2:19" ht="16" customHeight="1" x14ac:dyDescent="0.45">
      <c r="B93" s="11"/>
      <c r="C93" s="11" t="s">
        <v>22</v>
      </c>
      <c r="D93" s="29"/>
      <c r="E93" s="60"/>
      <c r="F93" s="29"/>
      <c r="G93" s="12"/>
      <c r="H93" s="12"/>
      <c r="I93" s="12"/>
      <c r="J93" s="12"/>
      <c r="K93" s="12"/>
      <c r="L93" s="12"/>
      <c r="M93" s="12"/>
      <c r="N93" s="13"/>
      <c r="O93" s="13"/>
      <c r="P93" s="13"/>
      <c r="Q93" s="13"/>
      <c r="R93" s="13"/>
      <c r="S93" s="13"/>
    </row>
    <row r="94" spans="2:19" ht="16" customHeight="1" x14ac:dyDescent="0.45">
      <c r="B94" s="14" t="s">
        <v>853</v>
      </c>
      <c r="C94" s="14" t="s">
        <v>854</v>
      </c>
      <c r="D94" s="61"/>
      <c r="E94" s="62">
        <v>-1523.61195</v>
      </c>
      <c r="F94" s="61"/>
      <c r="G94" s="15">
        <v>-1019.14746</v>
      </c>
      <c r="H94" s="15">
        <v>-378.78618999999998</v>
      </c>
      <c r="I94" s="15"/>
      <c r="J94" s="15">
        <v>-56.246180000000003</v>
      </c>
      <c r="K94" s="15">
        <v>-69.432119999999998</v>
      </c>
      <c r="L94" s="15">
        <v>0</v>
      </c>
      <c r="M94" s="15"/>
      <c r="N94" s="13"/>
      <c r="O94" s="13"/>
      <c r="P94" s="13"/>
      <c r="Q94" s="13"/>
      <c r="R94" s="13"/>
      <c r="S94" s="13"/>
    </row>
    <row r="95" spans="2:19" ht="16" customHeight="1" x14ac:dyDescent="0.45">
      <c r="B95" s="11"/>
      <c r="C95" s="11" t="s">
        <v>22</v>
      </c>
      <c r="D95" s="29"/>
      <c r="E95" s="60"/>
      <c r="F95" s="29"/>
      <c r="G95" s="12"/>
      <c r="H95" s="12"/>
      <c r="I95" s="12"/>
      <c r="J95" s="12"/>
      <c r="K95" s="12"/>
      <c r="L95" s="12"/>
      <c r="M95" s="12"/>
      <c r="N95" s="13"/>
      <c r="O95" s="13"/>
      <c r="P95" s="13"/>
      <c r="Q95" s="13"/>
      <c r="R95" s="13"/>
      <c r="S95" s="13"/>
    </row>
    <row r="96" spans="2:19" ht="16" customHeight="1" x14ac:dyDescent="0.45">
      <c r="B96" s="14" t="s">
        <v>855</v>
      </c>
      <c r="C96" s="14" t="s">
        <v>856</v>
      </c>
      <c r="D96" s="61"/>
      <c r="E96" s="62">
        <v>-834.57325000000003</v>
      </c>
      <c r="F96" s="61"/>
      <c r="G96" s="15">
        <v>-362.58389</v>
      </c>
      <c r="H96" s="15">
        <v>-265.8417</v>
      </c>
      <c r="I96" s="15"/>
      <c r="J96" s="15">
        <v>-42.739190000000001</v>
      </c>
      <c r="K96" s="15">
        <v>-163.40846999999999</v>
      </c>
      <c r="L96" s="15"/>
      <c r="M96" s="15"/>
      <c r="N96" s="13"/>
      <c r="O96" s="13"/>
      <c r="P96" s="13"/>
      <c r="Q96" s="13"/>
      <c r="R96" s="13"/>
      <c r="S96" s="13"/>
    </row>
    <row r="97" spans="2:19" ht="16" customHeight="1" x14ac:dyDescent="0.45">
      <c r="B97" s="11"/>
      <c r="C97" s="11" t="s">
        <v>22</v>
      </c>
      <c r="D97" s="29"/>
      <c r="E97" s="60"/>
      <c r="F97" s="29"/>
      <c r="G97" s="12"/>
      <c r="H97" s="12"/>
      <c r="I97" s="12"/>
      <c r="J97" s="12"/>
      <c r="K97" s="12"/>
      <c r="L97" s="12"/>
      <c r="M97" s="12"/>
      <c r="N97" s="13"/>
      <c r="O97" s="13"/>
      <c r="P97" s="13"/>
      <c r="Q97" s="13"/>
      <c r="R97" s="13"/>
      <c r="S97" s="13"/>
    </row>
    <row r="98" spans="2:19" ht="16" customHeight="1" x14ac:dyDescent="0.45">
      <c r="B98" s="34"/>
      <c r="C98" s="34" t="s">
        <v>857</v>
      </c>
      <c r="D98" s="69"/>
      <c r="E98" s="70">
        <f>E78+E80</f>
        <v>-12907.549979999996</v>
      </c>
      <c r="F98" s="69"/>
      <c r="G98" s="35">
        <f t="shared" ref="G98:M98" si="17">G78+G80</f>
        <v>298.97634000000198</v>
      </c>
      <c r="H98" s="35">
        <f t="shared" si="17"/>
        <v>-1888.5430699999997</v>
      </c>
      <c r="I98" s="35">
        <f t="shared" si="17"/>
        <v>-153.41137000000001</v>
      </c>
      <c r="J98" s="35">
        <f t="shared" si="17"/>
        <v>-6239.0580900000004</v>
      </c>
      <c r="K98" s="35">
        <f t="shared" si="17"/>
        <v>-6378.6712499999994</v>
      </c>
      <c r="L98" s="35">
        <f t="shared" si="17"/>
        <v>-87.817389999999961</v>
      </c>
      <c r="M98" s="35">
        <f t="shared" si="17"/>
        <v>1540.9748499999998</v>
      </c>
      <c r="N98" s="13"/>
      <c r="O98" s="13"/>
      <c r="P98" s="13"/>
      <c r="Q98" s="13"/>
      <c r="R98" s="13"/>
      <c r="S98" s="13"/>
    </row>
    <row r="99" spans="2:19" ht="16" customHeight="1" x14ac:dyDescent="0.45">
      <c r="B99" s="11"/>
      <c r="C99" s="11" t="s">
        <v>22</v>
      </c>
      <c r="D99" s="29"/>
      <c r="E99" s="60"/>
      <c r="F99" s="29"/>
      <c r="G99" s="12"/>
      <c r="H99" s="12"/>
      <c r="I99" s="12"/>
      <c r="J99" s="12"/>
      <c r="K99" s="12"/>
      <c r="L99" s="12"/>
      <c r="M99" s="12"/>
      <c r="N99" s="13"/>
      <c r="O99" s="13"/>
      <c r="P99" s="13"/>
      <c r="Q99" s="13"/>
      <c r="R99" s="13"/>
      <c r="S99" s="13"/>
    </row>
    <row r="100" spans="2:19" ht="16" customHeight="1" x14ac:dyDescent="0.45">
      <c r="B100" s="14" t="s">
        <v>858</v>
      </c>
      <c r="C100" s="14" t="s">
        <v>859</v>
      </c>
      <c r="D100" s="61"/>
      <c r="E100" s="62">
        <v>-3824.6289999999999</v>
      </c>
      <c r="F100" s="61"/>
      <c r="G100" s="15"/>
      <c r="H100" s="15"/>
      <c r="I100" s="15"/>
      <c r="J100" s="15"/>
      <c r="K100" s="15"/>
      <c r="L100" s="15"/>
      <c r="M100" s="15">
        <v>-3824.6289999999999</v>
      </c>
      <c r="N100" s="13"/>
      <c r="O100" s="13"/>
      <c r="P100" s="13"/>
      <c r="Q100" s="13"/>
      <c r="R100" s="13"/>
      <c r="S100" s="13"/>
    </row>
    <row r="101" spans="2:19" ht="16" customHeight="1" x14ac:dyDescent="0.45">
      <c r="B101" s="11"/>
      <c r="C101" s="11" t="s">
        <v>22</v>
      </c>
      <c r="D101" s="29"/>
      <c r="E101" s="60"/>
      <c r="F101" s="29"/>
      <c r="G101" s="12"/>
      <c r="H101" s="12"/>
      <c r="I101" s="12"/>
      <c r="J101" s="12"/>
      <c r="K101" s="12"/>
      <c r="L101" s="12"/>
      <c r="M101" s="12"/>
      <c r="N101" s="13"/>
      <c r="O101" s="13"/>
      <c r="P101" s="13"/>
      <c r="Q101" s="13"/>
      <c r="R101" s="13"/>
      <c r="S101" s="13"/>
    </row>
    <row r="102" spans="2:19" ht="16" customHeight="1" x14ac:dyDescent="0.45">
      <c r="B102" s="40"/>
      <c r="C102" s="40" t="s">
        <v>860</v>
      </c>
      <c r="D102" s="53"/>
      <c r="E102" s="53">
        <f>E16+E18+E19+E21+E25+E29+E38+E43+E54+E58+E60+E98+E100</f>
        <v>35127.605889999992</v>
      </c>
      <c r="F102" s="53"/>
      <c r="G102" s="24">
        <f t="shared" ref="G102:M102" si="18">G16+G18+G19+G21+G25+G29+G38+G43+G54+G58+G60+G98+G100</f>
        <v>46441.025990000002</v>
      </c>
      <c r="H102" s="24">
        <f t="shared" si="18"/>
        <v>125.16719000000012</v>
      </c>
      <c r="I102" s="24">
        <f t="shared" si="18"/>
        <v>-143.23435000000001</v>
      </c>
      <c r="J102" s="24">
        <f t="shared" si="18"/>
        <v>-1576.0495300000002</v>
      </c>
      <c r="K102" s="24">
        <f t="shared" si="18"/>
        <v>-6241.4596699999993</v>
      </c>
      <c r="L102" s="24">
        <f t="shared" si="18"/>
        <v>1.5345200000000432</v>
      </c>
      <c r="M102" s="24">
        <f t="shared" si="18"/>
        <v>-3479.37826</v>
      </c>
      <c r="N102" s="13"/>
      <c r="O102" s="13"/>
      <c r="P102" s="13"/>
      <c r="Q102" s="13"/>
      <c r="R102" s="13"/>
      <c r="S102" s="13"/>
    </row>
    <row r="103" spans="2:19" ht="16" customHeight="1" x14ac:dyDescent="0.45">
      <c r="B103" s="11"/>
      <c r="C103" s="11" t="s">
        <v>22</v>
      </c>
      <c r="D103" s="29"/>
      <c r="E103" s="60"/>
      <c r="F103" s="29"/>
      <c r="G103" s="12"/>
      <c r="H103" s="12"/>
      <c r="I103" s="12"/>
      <c r="J103" s="12"/>
      <c r="K103" s="12"/>
      <c r="L103" s="12"/>
      <c r="M103" s="12"/>
      <c r="N103" s="13"/>
      <c r="O103" s="13"/>
      <c r="P103" s="13"/>
      <c r="Q103" s="13"/>
      <c r="R103" s="13"/>
      <c r="S103" s="13"/>
    </row>
    <row r="104" spans="2:19" ht="16" customHeight="1" x14ac:dyDescent="0.45">
      <c r="B104" s="34"/>
      <c r="C104" s="34" t="s">
        <v>861</v>
      </c>
      <c r="D104" s="69"/>
      <c r="E104" s="70"/>
      <c r="F104" s="69"/>
      <c r="G104" s="35"/>
      <c r="H104" s="35"/>
      <c r="I104" s="35"/>
      <c r="J104" s="35"/>
      <c r="K104" s="35"/>
      <c r="L104" s="35"/>
      <c r="M104" s="35"/>
      <c r="N104" s="13"/>
      <c r="O104" s="13"/>
      <c r="P104" s="13"/>
      <c r="Q104" s="13"/>
      <c r="R104" s="13"/>
      <c r="S104" s="13"/>
    </row>
    <row r="105" spans="2:19" ht="16" customHeight="1" x14ac:dyDescent="0.45">
      <c r="B105" s="11"/>
      <c r="C105" s="11" t="s">
        <v>22</v>
      </c>
      <c r="D105" s="29"/>
      <c r="E105" s="60"/>
      <c r="F105" s="29"/>
      <c r="G105" s="12"/>
      <c r="H105" s="12"/>
      <c r="I105" s="12"/>
      <c r="J105" s="12"/>
      <c r="K105" s="12"/>
      <c r="L105" s="12"/>
      <c r="M105" s="12"/>
      <c r="N105" s="13"/>
      <c r="O105" s="13"/>
      <c r="P105" s="13"/>
      <c r="Q105" s="13"/>
      <c r="R105" s="13"/>
      <c r="S105" s="13"/>
    </row>
    <row r="106" spans="2:19" ht="16" customHeight="1" x14ac:dyDescent="0.45">
      <c r="B106" s="34"/>
      <c r="C106" s="34" t="s">
        <v>862</v>
      </c>
      <c r="D106" s="69"/>
      <c r="E106" s="70">
        <f>-(-(E107+E108)-E109-E110-E111-E112)</f>
        <v>-9351.7412000000004</v>
      </c>
      <c r="F106" s="69"/>
      <c r="G106" s="35">
        <f t="shared" ref="G106:M106" si="19">-(-(G107+G108)-G109-G110-G111-G112)</f>
        <v>-8173.3611700000001</v>
      </c>
      <c r="H106" s="35">
        <f t="shared" si="19"/>
        <v>-465.39085</v>
      </c>
      <c r="I106" s="35">
        <f t="shared" si="19"/>
        <v>0</v>
      </c>
      <c r="J106" s="35">
        <f t="shared" si="19"/>
        <v>-554.91139999999996</v>
      </c>
      <c r="K106" s="35">
        <f t="shared" si="19"/>
        <v>-158.08415000000002</v>
      </c>
      <c r="L106" s="35">
        <f t="shared" si="19"/>
        <v>0</v>
      </c>
      <c r="M106" s="35">
        <f t="shared" si="19"/>
        <v>6.3699999999999998E-3</v>
      </c>
      <c r="N106" s="13"/>
      <c r="O106" s="13"/>
      <c r="P106" s="13"/>
      <c r="Q106" s="13"/>
      <c r="R106" s="13"/>
      <c r="S106" s="13"/>
    </row>
    <row r="107" spans="2:19" ht="16" customHeight="1" x14ac:dyDescent="0.45">
      <c r="B107" s="14" t="s">
        <v>863</v>
      </c>
      <c r="C107" s="14" t="s">
        <v>864</v>
      </c>
      <c r="D107" s="61"/>
      <c r="E107" s="62">
        <v>-2995.2739799999999</v>
      </c>
      <c r="F107" s="61"/>
      <c r="G107" s="15">
        <v>-2774.0462699999998</v>
      </c>
      <c r="H107" s="15">
        <v>-284.67840999999999</v>
      </c>
      <c r="I107" s="15"/>
      <c r="J107" s="15">
        <v>91.143699999999995</v>
      </c>
      <c r="K107" s="15">
        <v>-27.699369999999998</v>
      </c>
      <c r="L107" s="15"/>
      <c r="M107" s="15">
        <v>6.3699999999999998E-3</v>
      </c>
      <c r="N107" s="13"/>
      <c r="O107" s="13"/>
      <c r="P107" s="13"/>
      <c r="Q107" s="13"/>
      <c r="R107" s="13"/>
      <c r="S107" s="13"/>
    </row>
    <row r="108" spans="2:19" ht="16" customHeight="1" x14ac:dyDescent="0.45">
      <c r="B108" s="14" t="s">
        <v>865</v>
      </c>
      <c r="C108" s="14" t="s">
        <v>866</v>
      </c>
      <c r="D108" s="61"/>
      <c r="E108" s="62">
        <v>-127.17538</v>
      </c>
      <c r="F108" s="61"/>
      <c r="G108" s="15">
        <v>-110.35757</v>
      </c>
      <c r="H108" s="15">
        <v>-5.3519699999999997</v>
      </c>
      <c r="I108" s="15"/>
      <c r="J108" s="15">
        <v>-11.46584</v>
      </c>
      <c r="K108" s="15"/>
      <c r="L108" s="15"/>
      <c r="M108" s="15"/>
      <c r="N108" s="13"/>
      <c r="O108" s="13"/>
      <c r="P108" s="13"/>
      <c r="Q108" s="13"/>
      <c r="R108" s="13"/>
      <c r="S108" s="13"/>
    </row>
    <row r="109" spans="2:19" ht="16" customHeight="1" x14ac:dyDescent="0.45">
      <c r="B109" s="14" t="s">
        <v>867</v>
      </c>
      <c r="C109" s="14" t="s">
        <v>868</v>
      </c>
      <c r="D109" s="61"/>
      <c r="E109" s="62">
        <v>-142.10756000000001</v>
      </c>
      <c r="F109" s="61"/>
      <c r="G109" s="15">
        <v>-116.23878000000001</v>
      </c>
      <c r="H109" s="15">
        <v>0</v>
      </c>
      <c r="I109" s="15"/>
      <c r="J109" s="15"/>
      <c r="K109" s="15">
        <v>-25.868780000000001</v>
      </c>
      <c r="L109" s="15"/>
      <c r="M109" s="15"/>
      <c r="N109" s="13"/>
      <c r="O109" s="13"/>
      <c r="P109" s="13"/>
      <c r="Q109" s="13"/>
      <c r="R109" s="13"/>
      <c r="S109" s="13"/>
    </row>
    <row r="110" spans="2:19" ht="16" customHeight="1" x14ac:dyDescent="0.45">
      <c r="B110" s="14" t="s">
        <v>869</v>
      </c>
      <c r="C110" s="14" t="s">
        <v>870</v>
      </c>
      <c r="D110" s="61"/>
      <c r="E110" s="62">
        <v>-1030.24884</v>
      </c>
      <c r="F110" s="61"/>
      <c r="G110" s="15">
        <v>-1030.24884</v>
      </c>
      <c r="H110" s="15"/>
      <c r="I110" s="15"/>
      <c r="J110" s="15"/>
      <c r="K110" s="15"/>
      <c r="L110" s="15"/>
      <c r="M110" s="15"/>
      <c r="N110" s="13"/>
      <c r="O110" s="13"/>
      <c r="P110" s="13"/>
      <c r="Q110" s="13"/>
      <c r="R110" s="13"/>
      <c r="S110" s="13"/>
    </row>
    <row r="111" spans="2:19" ht="16" customHeight="1" x14ac:dyDescent="0.45">
      <c r="B111" s="14" t="s">
        <v>871</v>
      </c>
      <c r="C111" s="14" t="s">
        <v>872</v>
      </c>
      <c r="D111" s="61"/>
      <c r="E111" s="62">
        <v>-5056.9354400000002</v>
      </c>
      <c r="F111" s="61"/>
      <c r="G111" s="15">
        <v>-4142.4697100000003</v>
      </c>
      <c r="H111" s="15">
        <v>-175.36046999999999</v>
      </c>
      <c r="I111" s="15"/>
      <c r="J111" s="15">
        <v>-634.58925999999997</v>
      </c>
      <c r="K111" s="15">
        <v>-104.51600000000001</v>
      </c>
      <c r="L111" s="15"/>
      <c r="M111" s="15">
        <v>0</v>
      </c>
      <c r="N111" s="13"/>
      <c r="O111" s="13"/>
      <c r="P111" s="13"/>
      <c r="Q111" s="13"/>
      <c r="R111" s="13"/>
      <c r="S111" s="13"/>
    </row>
    <row r="112" spans="2:19" ht="16" customHeight="1" x14ac:dyDescent="0.45">
      <c r="B112" s="14" t="s">
        <v>873</v>
      </c>
      <c r="C112" s="14" t="s">
        <v>874</v>
      </c>
      <c r="D112" s="61"/>
      <c r="E112" s="62"/>
      <c r="F112" s="61"/>
      <c r="G112" s="15"/>
      <c r="H112" s="15"/>
      <c r="I112" s="15"/>
      <c r="J112" s="15"/>
      <c r="K112" s="15"/>
      <c r="L112" s="15"/>
      <c r="M112" s="15"/>
      <c r="N112" s="13"/>
      <c r="O112" s="13"/>
      <c r="P112" s="13"/>
      <c r="Q112" s="13"/>
      <c r="R112" s="13"/>
      <c r="S112" s="13"/>
    </row>
    <row r="113" spans="2:19" ht="16" customHeight="1" x14ac:dyDescent="0.45">
      <c r="B113" s="11"/>
      <c r="C113" s="11" t="s">
        <v>22</v>
      </c>
      <c r="D113" s="29"/>
      <c r="E113" s="60"/>
      <c r="F113" s="29"/>
      <c r="G113" s="12"/>
      <c r="H113" s="12"/>
      <c r="I113" s="12"/>
      <c r="J113" s="12"/>
      <c r="K113" s="12"/>
      <c r="L113" s="12"/>
      <c r="M113" s="12"/>
      <c r="N113" s="13"/>
      <c r="O113" s="13"/>
      <c r="P113" s="13"/>
      <c r="Q113" s="13"/>
      <c r="R113" s="13"/>
      <c r="S113" s="13"/>
    </row>
    <row r="114" spans="2:19" ht="16" customHeight="1" x14ac:dyDescent="0.45">
      <c r="B114" s="34"/>
      <c r="C114" s="34" t="s">
        <v>875</v>
      </c>
      <c r="D114" s="69"/>
      <c r="E114" s="70">
        <f>-(-(E115+E116)-E117-E118)</f>
        <v>-3352.8714599999998</v>
      </c>
      <c r="F114" s="69"/>
      <c r="G114" s="35">
        <f t="shared" ref="G114:M114" si="20">-(-(G115+G116)-G117-G118)</f>
        <v>-2818.8935999999999</v>
      </c>
      <c r="H114" s="35">
        <f t="shared" si="20"/>
        <v>0</v>
      </c>
      <c r="I114" s="35">
        <f t="shared" si="20"/>
        <v>0</v>
      </c>
      <c r="J114" s="35">
        <f t="shared" si="20"/>
        <v>-533.97785999999996</v>
      </c>
      <c r="K114" s="35">
        <f t="shared" si="20"/>
        <v>0</v>
      </c>
      <c r="L114" s="35">
        <f t="shared" si="20"/>
        <v>0</v>
      </c>
      <c r="M114" s="35">
        <f t="shared" si="20"/>
        <v>0</v>
      </c>
      <c r="N114" s="13"/>
      <c r="O114" s="13"/>
      <c r="P114" s="13"/>
      <c r="Q114" s="13"/>
      <c r="R114" s="13"/>
      <c r="S114" s="13"/>
    </row>
    <row r="115" spans="2:19" ht="16" customHeight="1" x14ac:dyDescent="0.45">
      <c r="B115" s="14" t="s">
        <v>876</v>
      </c>
      <c r="C115" s="14" t="s">
        <v>877</v>
      </c>
      <c r="D115" s="61"/>
      <c r="E115" s="62">
        <v>0</v>
      </c>
      <c r="F115" s="61"/>
      <c r="G115" s="15">
        <v>0</v>
      </c>
      <c r="H115" s="15"/>
      <c r="I115" s="15"/>
      <c r="J115" s="15"/>
      <c r="K115" s="15"/>
      <c r="L115" s="15"/>
      <c r="M115" s="15"/>
      <c r="N115" s="13"/>
      <c r="O115" s="13"/>
      <c r="P115" s="13"/>
      <c r="Q115" s="13"/>
      <c r="R115" s="13"/>
      <c r="S115" s="13"/>
    </row>
    <row r="116" spans="2:19" ht="16" customHeight="1" x14ac:dyDescent="0.45">
      <c r="B116" s="14" t="s">
        <v>878</v>
      </c>
      <c r="C116" s="14" t="s">
        <v>879</v>
      </c>
      <c r="D116" s="61"/>
      <c r="E116" s="62">
        <v>-3017.8714599999998</v>
      </c>
      <c r="F116" s="61"/>
      <c r="G116" s="15">
        <v>-2483.8935999999999</v>
      </c>
      <c r="H116" s="15"/>
      <c r="I116" s="15"/>
      <c r="J116" s="15">
        <v>-533.97785999999996</v>
      </c>
      <c r="K116" s="15"/>
      <c r="L116" s="15"/>
      <c r="M116" s="15"/>
      <c r="N116" s="13"/>
      <c r="O116" s="13"/>
      <c r="P116" s="13"/>
      <c r="Q116" s="13"/>
      <c r="R116" s="13"/>
      <c r="S116" s="13"/>
    </row>
    <row r="117" spans="2:19" ht="16" customHeight="1" x14ac:dyDescent="0.45">
      <c r="B117" s="14" t="s">
        <v>880</v>
      </c>
      <c r="C117" s="14" t="s">
        <v>881</v>
      </c>
      <c r="D117" s="61"/>
      <c r="E117" s="62">
        <v>0</v>
      </c>
      <c r="F117" s="61"/>
      <c r="G117" s="15">
        <v>0</v>
      </c>
      <c r="H117" s="15"/>
      <c r="I117" s="15"/>
      <c r="J117" s="15"/>
      <c r="K117" s="15"/>
      <c r="L117" s="15"/>
      <c r="M117" s="15"/>
      <c r="N117" s="13"/>
      <c r="O117" s="13"/>
      <c r="P117" s="13"/>
      <c r="Q117" s="13"/>
      <c r="R117" s="13"/>
      <c r="S117" s="13"/>
    </row>
    <row r="118" spans="2:19" ht="16" customHeight="1" x14ac:dyDescent="0.45">
      <c r="B118" s="14" t="s">
        <v>882</v>
      </c>
      <c r="C118" s="14" t="s">
        <v>883</v>
      </c>
      <c r="D118" s="61"/>
      <c r="E118" s="62">
        <v>-335</v>
      </c>
      <c r="F118" s="61"/>
      <c r="G118" s="15">
        <v>-335</v>
      </c>
      <c r="H118" s="15">
        <v>0</v>
      </c>
      <c r="I118" s="15"/>
      <c r="J118" s="15"/>
      <c r="K118" s="15"/>
      <c r="L118" s="15"/>
      <c r="M118" s="15"/>
      <c r="N118" s="13"/>
      <c r="O118" s="13"/>
      <c r="P118" s="13"/>
      <c r="Q118" s="13"/>
      <c r="R118" s="13"/>
      <c r="S118" s="13"/>
    </row>
    <row r="119" spans="2:19" ht="16" customHeight="1" x14ac:dyDescent="0.45">
      <c r="B119" s="11"/>
      <c r="C119" s="11" t="s">
        <v>22</v>
      </c>
      <c r="D119" s="29"/>
      <c r="E119" s="60"/>
      <c r="F119" s="29"/>
      <c r="G119" s="12"/>
      <c r="H119" s="12"/>
      <c r="I119" s="12"/>
      <c r="J119" s="12"/>
      <c r="K119" s="12"/>
      <c r="L119" s="12"/>
      <c r="M119" s="12"/>
      <c r="N119" s="13"/>
      <c r="O119" s="13"/>
      <c r="P119" s="13"/>
      <c r="Q119" s="13"/>
      <c r="R119" s="13"/>
      <c r="S119" s="13"/>
    </row>
    <row r="120" spans="2:19" ht="16" customHeight="1" x14ac:dyDescent="0.45">
      <c r="B120" s="34"/>
      <c r="C120" s="34" t="s">
        <v>884</v>
      </c>
      <c r="D120" s="69"/>
      <c r="E120" s="70">
        <f>E106+E114</f>
        <v>-12704.612660000001</v>
      </c>
      <c r="F120" s="69"/>
      <c r="G120" s="35">
        <f t="shared" ref="G120:M120" si="21">G106+G114</f>
        <v>-10992.25477</v>
      </c>
      <c r="H120" s="35">
        <f t="shared" si="21"/>
        <v>-465.39085</v>
      </c>
      <c r="I120" s="35">
        <f t="shared" si="21"/>
        <v>0</v>
      </c>
      <c r="J120" s="35">
        <f t="shared" si="21"/>
        <v>-1088.8892599999999</v>
      </c>
      <c r="K120" s="35">
        <f t="shared" si="21"/>
        <v>-158.08415000000002</v>
      </c>
      <c r="L120" s="35">
        <f t="shared" si="21"/>
        <v>0</v>
      </c>
      <c r="M120" s="35">
        <f t="shared" si="21"/>
        <v>6.3699999999999998E-3</v>
      </c>
      <c r="N120" s="13"/>
      <c r="O120" s="13"/>
      <c r="P120" s="13"/>
      <c r="Q120" s="13"/>
      <c r="R120" s="13"/>
      <c r="S120" s="13"/>
    </row>
    <row r="121" spans="2:19" ht="16" customHeight="1" x14ac:dyDescent="0.45">
      <c r="B121" s="11"/>
      <c r="C121" s="11" t="s">
        <v>22</v>
      </c>
      <c r="D121" s="29"/>
      <c r="E121" s="60"/>
      <c r="F121" s="29"/>
      <c r="G121" s="12"/>
      <c r="H121" s="12"/>
      <c r="I121" s="12"/>
      <c r="J121" s="12"/>
      <c r="K121" s="12"/>
      <c r="L121" s="12"/>
      <c r="M121" s="12"/>
      <c r="N121" s="13"/>
      <c r="O121" s="13"/>
      <c r="P121" s="13"/>
      <c r="Q121" s="13"/>
      <c r="R121" s="13"/>
      <c r="S121" s="13"/>
    </row>
    <row r="122" spans="2:19" ht="16" customHeight="1" x14ac:dyDescent="0.45">
      <c r="B122" s="34"/>
      <c r="C122" s="34" t="s">
        <v>885</v>
      </c>
      <c r="D122" s="69"/>
      <c r="E122" s="70">
        <f>E123+E124</f>
        <v>0</v>
      </c>
      <c r="F122" s="69"/>
      <c r="G122" s="35">
        <f t="shared" ref="G122:M122" si="22">G123+G124</f>
        <v>0</v>
      </c>
      <c r="H122" s="35">
        <f t="shared" si="22"/>
        <v>0</v>
      </c>
      <c r="I122" s="35">
        <f t="shared" si="22"/>
        <v>0</v>
      </c>
      <c r="J122" s="35">
        <f t="shared" si="22"/>
        <v>0</v>
      </c>
      <c r="K122" s="35">
        <f t="shared" si="22"/>
        <v>0</v>
      </c>
      <c r="L122" s="35">
        <f t="shared" si="22"/>
        <v>0</v>
      </c>
      <c r="M122" s="35">
        <f t="shared" si="22"/>
        <v>0</v>
      </c>
      <c r="N122" s="13"/>
      <c r="O122" s="13"/>
      <c r="P122" s="13"/>
      <c r="Q122" s="13"/>
      <c r="R122" s="13"/>
      <c r="S122" s="13"/>
    </row>
    <row r="123" spans="2:19" ht="16" customHeight="1" x14ac:dyDescent="0.45">
      <c r="B123" s="14" t="s">
        <v>886</v>
      </c>
      <c r="C123" s="14" t="s">
        <v>887</v>
      </c>
      <c r="D123" s="61"/>
      <c r="E123" s="62"/>
      <c r="F123" s="61"/>
      <c r="G123" s="15"/>
      <c r="H123" s="15"/>
      <c r="I123" s="15"/>
      <c r="J123" s="15"/>
      <c r="K123" s="15"/>
      <c r="L123" s="15"/>
      <c r="M123" s="15"/>
      <c r="N123" s="13"/>
      <c r="O123" s="13"/>
      <c r="P123" s="13"/>
      <c r="Q123" s="13"/>
      <c r="R123" s="13"/>
      <c r="S123" s="13"/>
    </row>
    <row r="124" spans="2:19" ht="16" customHeight="1" x14ac:dyDescent="0.45">
      <c r="B124" s="14" t="s">
        <v>888</v>
      </c>
      <c r="C124" s="14" t="s">
        <v>889</v>
      </c>
      <c r="D124" s="61"/>
      <c r="E124" s="62"/>
      <c r="F124" s="61"/>
      <c r="G124" s="15"/>
      <c r="H124" s="15"/>
      <c r="I124" s="15"/>
      <c r="J124" s="15"/>
      <c r="K124" s="15"/>
      <c r="L124" s="15"/>
      <c r="M124" s="15"/>
      <c r="N124" s="13"/>
      <c r="O124" s="13"/>
      <c r="P124" s="13"/>
      <c r="Q124" s="13"/>
      <c r="R124" s="13"/>
      <c r="S124" s="13"/>
    </row>
    <row r="125" spans="2:19" ht="16" customHeight="1" x14ac:dyDescent="0.45">
      <c r="B125" s="11"/>
      <c r="C125" s="11" t="s">
        <v>22</v>
      </c>
      <c r="D125" s="29"/>
      <c r="E125" s="60"/>
      <c r="F125" s="29"/>
      <c r="G125" s="12"/>
      <c r="H125" s="12"/>
      <c r="I125" s="12"/>
      <c r="J125" s="12"/>
      <c r="K125" s="12"/>
      <c r="L125" s="12"/>
      <c r="M125" s="12"/>
      <c r="N125" s="13"/>
      <c r="O125" s="13"/>
      <c r="P125" s="13"/>
      <c r="Q125" s="13"/>
      <c r="R125" s="13"/>
      <c r="S125" s="13"/>
    </row>
    <row r="126" spans="2:19" ht="16" customHeight="1" x14ac:dyDescent="0.45">
      <c r="B126" s="34"/>
      <c r="C126" s="34" t="s">
        <v>890</v>
      </c>
      <c r="D126" s="69"/>
      <c r="E126" s="70">
        <f>E120+E122</f>
        <v>-12704.612660000001</v>
      </c>
      <c r="F126" s="69"/>
      <c r="G126" s="35">
        <f t="shared" ref="G126:M126" si="23">G120+G122</f>
        <v>-10992.25477</v>
      </c>
      <c r="H126" s="35">
        <f t="shared" si="23"/>
        <v>-465.39085</v>
      </c>
      <c r="I126" s="35">
        <f t="shared" si="23"/>
        <v>0</v>
      </c>
      <c r="J126" s="35">
        <f t="shared" si="23"/>
        <v>-1088.8892599999999</v>
      </c>
      <c r="K126" s="35">
        <f t="shared" si="23"/>
        <v>-158.08415000000002</v>
      </c>
      <c r="L126" s="35">
        <f t="shared" si="23"/>
        <v>0</v>
      </c>
      <c r="M126" s="35">
        <f t="shared" si="23"/>
        <v>6.3699999999999998E-3</v>
      </c>
      <c r="N126" s="13"/>
      <c r="O126" s="13"/>
      <c r="P126" s="13"/>
      <c r="Q126" s="13"/>
      <c r="R126" s="13"/>
      <c r="S126" s="13"/>
    </row>
    <row r="127" spans="2:19" ht="16" customHeight="1" x14ac:dyDescent="0.45">
      <c r="B127" s="11"/>
      <c r="C127" s="11" t="s">
        <v>22</v>
      </c>
      <c r="D127" s="29"/>
      <c r="E127" s="60"/>
      <c r="F127" s="29"/>
      <c r="G127" s="12"/>
      <c r="H127" s="12"/>
      <c r="I127" s="12"/>
      <c r="J127" s="12"/>
      <c r="K127" s="12"/>
      <c r="L127" s="12"/>
      <c r="M127" s="12"/>
      <c r="N127" s="13"/>
      <c r="O127" s="13"/>
      <c r="P127" s="13"/>
      <c r="Q127" s="13"/>
      <c r="R127" s="13"/>
      <c r="S127" s="13"/>
    </row>
    <row r="128" spans="2:19" ht="16" customHeight="1" x14ac:dyDescent="0.45">
      <c r="B128" s="34" t="s">
        <v>891</v>
      </c>
      <c r="C128" s="34" t="s">
        <v>892</v>
      </c>
      <c r="D128" s="69"/>
      <c r="E128" s="70">
        <f>E129+E130</f>
        <v>234.03649999999999</v>
      </c>
      <c r="F128" s="69"/>
      <c r="G128" s="35">
        <f t="shared" ref="G128:M128" si="24">G129+G130</f>
        <v>222.422</v>
      </c>
      <c r="H128" s="35">
        <f t="shared" si="24"/>
        <v>2E-3</v>
      </c>
      <c r="I128" s="35">
        <f t="shared" si="24"/>
        <v>0</v>
      </c>
      <c r="J128" s="35">
        <f t="shared" si="24"/>
        <v>0.66249999999999998</v>
      </c>
      <c r="K128" s="35">
        <f t="shared" si="24"/>
        <v>10.95</v>
      </c>
      <c r="L128" s="35">
        <f t="shared" si="24"/>
        <v>0</v>
      </c>
      <c r="M128" s="35">
        <f t="shared" si="24"/>
        <v>0</v>
      </c>
      <c r="N128" s="13"/>
      <c r="O128" s="13"/>
      <c r="P128" s="13"/>
      <c r="Q128" s="13"/>
      <c r="R128" s="13"/>
      <c r="S128" s="13"/>
    </row>
    <row r="129" spans="2:19" ht="16" customHeight="1" x14ac:dyDescent="0.45">
      <c r="B129" s="14"/>
      <c r="C129" s="14" t="s">
        <v>894</v>
      </c>
      <c r="D129" s="61"/>
      <c r="E129" s="62"/>
      <c r="F129" s="61"/>
      <c r="G129" s="15"/>
      <c r="H129" s="15"/>
      <c r="I129" s="15"/>
      <c r="J129" s="15"/>
      <c r="K129" s="15"/>
      <c r="L129" s="15"/>
      <c r="M129" s="15"/>
      <c r="N129" s="13"/>
      <c r="O129" s="13"/>
      <c r="P129" s="13"/>
      <c r="Q129" s="13"/>
      <c r="R129" s="13"/>
      <c r="S129" s="13"/>
    </row>
    <row r="130" spans="2:19" ht="16" customHeight="1" x14ac:dyDescent="0.45">
      <c r="B130" s="14"/>
      <c r="C130" s="14" t="s">
        <v>896</v>
      </c>
      <c r="D130" s="61"/>
      <c r="E130" s="62">
        <v>234.03649999999999</v>
      </c>
      <c r="F130" s="61"/>
      <c r="G130" s="15">
        <v>222.422</v>
      </c>
      <c r="H130" s="15">
        <v>2E-3</v>
      </c>
      <c r="I130" s="15"/>
      <c r="J130" s="15">
        <v>0.66249999999999998</v>
      </c>
      <c r="K130" s="15">
        <v>10.95</v>
      </c>
      <c r="L130" s="15"/>
      <c r="M130" s="15"/>
      <c r="N130" s="13"/>
      <c r="O130" s="13"/>
      <c r="P130" s="13"/>
      <c r="Q130" s="13"/>
      <c r="R130" s="13"/>
      <c r="S130" s="13"/>
    </row>
    <row r="131" spans="2:19" ht="16" customHeight="1" x14ac:dyDescent="0.45">
      <c r="B131" s="11"/>
      <c r="C131" s="11" t="s">
        <v>22</v>
      </c>
      <c r="D131" s="29"/>
      <c r="E131" s="60"/>
      <c r="F131" s="29"/>
      <c r="G131" s="12"/>
      <c r="H131" s="12"/>
      <c r="I131" s="12"/>
      <c r="J131" s="12"/>
      <c r="K131" s="12"/>
      <c r="L131" s="12"/>
      <c r="M131" s="12"/>
      <c r="N131" s="13"/>
      <c r="O131" s="13"/>
      <c r="P131" s="13"/>
      <c r="Q131" s="13"/>
      <c r="R131" s="13"/>
      <c r="S131" s="13"/>
    </row>
    <row r="132" spans="2:19" ht="16" customHeight="1" x14ac:dyDescent="0.45">
      <c r="B132" s="34"/>
      <c r="C132" s="34" t="s">
        <v>897</v>
      </c>
      <c r="D132" s="69"/>
      <c r="E132" s="70">
        <f>E126+E128</f>
        <v>-12470.576160000001</v>
      </c>
      <c r="F132" s="69"/>
      <c r="G132" s="35">
        <f t="shared" ref="G132:M132" si="25">G126+G128</f>
        <v>-10769.832769999999</v>
      </c>
      <c r="H132" s="35">
        <f t="shared" si="25"/>
        <v>-465.38884999999999</v>
      </c>
      <c r="I132" s="35">
        <f t="shared" si="25"/>
        <v>0</v>
      </c>
      <c r="J132" s="35">
        <f t="shared" si="25"/>
        <v>-1088.22676</v>
      </c>
      <c r="K132" s="35">
        <f t="shared" si="25"/>
        <v>-147.13415000000003</v>
      </c>
      <c r="L132" s="35">
        <f t="shared" si="25"/>
        <v>0</v>
      </c>
      <c r="M132" s="35">
        <f t="shared" si="25"/>
        <v>6.3699999999999998E-3</v>
      </c>
      <c r="N132" s="13"/>
      <c r="O132" s="13"/>
      <c r="P132" s="13"/>
      <c r="Q132" s="13"/>
      <c r="R132" s="13"/>
      <c r="S132" s="13"/>
    </row>
    <row r="133" spans="2:19" ht="16" customHeight="1" x14ac:dyDescent="0.45">
      <c r="B133" s="11"/>
      <c r="C133" s="11" t="s">
        <v>22</v>
      </c>
      <c r="D133" s="29"/>
      <c r="E133" s="60"/>
      <c r="F133" s="29"/>
      <c r="G133" s="12"/>
      <c r="H133" s="12"/>
      <c r="I133" s="12"/>
      <c r="J133" s="12"/>
      <c r="K133" s="12"/>
      <c r="L133" s="12"/>
      <c r="M133" s="12"/>
      <c r="N133" s="13"/>
      <c r="O133" s="13"/>
      <c r="P133" s="13"/>
      <c r="Q133" s="13"/>
      <c r="R133" s="13"/>
      <c r="S133" s="13"/>
    </row>
    <row r="134" spans="2:19" ht="16" customHeight="1" x14ac:dyDescent="0.45">
      <c r="B134" s="34"/>
      <c r="C134" s="34" t="s">
        <v>898</v>
      </c>
      <c r="D134" s="69"/>
      <c r="E134" s="70">
        <f>E135+E136</f>
        <v>0</v>
      </c>
      <c r="F134" s="69"/>
      <c r="G134" s="35">
        <f t="shared" ref="G134:M134" si="26">G135+G136</f>
        <v>1053.5636099999999</v>
      </c>
      <c r="H134" s="35">
        <f t="shared" si="26"/>
        <v>0</v>
      </c>
      <c r="I134" s="35">
        <f t="shared" si="26"/>
        <v>0</v>
      </c>
      <c r="J134" s="35">
        <f t="shared" si="26"/>
        <v>0</v>
      </c>
      <c r="K134" s="35">
        <f t="shared" si="26"/>
        <v>0</v>
      </c>
      <c r="L134" s="35">
        <f t="shared" si="26"/>
        <v>0</v>
      </c>
      <c r="M134" s="35">
        <f t="shared" si="26"/>
        <v>-1053.5636099999999</v>
      </c>
      <c r="N134" s="13"/>
      <c r="O134" s="13"/>
      <c r="P134" s="13"/>
      <c r="Q134" s="13"/>
      <c r="R134" s="13"/>
      <c r="S134" s="13"/>
    </row>
    <row r="135" spans="2:19" ht="16" customHeight="1" x14ac:dyDescent="0.45">
      <c r="B135" s="14" t="s">
        <v>899</v>
      </c>
      <c r="C135" s="14" t="s">
        <v>900</v>
      </c>
      <c r="D135" s="61"/>
      <c r="E135" s="62"/>
      <c r="F135" s="61"/>
      <c r="G135" s="15"/>
      <c r="H135" s="15"/>
      <c r="I135" s="15"/>
      <c r="J135" s="15"/>
      <c r="K135" s="15"/>
      <c r="L135" s="15"/>
      <c r="M135" s="15"/>
      <c r="N135" s="13"/>
      <c r="O135" s="13"/>
      <c r="P135" s="13"/>
      <c r="Q135" s="13"/>
      <c r="R135" s="13"/>
      <c r="S135" s="13"/>
    </row>
    <row r="136" spans="2:19" ht="16" customHeight="1" x14ac:dyDescent="0.45">
      <c r="B136" s="14" t="s">
        <v>901</v>
      </c>
      <c r="C136" s="14" t="s">
        <v>902</v>
      </c>
      <c r="D136" s="61"/>
      <c r="E136" s="62">
        <v>0</v>
      </c>
      <c r="F136" s="61"/>
      <c r="G136" s="15">
        <v>1053.5636099999999</v>
      </c>
      <c r="H136" s="15"/>
      <c r="I136" s="15"/>
      <c r="J136" s="15"/>
      <c r="K136" s="15"/>
      <c r="L136" s="15"/>
      <c r="M136" s="15">
        <v>-1053.5636099999999</v>
      </c>
      <c r="N136" s="13"/>
      <c r="O136" s="13"/>
      <c r="P136" s="13"/>
      <c r="Q136" s="13"/>
      <c r="R136" s="13"/>
      <c r="S136" s="13"/>
    </row>
    <row r="137" spans="2:19" ht="16" customHeight="1" x14ac:dyDescent="0.45">
      <c r="B137" s="11"/>
      <c r="C137" s="11" t="s">
        <v>22</v>
      </c>
      <c r="D137" s="29"/>
      <c r="E137" s="60"/>
      <c r="F137" s="29"/>
      <c r="G137" s="12"/>
      <c r="H137" s="12"/>
      <c r="I137" s="12"/>
      <c r="J137" s="12"/>
      <c r="K137" s="12"/>
      <c r="L137" s="12"/>
      <c r="M137" s="12"/>
      <c r="N137" s="13"/>
      <c r="O137" s="13"/>
      <c r="P137" s="13"/>
      <c r="Q137" s="13"/>
      <c r="R137" s="13"/>
      <c r="S137" s="13"/>
    </row>
    <row r="138" spans="2:19" ht="16" customHeight="1" x14ac:dyDescent="0.45">
      <c r="B138" s="34"/>
      <c r="C138" s="34" t="s">
        <v>903</v>
      </c>
      <c r="D138" s="69"/>
      <c r="E138" s="70">
        <f>E139+E140</f>
        <v>0</v>
      </c>
      <c r="F138" s="69"/>
      <c r="G138" s="35">
        <f t="shared" ref="G138:M138" si="27">G139+G140</f>
        <v>0</v>
      </c>
      <c r="H138" s="35">
        <f t="shared" si="27"/>
        <v>0</v>
      </c>
      <c r="I138" s="35">
        <f t="shared" si="27"/>
        <v>0</v>
      </c>
      <c r="J138" s="35">
        <f t="shared" si="27"/>
        <v>0</v>
      </c>
      <c r="K138" s="35">
        <f t="shared" si="27"/>
        <v>0</v>
      </c>
      <c r="L138" s="35">
        <f t="shared" si="27"/>
        <v>0</v>
      </c>
      <c r="M138" s="35">
        <f t="shared" si="27"/>
        <v>0</v>
      </c>
      <c r="N138" s="13"/>
      <c r="O138" s="13"/>
      <c r="P138" s="13"/>
      <c r="Q138" s="13"/>
      <c r="R138" s="13"/>
      <c r="S138" s="13"/>
    </row>
    <row r="139" spans="2:19" ht="16" customHeight="1" x14ac:dyDescent="0.45">
      <c r="B139" s="14" t="s">
        <v>904</v>
      </c>
      <c r="C139" s="14" t="s">
        <v>905</v>
      </c>
      <c r="D139" s="61"/>
      <c r="E139" s="62"/>
      <c r="F139" s="61"/>
      <c r="G139" s="15"/>
      <c r="H139" s="15"/>
      <c r="I139" s="15"/>
      <c r="J139" s="15"/>
      <c r="K139" s="15"/>
      <c r="L139" s="15"/>
      <c r="M139" s="15"/>
      <c r="N139" s="13"/>
      <c r="O139" s="13"/>
      <c r="P139" s="13"/>
      <c r="Q139" s="13"/>
      <c r="R139" s="13"/>
      <c r="S139" s="13"/>
    </row>
    <row r="140" spans="2:19" ht="16" customHeight="1" x14ac:dyDescent="0.45">
      <c r="B140" s="14" t="s">
        <v>906</v>
      </c>
      <c r="C140" s="14" t="s">
        <v>907</v>
      </c>
      <c r="D140" s="61"/>
      <c r="E140" s="62">
        <f>E141+E142</f>
        <v>0</v>
      </c>
      <c r="F140" s="61"/>
      <c r="G140" s="15">
        <f t="shared" ref="G140:M140" si="28">G141+G142</f>
        <v>0</v>
      </c>
      <c r="H140" s="15">
        <f t="shared" si="28"/>
        <v>0</v>
      </c>
      <c r="I140" s="15">
        <f t="shared" si="28"/>
        <v>0</v>
      </c>
      <c r="J140" s="15">
        <f t="shared" si="28"/>
        <v>0</v>
      </c>
      <c r="K140" s="15">
        <f t="shared" si="28"/>
        <v>0</v>
      </c>
      <c r="L140" s="15">
        <f t="shared" si="28"/>
        <v>0</v>
      </c>
      <c r="M140" s="15">
        <f t="shared" si="28"/>
        <v>0</v>
      </c>
      <c r="N140" s="13"/>
      <c r="O140" s="13"/>
      <c r="P140" s="13"/>
      <c r="Q140" s="13"/>
      <c r="R140" s="13"/>
      <c r="S140" s="13"/>
    </row>
    <row r="141" spans="2:19" ht="16" customHeight="1" x14ac:dyDescent="0.45">
      <c r="B141" s="14"/>
      <c r="C141" s="14" t="s">
        <v>909</v>
      </c>
      <c r="D141" s="61"/>
      <c r="E141" s="62"/>
      <c r="F141" s="61"/>
      <c r="G141" s="15"/>
      <c r="H141" s="15"/>
      <c r="I141" s="15"/>
      <c r="J141" s="15"/>
      <c r="K141" s="15"/>
      <c r="L141" s="15"/>
      <c r="M141" s="15"/>
      <c r="N141" s="13"/>
      <c r="O141" s="13"/>
      <c r="P141" s="13"/>
      <c r="Q141" s="13"/>
      <c r="R141" s="13"/>
      <c r="S141" s="13"/>
    </row>
    <row r="142" spans="2:19" ht="16" customHeight="1" x14ac:dyDescent="0.45">
      <c r="B142" s="14"/>
      <c r="C142" s="14" t="s">
        <v>911</v>
      </c>
      <c r="D142" s="61"/>
      <c r="E142" s="62"/>
      <c r="F142" s="61"/>
      <c r="G142" s="15"/>
      <c r="H142" s="15"/>
      <c r="I142" s="15"/>
      <c r="J142" s="15"/>
      <c r="K142" s="15"/>
      <c r="L142" s="15"/>
      <c r="M142" s="15"/>
      <c r="N142" s="13"/>
      <c r="O142" s="13"/>
      <c r="P142" s="13"/>
      <c r="Q142" s="13"/>
      <c r="R142" s="13"/>
      <c r="S142" s="13"/>
    </row>
    <row r="143" spans="2:19" ht="16" customHeight="1" x14ac:dyDescent="0.45">
      <c r="B143" s="11"/>
      <c r="C143" s="11" t="s">
        <v>22</v>
      </c>
      <c r="D143" s="29"/>
      <c r="E143" s="60"/>
      <c r="F143" s="29"/>
      <c r="G143" s="12"/>
      <c r="H143" s="12"/>
      <c r="I143" s="12"/>
      <c r="J143" s="12"/>
      <c r="K143" s="12"/>
      <c r="L143" s="12"/>
      <c r="M143" s="12"/>
      <c r="N143" s="13"/>
      <c r="O143" s="13"/>
      <c r="P143" s="13"/>
      <c r="Q143" s="13"/>
      <c r="R143" s="13"/>
      <c r="S143" s="13"/>
    </row>
    <row r="144" spans="2:19" ht="16" customHeight="1" x14ac:dyDescent="0.45">
      <c r="B144" s="34"/>
      <c r="C144" s="34" t="s">
        <v>912</v>
      </c>
      <c r="D144" s="69"/>
      <c r="E144" s="70">
        <f>E145+E146</f>
        <v>-0.24199999999999999</v>
      </c>
      <c r="F144" s="69"/>
      <c r="G144" s="35">
        <f t="shared" ref="G144:M144" si="29">G145+G146</f>
        <v>0</v>
      </c>
      <c r="H144" s="35">
        <f t="shared" si="29"/>
        <v>0</v>
      </c>
      <c r="I144" s="35">
        <f t="shared" si="29"/>
        <v>0</v>
      </c>
      <c r="J144" s="35">
        <f t="shared" si="29"/>
        <v>0</v>
      </c>
      <c r="K144" s="35">
        <f t="shared" si="29"/>
        <v>0</v>
      </c>
      <c r="L144" s="35">
        <f t="shared" si="29"/>
        <v>0</v>
      </c>
      <c r="M144" s="35">
        <f t="shared" si="29"/>
        <v>-0.24199999999999999</v>
      </c>
      <c r="N144" s="13"/>
      <c r="O144" s="13"/>
      <c r="P144" s="13"/>
      <c r="Q144" s="13"/>
      <c r="R144" s="13"/>
      <c r="S144" s="13"/>
    </row>
    <row r="145" spans="2:19" ht="16" customHeight="1" x14ac:dyDescent="0.45">
      <c r="B145" s="14" t="s">
        <v>913</v>
      </c>
      <c r="C145" s="14" t="s">
        <v>914</v>
      </c>
      <c r="D145" s="61"/>
      <c r="E145" s="62">
        <v>0</v>
      </c>
      <c r="F145" s="61"/>
      <c r="G145" s="15"/>
      <c r="H145" s="15"/>
      <c r="I145" s="15"/>
      <c r="J145" s="15"/>
      <c r="K145" s="15"/>
      <c r="L145" s="15"/>
      <c r="M145" s="15">
        <v>0</v>
      </c>
      <c r="N145" s="13"/>
      <c r="O145" s="13"/>
      <c r="P145" s="13"/>
      <c r="Q145" s="13"/>
      <c r="R145" s="13"/>
      <c r="S145" s="13"/>
    </row>
    <row r="146" spans="2:19" ht="16" customHeight="1" x14ac:dyDescent="0.45">
      <c r="B146" s="14" t="s">
        <v>915</v>
      </c>
      <c r="C146" s="14" t="s">
        <v>916</v>
      </c>
      <c r="D146" s="61"/>
      <c r="E146" s="62">
        <v>-0.24199999999999999</v>
      </c>
      <c r="F146" s="61"/>
      <c r="G146" s="15"/>
      <c r="H146" s="15"/>
      <c r="I146" s="15"/>
      <c r="J146" s="15"/>
      <c r="K146" s="15"/>
      <c r="L146" s="15"/>
      <c r="M146" s="15">
        <v>-0.24199999999999999</v>
      </c>
      <c r="N146" s="13"/>
      <c r="O146" s="13"/>
      <c r="P146" s="13"/>
      <c r="Q146" s="13"/>
      <c r="R146" s="13"/>
      <c r="S146" s="13"/>
    </row>
    <row r="147" spans="2:19" ht="16" customHeight="1" x14ac:dyDescent="0.45">
      <c r="B147" s="11"/>
      <c r="C147" s="11" t="s">
        <v>22</v>
      </c>
      <c r="D147" s="29"/>
      <c r="E147" s="60"/>
      <c r="F147" s="29"/>
      <c r="G147" s="12"/>
      <c r="H147" s="12"/>
      <c r="I147" s="12"/>
      <c r="J147" s="12"/>
      <c r="K147" s="12"/>
      <c r="L147" s="12"/>
      <c r="M147" s="12"/>
      <c r="N147" s="13"/>
      <c r="O147" s="13"/>
      <c r="P147" s="13"/>
      <c r="Q147" s="13"/>
      <c r="R147" s="13"/>
      <c r="S147" s="13"/>
    </row>
    <row r="148" spans="2:19" ht="16" customHeight="1" x14ac:dyDescent="0.45">
      <c r="B148" s="34"/>
      <c r="C148" s="34" t="s">
        <v>917</v>
      </c>
      <c r="D148" s="69"/>
      <c r="E148" s="70">
        <f>E149+E150</f>
        <v>-6762.6852500000005</v>
      </c>
      <c r="F148" s="69"/>
      <c r="G148" s="35">
        <f t="shared" ref="G148:M148" si="30">G149+G150</f>
        <v>0</v>
      </c>
      <c r="H148" s="35">
        <f t="shared" si="30"/>
        <v>0</v>
      </c>
      <c r="I148" s="35">
        <f t="shared" si="30"/>
        <v>0</v>
      </c>
      <c r="J148" s="35">
        <f t="shared" si="30"/>
        <v>0</v>
      </c>
      <c r="K148" s="35">
        <f t="shared" si="30"/>
        <v>0</v>
      </c>
      <c r="L148" s="35">
        <f t="shared" si="30"/>
        <v>0</v>
      </c>
      <c r="M148" s="35">
        <f t="shared" si="30"/>
        <v>-6762.6852500000005</v>
      </c>
      <c r="N148" s="13"/>
      <c r="O148" s="13"/>
      <c r="P148" s="13"/>
      <c r="Q148" s="13"/>
      <c r="R148" s="13"/>
      <c r="S148" s="13"/>
    </row>
    <row r="149" spans="2:19" ht="16" customHeight="1" x14ac:dyDescent="0.45">
      <c r="B149" s="14" t="s">
        <v>918</v>
      </c>
      <c r="C149" s="14" t="s">
        <v>919</v>
      </c>
      <c r="D149" s="61"/>
      <c r="E149" s="62">
        <v>-6887.6852500000005</v>
      </c>
      <c r="F149" s="61"/>
      <c r="G149" s="15"/>
      <c r="H149" s="15"/>
      <c r="I149" s="15"/>
      <c r="J149" s="15"/>
      <c r="K149" s="15"/>
      <c r="L149" s="15"/>
      <c r="M149" s="15">
        <v>-6887.6852500000005</v>
      </c>
      <c r="N149" s="13"/>
      <c r="O149" s="13"/>
      <c r="P149" s="13"/>
      <c r="Q149" s="13"/>
      <c r="R149" s="13"/>
      <c r="S149" s="13"/>
    </row>
    <row r="150" spans="2:19" ht="16" customHeight="1" x14ac:dyDescent="0.35">
      <c r="B150" s="14" t="s">
        <v>920</v>
      </c>
      <c r="C150" s="14" t="s">
        <v>921</v>
      </c>
      <c r="D150" s="61"/>
      <c r="E150" s="62">
        <v>125</v>
      </c>
      <c r="F150" s="61"/>
      <c r="G150" s="15"/>
      <c r="H150" s="15"/>
      <c r="I150" s="15"/>
      <c r="J150" s="15"/>
      <c r="K150" s="15"/>
      <c r="L150" s="15"/>
      <c r="M150" s="15">
        <v>125</v>
      </c>
    </row>
    <row r="151" spans="2:19" ht="16" customHeight="1" x14ac:dyDescent="0.35">
      <c r="B151" s="11"/>
      <c r="C151" s="11" t="s">
        <v>22</v>
      </c>
      <c r="D151" s="29"/>
      <c r="E151" s="60"/>
      <c r="F151" s="29"/>
      <c r="G151" s="12"/>
      <c r="H151" s="12"/>
      <c r="I151" s="12"/>
      <c r="J151" s="12"/>
      <c r="K151" s="12"/>
      <c r="L151" s="12"/>
      <c r="M151" s="12"/>
    </row>
    <row r="152" spans="2:19" ht="16" customHeight="1" x14ac:dyDescent="0.35">
      <c r="B152" s="34"/>
      <c r="C152" s="34" t="s">
        <v>922</v>
      </c>
      <c r="D152" s="69"/>
      <c r="E152" s="70">
        <f>-(-E153)</f>
        <v>217.73231999999999</v>
      </c>
      <c r="F152" s="69"/>
      <c r="G152" s="35">
        <f t="shared" ref="G152:M152" si="31">-(-G153)</f>
        <v>166.13054</v>
      </c>
      <c r="H152" s="35">
        <f t="shared" si="31"/>
        <v>0</v>
      </c>
      <c r="I152" s="35">
        <f t="shared" si="31"/>
        <v>0</v>
      </c>
      <c r="J152" s="35">
        <f t="shared" si="31"/>
        <v>0</v>
      </c>
      <c r="K152" s="35">
        <f t="shared" si="31"/>
        <v>0</v>
      </c>
      <c r="L152" s="35">
        <f t="shared" si="31"/>
        <v>0</v>
      </c>
      <c r="M152" s="35">
        <f t="shared" si="31"/>
        <v>51.601779999999998</v>
      </c>
    </row>
    <row r="153" spans="2:19" ht="16" customHeight="1" x14ac:dyDescent="0.35">
      <c r="B153" s="14" t="s">
        <v>923</v>
      </c>
      <c r="C153" s="14" t="s">
        <v>924</v>
      </c>
      <c r="D153" s="61"/>
      <c r="E153" s="62">
        <v>217.73231999999999</v>
      </c>
      <c r="F153" s="61"/>
      <c r="G153" s="15">
        <v>166.13054</v>
      </c>
      <c r="H153" s="15">
        <v>0</v>
      </c>
      <c r="I153" s="15"/>
      <c r="J153" s="15">
        <v>0</v>
      </c>
      <c r="K153" s="15">
        <v>0</v>
      </c>
      <c r="L153" s="15"/>
      <c r="M153" s="15">
        <v>51.601779999999998</v>
      </c>
    </row>
    <row r="154" spans="2:19" ht="16" customHeight="1" x14ac:dyDescent="0.35">
      <c r="B154" s="11"/>
      <c r="C154" s="11" t="s">
        <v>22</v>
      </c>
      <c r="D154" s="29"/>
      <c r="E154" s="60"/>
      <c r="F154" s="29"/>
      <c r="G154" s="12"/>
      <c r="H154" s="12"/>
      <c r="I154" s="12"/>
      <c r="J154" s="12"/>
      <c r="K154" s="12"/>
      <c r="L154" s="12"/>
      <c r="M154" s="12"/>
    </row>
    <row r="155" spans="2:19" ht="16" customHeight="1" x14ac:dyDescent="0.35">
      <c r="B155" s="34"/>
      <c r="C155" s="34" t="s">
        <v>925</v>
      </c>
      <c r="D155" s="69"/>
      <c r="E155" s="70">
        <f>E156+E157</f>
        <v>0</v>
      </c>
      <c r="F155" s="69"/>
      <c r="G155" s="35">
        <f t="shared" ref="G155:M155" si="32">G156+G157</f>
        <v>0</v>
      </c>
      <c r="H155" s="35">
        <f t="shared" si="32"/>
        <v>0</v>
      </c>
      <c r="I155" s="35">
        <f t="shared" si="32"/>
        <v>0</v>
      </c>
      <c r="J155" s="35">
        <f t="shared" si="32"/>
        <v>0</v>
      </c>
      <c r="K155" s="35">
        <f t="shared" si="32"/>
        <v>0</v>
      </c>
      <c r="L155" s="35">
        <f t="shared" si="32"/>
        <v>0</v>
      </c>
      <c r="M155" s="35">
        <f t="shared" si="32"/>
        <v>0</v>
      </c>
    </row>
    <row r="156" spans="2:19" ht="16" customHeight="1" x14ac:dyDescent="0.35">
      <c r="B156" s="14" t="s">
        <v>926</v>
      </c>
      <c r="C156" s="14" t="s">
        <v>927</v>
      </c>
      <c r="D156" s="61"/>
      <c r="E156" s="62"/>
      <c r="F156" s="61"/>
      <c r="G156" s="15"/>
      <c r="H156" s="15"/>
      <c r="I156" s="15"/>
      <c r="J156" s="15"/>
      <c r="K156" s="15"/>
      <c r="L156" s="15"/>
      <c r="M156" s="15"/>
    </row>
    <row r="157" spans="2:19" ht="16" customHeight="1" x14ac:dyDescent="0.35">
      <c r="B157" s="14" t="s">
        <v>928</v>
      </c>
      <c r="C157" s="14" t="s">
        <v>929</v>
      </c>
      <c r="D157" s="61"/>
      <c r="E157" s="62"/>
      <c r="F157" s="61"/>
      <c r="G157" s="15"/>
      <c r="H157" s="15"/>
      <c r="I157" s="15"/>
      <c r="J157" s="15"/>
      <c r="K157" s="15"/>
      <c r="L157" s="15"/>
      <c r="M157" s="15"/>
    </row>
    <row r="158" spans="2:19" ht="16" customHeight="1" x14ac:dyDescent="0.35">
      <c r="B158" s="11"/>
      <c r="C158" s="11" t="s">
        <v>22</v>
      </c>
      <c r="D158" s="29"/>
      <c r="E158" s="60"/>
      <c r="F158" s="29"/>
      <c r="G158" s="12"/>
      <c r="H158" s="12"/>
      <c r="I158" s="12"/>
      <c r="J158" s="12"/>
      <c r="K158" s="12"/>
      <c r="L158" s="12"/>
      <c r="M158" s="12"/>
    </row>
    <row r="159" spans="2:19" ht="16" customHeight="1" x14ac:dyDescent="0.35">
      <c r="B159" s="34"/>
      <c r="C159" s="34" t="s">
        <v>930</v>
      </c>
      <c r="D159" s="69"/>
      <c r="E159" s="70">
        <f>-(-E134-E138-E144-E148-E152-E155)</f>
        <v>-6545.1949300000006</v>
      </c>
      <c r="F159" s="69"/>
      <c r="G159" s="35">
        <f t="shared" ref="G159:M159" si="33">-(-G134-G138-G144-G148-G152-G155)</f>
        <v>1219.6941499999998</v>
      </c>
      <c r="H159" s="35">
        <f t="shared" si="33"/>
        <v>0</v>
      </c>
      <c r="I159" s="35">
        <f t="shared" si="33"/>
        <v>0</v>
      </c>
      <c r="J159" s="35">
        <f t="shared" si="33"/>
        <v>0</v>
      </c>
      <c r="K159" s="35">
        <f t="shared" si="33"/>
        <v>0</v>
      </c>
      <c r="L159" s="35">
        <f t="shared" si="33"/>
        <v>0</v>
      </c>
      <c r="M159" s="35">
        <f t="shared" si="33"/>
        <v>-7764.8890799999999</v>
      </c>
    </row>
    <row r="160" spans="2:19" ht="16" customHeight="1" x14ac:dyDescent="0.35">
      <c r="B160" s="11"/>
      <c r="C160" s="11" t="s">
        <v>22</v>
      </c>
      <c r="D160" s="29"/>
      <c r="E160" s="60"/>
      <c r="F160" s="29"/>
      <c r="G160" s="12"/>
      <c r="H160" s="12"/>
      <c r="I160" s="12"/>
      <c r="J160" s="12"/>
      <c r="K160" s="12"/>
      <c r="L160" s="12"/>
      <c r="M160" s="12"/>
    </row>
    <row r="161" spans="2:13" ht="16" customHeight="1" x14ac:dyDescent="0.35">
      <c r="B161" s="40"/>
      <c r="C161" s="40" t="s">
        <v>931</v>
      </c>
      <c r="D161" s="53"/>
      <c r="E161" s="53">
        <f>E132+E159</f>
        <v>-19015.771090000002</v>
      </c>
      <c r="F161" s="53"/>
      <c r="G161" s="24">
        <f t="shared" ref="G161:M161" si="34">G132+G159</f>
        <v>-9550.1386199999997</v>
      </c>
      <c r="H161" s="24">
        <f t="shared" si="34"/>
        <v>-465.38884999999999</v>
      </c>
      <c r="I161" s="24">
        <f t="shared" si="34"/>
        <v>0</v>
      </c>
      <c r="J161" s="24">
        <f t="shared" si="34"/>
        <v>-1088.22676</v>
      </c>
      <c r="K161" s="24">
        <f t="shared" si="34"/>
        <v>-147.13415000000003</v>
      </c>
      <c r="L161" s="24">
        <f t="shared" si="34"/>
        <v>0</v>
      </c>
      <c r="M161" s="24">
        <f t="shared" si="34"/>
        <v>-7764.8827099999999</v>
      </c>
    </row>
    <row r="162" spans="2:13" ht="16" customHeight="1" x14ac:dyDescent="0.35">
      <c r="B162" s="11"/>
      <c r="C162" s="11" t="s">
        <v>22</v>
      </c>
      <c r="D162" s="29"/>
      <c r="E162" s="60"/>
      <c r="F162" s="29"/>
      <c r="G162" s="12"/>
      <c r="H162" s="12"/>
      <c r="I162" s="12"/>
      <c r="J162" s="12"/>
      <c r="K162" s="12"/>
      <c r="L162" s="12"/>
      <c r="M162" s="12"/>
    </row>
    <row r="163" spans="2:13" ht="16" customHeight="1" x14ac:dyDescent="0.35">
      <c r="B163" s="34"/>
      <c r="C163" s="34" t="s">
        <v>932</v>
      </c>
      <c r="D163" s="69"/>
      <c r="E163" s="70"/>
      <c r="F163" s="69"/>
      <c r="G163" s="35"/>
      <c r="H163" s="35"/>
      <c r="I163" s="35"/>
      <c r="J163" s="35"/>
      <c r="K163" s="35"/>
      <c r="L163" s="35"/>
      <c r="M163" s="35"/>
    </row>
    <row r="164" spans="2:13" ht="16" customHeight="1" x14ac:dyDescent="0.35">
      <c r="B164" s="11"/>
      <c r="C164" s="11" t="s">
        <v>22</v>
      </c>
      <c r="D164" s="29"/>
      <c r="E164" s="60"/>
      <c r="F164" s="29"/>
      <c r="G164" s="12"/>
      <c r="H164" s="12"/>
      <c r="I164" s="12"/>
      <c r="J164" s="12"/>
      <c r="K164" s="12"/>
      <c r="L164" s="12"/>
      <c r="M164" s="12"/>
    </row>
    <row r="165" spans="2:13" ht="16" customHeight="1" x14ac:dyDescent="0.35">
      <c r="B165" s="34"/>
      <c r="C165" s="34" t="s">
        <v>933</v>
      </c>
      <c r="D165" s="69"/>
      <c r="E165" s="70">
        <f>-(-(E166+E167)-E168)</f>
        <v>0</v>
      </c>
      <c r="F165" s="69"/>
      <c r="G165" s="35">
        <f t="shared" ref="G165:M165" si="35">-(-(G166+G167)-G168)</f>
        <v>0</v>
      </c>
      <c r="H165" s="35">
        <f t="shared" si="35"/>
        <v>0</v>
      </c>
      <c r="I165" s="35">
        <f t="shared" si="35"/>
        <v>0</v>
      </c>
      <c r="J165" s="35">
        <f t="shared" si="35"/>
        <v>0</v>
      </c>
      <c r="K165" s="35">
        <f t="shared" si="35"/>
        <v>0</v>
      </c>
      <c r="L165" s="35">
        <f t="shared" si="35"/>
        <v>0</v>
      </c>
      <c r="M165" s="35">
        <f t="shared" si="35"/>
        <v>0</v>
      </c>
    </row>
    <row r="166" spans="2:13" ht="16" customHeight="1" x14ac:dyDescent="0.35">
      <c r="B166" s="14" t="s">
        <v>934</v>
      </c>
      <c r="C166" s="14" t="s">
        <v>935</v>
      </c>
      <c r="D166" s="61"/>
      <c r="E166" s="62"/>
      <c r="F166" s="61"/>
      <c r="G166" s="15"/>
      <c r="H166" s="15"/>
      <c r="I166" s="15"/>
      <c r="J166" s="15"/>
      <c r="K166" s="15"/>
      <c r="L166" s="15"/>
      <c r="M166" s="15"/>
    </row>
    <row r="167" spans="2:13" ht="16" customHeight="1" x14ac:dyDescent="0.35">
      <c r="B167" s="14" t="s">
        <v>936</v>
      </c>
      <c r="C167" s="14" t="s">
        <v>937</v>
      </c>
      <c r="D167" s="61"/>
      <c r="E167" s="62"/>
      <c r="F167" s="61"/>
      <c r="G167" s="15"/>
      <c r="H167" s="15"/>
      <c r="I167" s="15"/>
      <c r="J167" s="15"/>
      <c r="K167" s="15"/>
      <c r="L167" s="15"/>
      <c r="M167" s="15"/>
    </row>
    <row r="168" spans="2:13" ht="16" customHeight="1" x14ac:dyDescent="0.35">
      <c r="B168" s="14" t="s">
        <v>938</v>
      </c>
      <c r="C168" s="14" t="s">
        <v>939</v>
      </c>
      <c r="D168" s="61"/>
      <c r="E168" s="62"/>
      <c r="F168" s="61"/>
      <c r="G168" s="15"/>
      <c r="H168" s="15"/>
      <c r="I168" s="15"/>
      <c r="J168" s="15"/>
      <c r="K168" s="15"/>
      <c r="L168" s="15"/>
      <c r="M168" s="15"/>
    </row>
    <row r="169" spans="2:13" ht="16" customHeight="1" x14ac:dyDescent="0.35">
      <c r="B169" s="11"/>
      <c r="C169" s="11" t="s">
        <v>22</v>
      </c>
      <c r="D169" s="29"/>
      <c r="E169" s="60"/>
      <c r="F169" s="29"/>
      <c r="G169" s="12"/>
      <c r="H169" s="12"/>
      <c r="I169" s="12"/>
      <c r="J169" s="12"/>
      <c r="K169" s="12"/>
      <c r="L169" s="12"/>
      <c r="M169" s="12"/>
    </row>
    <row r="170" spans="2:13" ht="16" customHeight="1" x14ac:dyDescent="0.35">
      <c r="B170" s="34"/>
      <c r="C170" s="34" t="s">
        <v>940</v>
      </c>
      <c r="D170" s="69"/>
      <c r="E170" s="70">
        <f>E171+E172</f>
        <v>0</v>
      </c>
      <c r="F170" s="69"/>
      <c r="G170" s="35">
        <f t="shared" ref="G170:M170" si="36">G171+G172</f>
        <v>0</v>
      </c>
      <c r="H170" s="35">
        <f t="shared" si="36"/>
        <v>0</v>
      </c>
      <c r="I170" s="35">
        <f t="shared" si="36"/>
        <v>0</v>
      </c>
      <c r="J170" s="35">
        <f t="shared" si="36"/>
        <v>0</v>
      </c>
      <c r="K170" s="35">
        <f t="shared" si="36"/>
        <v>0</v>
      </c>
      <c r="L170" s="35">
        <f t="shared" si="36"/>
        <v>0</v>
      </c>
      <c r="M170" s="35">
        <f t="shared" si="36"/>
        <v>0</v>
      </c>
    </row>
    <row r="171" spans="2:13" ht="16" customHeight="1" x14ac:dyDescent="0.35">
      <c r="B171" s="14" t="s">
        <v>941</v>
      </c>
      <c r="C171" s="14" t="s">
        <v>942</v>
      </c>
      <c r="D171" s="61"/>
      <c r="E171" s="62"/>
      <c r="F171" s="61"/>
      <c r="G171" s="15"/>
      <c r="H171" s="15"/>
      <c r="I171" s="15"/>
      <c r="J171" s="15"/>
      <c r="K171" s="15"/>
      <c r="L171" s="15"/>
      <c r="M171" s="15"/>
    </row>
    <row r="172" spans="2:13" ht="16" customHeight="1" x14ac:dyDescent="0.35">
      <c r="B172" s="14" t="s">
        <v>943</v>
      </c>
      <c r="C172" s="14" t="s">
        <v>944</v>
      </c>
      <c r="D172" s="61"/>
      <c r="E172" s="62"/>
      <c r="F172" s="61"/>
      <c r="G172" s="15"/>
      <c r="H172" s="15"/>
      <c r="I172" s="15"/>
      <c r="J172" s="15"/>
      <c r="K172" s="15"/>
      <c r="L172" s="15"/>
      <c r="M172" s="15"/>
    </row>
    <row r="173" spans="2:13" ht="16" customHeight="1" x14ac:dyDescent="0.35">
      <c r="B173" s="11"/>
      <c r="C173" s="11" t="s">
        <v>22</v>
      </c>
      <c r="D173" s="29"/>
      <c r="E173" s="60"/>
      <c r="F173" s="29"/>
      <c r="G173" s="12"/>
      <c r="H173" s="12"/>
      <c r="I173" s="12"/>
      <c r="J173" s="12"/>
      <c r="K173" s="12"/>
      <c r="L173" s="12"/>
      <c r="M173" s="12"/>
    </row>
    <row r="174" spans="2:13" ht="16" customHeight="1" x14ac:dyDescent="0.35">
      <c r="B174" s="14" t="s">
        <v>945</v>
      </c>
      <c r="C174" s="14" t="s">
        <v>946</v>
      </c>
      <c r="D174" s="61"/>
      <c r="E174" s="62"/>
      <c r="F174" s="61"/>
      <c r="G174" s="15"/>
      <c r="H174" s="15"/>
      <c r="I174" s="15"/>
      <c r="J174" s="15"/>
      <c r="K174" s="15"/>
      <c r="L174" s="15"/>
      <c r="M174" s="15"/>
    </row>
    <row r="175" spans="2:13" ht="16" customHeight="1" x14ac:dyDescent="0.35">
      <c r="B175" s="11"/>
      <c r="C175" s="11" t="s">
        <v>22</v>
      </c>
      <c r="D175" s="29"/>
      <c r="E175" s="60"/>
      <c r="F175" s="29"/>
      <c r="G175" s="12"/>
      <c r="H175" s="12"/>
      <c r="I175" s="12"/>
      <c r="J175" s="12"/>
      <c r="K175" s="12"/>
      <c r="L175" s="12"/>
      <c r="M175" s="12"/>
    </row>
    <row r="176" spans="2:13" ht="16" customHeight="1" x14ac:dyDescent="0.35">
      <c r="B176" s="14" t="s">
        <v>947</v>
      </c>
      <c r="C176" s="14" t="s">
        <v>948</v>
      </c>
      <c r="D176" s="61"/>
      <c r="E176" s="62"/>
      <c r="F176" s="61"/>
      <c r="G176" s="15"/>
      <c r="H176" s="15"/>
      <c r="I176" s="15"/>
      <c r="J176" s="15"/>
      <c r="K176" s="15"/>
      <c r="L176" s="15"/>
      <c r="M176" s="15"/>
    </row>
    <row r="177" spans="2:13" ht="16" customHeight="1" x14ac:dyDescent="0.35">
      <c r="B177" s="11"/>
      <c r="C177" s="11" t="s">
        <v>22</v>
      </c>
      <c r="D177" s="29"/>
      <c r="E177" s="60"/>
      <c r="F177" s="29"/>
      <c r="G177" s="12"/>
      <c r="H177" s="12"/>
      <c r="I177" s="12"/>
      <c r="J177" s="12"/>
      <c r="K177" s="12"/>
      <c r="L177" s="12"/>
      <c r="M177" s="12"/>
    </row>
    <row r="178" spans="2:13" ht="16" customHeight="1" x14ac:dyDescent="0.35">
      <c r="B178" s="14" t="s">
        <v>949</v>
      </c>
      <c r="C178" s="14" t="s">
        <v>950</v>
      </c>
      <c r="D178" s="61"/>
      <c r="E178" s="62"/>
      <c r="F178" s="61"/>
      <c r="G178" s="15"/>
      <c r="H178" s="15"/>
      <c r="I178" s="15"/>
      <c r="J178" s="15"/>
      <c r="K178" s="15"/>
      <c r="L178" s="15"/>
      <c r="M178" s="15"/>
    </row>
    <row r="179" spans="2:13" ht="16" customHeight="1" x14ac:dyDescent="0.35">
      <c r="B179" s="11"/>
      <c r="C179" s="11" t="s">
        <v>22</v>
      </c>
      <c r="D179" s="29"/>
      <c r="E179" s="60"/>
      <c r="F179" s="29"/>
      <c r="G179" s="12"/>
      <c r="H179" s="12"/>
      <c r="I179" s="12"/>
      <c r="J179" s="12"/>
      <c r="K179" s="12"/>
      <c r="L179" s="12"/>
      <c r="M179" s="12"/>
    </row>
    <row r="180" spans="2:13" ht="16" customHeight="1" x14ac:dyDescent="0.35">
      <c r="B180" s="34"/>
      <c r="C180" s="34" t="s">
        <v>951</v>
      </c>
      <c r="D180" s="69"/>
      <c r="E180" s="70">
        <f>E181+E182</f>
        <v>0</v>
      </c>
      <c r="F180" s="69"/>
      <c r="G180" s="35">
        <f t="shared" ref="G180:M180" si="37">G181+G182</f>
        <v>0</v>
      </c>
      <c r="H180" s="35">
        <f t="shared" si="37"/>
        <v>0</v>
      </c>
      <c r="I180" s="35">
        <f t="shared" si="37"/>
        <v>0</v>
      </c>
      <c r="J180" s="35">
        <f t="shared" si="37"/>
        <v>0</v>
      </c>
      <c r="K180" s="35">
        <f t="shared" si="37"/>
        <v>0</v>
      </c>
      <c r="L180" s="35">
        <f t="shared" si="37"/>
        <v>0</v>
      </c>
      <c r="M180" s="35">
        <f t="shared" si="37"/>
        <v>0</v>
      </c>
    </row>
    <row r="181" spans="2:13" ht="16" customHeight="1" x14ac:dyDescent="0.35">
      <c r="B181" s="14" t="s">
        <v>952</v>
      </c>
      <c r="C181" s="14" t="s">
        <v>953</v>
      </c>
      <c r="D181" s="61"/>
      <c r="E181" s="62"/>
      <c r="F181" s="61"/>
      <c r="G181" s="15"/>
      <c r="H181" s="15"/>
      <c r="I181" s="15"/>
      <c r="J181" s="15"/>
      <c r="K181" s="15"/>
      <c r="L181" s="15"/>
      <c r="M181" s="15"/>
    </row>
    <row r="182" spans="2:13" ht="16" customHeight="1" x14ac:dyDescent="0.35">
      <c r="B182" s="14" t="s">
        <v>954</v>
      </c>
      <c r="C182" s="14" t="s">
        <v>955</v>
      </c>
      <c r="D182" s="61"/>
      <c r="E182" s="62"/>
      <c r="F182" s="61"/>
      <c r="G182" s="15"/>
      <c r="H182" s="15"/>
      <c r="I182" s="15"/>
      <c r="J182" s="15"/>
      <c r="K182" s="15"/>
      <c r="L182" s="15"/>
      <c r="M182" s="15"/>
    </row>
    <row r="183" spans="2:13" ht="16" customHeight="1" x14ac:dyDescent="0.35">
      <c r="B183" s="11"/>
      <c r="C183" s="11" t="s">
        <v>22</v>
      </c>
      <c r="D183" s="29"/>
      <c r="E183" s="60"/>
      <c r="F183" s="29"/>
      <c r="G183" s="12"/>
      <c r="H183" s="12"/>
      <c r="I183" s="12"/>
      <c r="J183" s="12"/>
      <c r="K183" s="12"/>
      <c r="L183" s="12"/>
      <c r="M183" s="12"/>
    </row>
    <row r="184" spans="2:13" ht="16" customHeight="1" x14ac:dyDescent="0.35">
      <c r="B184" s="34"/>
      <c r="C184" s="34" t="s">
        <v>956</v>
      </c>
      <c r="D184" s="69"/>
      <c r="E184" s="70">
        <f>-(-(E185+E186)-E187-E188-E189)</f>
        <v>-13350</v>
      </c>
      <c r="F184" s="69"/>
      <c r="G184" s="35">
        <f t="shared" ref="G184:M184" si="38">-(-(G185+G186)-G187-G188-G189)</f>
        <v>0</v>
      </c>
      <c r="H184" s="35">
        <f t="shared" si="38"/>
        <v>0</v>
      </c>
      <c r="I184" s="35">
        <f t="shared" si="38"/>
        <v>0</v>
      </c>
      <c r="J184" s="35">
        <f t="shared" si="38"/>
        <v>0</v>
      </c>
      <c r="K184" s="35">
        <f t="shared" si="38"/>
        <v>0</v>
      </c>
      <c r="L184" s="35">
        <f t="shared" si="38"/>
        <v>0</v>
      </c>
      <c r="M184" s="35">
        <f t="shared" si="38"/>
        <v>-13350</v>
      </c>
    </row>
    <row r="185" spans="2:13" ht="16" customHeight="1" x14ac:dyDescent="0.35">
      <c r="B185" s="14" t="s">
        <v>957</v>
      </c>
      <c r="C185" s="14" t="s">
        <v>958</v>
      </c>
      <c r="D185" s="61"/>
      <c r="E185" s="62">
        <v>60400</v>
      </c>
      <c r="F185" s="61"/>
      <c r="G185" s="15"/>
      <c r="H185" s="15"/>
      <c r="I185" s="15"/>
      <c r="J185" s="15"/>
      <c r="K185" s="15"/>
      <c r="L185" s="15"/>
      <c r="M185" s="15">
        <v>60400</v>
      </c>
    </row>
    <row r="186" spans="2:13" ht="16" customHeight="1" x14ac:dyDescent="0.35">
      <c r="B186" s="14" t="s">
        <v>959</v>
      </c>
      <c r="C186" s="14" t="s">
        <v>960</v>
      </c>
      <c r="D186" s="61"/>
      <c r="E186" s="62">
        <v>0</v>
      </c>
      <c r="F186" s="61"/>
      <c r="G186" s="15"/>
      <c r="H186" s="15"/>
      <c r="I186" s="15"/>
      <c r="J186" s="15"/>
      <c r="K186" s="15"/>
      <c r="L186" s="15"/>
      <c r="M186" s="15">
        <v>0</v>
      </c>
    </row>
    <row r="187" spans="2:13" ht="16" customHeight="1" x14ac:dyDescent="0.35">
      <c r="B187" s="14" t="s">
        <v>961</v>
      </c>
      <c r="C187" s="14" t="s">
        <v>962</v>
      </c>
      <c r="D187" s="61"/>
      <c r="E187" s="62">
        <v>-73750</v>
      </c>
      <c r="F187" s="61"/>
      <c r="G187" s="15"/>
      <c r="H187" s="15"/>
      <c r="I187" s="15"/>
      <c r="J187" s="15"/>
      <c r="K187" s="15"/>
      <c r="L187" s="15"/>
      <c r="M187" s="15">
        <v>-73750</v>
      </c>
    </row>
    <row r="188" spans="2:13" ht="16" customHeight="1" x14ac:dyDescent="0.35">
      <c r="B188" s="14" t="s">
        <v>963</v>
      </c>
      <c r="C188" s="14" t="s">
        <v>964</v>
      </c>
      <c r="D188" s="61"/>
      <c r="E188" s="62">
        <v>0</v>
      </c>
      <c r="F188" s="61"/>
      <c r="G188" s="15"/>
      <c r="H188" s="15"/>
      <c r="I188" s="15"/>
      <c r="J188" s="15"/>
      <c r="K188" s="15"/>
      <c r="L188" s="15"/>
      <c r="M188" s="15">
        <v>0</v>
      </c>
    </row>
    <row r="189" spans="2:13" ht="16" customHeight="1" x14ac:dyDescent="0.35">
      <c r="B189" s="14" t="s">
        <v>965</v>
      </c>
      <c r="C189" s="14" t="s">
        <v>966</v>
      </c>
      <c r="D189" s="61"/>
      <c r="E189" s="62">
        <v>0</v>
      </c>
      <c r="F189" s="61"/>
      <c r="G189" s="15"/>
      <c r="H189" s="15"/>
      <c r="I189" s="15"/>
      <c r="J189" s="15"/>
      <c r="K189" s="15"/>
      <c r="L189" s="15"/>
      <c r="M189" s="15">
        <v>0</v>
      </c>
    </row>
    <row r="190" spans="2:13" ht="16" customHeight="1" x14ac:dyDescent="0.35">
      <c r="B190" s="11"/>
      <c r="C190" s="11" t="s">
        <v>22</v>
      </c>
      <c r="D190" s="29"/>
      <c r="E190" s="60"/>
      <c r="F190" s="29"/>
      <c r="G190" s="12"/>
      <c r="H190" s="12"/>
      <c r="I190" s="12"/>
      <c r="J190" s="12"/>
      <c r="K190" s="12"/>
      <c r="L190" s="12"/>
      <c r="M190" s="12"/>
    </row>
    <row r="191" spans="2:13" ht="16" customHeight="1" x14ac:dyDescent="0.35">
      <c r="B191" s="34"/>
      <c r="C191" s="34" t="s">
        <v>967</v>
      </c>
      <c r="D191" s="69"/>
      <c r="E191" s="70">
        <f>E193+E198+E202</f>
        <v>-515.36238999999989</v>
      </c>
      <c r="F191" s="69"/>
      <c r="G191" s="35">
        <f t="shared" ref="G191:M191" si="39">G193+G198+G202</f>
        <v>0</v>
      </c>
      <c r="H191" s="35">
        <f t="shared" si="39"/>
        <v>0</v>
      </c>
      <c r="I191" s="35">
        <f t="shared" si="39"/>
        <v>0</v>
      </c>
      <c r="J191" s="35">
        <f t="shared" si="39"/>
        <v>0</v>
      </c>
      <c r="K191" s="35">
        <f t="shared" si="39"/>
        <v>0</v>
      </c>
      <c r="L191" s="35">
        <f t="shared" si="39"/>
        <v>0</v>
      </c>
      <c r="M191" s="35">
        <f t="shared" si="39"/>
        <v>-515.36238999999989</v>
      </c>
    </row>
    <row r="192" spans="2:13" ht="16" customHeight="1" x14ac:dyDescent="0.35">
      <c r="B192" s="11"/>
      <c r="C192" s="11" t="s">
        <v>22</v>
      </c>
      <c r="D192" s="29"/>
      <c r="E192" s="60"/>
      <c r="F192" s="29"/>
      <c r="G192" s="12"/>
      <c r="H192" s="12"/>
      <c r="I192" s="12"/>
      <c r="J192" s="12"/>
      <c r="K192" s="12"/>
      <c r="L192" s="12"/>
      <c r="M192" s="12"/>
    </row>
    <row r="193" spans="2:13" ht="16" customHeight="1" x14ac:dyDescent="0.35">
      <c r="B193" s="34"/>
      <c r="C193" s="34" t="s">
        <v>968</v>
      </c>
      <c r="D193" s="69"/>
      <c r="E193" s="70">
        <f>-(-(E194+E195)-E196)</f>
        <v>4203.1461300000001</v>
      </c>
      <c r="F193" s="69"/>
      <c r="G193" s="35">
        <f t="shared" ref="G193:M193" si="40">-(-(G194+G195)-G196)</f>
        <v>0</v>
      </c>
      <c r="H193" s="35">
        <f t="shared" si="40"/>
        <v>0</v>
      </c>
      <c r="I193" s="35">
        <f t="shared" si="40"/>
        <v>0</v>
      </c>
      <c r="J193" s="35">
        <f t="shared" si="40"/>
        <v>0</v>
      </c>
      <c r="K193" s="35">
        <f t="shared" si="40"/>
        <v>0</v>
      </c>
      <c r="L193" s="35">
        <f t="shared" si="40"/>
        <v>0</v>
      </c>
      <c r="M193" s="35">
        <f t="shared" si="40"/>
        <v>4203.1461300000001</v>
      </c>
    </row>
    <row r="194" spans="2:13" ht="16" customHeight="1" x14ac:dyDescent="0.35">
      <c r="B194" s="14" t="s">
        <v>969</v>
      </c>
      <c r="C194" s="14" t="s">
        <v>970</v>
      </c>
      <c r="D194" s="61"/>
      <c r="E194" s="62">
        <v>4677.3456800000004</v>
      </c>
      <c r="F194" s="61"/>
      <c r="G194" s="15"/>
      <c r="H194" s="15"/>
      <c r="I194" s="15"/>
      <c r="J194" s="15"/>
      <c r="K194" s="15"/>
      <c r="L194" s="15"/>
      <c r="M194" s="15">
        <v>4677.3456800000004</v>
      </c>
    </row>
    <row r="195" spans="2:13" ht="16" customHeight="1" x14ac:dyDescent="0.35">
      <c r="B195" s="14" t="s">
        <v>971</v>
      </c>
      <c r="C195" s="14" t="s">
        <v>972</v>
      </c>
      <c r="D195" s="61"/>
      <c r="E195" s="62">
        <v>-474.19954999999999</v>
      </c>
      <c r="F195" s="61"/>
      <c r="G195" s="15"/>
      <c r="H195" s="15"/>
      <c r="I195" s="15"/>
      <c r="J195" s="15"/>
      <c r="K195" s="15"/>
      <c r="L195" s="15"/>
      <c r="M195" s="15">
        <v>-474.19954999999999</v>
      </c>
    </row>
    <row r="196" spans="2:13" ht="16" customHeight="1" x14ac:dyDescent="0.35">
      <c r="B196" s="14" t="s">
        <v>973</v>
      </c>
      <c r="C196" s="14" t="s">
        <v>974</v>
      </c>
      <c r="D196" s="61"/>
      <c r="E196" s="62"/>
      <c r="F196" s="61"/>
      <c r="G196" s="15"/>
      <c r="H196" s="15"/>
      <c r="I196" s="15"/>
      <c r="J196" s="15"/>
      <c r="K196" s="15"/>
      <c r="L196" s="15"/>
      <c r="M196" s="15"/>
    </row>
    <row r="197" spans="2:13" ht="16" customHeight="1" x14ac:dyDescent="0.35">
      <c r="B197" s="11"/>
      <c r="C197" s="11" t="s">
        <v>22</v>
      </c>
      <c r="D197" s="29"/>
      <c r="E197" s="60"/>
      <c r="F197" s="29"/>
      <c r="G197" s="12"/>
      <c r="H197" s="12"/>
      <c r="I197" s="12"/>
      <c r="J197" s="12"/>
      <c r="K197" s="12"/>
      <c r="L197" s="12"/>
      <c r="M197" s="12"/>
    </row>
    <row r="198" spans="2:13" ht="16" customHeight="1" x14ac:dyDescent="0.35">
      <c r="B198" s="34" t="s">
        <v>975</v>
      </c>
      <c r="C198" s="34" t="s">
        <v>976</v>
      </c>
      <c r="D198" s="69"/>
      <c r="E198" s="70">
        <f>E199+E200</f>
        <v>-4496.1252899999999</v>
      </c>
      <c r="F198" s="69"/>
      <c r="G198" s="35">
        <f t="shared" ref="G198:M198" si="41">G199+G200</f>
        <v>0</v>
      </c>
      <c r="H198" s="35">
        <f t="shared" si="41"/>
        <v>0</v>
      </c>
      <c r="I198" s="35">
        <f t="shared" si="41"/>
        <v>0</v>
      </c>
      <c r="J198" s="35">
        <f t="shared" si="41"/>
        <v>0</v>
      </c>
      <c r="K198" s="35">
        <f t="shared" si="41"/>
        <v>0</v>
      </c>
      <c r="L198" s="35">
        <f t="shared" si="41"/>
        <v>0</v>
      </c>
      <c r="M198" s="35">
        <f t="shared" si="41"/>
        <v>-4496.1252899999999</v>
      </c>
    </row>
    <row r="199" spans="2:13" ht="16" customHeight="1" x14ac:dyDescent="0.35">
      <c r="B199" s="14"/>
      <c r="C199" s="14" t="s">
        <v>978</v>
      </c>
      <c r="D199" s="61"/>
      <c r="E199" s="62">
        <v>-5094.6546600000001</v>
      </c>
      <c r="F199" s="61"/>
      <c r="G199" s="15"/>
      <c r="H199" s="15"/>
      <c r="I199" s="15"/>
      <c r="J199" s="15"/>
      <c r="K199" s="15"/>
      <c r="L199" s="15"/>
      <c r="M199" s="15">
        <v>-5094.6546600000001</v>
      </c>
    </row>
    <row r="200" spans="2:13" ht="16" customHeight="1" x14ac:dyDescent="0.35">
      <c r="B200" s="14"/>
      <c r="C200" s="14" t="s">
        <v>980</v>
      </c>
      <c r="D200" s="61"/>
      <c r="E200" s="62">
        <v>598.52936999999997</v>
      </c>
      <c r="F200" s="61"/>
      <c r="G200" s="15"/>
      <c r="H200" s="15"/>
      <c r="I200" s="15"/>
      <c r="J200" s="15"/>
      <c r="K200" s="15"/>
      <c r="L200" s="15"/>
      <c r="M200" s="15">
        <v>598.52936999999997</v>
      </c>
    </row>
    <row r="201" spans="2:13" ht="16" customHeight="1" x14ac:dyDescent="0.35">
      <c r="B201" s="11"/>
      <c r="C201" s="11" t="s">
        <v>22</v>
      </c>
      <c r="D201" s="29"/>
      <c r="E201" s="60"/>
      <c r="F201" s="29"/>
      <c r="G201" s="12"/>
      <c r="H201" s="12"/>
      <c r="I201" s="12"/>
      <c r="J201" s="12"/>
      <c r="K201" s="12"/>
      <c r="L201" s="12"/>
      <c r="M201" s="12"/>
    </row>
    <row r="202" spans="2:13" ht="16" customHeight="1" x14ac:dyDescent="0.35">
      <c r="B202" s="34"/>
      <c r="C202" s="34" t="s">
        <v>981</v>
      </c>
      <c r="D202" s="69"/>
      <c r="E202" s="70">
        <f>E204+E208</f>
        <v>-222.38323</v>
      </c>
      <c r="F202" s="69"/>
      <c r="G202" s="35">
        <f t="shared" ref="G202:M202" si="42">G204+G208</f>
        <v>0</v>
      </c>
      <c r="H202" s="35">
        <f t="shared" si="42"/>
        <v>0</v>
      </c>
      <c r="I202" s="35">
        <f t="shared" si="42"/>
        <v>0</v>
      </c>
      <c r="J202" s="35">
        <f t="shared" si="42"/>
        <v>0</v>
      </c>
      <c r="K202" s="35">
        <f t="shared" si="42"/>
        <v>0</v>
      </c>
      <c r="L202" s="35">
        <f t="shared" si="42"/>
        <v>0</v>
      </c>
      <c r="M202" s="35">
        <f t="shared" si="42"/>
        <v>-222.38323</v>
      </c>
    </row>
    <row r="203" spans="2:13" ht="16" customHeight="1" x14ac:dyDescent="0.35">
      <c r="B203" s="11"/>
      <c r="C203" s="11" t="s">
        <v>22</v>
      </c>
      <c r="D203" s="29"/>
      <c r="E203" s="60"/>
      <c r="F203" s="29"/>
      <c r="G203" s="12"/>
      <c r="H203" s="12"/>
      <c r="I203" s="12"/>
      <c r="J203" s="12"/>
      <c r="K203" s="12"/>
      <c r="L203" s="12"/>
      <c r="M203" s="12"/>
    </row>
    <row r="204" spans="2:13" ht="16" customHeight="1" x14ac:dyDescent="0.35">
      <c r="B204" s="34"/>
      <c r="C204" s="34" t="s">
        <v>982</v>
      </c>
      <c r="D204" s="69"/>
      <c r="E204" s="70">
        <f>E205+E206</f>
        <v>-42.673229999999997</v>
      </c>
      <c r="F204" s="69"/>
      <c r="G204" s="35">
        <f t="shared" ref="G204:M204" si="43">G205+G206</f>
        <v>0</v>
      </c>
      <c r="H204" s="35">
        <f t="shared" si="43"/>
        <v>0</v>
      </c>
      <c r="I204" s="35">
        <f t="shared" si="43"/>
        <v>0</v>
      </c>
      <c r="J204" s="35">
        <f t="shared" si="43"/>
        <v>0</v>
      </c>
      <c r="K204" s="35">
        <f t="shared" si="43"/>
        <v>0</v>
      </c>
      <c r="L204" s="35">
        <f t="shared" si="43"/>
        <v>0</v>
      </c>
      <c r="M204" s="35">
        <f t="shared" si="43"/>
        <v>-42.673229999999997</v>
      </c>
    </row>
    <row r="205" spans="2:13" ht="16" customHeight="1" x14ac:dyDescent="0.35">
      <c r="B205" s="14" t="s">
        <v>983</v>
      </c>
      <c r="C205" s="14" t="s">
        <v>984</v>
      </c>
      <c r="D205" s="61"/>
      <c r="E205" s="62"/>
      <c r="F205" s="61"/>
      <c r="G205" s="15"/>
      <c r="H205" s="15"/>
      <c r="I205" s="15"/>
      <c r="J205" s="15"/>
      <c r="K205" s="15"/>
      <c r="L205" s="15"/>
      <c r="M205" s="15"/>
    </row>
    <row r="206" spans="2:13" ht="16" customHeight="1" x14ac:dyDescent="0.35">
      <c r="B206" s="14" t="s">
        <v>985</v>
      </c>
      <c r="C206" s="14" t="s">
        <v>986</v>
      </c>
      <c r="D206" s="61"/>
      <c r="E206" s="62">
        <v>-42.673229999999997</v>
      </c>
      <c r="F206" s="61"/>
      <c r="G206" s="15"/>
      <c r="H206" s="15"/>
      <c r="I206" s="15"/>
      <c r="J206" s="15"/>
      <c r="K206" s="15"/>
      <c r="L206" s="15"/>
      <c r="M206" s="15">
        <v>-42.673229999999997</v>
      </c>
    </row>
    <row r="207" spans="2:13" ht="16" customHeight="1" x14ac:dyDescent="0.35">
      <c r="B207" s="11"/>
      <c r="C207" s="11" t="s">
        <v>22</v>
      </c>
      <c r="D207" s="29"/>
      <c r="E207" s="60"/>
      <c r="F207" s="29"/>
      <c r="G207" s="12"/>
      <c r="H207" s="12"/>
      <c r="I207" s="12"/>
      <c r="J207" s="12"/>
      <c r="K207" s="12"/>
      <c r="L207" s="12"/>
      <c r="M207" s="12"/>
    </row>
    <row r="208" spans="2:13" ht="16" customHeight="1" x14ac:dyDescent="0.35">
      <c r="B208" s="34"/>
      <c r="C208" s="34" t="s">
        <v>987</v>
      </c>
      <c r="D208" s="69"/>
      <c r="E208" s="70">
        <f>-(-(E209+E210)-E211)</f>
        <v>-179.71</v>
      </c>
      <c r="F208" s="69"/>
      <c r="G208" s="35">
        <f t="shared" ref="G208:M208" si="44">-(-(G209+G210)-G211)</f>
        <v>0</v>
      </c>
      <c r="H208" s="35">
        <f t="shared" si="44"/>
        <v>0</v>
      </c>
      <c r="I208" s="35">
        <f t="shared" si="44"/>
        <v>0</v>
      </c>
      <c r="J208" s="35">
        <f t="shared" si="44"/>
        <v>0</v>
      </c>
      <c r="K208" s="35">
        <f t="shared" si="44"/>
        <v>0</v>
      </c>
      <c r="L208" s="35">
        <f t="shared" si="44"/>
        <v>0</v>
      </c>
      <c r="M208" s="35">
        <f t="shared" si="44"/>
        <v>-179.71</v>
      </c>
    </row>
    <row r="209" spans="2:13" ht="16" customHeight="1" x14ac:dyDescent="0.35">
      <c r="B209" s="14" t="s">
        <v>988</v>
      </c>
      <c r="C209" s="14" t="s">
        <v>989</v>
      </c>
      <c r="D209" s="61"/>
      <c r="E209" s="62"/>
      <c r="F209" s="61"/>
      <c r="G209" s="15"/>
      <c r="H209" s="15"/>
      <c r="I209" s="15"/>
      <c r="J209" s="15"/>
      <c r="K209" s="15"/>
      <c r="L209" s="15"/>
      <c r="M209" s="15"/>
    </row>
    <row r="210" spans="2:13" ht="16" customHeight="1" x14ac:dyDescent="0.35">
      <c r="B210" s="14" t="s">
        <v>990</v>
      </c>
      <c r="C210" s="14" t="s">
        <v>991</v>
      </c>
      <c r="D210" s="61"/>
      <c r="E210" s="62"/>
      <c r="F210" s="61"/>
      <c r="G210" s="15"/>
      <c r="H210" s="15"/>
      <c r="I210" s="15"/>
      <c r="J210" s="15"/>
      <c r="K210" s="15"/>
      <c r="L210" s="15"/>
      <c r="M210" s="15"/>
    </row>
    <row r="211" spans="2:13" ht="16" customHeight="1" x14ac:dyDescent="0.35">
      <c r="B211" s="14" t="s">
        <v>992</v>
      </c>
      <c r="C211" s="14" t="s">
        <v>993</v>
      </c>
      <c r="D211" s="61"/>
      <c r="E211" s="62">
        <v>-179.71</v>
      </c>
      <c r="F211" s="61"/>
      <c r="G211" s="15"/>
      <c r="H211" s="15"/>
      <c r="I211" s="15"/>
      <c r="J211" s="15"/>
      <c r="K211" s="15"/>
      <c r="L211" s="15"/>
      <c r="M211" s="15">
        <v>-179.71</v>
      </c>
    </row>
    <row r="212" spans="2:13" ht="16" customHeight="1" x14ac:dyDescent="0.35">
      <c r="B212" s="11"/>
      <c r="C212" s="11" t="s">
        <v>22</v>
      </c>
      <c r="D212" s="29"/>
      <c r="E212" s="60"/>
      <c r="F212" s="29"/>
      <c r="G212" s="12"/>
      <c r="H212" s="12"/>
      <c r="I212" s="12"/>
      <c r="J212" s="12"/>
      <c r="K212" s="12"/>
      <c r="L212" s="12"/>
      <c r="M212" s="12"/>
    </row>
    <row r="213" spans="2:13" ht="16" customHeight="1" x14ac:dyDescent="0.35">
      <c r="B213" s="40"/>
      <c r="C213" s="40" t="s">
        <v>994</v>
      </c>
      <c r="D213" s="53"/>
      <c r="E213" s="53">
        <f>E165+E170+E174+E176+E178+E180+E184+E191</f>
        <v>-13865.36239</v>
      </c>
      <c r="F213" s="53"/>
      <c r="G213" s="24">
        <f t="shared" ref="G213:M213" si="45">G165+G170+G174+G176+G178+G180+G184+G191</f>
        <v>0</v>
      </c>
      <c r="H213" s="24">
        <f t="shared" si="45"/>
        <v>0</v>
      </c>
      <c r="I213" s="24">
        <f t="shared" si="45"/>
        <v>0</v>
      </c>
      <c r="J213" s="24">
        <f t="shared" si="45"/>
        <v>0</v>
      </c>
      <c r="K213" s="24">
        <f t="shared" si="45"/>
        <v>0</v>
      </c>
      <c r="L213" s="24">
        <f t="shared" si="45"/>
        <v>0</v>
      </c>
      <c r="M213" s="24">
        <f t="shared" si="45"/>
        <v>-13865.36239</v>
      </c>
    </row>
    <row r="214" spans="2:13" ht="16" customHeight="1" x14ac:dyDescent="0.35">
      <c r="B214" s="11"/>
      <c r="C214" s="11" t="s">
        <v>22</v>
      </c>
      <c r="D214" s="29"/>
      <c r="E214" s="60"/>
      <c r="F214" s="29"/>
      <c r="G214" s="12"/>
      <c r="H214" s="12"/>
      <c r="I214" s="12"/>
      <c r="J214" s="12"/>
      <c r="K214" s="12"/>
      <c r="L214" s="12"/>
      <c r="M214" s="12"/>
    </row>
    <row r="215" spans="2:13" ht="16" customHeight="1" x14ac:dyDescent="0.35">
      <c r="B215" s="40" t="s">
        <v>995</v>
      </c>
      <c r="C215" s="40" t="s">
        <v>996</v>
      </c>
      <c r="D215" s="53"/>
      <c r="E215" s="53">
        <f>E102+E161+E213</f>
        <v>2246.4724099999894</v>
      </c>
      <c r="F215" s="53"/>
      <c r="G215" s="24">
        <f t="shared" ref="G215:M215" si="46">G102+G161+G213</f>
        <v>36890.887370000004</v>
      </c>
      <c r="H215" s="24">
        <f t="shared" si="46"/>
        <v>-340.22165999999987</v>
      </c>
      <c r="I215" s="24">
        <f t="shared" si="46"/>
        <v>-143.23435000000001</v>
      </c>
      <c r="J215" s="24">
        <f t="shared" si="46"/>
        <v>-2664.2762900000002</v>
      </c>
      <c r="K215" s="24">
        <f t="shared" si="46"/>
        <v>-6388.5938199999991</v>
      </c>
      <c r="L215" s="24">
        <f t="shared" si="46"/>
        <v>1.5345200000000432</v>
      </c>
      <c r="M215" s="24">
        <f t="shared" si="46"/>
        <v>-25109.623359999998</v>
      </c>
    </row>
    <row r="216" spans="2:13" ht="16" customHeight="1" x14ac:dyDescent="0.35">
      <c r="B216" s="11"/>
      <c r="C216" s="11" t="s">
        <v>22</v>
      </c>
      <c r="D216" s="29"/>
      <c r="E216" s="60"/>
      <c r="F216" s="29"/>
      <c r="G216" s="12"/>
      <c r="H216" s="12"/>
      <c r="I216" s="12"/>
      <c r="J216" s="12"/>
      <c r="K216" s="12"/>
      <c r="L216" s="12"/>
      <c r="M216" s="12"/>
    </row>
    <row r="217" spans="2:13" ht="16" customHeight="1" x14ac:dyDescent="0.35">
      <c r="B217" s="14" t="s">
        <v>997</v>
      </c>
      <c r="C217" s="14" t="s">
        <v>998</v>
      </c>
      <c r="D217" s="61"/>
      <c r="E217" s="62">
        <v>0</v>
      </c>
      <c r="F217" s="61"/>
      <c r="G217" s="15"/>
      <c r="H217" s="15"/>
      <c r="I217" s="15"/>
      <c r="J217" s="15"/>
      <c r="K217" s="15"/>
      <c r="L217" s="15"/>
      <c r="M217" s="15">
        <v>0</v>
      </c>
    </row>
    <row r="218" spans="2:13" ht="16" customHeight="1" x14ac:dyDescent="0.35">
      <c r="B218" s="14" t="s">
        <v>999</v>
      </c>
      <c r="C218" s="14" t="s">
        <v>996</v>
      </c>
      <c r="D218" s="61"/>
      <c r="E218" s="62">
        <f>E220-E219-E217</f>
        <v>3643.8071399999999</v>
      </c>
      <c r="F218" s="61"/>
      <c r="G218" s="15">
        <f t="shared" ref="G218:M218" si="47">G220-G219-G217</f>
        <v>0</v>
      </c>
      <c r="H218" s="15">
        <f t="shared" si="47"/>
        <v>0</v>
      </c>
      <c r="I218" s="15">
        <f t="shared" si="47"/>
        <v>0</v>
      </c>
      <c r="J218" s="15">
        <f t="shared" si="47"/>
        <v>0</v>
      </c>
      <c r="K218" s="15">
        <f t="shared" si="47"/>
        <v>0</v>
      </c>
      <c r="L218" s="15">
        <f t="shared" si="47"/>
        <v>0</v>
      </c>
      <c r="M218" s="15">
        <f t="shared" si="47"/>
        <v>3643.8071399999999</v>
      </c>
    </row>
    <row r="219" spans="2:13" ht="16" customHeight="1" x14ac:dyDescent="0.35">
      <c r="B219" s="14" t="s">
        <v>1000</v>
      </c>
      <c r="C219" s="14" t="s">
        <v>1001</v>
      </c>
      <c r="D219" s="61"/>
      <c r="E219" s="62">
        <v>-2.70505</v>
      </c>
      <c r="F219" s="61"/>
      <c r="G219" s="15"/>
      <c r="H219" s="15"/>
      <c r="I219" s="15"/>
      <c r="J219" s="15"/>
      <c r="K219" s="15"/>
      <c r="L219" s="15"/>
      <c r="M219" s="15">
        <v>-2.70505</v>
      </c>
    </row>
    <row r="220" spans="2:13" ht="16" customHeight="1" x14ac:dyDescent="0.35">
      <c r="B220" s="14" t="s">
        <v>1002</v>
      </c>
      <c r="C220" s="14" t="s">
        <v>1003</v>
      </c>
      <c r="D220" s="61"/>
      <c r="E220" s="62">
        <v>3641.1020899999999</v>
      </c>
      <c r="F220" s="61"/>
      <c r="G220" s="15"/>
      <c r="H220" s="15"/>
      <c r="I220" s="15"/>
      <c r="J220" s="15"/>
      <c r="K220" s="15"/>
      <c r="L220" s="15"/>
      <c r="M220" s="15">
        <v>3641.1020899999999</v>
      </c>
    </row>
    <row r="221" spans="2:13" ht="16" customHeight="1" x14ac:dyDescent="0.35">
      <c r="B221" s="11"/>
      <c r="C221" s="11" t="s">
        <v>22</v>
      </c>
      <c r="D221" s="29"/>
      <c r="E221" s="60"/>
      <c r="F221" s="29"/>
      <c r="G221" s="12"/>
      <c r="H221" s="12"/>
      <c r="I221" s="12"/>
      <c r="J221" s="12"/>
      <c r="K221" s="12"/>
      <c r="L221" s="12"/>
      <c r="M221" s="12"/>
    </row>
    <row r="222" spans="2:13" ht="16" customHeight="1" x14ac:dyDescent="0.35">
      <c r="B222" s="11"/>
      <c r="C222" s="11" t="s">
        <v>22</v>
      </c>
      <c r="D222" s="29"/>
      <c r="E222" s="60"/>
      <c r="F222" s="29"/>
      <c r="G222" s="12"/>
      <c r="H222" s="12"/>
      <c r="I222" s="12"/>
      <c r="J222" s="12"/>
      <c r="K222" s="12"/>
      <c r="L222" s="12"/>
      <c r="M222" s="12"/>
    </row>
    <row r="223" spans="2:13" ht="16" customHeight="1" x14ac:dyDescent="0.35">
      <c r="B223" s="36"/>
      <c r="C223" s="36" t="s">
        <v>751</v>
      </c>
      <c r="D223" s="71"/>
      <c r="E223" s="72">
        <f>E215-E218</f>
        <v>-1397.3347300000105</v>
      </c>
      <c r="F223" s="71"/>
      <c r="G223" s="37">
        <f t="shared" ref="G223:M223" si="48">G215-G218</f>
        <v>36890.887370000004</v>
      </c>
      <c r="H223" s="37">
        <f t="shared" si="48"/>
        <v>-340.22165999999987</v>
      </c>
      <c r="I223" s="37">
        <f t="shared" si="48"/>
        <v>-143.23435000000001</v>
      </c>
      <c r="J223" s="37">
        <f t="shared" si="48"/>
        <v>-2664.2762900000002</v>
      </c>
      <c r="K223" s="37">
        <f t="shared" si="48"/>
        <v>-6388.5938199999991</v>
      </c>
      <c r="L223" s="37">
        <f t="shared" si="48"/>
        <v>1.5345200000000432</v>
      </c>
      <c r="M223" s="37">
        <f t="shared" si="48"/>
        <v>-28753.430499999999</v>
      </c>
    </row>
    <row r="224" spans="2:13" ht="16" customHeight="1" x14ac:dyDescent="0.35">
      <c r="B224" s="11"/>
      <c r="C224" s="11" t="s">
        <v>22</v>
      </c>
      <c r="D224" s="29"/>
      <c r="E224" s="60"/>
      <c r="F224" s="29"/>
      <c r="G224" s="12"/>
      <c r="H224" s="12"/>
      <c r="I224" s="12"/>
      <c r="J224" s="12"/>
      <c r="K224" s="12"/>
      <c r="L224" s="12"/>
      <c r="M224" s="12"/>
    </row>
    <row r="225" spans="2:13" ht="16" customHeight="1" x14ac:dyDescent="0.35">
      <c r="B225" s="11"/>
      <c r="C225" s="11" t="s">
        <v>22</v>
      </c>
      <c r="D225" s="29"/>
      <c r="E225" s="60"/>
      <c r="F225" s="29"/>
      <c r="G225" s="12"/>
      <c r="H225" s="12"/>
      <c r="I225" s="12"/>
      <c r="J225" s="12"/>
      <c r="K225" s="12"/>
      <c r="L225" s="12"/>
      <c r="M225" s="12"/>
    </row>
    <row r="226" spans="2:13" ht="16" customHeight="1" x14ac:dyDescent="0.35">
      <c r="B226" s="34"/>
      <c r="C226" s="34" t="s">
        <v>1004</v>
      </c>
      <c r="D226" s="69"/>
      <c r="E226" s="70"/>
      <c r="F226" s="69"/>
      <c r="G226" s="35"/>
      <c r="H226" s="35"/>
      <c r="I226" s="35"/>
      <c r="J226" s="35"/>
      <c r="K226" s="35"/>
      <c r="L226" s="35"/>
      <c r="M226" s="35"/>
    </row>
    <row r="227" spans="2:13" ht="16" customHeight="1" x14ac:dyDescent="0.35">
      <c r="B227" s="11"/>
      <c r="C227" s="11" t="s">
        <v>22</v>
      </c>
      <c r="D227" s="29"/>
      <c r="E227" s="60"/>
      <c r="F227" s="29"/>
      <c r="G227" s="12"/>
      <c r="H227" s="12"/>
      <c r="I227" s="12"/>
      <c r="J227" s="12"/>
      <c r="K227" s="12"/>
      <c r="L227" s="12"/>
      <c r="M227" s="12"/>
    </row>
    <row r="228" spans="2:13" ht="16" customHeight="1" x14ac:dyDescent="0.35">
      <c r="B228" s="14"/>
      <c r="C228" s="14" t="s">
        <v>890</v>
      </c>
      <c r="D228" s="61"/>
      <c r="E228" s="62">
        <f>E126</f>
        <v>-12704.612660000001</v>
      </c>
      <c r="F228" s="61"/>
      <c r="G228" s="15">
        <f t="shared" ref="G228:M228" si="49">G126</f>
        <v>-10992.25477</v>
      </c>
      <c r="H228" s="15">
        <f t="shared" si="49"/>
        <v>-465.39085</v>
      </c>
      <c r="I228" s="15">
        <f t="shared" si="49"/>
        <v>0</v>
      </c>
      <c r="J228" s="15">
        <f t="shared" si="49"/>
        <v>-1088.8892599999999</v>
      </c>
      <c r="K228" s="15">
        <f t="shared" si="49"/>
        <v>-158.08415000000002</v>
      </c>
      <c r="L228" s="15">
        <f t="shared" si="49"/>
        <v>0</v>
      </c>
      <c r="M228" s="15">
        <f t="shared" si="49"/>
        <v>6.3699999999999998E-3</v>
      </c>
    </row>
    <row r="229" spans="2:13" ht="16" customHeight="1" x14ac:dyDescent="0.35">
      <c r="B229" s="14"/>
      <c r="C229" s="14" t="s">
        <v>892</v>
      </c>
      <c r="D229" s="61"/>
      <c r="E229" s="62">
        <f>E128</f>
        <v>234.03649999999999</v>
      </c>
      <c r="F229" s="61"/>
      <c r="G229" s="15">
        <f t="shared" ref="G229:M229" si="50">G128</f>
        <v>222.422</v>
      </c>
      <c r="H229" s="15">
        <f t="shared" si="50"/>
        <v>2E-3</v>
      </c>
      <c r="I229" s="15">
        <f t="shared" si="50"/>
        <v>0</v>
      </c>
      <c r="J229" s="15">
        <f t="shared" si="50"/>
        <v>0.66249999999999998</v>
      </c>
      <c r="K229" s="15">
        <f t="shared" si="50"/>
        <v>10.95</v>
      </c>
      <c r="L229" s="15">
        <f t="shared" si="50"/>
        <v>0</v>
      </c>
      <c r="M229" s="15">
        <f t="shared" si="50"/>
        <v>0</v>
      </c>
    </row>
    <row r="230" spans="2:13" ht="16" customHeight="1" x14ac:dyDescent="0.35">
      <c r="B230" s="34"/>
      <c r="C230" s="34" t="s">
        <v>1005</v>
      </c>
      <c r="D230" s="69"/>
      <c r="E230" s="70">
        <f>E102+E228+E229</f>
        <v>22657.029729999991</v>
      </c>
      <c r="F230" s="69"/>
      <c r="G230" s="35">
        <f t="shared" ref="G230:M230" si="51">G102+G228+G229</f>
        <v>35671.193220000001</v>
      </c>
      <c r="H230" s="35">
        <f t="shared" si="51"/>
        <v>-340.22165999999987</v>
      </c>
      <c r="I230" s="35">
        <f t="shared" si="51"/>
        <v>-143.23435000000001</v>
      </c>
      <c r="J230" s="35">
        <f t="shared" si="51"/>
        <v>-2664.2762900000002</v>
      </c>
      <c r="K230" s="35">
        <f t="shared" si="51"/>
        <v>-6388.5938199999991</v>
      </c>
      <c r="L230" s="35">
        <f t="shared" si="51"/>
        <v>1.5345200000000432</v>
      </c>
      <c r="M230" s="35">
        <f t="shared" si="51"/>
        <v>-3479.3718899999999</v>
      </c>
    </row>
    <row r="231" spans="2:13" ht="16" customHeight="1" x14ac:dyDescent="0.35">
      <c r="B231" s="14"/>
      <c r="C231" s="14" t="s">
        <v>976</v>
      </c>
      <c r="D231" s="61"/>
      <c r="E231" s="62">
        <f>E198</f>
        <v>-4496.1252899999999</v>
      </c>
      <c r="F231" s="61"/>
      <c r="G231" s="15">
        <f t="shared" ref="G231:M231" si="52">G198</f>
        <v>0</v>
      </c>
      <c r="H231" s="15">
        <f t="shared" si="52"/>
        <v>0</v>
      </c>
      <c r="I231" s="15">
        <f t="shared" si="52"/>
        <v>0</v>
      </c>
      <c r="J231" s="15">
        <f t="shared" si="52"/>
        <v>0</v>
      </c>
      <c r="K231" s="15">
        <f t="shared" si="52"/>
        <v>0</v>
      </c>
      <c r="L231" s="15">
        <f t="shared" si="52"/>
        <v>0</v>
      </c>
      <c r="M231" s="15">
        <f t="shared" si="52"/>
        <v>-4496.1252899999999</v>
      </c>
    </row>
    <row r="232" spans="2:13" ht="16" customHeight="1" x14ac:dyDescent="0.35">
      <c r="B232" s="34"/>
      <c r="C232" s="34" t="s">
        <v>1006</v>
      </c>
      <c r="D232" s="69"/>
      <c r="E232" s="70">
        <f>E230+E231</f>
        <v>18160.904439999991</v>
      </c>
      <c r="F232" s="69"/>
      <c r="G232" s="35">
        <f t="shared" ref="G232:M232" si="53">G230+G231</f>
        <v>35671.193220000001</v>
      </c>
      <c r="H232" s="35">
        <f t="shared" si="53"/>
        <v>-340.22165999999987</v>
      </c>
      <c r="I232" s="35">
        <f t="shared" si="53"/>
        <v>-143.23435000000001</v>
      </c>
      <c r="J232" s="35">
        <f t="shared" si="53"/>
        <v>-2664.2762900000002</v>
      </c>
      <c r="K232" s="35">
        <f t="shared" si="53"/>
        <v>-6388.5938199999991</v>
      </c>
      <c r="L232" s="35">
        <f t="shared" si="53"/>
        <v>1.5345200000000432</v>
      </c>
      <c r="M232" s="35">
        <f t="shared" si="53"/>
        <v>-7975.4971800000003</v>
      </c>
    </row>
    <row r="233" spans="2:13" ht="16" customHeight="1" x14ac:dyDescent="0.35">
      <c r="B233" s="14"/>
      <c r="C233" s="14" t="s">
        <v>813</v>
      </c>
      <c r="D233" s="61"/>
      <c r="E233" s="62">
        <f>E61</f>
        <v>-5.432E-2</v>
      </c>
      <c r="F233" s="61"/>
      <c r="G233" s="15">
        <f t="shared" ref="G233:M233" si="54">G61</f>
        <v>0</v>
      </c>
      <c r="H233" s="15">
        <f t="shared" si="54"/>
        <v>0</v>
      </c>
      <c r="I233" s="15">
        <f t="shared" si="54"/>
        <v>0</v>
      </c>
      <c r="J233" s="15">
        <f t="shared" si="54"/>
        <v>0</v>
      </c>
      <c r="K233" s="15">
        <f t="shared" si="54"/>
        <v>0</v>
      </c>
      <c r="L233" s="15">
        <f t="shared" si="54"/>
        <v>0</v>
      </c>
      <c r="M233" s="15">
        <f t="shared" si="54"/>
        <v>-5.432E-2</v>
      </c>
    </row>
    <row r="234" spans="2:13" ht="16" customHeight="1" x14ac:dyDescent="0.35">
      <c r="B234" s="34"/>
      <c r="C234" s="34" t="s">
        <v>1007</v>
      </c>
      <c r="D234" s="69"/>
      <c r="E234" s="70">
        <f>E232-E233</f>
        <v>18160.95875999999</v>
      </c>
      <c r="F234" s="69"/>
      <c r="G234" s="35">
        <f t="shared" ref="G234:M234" si="55">G232-G233</f>
        <v>35671.193220000001</v>
      </c>
      <c r="H234" s="35">
        <f t="shared" si="55"/>
        <v>-340.22165999999987</v>
      </c>
      <c r="I234" s="35">
        <f t="shared" si="55"/>
        <v>-143.23435000000001</v>
      </c>
      <c r="J234" s="35">
        <f t="shared" si="55"/>
        <v>-2664.2762900000002</v>
      </c>
      <c r="K234" s="35">
        <f t="shared" si="55"/>
        <v>-6388.5938199999991</v>
      </c>
      <c r="L234" s="35">
        <f t="shared" si="55"/>
        <v>1.5345200000000432</v>
      </c>
      <c r="M234" s="35">
        <f t="shared" si="55"/>
        <v>-7975.4428600000001</v>
      </c>
    </row>
    <row r="235" spans="2:13" ht="16" customHeight="1" x14ac:dyDescent="0.35">
      <c r="B235" s="11"/>
      <c r="C235" s="11" t="s">
        <v>22</v>
      </c>
      <c r="D235" s="29"/>
      <c r="E235" s="60"/>
      <c r="F235" s="29"/>
      <c r="G235" s="12"/>
      <c r="H235" s="12"/>
      <c r="I235" s="12"/>
      <c r="J235" s="12"/>
      <c r="K235" s="12"/>
      <c r="L235" s="12"/>
      <c r="M235" s="12"/>
    </row>
    <row r="236" spans="2:13" ht="16" customHeight="1" x14ac:dyDescent="0.35">
      <c r="B236" s="44"/>
      <c r="C236" s="44" t="s">
        <v>1008</v>
      </c>
      <c r="D236" s="73"/>
      <c r="E236" s="74">
        <v>0.39115807200000002</v>
      </c>
      <c r="F236" s="73"/>
      <c r="G236" s="45">
        <v>0.81614851899999996</v>
      </c>
      <c r="H236" s="45">
        <v>0.32267618100000001</v>
      </c>
      <c r="I236" s="45">
        <v>-12.111796698999999</v>
      </c>
      <c r="J236" s="45">
        <v>-0.60865098900000003</v>
      </c>
      <c r="K236" s="45">
        <v>11.616162005</v>
      </c>
      <c r="L236" s="45">
        <v>1.7173891E-2</v>
      </c>
      <c r="M236" s="45">
        <v>52.393235150999999</v>
      </c>
    </row>
    <row r="237" spans="2:13" ht="16" customHeight="1" x14ac:dyDescent="0.35">
      <c r="B237" s="44"/>
      <c r="C237" s="44" t="s">
        <v>1009</v>
      </c>
      <c r="D237" s="73"/>
      <c r="E237" s="74">
        <v>0.87144708500000001</v>
      </c>
      <c r="F237" s="73"/>
      <c r="G237" s="45">
        <v>1.2221820560000001</v>
      </c>
      <c r="H237" s="45">
        <v>0.10350158700000001</v>
      </c>
      <c r="I237" s="45">
        <v>-19.111546235999999</v>
      </c>
      <c r="J237" s="45">
        <v>-0.68435636499999997</v>
      </c>
      <c r="K237" s="45">
        <v>7.8011984889999999</v>
      </c>
      <c r="L237" s="45">
        <v>1.7197750000000001E-2</v>
      </c>
      <c r="M237" s="45">
        <v>1.1329923070000001</v>
      </c>
    </row>
    <row r="238" spans="2:13" ht="16" customHeight="1" x14ac:dyDescent="0.35">
      <c r="B238" s="44"/>
      <c r="C238" s="44" t="s">
        <v>1010</v>
      </c>
      <c r="D238" s="73"/>
      <c r="E238" s="74">
        <v>7.6182599000000004E-2</v>
      </c>
      <c r="F238" s="73"/>
      <c r="G238" s="45">
        <v>0.312786605</v>
      </c>
      <c r="H238" s="45">
        <v>-4.0608720000000001E-3</v>
      </c>
      <c r="I238" s="45">
        <v>0</v>
      </c>
      <c r="J238" s="45">
        <v>-0.109982565</v>
      </c>
      <c r="K238" s="45">
        <v>-0.40121259100000001</v>
      </c>
      <c r="L238" s="45">
        <v>3.6967189999999998E-3</v>
      </c>
      <c r="M238" s="45">
        <v>0</v>
      </c>
    </row>
    <row r="239" spans="2:13" ht="16" customHeight="1" x14ac:dyDescent="0.35">
      <c r="B239" s="11"/>
      <c r="C239" s="11" t="s">
        <v>22</v>
      </c>
      <c r="D239" s="29"/>
      <c r="E239" s="22"/>
      <c r="F239" s="12"/>
      <c r="G239" s="12"/>
      <c r="H239" s="12"/>
      <c r="I239" s="12"/>
      <c r="J239" s="12"/>
      <c r="K239" s="12"/>
      <c r="L239" s="12"/>
      <c r="M239" s="12"/>
    </row>
    <row r="240" spans="2:13" ht="16" customHeight="1" x14ac:dyDescent="0.45">
      <c r="B240" s="13"/>
      <c r="C240" s="9"/>
      <c r="D240" s="9"/>
      <c r="E240" s="13"/>
      <c r="F240" s="13"/>
      <c r="G240" s="13"/>
      <c r="H240" s="13"/>
      <c r="I240" s="13"/>
      <c r="J240" s="13"/>
      <c r="K240" s="13"/>
      <c r="L240" s="13"/>
      <c r="M240" s="13"/>
    </row>
    <row r="241" spans="2:13" ht="16" customHeight="1" x14ac:dyDescent="0.45">
      <c r="B241" s="13"/>
      <c r="C241" s="9"/>
      <c r="D241" s="9"/>
      <c r="E241" s="13"/>
      <c r="F241" s="13"/>
      <c r="G241" s="13"/>
      <c r="H241" s="13"/>
      <c r="I241" s="13"/>
      <c r="J241" s="13"/>
      <c r="K241" s="13"/>
      <c r="L241" s="13"/>
      <c r="M241" s="13"/>
    </row>
    <row r="242" spans="2:13" ht="16" customHeight="1" x14ac:dyDescent="0.45">
      <c r="B242" s="13"/>
      <c r="C242" s="9"/>
      <c r="D242" s="9"/>
      <c r="E242" s="13"/>
      <c r="F242" s="13"/>
      <c r="G242" s="13"/>
      <c r="H242" s="13"/>
      <c r="I242" s="13"/>
      <c r="J242" s="13"/>
      <c r="K242" s="13"/>
      <c r="L242" s="13"/>
      <c r="M242" s="13"/>
    </row>
    <row r="243" spans="2:13" ht="16" customHeight="1" x14ac:dyDescent="0.45">
      <c r="B243" s="13"/>
      <c r="C243" s="9"/>
      <c r="D243" s="9"/>
      <c r="E243" s="13"/>
      <c r="F243" s="13"/>
      <c r="G243" s="13"/>
      <c r="H243" s="13"/>
      <c r="I243" s="13"/>
      <c r="J243" s="13"/>
      <c r="K243" s="13"/>
      <c r="L243" s="13"/>
      <c r="M243" s="13"/>
    </row>
    <row r="244" spans="2:13" ht="16" customHeight="1" x14ac:dyDescent="0.45">
      <c r="B244" s="13"/>
      <c r="C244" s="9"/>
      <c r="D244" s="9"/>
      <c r="E244" s="13"/>
      <c r="F244" s="13"/>
      <c r="G244" s="13"/>
      <c r="H244" s="13"/>
      <c r="I244" s="13"/>
      <c r="J244" s="13"/>
      <c r="K244" s="13"/>
      <c r="L244" s="13"/>
      <c r="M244" s="13"/>
    </row>
    <row r="245" spans="2:13" ht="16" customHeight="1" x14ac:dyDescent="0.45">
      <c r="B245" s="13"/>
      <c r="C245" s="9"/>
      <c r="D245" s="9"/>
      <c r="E245" s="13"/>
      <c r="F245" s="13"/>
      <c r="G245" s="13"/>
      <c r="H245" s="13"/>
      <c r="I245" s="13"/>
      <c r="J245" s="13"/>
      <c r="K245" s="13"/>
      <c r="L245" s="13"/>
      <c r="M245" s="13"/>
    </row>
    <row r="246" spans="2:13" ht="16" customHeight="1" x14ac:dyDescent="0.45">
      <c r="B246" s="13"/>
      <c r="C246" s="9"/>
      <c r="D246" s="9"/>
      <c r="E246" s="13"/>
      <c r="F246" s="13"/>
      <c r="G246" s="13"/>
      <c r="H246" s="13"/>
      <c r="I246" s="13"/>
      <c r="J246" s="13"/>
      <c r="K246" s="13"/>
      <c r="L246" s="13"/>
      <c r="M246" s="13"/>
    </row>
    <row r="247" spans="2:13" ht="16" customHeight="1" x14ac:dyDescent="0.45">
      <c r="B247" s="13"/>
      <c r="C247" s="9"/>
      <c r="D247" s="9"/>
      <c r="E247" s="13"/>
      <c r="F247" s="13"/>
      <c r="G247" s="13"/>
      <c r="H247" s="13"/>
      <c r="I247" s="13"/>
      <c r="J247" s="13"/>
      <c r="K247" s="13"/>
      <c r="L247" s="13"/>
      <c r="M247" s="13"/>
    </row>
    <row r="248" spans="2:13" ht="16" customHeight="1" x14ac:dyDescent="0.45">
      <c r="B248" s="13"/>
      <c r="C248" s="9"/>
      <c r="D248" s="9"/>
      <c r="E248" s="13"/>
      <c r="F248" s="13"/>
      <c r="G248" s="13"/>
      <c r="H248" s="13"/>
      <c r="I248" s="13"/>
      <c r="J248" s="13"/>
      <c r="K248" s="13"/>
      <c r="L248" s="13"/>
      <c r="M248" s="13"/>
    </row>
    <row r="249" spans="2:13" ht="16" customHeight="1" x14ac:dyDescent="0.45">
      <c r="B249" s="13"/>
      <c r="C249" s="9"/>
      <c r="D249" s="9"/>
      <c r="E249" s="13"/>
      <c r="F249" s="13"/>
      <c r="G249" s="13"/>
      <c r="H249" s="13"/>
      <c r="I249" s="13"/>
      <c r="J249" s="13"/>
      <c r="K249" s="13"/>
      <c r="L249" s="13"/>
      <c r="M249" s="13"/>
    </row>
    <row r="250" spans="2:13" ht="16" customHeight="1" x14ac:dyDescent="0.45">
      <c r="B250" s="13"/>
      <c r="C250" s="9"/>
      <c r="D250" s="9"/>
      <c r="E250" s="13"/>
      <c r="F250" s="13"/>
      <c r="G250" s="13"/>
      <c r="H250" s="13"/>
      <c r="I250" s="13"/>
      <c r="J250" s="13"/>
      <c r="K250" s="13"/>
      <c r="L250" s="13"/>
      <c r="M250" s="13"/>
    </row>
    <row r="251" spans="2:13" ht="16" customHeight="1" x14ac:dyDescent="0.45">
      <c r="B251" s="13"/>
      <c r="C251" s="9"/>
      <c r="D251" s="9"/>
      <c r="E251" s="13"/>
      <c r="F251" s="13"/>
      <c r="G251" s="13"/>
      <c r="H251" s="13"/>
      <c r="I251" s="13"/>
      <c r="J251" s="13"/>
      <c r="K251" s="13"/>
      <c r="L251" s="13"/>
      <c r="M251" s="13"/>
    </row>
    <row r="252" spans="2:13" ht="16" customHeight="1" x14ac:dyDescent="0.45">
      <c r="B252" s="13"/>
      <c r="C252" s="9"/>
      <c r="D252" s="9"/>
      <c r="E252" s="13"/>
      <c r="F252" s="13"/>
      <c r="G252" s="13"/>
      <c r="H252" s="13"/>
      <c r="I252" s="13"/>
      <c r="J252" s="13"/>
      <c r="K252" s="13"/>
      <c r="L252" s="13"/>
      <c r="M252" s="13"/>
    </row>
    <row r="253" spans="2:13" ht="16" customHeight="1" x14ac:dyDescent="0.45">
      <c r="B253" s="13"/>
      <c r="C253" s="9"/>
      <c r="D253" s="9"/>
      <c r="E253" s="13"/>
      <c r="F253" s="13"/>
      <c r="G253" s="13"/>
      <c r="H253" s="13"/>
      <c r="I253" s="13"/>
      <c r="J253" s="13"/>
      <c r="K253" s="13"/>
      <c r="L253" s="13"/>
      <c r="M253" s="13"/>
    </row>
    <row r="254" spans="2:13" ht="16" customHeight="1" x14ac:dyDescent="0.45">
      <c r="B254" s="13"/>
      <c r="C254" s="9"/>
      <c r="D254" s="9"/>
      <c r="E254" s="13"/>
      <c r="F254" s="13"/>
      <c r="G254" s="13"/>
      <c r="H254" s="13"/>
      <c r="I254" s="13"/>
      <c r="J254" s="13"/>
      <c r="K254" s="13"/>
      <c r="L254" s="13"/>
      <c r="M254" s="13"/>
    </row>
    <row r="255" spans="2:13" ht="16" customHeight="1" x14ac:dyDescent="0.45">
      <c r="B255" s="13"/>
      <c r="C255" s="9"/>
      <c r="D255" s="9"/>
      <c r="E255" s="13"/>
      <c r="F255" s="13"/>
      <c r="G255" s="13"/>
      <c r="H255" s="13"/>
      <c r="I255" s="13"/>
      <c r="J255" s="13"/>
      <c r="K255" s="13"/>
      <c r="L255" s="13"/>
      <c r="M255" s="13"/>
    </row>
    <row r="256" spans="2:13" ht="16" customHeight="1" x14ac:dyDescent="0.45">
      <c r="B256" s="13"/>
      <c r="C256" s="9"/>
      <c r="D256" s="9"/>
      <c r="E256" s="13"/>
      <c r="F256" s="13"/>
      <c r="G256" s="13"/>
      <c r="H256" s="13"/>
      <c r="I256" s="13"/>
      <c r="J256" s="13"/>
      <c r="K256" s="13"/>
      <c r="L256" s="13"/>
      <c r="M256" s="13"/>
    </row>
    <row r="257" spans="2:13" ht="16" customHeight="1" x14ac:dyDescent="0.45">
      <c r="B257" s="13"/>
      <c r="C257" s="9"/>
      <c r="D257" s="9"/>
      <c r="E257" s="13"/>
      <c r="F257" s="13"/>
      <c r="G257" s="13"/>
      <c r="H257" s="13"/>
      <c r="I257" s="13"/>
      <c r="J257" s="13"/>
      <c r="K257" s="13"/>
      <c r="L257" s="13"/>
      <c r="M257" s="13"/>
    </row>
    <row r="258" spans="2:13" ht="16" customHeight="1" x14ac:dyDescent="0.45">
      <c r="B258" s="13"/>
      <c r="C258" s="9"/>
      <c r="D258" s="9"/>
      <c r="E258" s="13"/>
      <c r="F258" s="13"/>
      <c r="G258" s="13"/>
      <c r="H258" s="13"/>
      <c r="I258" s="13"/>
      <c r="J258" s="13"/>
      <c r="K258" s="13"/>
      <c r="L258" s="13"/>
      <c r="M258" s="13"/>
    </row>
    <row r="259" spans="2:13" ht="16" customHeight="1" x14ac:dyDescent="0.45">
      <c r="B259" s="13"/>
      <c r="C259" s="9"/>
      <c r="D259" s="9"/>
      <c r="E259" s="13"/>
      <c r="F259" s="13"/>
      <c r="G259" s="13"/>
      <c r="H259" s="13"/>
      <c r="I259" s="13"/>
      <c r="J259" s="13"/>
      <c r="K259" s="13"/>
      <c r="L259" s="13"/>
      <c r="M259" s="13"/>
    </row>
    <row r="260" spans="2:13" ht="16" customHeight="1" x14ac:dyDescent="0.45">
      <c r="B260" s="13"/>
      <c r="C260" s="9"/>
      <c r="D260" s="9"/>
      <c r="E260" s="13"/>
      <c r="F260" s="13"/>
      <c r="G260" s="13"/>
      <c r="H260" s="13"/>
      <c r="I260" s="13"/>
      <c r="J260" s="13"/>
      <c r="K260" s="13"/>
      <c r="L260" s="13"/>
      <c r="M260" s="13"/>
    </row>
    <row r="261" spans="2:13" ht="16" customHeight="1" x14ac:dyDescent="0.45">
      <c r="B261" s="13"/>
      <c r="C261" s="9"/>
      <c r="D261" s="9"/>
      <c r="E261" s="13"/>
      <c r="F261" s="13"/>
      <c r="G261" s="13"/>
      <c r="H261" s="13"/>
      <c r="I261" s="13"/>
      <c r="J261" s="13"/>
      <c r="K261" s="13"/>
      <c r="L261" s="13"/>
      <c r="M261" s="13"/>
    </row>
    <row r="262" spans="2:13" ht="16" customHeight="1" x14ac:dyDescent="0.45">
      <c r="B262" s="13"/>
      <c r="C262" s="9"/>
      <c r="D262" s="9"/>
      <c r="E262" s="13"/>
      <c r="F262" s="13"/>
      <c r="G262" s="13"/>
      <c r="H262" s="13"/>
      <c r="I262" s="13"/>
      <c r="J262" s="13"/>
      <c r="K262" s="13"/>
      <c r="L262" s="13"/>
      <c r="M262" s="13"/>
    </row>
    <row r="263" spans="2:13" ht="16" customHeight="1" x14ac:dyDescent="0.45">
      <c r="B263" s="13"/>
      <c r="C263" s="9"/>
      <c r="D263" s="9"/>
      <c r="E263" s="13"/>
      <c r="F263" s="13"/>
      <c r="G263" s="13"/>
      <c r="H263" s="13"/>
      <c r="I263" s="13"/>
      <c r="J263" s="13"/>
      <c r="K263" s="13"/>
      <c r="L263" s="13"/>
      <c r="M263" s="13"/>
    </row>
    <row r="264" spans="2:13" ht="16" customHeight="1" x14ac:dyDescent="0.45">
      <c r="B264" s="13"/>
      <c r="C264" s="9"/>
      <c r="D264" s="9"/>
      <c r="E264" s="13"/>
      <c r="F264" s="13"/>
      <c r="G264" s="13"/>
      <c r="H264" s="13"/>
      <c r="I264" s="13"/>
      <c r="J264" s="13"/>
      <c r="K264" s="13"/>
      <c r="L264" s="13"/>
      <c r="M264" s="13"/>
    </row>
    <row r="265" spans="2:13" ht="16" customHeight="1" x14ac:dyDescent="0.45">
      <c r="B265" s="13"/>
      <c r="C265" s="9"/>
      <c r="D265" s="9"/>
      <c r="E265" s="13"/>
      <c r="F265" s="13"/>
      <c r="G265" s="13"/>
      <c r="H265" s="13"/>
      <c r="I265" s="13"/>
      <c r="J265" s="13"/>
      <c r="K265" s="13"/>
      <c r="L265" s="13"/>
      <c r="M265" s="13"/>
    </row>
    <row r="266" spans="2:13" ht="16" customHeight="1" x14ac:dyDescent="0.45">
      <c r="B266" s="13"/>
      <c r="C266" s="9"/>
      <c r="D266" s="9"/>
      <c r="E266" s="13"/>
      <c r="F266" s="13"/>
      <c r="G266" s="13"/>
      <c r="H266" s="13"/>
      <c r="I266" s="13"/>
      <c r="J266" s="13"/>
      <c r="K266" s="13"/>
      <c r="L266" s="13"/>
      <c r="M266" s="13"/>
    </row>
    <row r="267" spans="2:13" ht="16" customHeight="1" x14ac:dyDescent="0.45">
      <c r="B267" s="13"/>
      <c r="C267" s="9"/>
      <c r="D267" s="9"/>
      <c r="E267" s="13"/>
      <c r="F267" s="13"/>
      <c r="G267" s="13"/>
      <c r="H267" s="13"/>
      <c r="I267" s="13"/>
      <c r="J267" s="13"/>
      <c r="K267" s="13"/>
      <c r="L267" s="13"/>
      <c r="M267" s="13"/>
    </row>
    <row r="268" spans="2:13" ht="16" customHeight="1" x14ac:dyDescent="0.45">
      <c r="B268" s="13"/>
      <c r="C268" s="9"/>
      <c r="D268" s="9"/>
      <c r="E268" s="13"/>
      <c r="F268" s="13"/>
      <c r="G268" s="13"/>
      <c r="H268" s="13"/>
      <c r="I268" s="13"/>
      <c r="J268" s="13"/>
      <c r="K268" s="13"/>
      <c r="L268" s="13"/>
      <c r="M268" s="13"/>
    </row>
    <row r="269" spans="2:13" ht="16" customHeight="1" x14ac:dyDescent="0.45">
      <c r="B269" s="13"/>
      <c r="C269" s="9"/>
      <c r="D269" s="9"/>
      <c r="E269" s="13"/>
      <c r="F269" s="13"/>
      <c r="G269" s="13"/>
      <c r="H269" s="13"/>
      <c r="I269" s="13"/>
      <c r="J269" s="13"/>
      <c r="K269" s="13"/>
      <c r="L269" s="13"/>
      <c r="M269" s="13"/>
    </row>
    <row r="270" spans="2:13" ht="16" customHeight="1" x14ac:dyDescent="0.45">
      <c r="B270" s="13"/>
      <c r="C270" s="9"/>
      <c r="D270" s="9"/>
      <c r="E270" s="13"/>
      <c r="F270" s="13"/>
      <c r="G270" s="13"/>
      <c r="H270" s="13"/>
      <c r="I270" s="13"/>
      <c r="J270" s="13"/>
      <c r="K270" s="13"/>
      <c r="L270" s="13"/>
      <c r="M270" s="13"/>
    </row>
    <row r="271" spans="2:13" ht="16" customHeight="1" x14ac:dyDescent="0.45">
      <c r="B271" s="13"/>
      <c r="C271" s="9"/>
      <c r="D271" s="9"/>
      <c r="E271" s="13"/>
      <c r="F271" s="13"/>
      <c r="G271" s="13"/>
      <c r="H271" s="13"/>
      <c r="I271" s="13"/>
      <c r="J271" s="13"/>
      <c r="K271" s="13"/>
      <c r="L271" s="13"/>
      <c r="M271" s="13"/>
    </row>
    <row r="272" spans="2:13" ht="16" customHeight="1" x14ac:dyDescent="0.45">
      <c r="B272" s="13"/>
      <c r="C272" s="9"/>
      <c r="D272" s="9"/>
      <c r="E272" s="13"/>
      <c r="F272" s="13"/>
      <c r="G272" s="13"/>
      <c r="H272" s="13"/>
      <c r="I272" s="13"/>
      <c r="J272" s="13"/>
      <c r="K272" s="13"/>
      <c r="L272" s="13"/>
      <c r="M272" s="13"/>
    </row>
    <row r="273" spans="2:13" ht="16" customHeight="1" x14ac:dyDescent="0.45">
      <c r="B273" s="13"/>
      <c r="C273" s="9"/>
      <c r="D273" s="9"/>
      <c r="E273" s="13"/>
      <c r="F273" s="13"/>
      <c r="G273" s="13"/>
      <c r="H273" s="13"/>
      <c r="I273" s="13"/>
      <c r="J273" s="13"/>
      <c r="K273" s="13"/>
      <c r="L273" s="13"/>
      <c r="M273" s="13"/>
    </row>
    <row r="274" spans="2:13" ht="16" customHeight="1" x14ac:dyDescent="0.45">
      <c r="B274" s="13"/>
      <c r="C274" s="9"/>
      <c r="D274" s="9"/>
      <c r="E274" s="13"/>
      <c r="F274" s="13"/>
      <c r="G274" s="13"/>
      <c r="H274" s="13"/>
      <c r="I274" s="13"/>
      <c r="J274" s="13"/>
      <c r="K274" s="13"/>
      <c r="L274" s="13"/>
      <c r="M274" s="13"/>
    </row>
    <row r="275" spans="2:13" ht="16" customHeight="1" x14ac:dyDescent="0.45">
      <c r="B275" s="13"/>
      <c r="C275" s="9"/>
      <c r="D275" s="9"/>
      <c r="E275" s="13"/>
      <c r="F275" s="13"/>
      <c r="G275" s="13"/>
      <c r="H275" s="13"/>
      <c r="I275" s="13"/>
      <c r="J275" s="13"/>
      <c r="K275" s="13"/>
      <c r="L275" s="13"/>
      <c r="M275" s="13"/>
    </row>
    <row r="276" spans="2:13" ht="16" customHeight="1" x14ac:dyDescent="0.45">
      <c r="B276" s="13"/>
      <c r="C276" s="9"/>
      <c r="D276" s="9"/>
      <c r="E276" s="13"/>
      <c r="F276" s="13"/>
      <c r="G276" s="13"/>
      <c r="H276" s="13"/>
      <c r="I276" s="13"/>
      <c r="J276" s="13"/>
      <c r="K276" s="13"/>
      <c r="L276" s="13"/>
      <c r="M276" s="13"/>
    </row>
    <row r="277" spans="2:13" ht="16" customHeight="1" x14ac:dyDescent="0.45">
      <c r="B277" s="13"/>
      <c r="C277" s="9"/>
      <c r="D277" s="9"/>
      <c r="E277" s="13"/>
      <c r="F277" s="13"/>
      <c r="G277" s="13"/>
      <c r="H277" s="13"/>
      <c r="I277" s="13"/>
      <c r="J277" s="13"/>
      <c r="K277" s="13"/>
      <c r="L277" s="13"/>
      <c r="M277" s="13"/>
    </row>
    <row r="278" spans="2:13" ht="16" customHeight="1" x14ac:dyDescent="0.45">
      <c r="B278" s="13"/>
      <c r="C278" s="9"/>
      <c r="D278" s="9"/>
      <c r="E278" s="13"/>
      <c r="F278" s="13"/>
      <c r="G278" s="13"/>
      <c r="H278" s="13"/>
      <c r="I278" s="13"/>
      <c r="J278" s="13"/>
      <c r="K278" s="13"/>
      <c r="L278" s="13"/>
      <c r="M278" s="13"/>
    </row>
    <row r="279" spans="2:13" ht="16" customHeight="1" x14ac:dyDescent="0.45">
      <c r="B279" s="13"/>
      <c r="C279" s="9"/>
      <c r="D279" s="9"/>
      <c r="E279" s="13"/>
      <c r="F279" s="13"/>
      <c r="G279" s="13"/>
      <c r="H279" s="13"/>
      <c r="I279" s="13"/>
      <c r="J279" s="13"/>
      <c r="K279" s="13"/>
      <c r="L279" s="13"/>
      <c r="M279" s="13"/>
    </row>
    <row r="280" spans="2:13" ht="16" customHeight="1" x14ac:dyDescent="0.45">
      <c r="B280" s="13"/>
      <c r="C280" s="9"/>
      <c r="D280" s="9"/>
      <c r="E280" s="13"/>
      <c r="F280" s="13"/>
      <c r="G280" s="13"/>
      <c r="H280" s="13"/>
      <c r="I280" s="13"/>
      <c r="J280" s="13"/>
      <c r="K280" s="13"/>
      <c r="L280" s="13"/>
      <c r="M280" s="13"/>
    </row>
    <row r="281" spans="2:13" ht="16" customHeight="1" x14ac:dyDescent="0.45">
      <c r="B281" s="13"/>
      <c r="C281" s="9"/>
      <c r="D281" s="9"/>
      <c r="E281" s="13"/>
      <c r="F281" s="13"/>
      <c r="G281" s="13"/>
      <c r="H281" s="13"/>
      <c r="I281" s="13"/>
      <c r="J281" s="13"/>
      <c r="K281" s="13"/>
      <c r="L281" s="13"/>
      <c r="M281" s="13"/>
    </row>
    <row r="282" spans="2:13" ht="16" customHeight="1" x14ac:dyDescent="0.45">
      <c r="B282" s="13"/>
      <c r="C282" s="9"/>
      <c r="D282" s="9"/>
      <c r="E282" s="13"/>
      <c r="F282" s="13"/>
      <c r="G282" s="13"/>
      <c r="H282" s="13"/>
      <c r="I282" s="13"/>
      <c r="J282" s="13"/>
      <c r="K282" s="13"/>
      <c r="L282" s="13"/>
      <c r="M282" s="13"/>
    </row>
    <row r="283" spans="2:13" ht="16" customHeight="1" x14ac:dyDescent="0.45">
      <c r="B283" s="13"/>
      <c r="C283" s="9"/>
      <c r="D283" s="9"/>
      <c r="E283" s="13"/>
      <c r="F283" s="13"/>
      <c r="G283" s="13"/>
      <c r="H283" s="13"/>
      <c r="I283" s="13"/>
      <c r="J283" s="13"/>
      <c r="K283" s="13"/>
      <c r="L283" s="13"/>
      <c r="M283" s="13"/>
    </row>
    <row r="284" spans="2:13" ht="16" customHeight="1" x14ac:dyDescent="0.45">
      <c r="B284" s="13"/>
      <c r="C284" s="9"/>
      <c r="D284" s="9"/>
      <c r="E284" s="13"/>
      <c r="F284" s="13"/>
      <c r="G284" s="13"/>
      <c r="H284" s="13"/>
      <c r="I284" s="13"/>
      <c r="J284" s="13"/>
      <c r="K284" s="13"/>
      <c r="L284" s="13"/>
      <c r="M284" s="13"/>
    </row>
    <row r="285" spans="2:13" ht="16" customHeight="1" x14ac:dyDescent="0.45">
      <c r="B285" s="13"/>
      <c r="C285" s="9"/>
      <c r="D285" s="9"/>
      <c r="E285" s="13"/>
      <c r="F285" s="13"/>
      <c r="G285" s="13"/>
      <c r="H285" s="13"/>
      <c r="I285" s="13"/>
      <c r="J285" s="13"/>
      <c r="K285" s="13"/>
      <c r="L285" s="13"/>
      <c r="M285" s="13"/>
    </row>
    <row r="286" spans="2:13" ht="16" customHeight="1" x14ac:dyDescent="0.45">
      <c r="B286" s="13"/>
      <c r="C286" s="9"/>
      <c r="D286" s="9"/>
      <c r="E286" s="13"/>
      <c r="F286" s="13"/>
      <c r="G286" s="13"/>
      <c r="H286" s="13"/>
      <c r="I286" s="13"/>
      <c r="J286" s="13"/>
      <c r="K286" s="13"/>
      <c r="L286" s="13"/>
      <c r="M286" s="13"/>
    </row>
    <row r="287" spans="2:13" ht="16" customHeight="1" x14ac:dyDescent="0.45">
      <c r="B287" s="13"/>
      <c r="C287" s="9"/>
      <c r="D287" s="9"/>
      <c r="E287" s="13"/>
      <c r="F287" s="13"/>
      <c r="G287" s="13"/>
      <c r="H287" s="13"/>
      <c r="I287" s="13"/>
      <c r="J287" s="13"/>
      <c r="K287" s="13"/>
      <c r="L287" s="13"/>
      <c r="M287" s="13"/>
    </row>
    <row r="288" spans="2:13" ht="16" customHeight="1" x14ac:dyDescent="0.45">
      <c r="B288" s="13"/>
      <c r="C288" s="9"/>
      <c r="D288" s="9"/>
      <c r="E288" s="13"/>
      <c r="F288" s="13"/>
      <c r="G288" s="13"/>
      <c r="H288" s="13"/>
      <c r="I288" s="13"/>
      <c r="J288" s="13"/>
      <c r="K288" s="13"/>
      <c r="L288" s="13"/>
      <c r="M288" s="13"/>
    </row>
    <row r="289" spans="2:13" ht="16" customHeight="1" x14ac:dyDescent="0.45">
      <c r="B289" s="13"/>
      <c r="C289" s="9"/>
      <c r="D289" s="9"/>
      <c r="E289" s="13"/>
      <c r="F289" s="13"/>
      <c r="G289" s="13"/>
      <c r="H289" s="13"/>
      <c r="I289" s="13"/>
      <c r="J289" s="13"/>
      <c r="K289" s="13"/>
      <c r="L289" s="13"/>
      <c r="M289" s="13"/>
    </row>
    <row r="290" spans="2:13" ht="16" customHeight="1" x14ac:dyDescent="0.45">
      <c r="B290" s="13"/>
      <c r="C290" s="9"/>
      <c r="D290" s="9"/>
      <c r="E290" s="13"/>
      <c r="F290" s="13"/>
      <c r="G290" s="13"/>
      <c r="H290" s="13"/>
      <c r="I290" s="13"/>
      <c r="J290" s="13"/>
      <c r="K290" s="13"/>
      <c r="L290" s="13"/>
      <c r="M290" s="13"/>
    </row>
    <row r="291" spans="2:13" ht="16" customHeight="1" x14ac:dyDescent="0.45">
      <c r="B291" s="13"/>
      <c r="C291" s="9"/>
      <c r="D291" s="9"/>
      <c r="E291" s="13"/>
      <c r="F291" s="13"/>
      <c r="G291" s="13"/>
      <c r="H291" s="13"/>
      <c r="I291" s="13"/>
      <c r="J291" s="13"/>
      <c r="K291" s="13"/>
      <c r="L291" s="13"/>
      <c r="M291" s="13"/>
    </row>
    <row r="292" spans="2:13" ht="16" customHeight="1" x14ac:dyDescent="0.45">
      <c r="B292" s="13"/>
      <c r="C292" s="9"/>
      <c r="D292" s="9"/>
      <c r="E292" s="13"/>
      <c r="F292" s="13"/>
      <c r="G292" s="13"/>
      <c r="H292" s="13"/>
      <c r="I292" s="13"/>
      <c r="J292" s="13"/>
      <c r="K292" s="13"/>
      <c r="L292" s="13"/>
      <c r="M292" s="13"/>
    </row>
    <row r="293" spans="2:13" ht="16" customHeight="1" x14ac:dyDescent="0.45">
      <c r="B293" s="13"/>
      <c r="C293" s="9"/>
      <c r="D293" s="9"/>
      <c r="E293" s="13"/>
      <c r="F293" s="13"/>
      <c r="G293" s="13"/>
      <c r="H293" s="13"/>
      <c r="I293" s="13"/>
      <c r="J293" s="13"/>
      <c r="K293" s="13"/>
      <c r="L293" s="13"/>
      <c r="M293" s="13"/>
    </row>
    <row r="294" spans="2:13" ht="16" customHeight="1" x14ac:dyDescent="0.45">
      <c r="B294" s="13"/>
      <c r="C294" s="9"/>
      <c r="D294" s="9"/>
      <c r="E294" s="13"/>
      <c r="F294" s="13"/>
      <c r="G294" s="13"/>
      <c r="H294" s="13"/>
      <c r="I294" s="13"/>
      <c r="J294" s="13"/>
      <c r="K294" s="13"/>
      <c r="L294" s="13"/>
      <c r="M294" s="13"/>
    </row>
    <row r="295" spans="2:13" ht="16" customHeight="1" x14ac:dyDescent="0.45">
      <c r="B295" s="13"/>
      <c r="C295" s="9"/>
      <c r="D295" s="9"/>
      <c r="E295" s="13"/>
      <c r="F295" s="13"/>
      <c r="G295" s="13"/>
      <c r="H295" s="13"/>
      <c r="I295" s="13"/>
      <c r="J295" s="13"/>
      <c r="K295" s="13"/>
      <c r="L295" s="13"/>
      <c r="M295" s="13"/>
    </row>
    <row r="296" spans="2:13" ht="16" customHeight="1" x14ac:dyDescent="0.45">
      <c r="B296" s="13"/>
      <c r="C296" s="9"/>
      <c r="D296" s="9"/>
      <c r="E296" s="13"/>
      <c r="F296" s="13"/>
      <c r="G296" s="13"/>
      <c r="H296" s="13"/>
      <c r="I296" s="13"/>
      <c r="J296" s="13"/>
      <c r="K296" s="13"/>
      <c r="L296" s="13"/>
      <c r="M296" s="13"/>
    </row>
    <row r="297" spans="2:13" ht="16" customHeight="1" x14ac:dyDescent="0.45">
      <c r="B297" s="13"/>
      <c r="C297" s="9"/>
      <c r="D297" s="9"/>
      <c r="E297" s="13"/>
      <c r="F297" s="13"/>
      <c r="G297" s="13"/>
      <c r="H297" s="13"/>
      <c r="I297" s="13"/>
      <c r="J297" s="13"/>
      <c r="K297" s="13"/>
      <c r="L297" s="13"/>
      <c r="M297" s="13"/>
    </row>
    <row r="298" spans="2:13" ht="16" customHeight="1" x14ac:dyDescent="0.45">
      <c r="B298" s="13"/>
      <c r="C298" s="9"/>
      <c r="D298" s="9"/>
      <c r="E298" s="13"/>
      <c r="F298" s="13"/>
      <c r="G298" s="13"/>
      <c r="H298" s="13"/>
      <c r="I298" s="13"/>
      <c r="J298" s="13"/>
      <c r="K298" s="13"/>
      <c r="L298" s="13"/>
      <c r="M298" s="13"/>
    </row>
    <row r="299" spans="2:13" ht="16" customHeight="1" x14ac:dyDescent="0.45">
      <c r="B299" s="13"/>
      <c r="C299" s="9"/>
      <c r="D299" s="9"/>
      <c r="E299" s="13"/>
      <c r="F299" s="13"/>
      <c r="G299" s="13"/>
      <c r="H299" s="13"/>
      <c r="I299" s="13"/>
      <c r="J299" s="13"/>
      <c r="K299" s="13"/>
      <c r="L299" s="13"/>
      <c r="M299" s="13"/>
    </row>
    <row r="300" spans="2:13" ht="16" customHeight="1" x14ac:dyDescent="0.45">
      <c r="B300" s="13"/>
      <c r="C300" s="9"/>
      <c r="D300" s="9"/>
      <c r="E300" s="13"/>
      <c r="F300" s="13"/>
      <c r="G300" s="13"/>
      <c r="H300" s="13"/>
      <c r="I300" s="13"/>
      <c r="J300" s="13"/>
      <c r="K300" s="13"/>
      <c r="L300" s="13"/>
      <c r="M300" s="13"/>
    </row>
    <row r="301" spans="2:13" ht="16" customHeight="1" x14ac:dyDescent="0.45">
      <c r="B301" s="13"/>
      <c r="C301" s="9"/>
      <c r="D301" s="9"/>
      <c r="E301" s="13"/>
      <c r="F301" s="13"/>
      <c r="G301" s="13"/>
      <c r="H301" s="13"/>
      <c r="I301" s="13"/>
      <c r="J301" s="13"/>
      <c r="K301" s="13"/>
      <c r="L301" s="13"/>
      <c r="M301" s="13"/>
    </row>
    <row r="302" spans="2:13" ht="16" customHeight="1" x14ac:dyDescent="0.45">
      <c r="B302" s="13"/>
      <c r="C302" s="9"/>
      <c r="D302" s="9"/>
      <c r="E302" s="13"/>
      <c r="F302" s="13"/>
      <c r="G302" s="13"/>
      <c r="H302" s="13"/>
      <c r="I302" s="13"/>
      <c r="J302" s="13"/>
      <c r="K302" s="13"/>
      <c r="L302" s="13"/>
      <c r="M302" s="13"/>
    </row>
    <row r="303" spans="2:13" ht="16" customHeight="1" x14ac:dyDescent="0.45">
      <c r="B303" s="13"/>
      <c r="C303" s="9"/>
      <c r="D303" s="9"/>
      <c r="E303" s="13"/>
      <c r="F303" s="13"/>
      <c r="G303" s="13"/>
      <c r="H303" s="13"/>
      <c r="I303" s="13"/>
      <c r="J303" s="13"/>
      <c r="K303" s="13"/>
      <c r="L303" s="13"/>
      <c r="M303" s="13"/>
    </row>
    <row r="304" spans="2:13" ht="16" customHeight="1" x14ac:dyDescent="0.45">
      <c r="B304" s="13"/>
      <c r="C304" s="9"/>
      <c r="D304" s="9"/>
      <c r="E304" s="13"/>
      <c r="F304" s="13"/>
      <c r="G304" s="13"/>
      <c r="H304" s="13"/>
      <c r="I304" s="13"/>
      <c r="J304" s="13"/>
      <c r="K304" s="13"/>
      <c r="L304" s="13"/>
      <c r="M304" s="13"/>
    </row>
    <row r="305" spans="2:13" ht="16" customHeight="1" x14ac:dyDescent="0.45">
      <c r="B305" s="13"/>
      <c r="C305" s="9"/>
      <c r="D305" s="9"/>
      <c r="E305" s="13"/>
      <c r="F305" s="13"/>
      <c r="G305" s="13"/>
      <c r="H305" s="13"/>
      <c r="I305" s="13"/>
      <c r="J305" s="13"/>
      <c r="K305" s="13"/>
      <c r="L305" s="13"/>
      <c r="M305" s="13"/>
    </row>
    <row r="306" spans="2:13" ht="16" customHeight="1" x14ac:dyDescent="0.45">
      <c r="B306" s="13"/>
      <c r="C306" s="9"/>
      <c r="D306" s="9"/>
      <c r="E306" s="13"/>
      <c r="F306" s="13"/>
      <c r="G306" s="13"/>
      <c r="H306" s="13"/>
      <c r="I306" s="13"/>
      <c r="J306" s="13"/>
      <c r="K306" s="13"/>
      <c r="L306" s="13"/>
      <c r="M306" s="13"/>
    </row>
    <row r="307" spans="2:13" ht="16" customHeight="1" x14ac:dyDescent="0.45">
      <c r="B307" s="13"/>
      <c r="C307" s="9"/>
      <c r="D307" s="9"/>
      <c r="E307" s="13"/>
      <c r="F307" s="13"/>
      <c r="G307" s="13"/>
      <c r="H307" s="13"/>
      <c r="I307" s="13"/>
      <c r="J307" s="13"/>
      <c r="K307" s="13"/>
      <c r="L307" s="13"/>
      <c r="M307" s="13"/>
    </row>
    <row r="308" spans="2:13" ht="16" customHeight="1" x14ac:dyDescent="0.45">
      <c r="B308" s="13"/>
      <c r="C308" s="9"/>
      <c r="D308" s="9"/>
      <c r="E308" s="13"/>
      <c r="F308" s="13"/>
      <c r="G308" s="13"/>
      <c r="H308" s="13"/>
      <c r="I308" s="13"/>
      <c r="J308" s="13"/>
      <c r="K308" s="13"/>
      <c r="L308" s="13"/>
      <c r="M308" s="13"/>
    </row>
    <row r="309" spans="2:13" ht="16" customHeight="1" x14ac:dyDescent="0.45">
      <c r="B309" s="13"/>
      <c r="C309" s="9"/>
      <c r="D309" s="9"/>
      <c r="E309" s="13"/>
      <c r="F309" s="13"/>
      <c r="G309" s="13"/>
      <c r="H309" s="13"/>
      <c r="I309" s="13"/>
      <c r="J309" s="13"/>
      <c r="K309" s="13"/>
      <c r="L309" s="13"/>
      <c r="M309" s="13"/>
    </row>
    <row r="310" spans="2:13" ht="16" customHeight="1" x14ac:dyDescent="0.45">
      <c r="B310" s="13"/>
      <c r="C310" s="9"/>
      <c r="D310" s="9"/>
      <c r="E310" s="13"/>
      <c r="F310" s="13"/>
      <c r="G310" s="13"/>
      <c r="H310" s="13"/>
      <c r="I310" s="13"/>
      <c r="J310" s="13"/>
      <c r="K310" s="13"/>
      <c r="L310" s="13"/>
      <c r="M310" s="13"/>
    </row>
    <row r="311" spans="2:13" ht="16" customHeight="1" x14ac:dyDescent="0.45">
      <c r="B311" s="13"/>
      <c r="C311" s="9"/>
      <c r="D311" s="9"/>
      <c r="E311" s="13"/>
      <c r="F311" s="13"/>
      <c r="G311" s="13"/>
      <c r="H311" s="13"/>
      <c r="I311" s="13"/>
      <c r="J311" s="13"/>
      <c r="K311" s="13"/>
      <c r="L311" s="13"/>
      <c r="M311" s="13"/>
    </row>
    <row r="312" spans="2:13" ht="16" customHeight="1" x14ac:dyDescent="0.45">
      <c r="B312" s="13"/>
      <c r="C312" s="9"/>
      <c r="D312" s="9"/>
      <c r="E312" s="13"/>
      <c r="F312" s="13"/>
      <c r="G312" s="13"/>
      <c r="H312" s="13"/>
      <c r="I312" s="13"/>
      <c r="J312" s="13"/>
      <c r="K312" s="13"/>
      <c r="L312" s="13"/>
      <c r="M312" s="13"/>
    </row>
    <row r="313" spans="2:13" ht="16" customHeight="1" x14ac:dyDescent="0.45">
      <c r="B313" s="13"/>
      <c r="C313" s="9"/>
      <c r="D313" s="9"/>
      <c r="E313" s="13"/>
      <c r="F313" s="13"/>
      <c r="G313" s="13"/>
      <c r="H313" s="13"/>
      <c r="I313" s="13"/>
      <c r="J313" s="13"/>
      <c r="K313" s="13"/>
      <c r="L313" s="13"/>
      <c r="M313" s="13"/>
    </row>
    <row r="314" spans="2:13" ht="16" customHeight="1" x14ac:dyDescent="0.45">
      <c r="B314" s="13"/>
      <c r="C314" s="9"/>
      <c r="D314" s="9"/>
      <c r="E314" s="13"/>
      <c r="F314" s="13"/>
      <c r="G314" s="13"/>
      <c r="H314" s="13"/>
      <c r="I314" s="13"/>
      <c r="J314" s="13"/>
      <c r="K314" s="13"/>
      <c r="L314" s="13"/>
      <c r="M314" s="13"/>
    </row>
    <row r="315" spans="2:13" ht="16" customHeight="1" x14ac:dyDescent="0.45">
      <c r="B315" s="13"/>
      <c r="C315" s="9"/>
      <c r="D315" s="9"/>
      <c r="E315" s="13"/>
      <c r="F315" s="13"/>
      <c r="G315" s="13"/>
      <c r="H315" s="13"/>
      <c r="I315" s="13"/>
      <c r="J315" s="13"/>
      <c r="K315" s="13"/>
      <c r="L315" s="13"/>
      <c r="M315" s="13"/>
    </row>
    <row r="316" spans="2:13" ht="16" customHeight="1" x14ac:dyDescent="0.45">
      <c r="B316" s="13"/>
      <c r="C316" s="9"/>
      <c r="D316" s="9"/>
      <c r="E316" s="13"/>
      <c r="F316" s="13"/>
      <c r="G316" s="13"/>
      <c r="H316" s="13"/>
      <c r="I316" s="13"/>
      <c r="J316" s="13"/>
      <c r="K316" s="13"/>
      <c r="L316" s="13"/>
      <c r="M316" s="13"/>
    </row>
    <row r="317" spans="2:13" ht="16" customHeight="1" x14ac:dyDescent="0.45">
      <c r="B317" s="13"/>
      <c r="C317" s="9"/>
      <c r="D317" s="9"/>
      <c r="E317" s="13"/>
      <c r="F317" s="13"/>
      <c r="G317" s="13"/>
      <c r="H317" s="13"/>
      <c r="I317" s="13"/>
      <c r="J317" s="13"/>
      <c r="K317" s="13"/>
      <c r="L317" s="13"/>
      <c r="M317" s="13"/>
    </row>
    <row r="318" spans="2:13" ht="16" customHeight="1" x14ac:dyDescent="0.45">
      <c r="B318" s="13"/>
      <c r="C318" s="9"/>
      <c r="D318" s="9"/>
      <c r="E318" s="13"/>
      <c r="F318" s="13"/>
      <c r="G318" s="13"/>
      <c r="H318" s="13"/>
      <c r="I318" s="13"/>
      <c r="J318" s="13"/>
      <c r="K318" s="13"/>
      <c r="L318" s="13"/>
      <c r="M318" s="13"/>
    </row>
    <row r="319" spans="2:13" ht="16" customHeight="1" x14ac:dyDescent="0.45">
      <c r="B319" s="13"/>
      <c r="C319" s="9"/>
      <c r="D319" s="9"/>
      <c r="E319" s="13"/>
      <c r="F319" s="13"/>
      <c r="G319" s="13"/>
      <c r="H319" s="13"/>
      <c r="I319" s="13"/>
      <c r="J319" s="13"/>
      <c r="K319" s="13"/>
      <c r="L319" s="13"/>
      <c r="M319" s="13"/>
    </row>
    <row r="320" spans="2:13" ht="16" customHeight="1" x14ac:dyDescent="0.45">
      <c r="B320" s="13"/>
      <c r="C320" s="9"/>
      <c r="D320" s="9"/>
      <c r="E320" s="13"/>
      <c r="F320" s="13"/>
      <c r="G320" s="13"/>
      <c r="H320" s="13"/>
      <c r="I320" s="13"/>
      <c r="J320" s="13"/>
      <c r="K320" s="13"/>
      <c r="L320" s="13"/>
      <c r="M320" s="13"/>
    </row>
    <row r="321" spans="2:13" ht="16" customHeight="1" x14ac:dyDescent="0.45">
      <c r="B321" s="13"/>
      <c r="C321" s="9"/>
      <c r="D321" s="9"/>
      <c r="E321" s="13"/>
      <c r="F321" s="13"/>
      <c r="G321" s="13"/>
      <c r="H321" s="13"/>
      <c r="I321" s="13"/>
      <c r="J321" s="13"/>
      <c r="K321" s="13"/>
      <c r="L321" s="13"/>
      <c r="M321" s="13"/>
    </row>
    <row r="322" spans="2:13" ht="16" customHeight="1" x14ac:dyDescent="0.45">
      <c r="B322" s="13"/>
      <c r="C322" s="9"/>
      <c r="D322" s="9"/>
      <c r="E322" s="13"/>
      <c r="F322" s="13"/>
      <c r="G322" s="13"/>
      <c r="H322" s="13"/>
      <c r="I322" s="13"/>
      <c r="J322" s="13"/>
      <c r="K322" s="13"/>
      <c r="L322" s="13"/>
      <c r="M322" s="13"/>
    </row>
    <row r="323" spans="2:13" ht="16" customHeight="1" x14ac:dyDescent="0.45">
      <c r="B323" s="13"/>
      <c r="C323" s="9"/>
      <c r="D323" s="9"/>
      <c r="E323" s="13"/>
      <c r="F323" s="13"/>
      <c r="G323" s="13"/>
      <c r="H323" s="13"/>
      <c r="I323" s="13"/>
      <c r="J323" s="13"/>
      <c r="K323" s="13"/>
      <c r="L323" s="13"/>
      <c r="M323" s="13"/>
    </row>
    <row r="324" spans="2:13" ht="16" customHeight="1" x14ac:dyDescent="0.45">
      <c r="B324" s="13"/>
      <c r="C324" s="9"/>
      <c r="D324" s="9"/>
      <c r="E324" s="13"/>
      <c r="F324" s="13"/>
      <c r="G324" s="13"/>
      <c r="H324" s="13"/>
      <c r="I324" s="13"/>
      <c r="J324" s="13"/>
      <c r="K324" s="13"/>
      <c r="L324" s="13"/>
      <c r="M324" s="13"/>
    </row>
    <row r="325" spans="2:13" ht="16" customHeight="1" x14ac:dyDescent="0.45">
      <c r="B325" s="13"/>
      <c r="C325" s="9"/>
      <c r="D325" s="9"/>
      <c r="E325" s="13"/>
      <c r="F325" s="13"/>
      <c r="G325" s="13"/>
      <c r="H325" s="13"/>
      <c r="I325" s="13"/>
      <c r="J325" s="13"/>
      <c r="K325" s="13"/>
      <c r="L325" s="13"/>
      <c r="M325" s="13"/>
    </row>
    <row r="326" spans="2:13" ht="16" customHeight="1" x14ac:dyDescent="0.45">
      <c r="B326" s="13"/>
      <c r="C326" s="9"/>
      <c r="D326" s="9"/>
      <c r="E326" s="13"/>
      <c r="F326" s="13"/>
      <c r="G326" s="13"/>
      <c r="H326" s="13"/>
      <c r="I326" s="13"/>
      <c r="J326" s="13"/>
      <c r="K326" s="13"/>
      <c r="L326" s="13"/>
      <c r="M326" s="13"/>
    </row>
    <row r="327" spans="2:13" ht="16" customHeight="1" x14ac:dyDescent="0.45">
      <c r="B327" s="13"/>
      <c r="C327" s="9"/>
      <c r="D327" s="9"/>
      <c r="E327" s="13"/>
      <c r="F327" s="13"/>
      <c r="G327" s="13"/>
      <c r="H327" s="13"/>
      <c r="I327" s="13"/>
      <c r="J327" s="13"/>
      <c r="K327" s="13"/>
      <c r="L327" s="13"/>
      <c r="M327" s="13"/>
    </row>
    <row r="328" spans="2:13" ht="16" customHeight="1" x14ac:dyDescent="0.45">
      <c r="B328" s="13"/>
      <c r="C328" s="9"/>
      <c r="D328" s="9"/>
      <c r="E328" s="13"/>
      <c r="F328" s="13"/>
      <c r="G328" s="13"/>
      <c r="H328" s="13"/>
      <c r="I328" s="13"/>
      <c r="J328" s="13"/>
      <c r="K328" s="13"/>
      <c r="L328" s="13"/>
      <c r="M328" s="13"/>
    </row>
    <row r="329" spans="2:13" ht="16" customHeight="1" x14ac:dyDescent="0.45">
      <c r="B329" s="13"/>
      <c r="C329" s="9"/>
      <c r="D329" s="9"/>
      <c r="E329" s="13"/>
      <c r="F329" s="13"/>
      <c r="G329" s="13"/>
      <c r="H329" s="13"/>
      <c r="I329" s="13"/>
      <c r="J329" s="13"/>
      <c r="K329" s="13"/>
      <c r="L329" s="13"/>
      <c r="M329" s="13"/>
    </row>
    <row r="330" spans="2:13" ht="16" customHeight="1" x14ac:dyDescent="0.45">
      <c r="B330" s="13"/>
      <c r="C330" s="9"/>
      <c r="D330" s="9"/>
      <c r="E330" s="13"/>
      <c r="F330" s="13"/>
      <c r="G330" s="13"/>
      <c r="H330" s="13"/>
      <c r="I330" s="13"/>
      <c r="J330" s="13"/>
      <c r="K330" s="13"/>
      <c r="L330" s="13"/>
      <c r="M330" s="13"/>
    </row>
    <row r="331" spans="2:13" ht="16" customHeight="1" x14ac:dyDescent="0.45">
      <c r="B331" s="13"/>
      <c r="C331" s="9"/>
      <c r="D331" s="9"/>
      <c r="E331" s="13"/>
      <c r="F331" s="13"/>
      <c r="G331" s="13"/>
      <c r="H331" s="13"/>
      <c r="I331" s="13"/>
      <c r="J331" s="13"/>
      <c r="K331" s="13"/>
      <c r="L331" s="13"/>
      <c r="M331" s="13"/>
    </row>
    <row r="332" spans="2:13" ht="16" customHeight="1" x14ac:dyDescent="0.45">
      <c r="B332" s="13"/>
      <c r="C332" s="9"/>
      <c r="D332" s="9"/>
      <c r="E332" s="13"/>
      <c r="F332" s="13"/>
      <c r="G332" s="13"/>
      <c r="H332" s="13"/>
      <c r="I332" s="13"/>
      <c r="J332" s="13"/>
      <c r="K332" s="13"/>
      <c r="L332" s="13"/>
      <c r="M332" s="13"/>
    </row>
    <row r="333" spans="2:13" ht="16" customHeight="1" x14ac:dyDescent="0.45">
      <c r="B333" s="13"/>
      <c r="C333" s="9"/>
      <c r="D333" s="9"/>
      <c r="E333" s="13"/>
      <c r="F333" s="13"/>
      <c r="G333" s="13"/>
      <c r="H333" s="13"/>
      <c r="I333" s="13"/>
      <c r="J333" s="13"/>
      <c r="K333" s="13"/>
      <c r="L333" s="13"/>
      <c r="M333" s="13"/>
    </row>
    <row r="334" spans="2:13" ht="16" customHeight="1" x14ac:dyDescent="0.45">
      <c r="B334" s="13"/>
      <c r="C334" s="9"/>
      <c r="D334" s="9"/>
      <c r="E334" s="13"/>
      <c r="F334" s="13"/>
      <c r="G334" s="13"/>
      <c r="H334" s="13"/>
      <c r="I334" s="13"/>
      <c r="J334" s="13"/>
      <c r="K334" s="13"/>
      <c r="L334" s="13"/>
      <c r="M334" s="13"/>
    </row>
    <row r="335" spans="2:13" ht="16" customHeight="1" x14ac:dyDescent="0.45">
      <c r="B335" s="13"/>
      <c r="C335" s="9"/>
      <c r="D335" s="9"/>
      <c r="E335" s="13"/>
      <c r="F335" s="13"/>
      <c r="G335" s="13"/>
      <c r="H335" s="13"/>
      <c r="I335" s="13"/>
      <c r="J335" s="13"/>
      <c r="K335" s="13"/>
      <c r="L335" s="13"/>
      <c r="M335" s="13"/>
    </row>
    <row r="336" spans="2:13" ht="16" customHeight="1" x14ac:dyDescent="0.45">
      <c r="B336" s="13"/>
      <c r="C336" s="9"/>
      <c r="D336" s="9"/>
      <c r="E336" s="13"/>
      <c r="F336" s="13"/>
      <c r="G336" s="13"/>
      <c r="H336" s="13"/>
      <c r="I336" s="13"/>
      <c r="J336" s="13"/>
      <c r="K336" s="13"/>
      <c r="L336" s="13"/>
      <c r="M336" s="13"/>
    </row>
    <row r="337" spans="2:13" ht="16" customHeight="1" x14ac:dyDescent="0.45">
      <c r="B337" s="13"/>
      <c r="C337" s="9"/>
      <c r="D337" s="9"/>
      <c r="E337" s="13"/>
      <c r="F337" s="13"/>
      <c r="G337" s="13"/>
      <c r="H337" s="13"/>
      <c r="I337" s="13"/>
      <c r="J337" s="13"/>
      <c r="K337" s="13"/>
      <c r="L337" s="13"/>
      <c r="M337" s="13"/>
    </row>
    <row r="338" spans="2:13" ht="16" customHeight="1" x14ac:dyDescent="0.45">
      <c r="B338" s="13"/>
      <c r="C338" s="9"/>
      <c r="D338" s="9"/>
      <c r="E338" s="13"/>
      <c r="F338" s="13"/>
      <c r="G338" s="13"/>
      <c r="H338" s="13"/>
      <c r="I338" s="13"/>
      <c r="J338" s="13"/>
      <c r="K338" s="13"/>
      <c r="L338" s="13"/>
      <c r="M338" s="13"/>
    </row>
    <row r="339" spans="2:13" ht="16" customHeight="1" x14ac:dyDescent="0.45">
      <c r="B339" s="13"/>
      <c r="C339" s="9"/>
      <c r="D339" s="9"/>
      <c r="E339" s="13"/>
      <c r="F339" s="13"/>
      <c r="G339" s="13"/>
      <c r="H339" s="13"/>
      <c r="I339" s="13"/>
      <c r="J339" s="13"/>
      <c r="K339" s="13"/>
      <c r="L339" s="13"/>
      <c r="M339" s="13"/>
    </row>
    <row r="340" spans="2:13" ht="16" customHeight="1" x14ac:dyDescent="0.45">
      <c r="B340" s="13"/>
      <c r="C340" s="9"/>
      <c r="D340" s="9"/>
      <c r="E340" s="13"/>
      <c r="F340" s="13"/>
      <c r="G340" s="13"/>
      <c r="H340" s="13"/>
      <c r="I340" s="13"/>
      <c r="J340" s="13"/>
      <c r="K340" s="13"/>
      <c r="L340" s="13"/>
      <c r="M340" s="13"/>
    </row>
    <row r="341" spans="2:13" ht="16" customHeight="1" x14ac:dyDescent="0.45">
      <c r="B341" s="13"/>
      <c r="C341" s="9"/>
      <c r="D341" s="9"/>
      <c r="E341" s="13"/>
      <c r="F341" s="13"/>
      <c r="G341" s="13"/>
      <c r="H341" s="13"/>
      <c r="I341" s="13"/>
      <c r="J341" s="13"/>
      <c r="K341" s="13"/>
      <c r="L341" s="13"/>
      <c r="M341" s="13"/>
    </row>
    <row r="342" spans="2:13" ht="16" customHeight="1" x14ac:dyDescent="0.45">
      <c r="B342" s="13"/>
      <c r="C342" s="9"/>
      <c r="D342" s="9"/>
      <c r="E342" s="13"/>
      <c r="F342" s="13"/>
      <c r="G342" s="13"/>
      <c r="H342" s="13"/>
      <c r="I342" s="13"/>
      <c r="J342" s="13"/>
      <c r="K342" s="13"/>
      <c r="L342" s="13"/>
      <c r="M342" s="13"/>
    </row>
    <row r="343" spans="2:13" ht="16" customHeight="1" x14ac:dyDescent="0.45">
      <c r="B343" s="13"/>
      <c r="C343" s="9"/>
      <c r="D343" s="9"/>
      <c r="E343" s="13"/>
      <c r="F343" s="13"/>
      <c r="G343" s="13"/>
      <c r="H343" s="13"/>
      <c r="I343" s="13"/>
      <c r="J343" s="13"/>
      <c r="K343" s="13"/>
      <c r="L343" s="13"/>
      <c r="M343" s="13"/>
    </row>
    <row r="344" spans="2:13" ht="16" customHeight="1" x14ac:dyDescent="0.45">
      <c r="B344" s="13"/>
      <c r="C344" s="9"/>
      <c r="D344" s="9"/>
      <c r="E344" s="13"/>
      <c r="F344" s="13"/>
      <c r="G344" s="13"/>
      <c r="H344" s="13"/>
      <c r="I344" s="13"/>
      <c r="J344" s="13"/>
      <c r="K344" s="13"/>
      <c r="L344" s="13"/>
      <c r="M344" s="13"/>
    </row>
    <row r="345" spans="2:13" ht="16" customHeight="1" x14ac:dyDescent="0.45">
      <c r="B345" s="13"/>
      <c r="C345" s="9"/>
      <c r="D345" s="9"/>
      <c r="E345" s="13"/>
      <c r="F345" s="13"/>
      <c r="G345" s="13"/>
      <c r="H345" s="13"/>
      <c r="I345" s="13"/>
      <c r="J345" s="13"/>
      <c r="K345" s="13"/>
      <c r="L345" s="13"/>
      <c r="M345" s="13"/>
    </row>
    <row r="346" spans="2:13" ht="16" customHeight="1" x14ac:dyDescent="0.45">
      <c r="B346" s="13"/>
      <c r="C346" s="9"/>
      <c r="D346" s="9"/>
      <c r="E346" s="13"/>
      <c r="F346" s="13"/>
      <c r="G346" s="13"/>
      <c r="H346" s="13"/>
      <c r="I346" s="13"/>
      <c r="J346" s="13"/>
      <c r="K346" s="13"/>
      <c r="L346" s="13"/>
      <c r="M346" s="13"/>
    </row>
    <row r="347" spans="2:13" ht="16" customHeight="1" x14ac:dyDescent="0.45">
      <c r="B347" s="13"/>
      <c r="C347" s="9"/>
      <c r="D347" s="9"/>
      <c r="E347" s="13"/>
      <c r="F347" s="13"/>
      <c r="G347" s="13"/>
      <c r="H347" s="13"/>
      <c r="I347" s="13"/>
      <c r="J347" s="13"/>
      <c r="K347" s="13"/>
      <c r="L347" s="13"/>
      <c r="M347" s="13"/>
    </row>
    <row r="348" spans="2:13" ht="16" customHeight="1" x14ac:dyDescent="0.45">
      <c r="B348" s="13"/>
      <c r="C348" s="9"/>
      <c r="D348" s="9"/>
      <c r="E348" s="13"/>
      <c r="F348" s="13"/>
      <c r="G348" s="13"/>
      <c r="H348" s="13"/>
      <c r="I348" s="13"/>
      <c r="J348" s="13"/>
      <c r="K348" s="13"/>
      <c r="L348" s="13"/>
      <c r="M348" s="13"/>
    </row>
    <row r="349" spans="2:13" ht="16" customHeight="1" x14ac:dyDescent="0.45">
      <c r="B349" s="13"/>
      <c r="C349" s="9"/>
      <c r="D349" s="9"/>
      <c r="E349" s="13"/>
      <c r="F349" s="13"/>
      <c r="G349" s="13"/>
      <c r="H349" s="13"/>
      <c r="I349" s="13"/>
      <c r="J349" s="13"/>
      <c r="K349" s="13"/>
      <c r="L349" s="13"/>
      <c r="M349" s="13"/>
    </row>
    <row r="350" spans="2:13" ht="16" customHeight="1" x14ac:dyDescent="0.45">
      <c r="B350" s="13"/>
      <c r="C350" s="9"/>
      <c r="D350" s="9"/>
      <c r="E350" s="13"/>
      <c r="F350" s="13"/>
      <c r="G350" s="13"/>
      <c r="H350" s="13"/>
      <c r="I350" s="13"/>
      <c r="J350" s="13"/>
      <c r="K350" s="13"/>
      <c r="L350" s="13"/>
      <c r="M350" s="13"/>
    </row>
    <row r="351" spans="2:13" ht="16" customHeight="1" x14ac:dyDescent="0.45">
      <c r="B351" s="13"/>
      <c r="C351" s="9"/>
      <c r="D351" s="9"/>
      <c r="E351" s="13"/>
      <c r="F351" s="13"/>
      <c r="G351" s="13"/>
      <c r="H351" s="13"/>
      <c r="I351" s="13"/>
      <c r="J351" s="13"/>
      <c r="K351" s="13"/>
      <c r="L351" s="13"/>
      <c r="M351" s="13"/>
    </row>
    <row r="352" spans="2:13" ht="16" customHeight="1" x14ac:dyDescent="0.45">
      <c r="B352" s="13"/>
      <c r="C352" s="9"/>
      <c r="D352" s="9"/>
      <c r="E352" s="13"/>
      <c r="F352" s="13"/>
      <c r="G352" s="13"/>
      <c r="H352" s="13"/>
      <c r="I352" s="13"/>
      <c r="J352" s="13"/>
      <c r="K352" s="13"/>
      <c r="L352" s="13"/>
      <c r="M352" s="13"/>
    </row>
    <row r="353" spans="2:13" ht="16" customHeight="1" x14ac:dyDescent="0.45">
      <c r="B353" s="13"/>
      <c r="C353" s="9"/>
      <c r="D353" s="9"/>
      <c r="E353" s="13"/>
      <c r="F353" s="13"/>
      <c r="G353" s="13"/>
      <c r="H353" s="13"/>
      <c r="I353" s="13"/>
      <c r="J353" s="13"/>
      <c r="K353" s="13"/>
      <c r="L353" s="13"/>
      <c r="M353" s="13"/>
    </row>
    <row r="354" spans="2:13" ht="16" customHeight="1" x14ac:dyDescent="0.45">
      <c r="B354" s="13"/>
      <c r="C354" s="9"/>
      <c r="D354" s="9"/>
      <c r="E354" s="13"/>
      <c r="F354" s="13"/>
      <c r="G354" s="13"/>
      <c r="H354" s="13"/>
      <c r="I354" s="13"/>
      <c r="J354" s="13"/>
      <c r="K354" s="13"/>
      <c r="L354" s="13"/>
      <c r="M354" s="13"/>
    </row>
    <row r="355" spans="2:13" ht="16" customHeight="1" x14ac:dyDescent="0.45">
      <c r="B355" s="13"/>
      <c r="C355" s="9"/>
      <c r="D355" s="9"/>
      <c r="E355" s="13"/>
      <c r="F355" s="13"/>
      <c r="G355" s="13"/>
      <c r="H355" s="13"/>
      <c r="I355" s="13"/>
      <c r="J355" s="13"/>
      <c r="K355" s="13"/>
      <c r="L355" s="13"/>
      <c r="M355" s="13"/>
    </row>
    <row r="356" spans="2:13" ht="16" customHeight="1" x14ac:dyDescent="0.45">
      <c r="B356" s="13"/>
      <c r="C356" s="9"/>
      <c r="D356" s="9"/>
      <c r="E356" s="13"/>
      <c r="F356" s="13"/>
      <c r="G356" s="13"/>
      <c r="H356" s="13"/>
      <c r="I356" s="13"/>
      <c r="J356" s="13"/>
      <c r="K356" s="13"/>
      <c r="L356" s="13"/>
      <c r="M356" s="13"/>
    </row>
    <row r="357" spans="2:13" ht="16" customHeight="1" x14ac:dyDescent="0.45">
      <c r="B357" s="13"/>
      <c r="C357" s="9"/>
      <c r="D357" s="9"/>
      <c r="E357" s="13"/>
      <c r="F357" s="13"/>
      <c r="G357" s="13"/>
      <c r="H357" s="13"/>
      <c r="I357" s="13"/>
      <c r="J357" s="13"/>
      <c r="K357" s="13"/>
      <c r="L357" s="13"/>
      <c r="M357" s="13"/>
    </row>
    <row r="358" spans="2:13" ht="16" customHeight="1" x14ac:dyDescent="0.45">
      <c r="B358" s="13"/>
      <c r="C358" s="9"/>
      <c r="D358" s="9"/>
      <c r="E358" s="13"/>
      <c r="F358" s="13"/>
      <c r="G358" s="13"/>
      <c r="H358" s="13"/>
      <c r="I358" s="13"/>
      <c r="J358" s="13"/>
      <c r="K358" s="13"/>
      <c r="L358" s="13"/>
      <c r="M358" s="13"/>
    </row>
    <row r="359" spans="2:13" ht="16" customHeight="1" x14ac:dyDescent="0.45">
      <c r="B359" s="13"/>
      <c r="C359" s="9"/>
      <c r="D359" s="9"/>
      <c r="E359" s="13"/>
      <c r="F359" s="13"/>
      <c r="G359" s="13"/>
      <c r="H359" s="13"/>
      <c r="I359" s="13"/>
      <c r="J359" s="13"/>
      <c r="K359" s="13"/>
      <c r="L359" s="13"/>
      <c r="M359" s="13"/>
    </row>
    <row r="360" spans="2:13" ht="16" customHeight="1" x14ac:dyDescent="0.45">
      <c r="B360" s="13"/>
      <c r="C360" s="9"/>
      <c r="D360" s="9"/>
      <c r="E360" s="13"/>
      <c r="F360" s="13"/>
      <c r="G360" s="13"/>
      <c r="H360" s="13"/>
      <c r="I360" s="13"/>
      <c r="J360" s="13"/>
      <c r="K360" s="13"/>
      <c r="L360" s="13"/>
      <c r="M360" s="13"/>
    </row>
    <row r="361" spans="2:13" ht="16" customHeight="1" x14ac:dyDescent="0.45">
      <c r="B361" s="13"/>
      <c r="C361" s="9"/>
      <c r="D361" s="9"/>
      <c r="E361" s="13"/>
      <c r="F361" s="13"/>
      <c r="G361" s="13"/>
      <c r="H361" s="13"/>
      <c r="I361" s="13"/>
      <c r="J361" s="13"/>
      <c r="K361" s="13"/>
      <c r="L361" s="13"/>
      <c r="M361" s="13"/>
    </row>
    <row r="362" spans="2:13" ht="16" customHeight="1" x14ac:dyDescent="0.45">
      <c r="B362" s="13"/>
      <c r="C362" s="9"/>
      <c r="D362" s="9"/>
      <c r="E362" s="13"/>
      <c r="F362" s="13"/>
      <c r="G362" s="13"/>
      <c r="H362" s="13"/>
      <c r="I362" s="13"/>
      <c r="J362" s="13"/>
      <c r="K362" s="13"/>
      <c r="L362" s="13"/>
      <c r="M362" s="13"/>
    </row>
    <row r="363" spans="2:13" ht="16" customHeight="1" x14ac:dyDescent="0.45">
      <c r="B363" s="13"/>
      <c r="C363" s="9"/>
      <c r="D363" s="9"/>
      <c r="E363" s="13"/>
      <c r="F363" s="13"/>
      <c r="G363" s="13"/>
      <c r="H363" s="13"/>
      <c r="I363" s="13"/>
      <c r="J363" s="13"/>
      <c r="K363" s="13"/>
      <c r="L363" s="13"/>
      <c r="M363" s="13"/>
    </row>
    <row r="364" spans="2:13" ht="16" customHeight="1" x14ac:dyDescent="0.45">
      <c r="B364" s="13"/>
      <c r="C364" s="9"/>
      <c r="D364" s="9"/>
      <c r="E364" s="13"/>
      <c r="F364" s="13"/>
      <c r="G364" s="13"/>
      <c r="H364" s="13"/>
      <c r="I364" s="13"/>
      <c r="J364" s="13"/>
      <c r="K364" s="13"/>
      <c r="L364" s="13"/>
      <c r="M364" s="13"/>
    </row>
    <row r="365" spans="2:13" ht="16" customHeight="1" x14ac:dyDescent="0.45">
      <c r="B365" s="13"/>
      <c r="C365" s="9"/>
      <c r="D365" s="9"/>
      <c r="E365" s="13"/>
      <c r="F365" s="13"/>
      <c r="G365" s="13"/>
      <c r="H365" s="13"/>
      <c r="I365" s="13"/>
      <c r="J365" s="13"/>
      <c r="K365" s="13"/>
      <c r="L365" s="13"/>
      <c r="M365" s="13"/>
    </row>
    <row r="366" spans="2:13" ht="16" customHeight="1" x14ac:dyDescent="0.45">
      <c r="B366" s="13"/>
      <c r="C366" s="9"/>
      <c r="D366" s="9"/>
      <c r="E366" s="13"/>
      <c r="F366" s="13"/>
      <c r="G366" s="13"/>
      <c r="H366" s="13"/>
      <c r="I366" s="13"/>
      <c r="J366" s="13"/>
      <c r="K366" s="13"/>
      <c r="L366" s="13"/>
      <c r="M366" s="13"/>
    </row>
    <row r="367" spans="2:13" ht="16" customHeight="1" x14ac:dyDescent="0.45">
      <c r="B367" s="13"/>
      <c r="C367" s="9"/>
      <c r="D367" s="9"/>
      <c r="E367" s="13"/>
      <c r="F367" s="13"/>
      <c r="G367" s="13"/>
      <c r="H367" s="13"/>
      <c r="I367" s="13"/>
      <c r="J367" s="13"/>
      <c r="K367" s="13"/>
      <c r="L367" s="13"/>
      <c r="M367" s="13"/>
    </row>
    <row r="368" spans="2:13" ht="16" customHeight="1" x14ac:dyDescent="0.45">
      <c r="B368" s="13"/>
      <c r="C368" s="9"/>
      <c r="D368" s="9"/>
      <c r="E368" s="13"/>
      <c r="F368" s="13"/>
      <c r="G368" s="13"/>
      <c r="H368" s="13"/>
      <c r="I368" s="13"/>
      <c r="J368" s="13"/>
      <c r="K368" s="13"/>
      <c r="L368" s="13"/>
      <c r="M368" s="13"/>
    </row>
    <row r="369" spans="2:13" ht="16" customHeight="1" x14ac:dyDescent="0.45">
      <c r="B369" s="13"/>
      <c r="C369" s="9"/>
      <c r="D369" s="9"/>
      <c r="E369" s="13"/>
      <c r="F369" s="13"/>
      <c r="G369" s="13"/>
      <c r="H369" s="13"/>
      <c r="I369" s="13"/>
      <c r="J369" s="13"/>
      <c r="K369" s="13"/>
      <c r="L369" s="13"/>
      <c r="M369" s="13"/>
    </row>
    <row r="370" spans="2:13" ht="16" customHeight="1" x14ac:dyDescent="0.45">
      <c r="B370" s="13"/>
      <c r="C370" s="9"/>
      <c r="D370" s="9"/>
      <c r="E370" s="13"/>
      <c r="F370" s="13"/>
      <c r="G370" s="13"/>
      <c r="H370" s="13"/>
      <c r="I370" s="13"/>
      <c r="J370" s="13"/>
      <c r="K370" s="13"/>
      <c r="L370" s="13"/>
      <c r="M370" s="13"/>
    </row>
    <row r="371" spans="2:13" ht="16" customHeight="1" x14ac:dyDescent="0.45">
      <c r="B371" s="13"/>
      <c r="C371" s="9"/>
      <c r="D371" s="9"/>
      <c r="E371" s="13"/>
      <c r="F371" s="13"/>
      <c r="G371" s="13"/>
      <c r="H371" s="13"/>
      <c r="I371" s="13"/>
      <c r="J371" s="13"/>
      <c r="K371" s="13"/>
      <c r="L371" s="13"/>
      <c r="M371" s="13"/>
    </row>
    <row r="372" spans="2:13" ht="16" customHeight="1" x14ac:dyDescent="0.45">
      <c r="B372" s="13"/>
      <c r="C372" s="9"/>
      <c r="D372" s="9"/>
      <c r="E372" s="13"/>
      <c r="F372" s="13"/>
      <c r="G372" s="13"/>
      <c r="H372" s="13"/>
      <c r="I372" s="13"/>
      <c r="J372" s="13"/>
      <c r="K372" s="13"/>
      <c r="L372" s="13"/>
      <c r="M372" s="13"/>
    </row>
    <row r="373" spans="2:13" ht="16" customHeight="1" x14ac:dyDescent="0.45">
      <c r="B373" s="13"/>
      <c r="C373" s="9"/>
      <c r="D373" s="9"/>
      <c r="E373" s="13"/>
      <c r="F373" s="13"/>
      <c r="G373" s="13"/>
      <c r="H373" s="13"/>
      <c r="I373" s="13"/>
      <c r="J373" s="13"/>
      <c r="K373" s="13"/>
      <c r="L373" s="13"/>
      <c r="M373" s="13"/>
    </row>
    <row r="374" spans="2:13" ht="16" customHeight="1" x14ac:dyDescent="0.45">
      <c r="B374" s="13"/>
      <c r="C374" s="9"/>
      <c r="D374" s="9"/>
      <c r="E374" s="13"/>
      <c r="F374" s="13"/>
      <c r="G374" s="13"/>
      <c r="H374" s="13"/>
      <c r="I374" s="13"/>
      <c r="J374" s="13"/>
      <c r="K374" s="13"/>
      <c r="L374" s="13"/>
      <c r="M374" s="13"/>
    </row>
    <row r="375" spans="2:13" ht="16" customHeight="1" x14ac:dyDescent="0.45">
      <c r="B375" s="13"/>
      <c r="C375" s="9"/>
      <c r="D375" s="9"/>
      <c r="E375" s="13"/>
      <c r="F375" s="13"/>
      <c r="G375" s="13"/>
      <c r="H375" s="13"/>
      <c r="I375" s="13"/>
      <c r="J375" s="13"/>
      <c r="K375" s="13"/>
      <c r="L375" s="13"/>
      <c r="M375" s="13"/>
    </row>
    <row r="376" spans="2:13" ht="16" customHeight="1" x14ac:dyDescent="0.45">
      <c r="B376" s="13"/>
      <c r="C376" s="9"/>
      <c r="D376" s="9"/>
      <c r="E376" s="13"/>
      <c r="F376" s="13"/>
      <c r="G376" s="13"/>
      <c r="H376" s="13"/>
      <c r="I376" s="13"/>
      <c r="J376" s="13"/>
      <c r="K376" s="13"/>
      <c r="L376" s="13"/>
      <c r="M376" s="13"/>
    </row>
    <row r="377" spans="2:13" ht="16" customHeight="1" x14ac:dyDescent="0.45">
      <c r="B377" s="13"/>
      <c r="C377" s="9"/>
      <c r="D377" s="9"/>
      <c r="E377" s="13"/>
      <c r="F377" s="13"/>
      <c r="G377" s="13"/>
      <c r="H377" s="13"/>
      <c r="I377" s="13"/>
      <c r="J377" s="13"/>
      <c r="K377" s="13"/>
      <c r="L377" s="13"/>
      <c r="M377" s="13"/>
    </row>
    <row r="378" spans="2:13" ht="16" customHeight="1" x14ac:dyDescent="0.45">
      <c r="B378" s="13"/>
      <c r="C378" s="9"/>
      <c r="D378" s="9"/>
      <c r="E378" s="13"/>
      <c r="F378" s="13"/>
      <c r="G378" s="13"/>
      <c r="H378" s="13"/>
      <c r="I378" s="13"/>
      <c r="J378" s="13"/>
      <c r="K378" s="13"/>
      <c r="L378" s="13"/>
      <c r="M378" s="13"/>
    </row>
  </sheetData>
  <mergeCells count="1">
    <mergeCell ref="B6:C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4D618-8B46-40A5-A55C-1664906DF5D4}">
  <dimension ref="A3:S274"/>
  <sheetViews>
    <sheetView showGridLines="0" workbookViewId="0">
      <pane xSplit="4" topLeftCell="E1" activePane="topRight" state="frozen"/>
      <selection pane="topRight" activeCell="B4" sqref="B4:C4"/>
    </sheetView>
  </sheetViews>
  <sheetFormatPr defaultColWidth="9.1796875" defaultRowHeight="16" customHeight="1" x14ac:dyDescent="0.35"/>
  <cols>
    <col min="1" max="1" width="2.26953125" style="1" customWidth="1"/>
    <col min="2" max="2" width="10.7265625" style="1" customWidth="1"/>
    <col min="3" max="3" width="55.7265625" style="1" customWidth="1"/>
    <col min="4" max="4" width="17" style="1" customWidth="1"/>
    <col min="5" max="5" width="20.453125" style="1" customWidth="1"/>
    <col min="6" max="26" width="14.7265625" style="1" customWidth="1"/>
    <col min="27" max="16384" width="9.1796875" style="1"/>
  </cols>
  <sheetData>
    <row r="3" spans="1:19" ht="16" customHeight="1" x14ac:dyDescent="0.35">
      <c r="B3" s="2" t="s">
        <v>1043</v>
      </c>
      <c r="G3" s="3"/>
    </row>
    <row r="4" spans="1:19" ht="16" customHeight="1" x14ac:dyDescent="0.35">
      <c r="B4" s="33" t="s">
        <v>270</v>
      </c>
      <c r="C4" s="33"/>
    </row>
    <row r="5" spans="1:19" ht="16" customHeight="1" x14ac:dyDescent="0.35">
      <c r="B5" s="4" t="s">
        <v>271</v>
      </c>
    </row>
    <row r="6" spans="1:19" ht="16" customHeight="1" x14ac:dyDescent="0.35">
      <c r="B6" s="4" t="s">
        <v>1044</v>
      </c>
    </row>
    <row r="7" spans="1:19" ht="16" customHeight="1" x14ac:dyDescent="0.35">
      <c r="A7" s="5"/>
      <c r="B7" s="4" t="s">
        <v>272</v>
      </c>
    </row>
    <row r="8" spans="1:19" ht="16" customHeight="1" x14ac:dyDescent="0.35">
      <c r="A8" s="5"/>
      <c r="B8" s="6">
        <v>46194.597314583334</v>
      </c>
      <c r="C8" s="6"/>
    </row>
    <row r="9" spans="1:19" ht="69.75" customHeight="1" thickBot="1" x14ac:dyDescent="0.5">
      <c r="B9" s="7"/>
      <c r="C9" s="7"/>
      <c r="D9" s="8" t="s">
        <v>268</v>
      </c>
      <c r="E9" s="8" t="s">
        <v>1018</v>
      </c>
      <c r="F9" s="8" t="s">
        <v>1023</v>
      </c>
      <c r="G9" s="8" t="s">
        <v>1024</v>
      </c>
      <c r="H9" s="8" t="s">
        <v>1027</v>
      </c>
      <c r="I9" s="8" t="s">
        <v>1028</v>
      </c>
      <c r="J9" s="8" t="s">
        <v>1029</v>
      </c>
      <c r="K9" s="8" t="s">
        <v>1033</v>
      </c>
      <c r="L9" s="8" t="s">
        <v>1042</v>
      </c>
      <c r="M9" s="9"/>
      <c r="N9" s="9"/>
      <c r="O9" s="9"/>
      <c r="P9" s="9"/>
      <c r="Q9" s="9"/>
      <c r="R9" s="9"/>
      <c r="S9" s="9"/>
    </row>
    <row r="10" spans="1:19" ht="16" customHeight="1" x14ac:dyDescent="0.45">
      <c r="B10" s="10"/>
      <c r="C10" s="11"/>
      <c r="D10" s="29"/>
      <c r="E10" s="29"/>
      <c r="F10" s="29"/>
      <c r="G10" s="29"/>
      <c r="H10" s="29"/>
      <c r="I10" s="29"/>
      <c r="J10" s="29"/>
      <c r="K10" s="29"/>
      <c r="L10" s="29"/>
      <c r="M10" s="9"/>
      <c r="N10" s="9"/>
      <c r="O10" s="13"/>
      <c r="P10" s="13"/>
      <c r="Q10" s="13"/>
      <c r="R10" s="13"/>
      <c r="S10" s="13"/>
    </row>
    <row r="11" spans="1:19" ht="16" customHeight="1" x14ac:dyDescent="0.45">
      <c r="B11" s="14" t="s">
        <v>285</v>
      </c>
      <c r="C11" s="14" t="s">
        <v>286</v>
      </c>
      <c r="D11" s="30">
        <f>E11+F11+G11+H11+I11+J11+K11+L11</f>
        <v>3641.1020899999999</v>
      </c>
      <c r="E11" s="30"/>
      <c r="F11" s="30"/>
      <c r="G11" s="30"/>
      <c r="H11" s="30"/>
      <c r="I11" s="30"/>
      <c r="J11" s="30"/>
      <c r="K11" s="30"/>
      <c r="L11" s="30">
        <v>3641.1020899999999</v>
      </c>
      <c r="M11" s="13"/>
      <c r="N11" s="13"/>
      <c r="O11" s="13"/>
      <c r="P11" s="13"/>
      <c r="Q11" s="13"/>
      <c r="R11" s="13"/>
      <c r="S11" s="13"/>
    </row>
    <row r="12" spans="1:19" ht="16" customHeight="1" x14ac:dyDescent="0.45">
      <c r="B12" s="14" t="s">
        <v>287</v>
      </c>
      <c r="C12" s="14" t="s">
        <v>288</v>
      </c>
      <c r="D12" s="30">
        <f>E12+F12+G12+H12+I12+J12+K12+L12</f>
        <v>0</v>
      </c>
      <c r="E12" s="30"/>
      <c r="F12" s="30"/>
      <c r="G12" s="30"/>
      <c r="H12" s="30"/>
      <c r="I12" s="30"/>
      <c r="J12" s="30"/>
      <c r="K12" s="30"/>
      <c r="L12" s="30"/>
      <c r="M12" s="13"/>
      <c r="N12" s="13"/>
    </row>
    <row r="13" spans="1:19" ht="16" customHeight="1" x14ac:dyDescent="0.35">
      <c r="B13" s="16" t="s">
        <v>289</v>
      </c>
      <c r="C13" s="16" t="s">
        <v>290</v>
      </c>
      <c r="D13" s="31">
        <f t="shared" ref="D13:L13" si="0">D11+D12</f>
        <v>3641.1020899999999</v>
      </c>
      <c r="E13" s="31">
        <f t="shared" si="0"/>
        <v>0</v>
      </c>
      <c r="F13" s="31">
        <f t="shared" si="0"/>
        <v>0</v>
      </c>
      <c r="G13" s="31">
        <f t="shared" si="0"/>
        <v>0</v>
      </c>
      <c r="H13" s="31">
        <f t="shared" si="0"/>
        <v>0</v>
      </c>
      <c r="I13" s="31">
        <f t="shared" si="0"/>
        <v>0</v>
      </c>
      <c r="J13" s="31">
        <f t="shared" si="0"/>
        <v>0</v>
      </c>
      <c r="K13" s="31">
        <f t="shared" si="0"/>
        <v>0</v>
      </c>
      <c r="L13" s="31">
        <f t="shared" si="0"/>
        <v>3641.1020899999999</v>
      </c>
    </row>
    <row r="14" spans="1:19" ht="16" customHeight="1" x14ac:dyDescent="0.35">
      <c r="B14" s="11" t="s">
        <v>21</v>
      </c>
      <c r="C14" s="11" t="s">
        <v>22</v>
      </c>
      <c r="D14" s="29"/>
      <c r="E14" s="29"/>
      <c r="F14" s="29"/>
      <c r="G14" s="29"/>
      <c r="H14" s="29"/>
      <c r="I14" s="29"/>
      <c r="J14" s="29"/>
      <c r="K14" s="29"/>
      <c r="L14" s="29"/>
    </row>
    <row r="15" spans="1:19" ht="16" customHeight="1" x14ac:dyDescent="0.35">
      <c r="B15" s="14" t="s">
        <v>291</v>
      </c>
      <c r="C15" s="14" t="s">
        <v>292</v>
      </c>
      <c r="D15" s="30">
        <f>E15+F15+G15+H15+I15+J15+K15+L15</f>
        <v>0</v>
      </c>
      <c r="E15" s="30"/>
      <c r="F15" s="30"/>
      <c r="G15" s="30"/>
      <c r="H15" s="30"/>
      <c r="I15" s="30"/>
      <c r="J15" s="30"/>
      <c r="K15" s="30"/>
      <c r="L15" s="30"/>
    </row>
    <row r="16" spans="1:19" ht="16" customHeight="1" x14ac:dyDescent="0.35">
      <c r="B16" s="14" t="s">
        <v>293</v>
      </c>
      <c r="C16" s="14" t="s">
        <v>294</v>
      </c>
      <c r="D16" s="30">
        <f>E16+F16+G16+H16+I16+J16+K16+L16</f>
        <v>0</v>
      </c>
      <c r="E16" s="30"/>
      <c r="F16" s="30"/>
      <c r="G16" s="30"/>
      <c r="H16" s="30"/>
      <c r="I16" s="30"/>
      <c r="J16" s="30"/>
      <c r="K16" s="30"/>
      <c r="L16" s="30"/>
    </row>
    <row r="17" spans="2:12" ht="16" customHeight="1" x14ac:dyDescent="0.35">
      <c r="B17" s="16" t="s">
        <v>295</v>
      </c>
      <c r="C17" s="16" t="s">
        <v>296</v>
      </c>
      <c r="D17" s="31">
        <f t="shared" ref="D17:L17" si="1">D15+D16</f>
        <v>0</v>
      </c>
      <c r="E17" s="31">
        <f t="shared" si="1"/>
        <v>0</v>
      </c>
      <c r="F17" s="31">
        <f t="shared" si="1"/>
        <v>0</v>
      </c>
      <c r="G17" s="31">
        <f t="shared" si="1"/>
        <v>0</v>
      </c>
      <c r="H17" s="31">
        <f t="shared" si="1"/>
        <v>0</v>
      </c>
      <c r="I17" s="31">
        <f t="shared" si="1"/>
        <v>0</v>
      </c>
      <c r="J17" s="31">
        <f t="shared" si="1"/>
        <v>0</v>
      </c>
      <c r="K17" s="31">
        <f t="shared" si="1"/>
        <v>0</v>
      </c>
      <c r="L17" s="31">
        <f t="shared" si="1"/>
        <v>0</v>
      </c>
    </row>
    <row r="18" spans="2:12" ht="16" customHeight="1" x14ac:dyDescent="0.35">
      <c r="B18" s="11" t="s">
        <v>297</v>
      </c>
      <c r="C18" s="11" t="s">
        <v>22</v>
      </c>
      <c r="D18" s="29"/>
      <c r="E18" s="29"/>
      <c r="F18" s="29"/>
      <c r="G18" s="29"/>
      <c r="H18" s="29"/>
      <c r="I18" s="29"/>
      <c r="J18" s="29"/>
      <c r="K18" s="29"/>
      <c r="L18" s="29"/>
    </row>
    <row r="19" spans="2:12" ht="16" customHeight="1" x14ac:dyDescent="0.35">
      <c r="B19" s="14" t="s">
        <v>298</v>
      </c>
      <c r="C19" s="14" t="s">
        <v>299</v>
      </c>
      <c r="D19" s="30">
        <f>E19+F19+G19+H19+I19+J19+K19+L19</f>
        <v>0</v>
      </c>
      <c r="E19" s="30"/>
      <c r="F19" s="30"/>
      <c r="G19" s="30"/>
      <c r="H19" s="30"/>
      <c r="I19" s="30"/>
      <c r="J19" s="30"/>
      <c r="K19" s="30"/>
      <c r="L19" s="30">
        <v>0</v>
      </c>
    </row>
    <row r="20" spans="2:12" ht="16" customHeight="1" x14ac:dyDescent="0.35">
      <c r="B20" s="14" t="s">
        <v>300</v>
      </c>
      <c r="C20" s="14" t="s">
        <v>301</v>
      </c>
      <c r="D20" s="30">
        <f>E20+F20+G20+H20+I20+J20+K20+L20</f>
        <v>0</v>
      </c>
      <c r="E20" s="30"/>
      <c r="F20" s="30"/>
      <c r="G20" s="30"/>
      <c r="H20" s="30"/>
      <c r="I20" s="30"/>
      <c r="J20" s="30"/>
      <c r="K20" s="30"/>
      <c r="L20" s="30"/>
    </row>
    <row r="21" spans="2:12" ht="16" customHeight="1" x14ac:dyDescent="0.35">
      <c r="B21" s="14" t="s">
        <v>302</v>
      </c>
      <c r="C21" s="14" t="s">
        <v>303</v>
      </c>
      <c r="D21" s="30">
        <f>E21+F21+G21+H21+I21+J21+K21+L21</f>
        <v>2138.56378</v>
      </c>
      <c r="E21" s="30"/>
      <c r="F21" s="30"/>
      <c r="G21" s="30"/>
      <c r="H21" s="30"/>
      <c r="I21" s="30"/>
      <c r="J21" s="30"/>
      <c r="K21" s="30"/>
      <c r="L21" s="30">
        <v>2138.56378</v>
      </c>
    </row>
    <row r="22" spans="2:12" ht="16" customHeight="1" x14ac:dyDescent="0.35">
      <c r="B22" s="14" t="s">
        <v>304</v>
      </c>
      <c r="C22" s="14" t="s">
        <v>305</v>
      </c>
      <c r="D22" s="30">
        <f>E22+F22+G22+H22+I22+J22+K22+L22</f>
        <v>0</v>
      </c>
      <c r="E22" s="30"/>
      <c r="F22" s="30"/>
      <c r="G22" s="30"/>
      <c r="H22" s="30"/>
      <c r="I22" s="30"/>
      <c r="J22" s="30"/>
      <c r="K22" s="30"/>
      <c r="L22" s="30"/>
    </row>
    <row r="23" spans="2:12" ht="16" customHeight="1" x14ac:dyDescent="0.35">
      <c r="B23" s="14" t="s">
        <v>306</v>
      </c>
      <c r="C23" s="14" t="s">
        <v>307</v>
      </c>
      <c r="D23" s="30">
        <f>E23+F23+G23+H23+I23+J23+K23+L23</f>
        <v>0</v>
      </c>
      <c r="E23" s="30"/>
      <c r="F23" s="30"/>
      <c r="G23" s="30"/>
      <c r="H23" s="30"/>
      <c r="I23" s="30"/>
      <c r="J23" s="30"/>
      <c r="K23" s="30"/>
      <c r="L23" s="30"/>
    </row>
    <row r="24" spans="2:12" ht="16" customHeight="1" x14ac:dyDescent="0.35">
      <c r="B24" s="16" t="s">
        <v>308</v>
      </c>
      <c r="C24" s="16" t="s">
        <v>309</v>
      </c>
      <c r="D24" s="31">
        <f t="shared" ref="D24:L24" si="2">D19+D20+D21+D22+D23</f>
        <v>2138.56378</v>
      </c>
      <c r="E24" s="31">
        <f t="shared" si="2"/>
        <v>0</v>
      </c>
      <c r="F24" s="31">
        <f t="shared" si="2"/>
        <v>0</v>
      </c>
      <c r="G24" s="31">
        <f t="shared" si="2"/>
        <v>0</v>
      </c>
      <c r="H24" s="31">
        <f t="shared" si="2"/>
        <v>0</v>
      </c>
      <c r="I24" s="31">
        <f t="shared" si="2"/>
        <v>0</v>
      </c>
      <c r="J24" s="31">
        <f t="shared" si="2"/>
        <v>0</v>
      </c>
      <c r="K24" s="31">
        <f t="shared" si="2"/>
        <v>0</v>
      </c>
      <c r="L24" s="31">
        <f t="shared" si="2"/>
        <v>2138.56378</v>
      </c>
    </row>
    <row r="25" spans="2:12" ht="16" customHeight="1" x14ac:dyDescent="0.35">
      <c r="B25" s="11" t="s">
        <v>310</v>
      </c>
      <c r="C25" s="11" t="s">
        <v>22</v>
      </c>
      <c r="D25" s="29"/>
      <c r="E25" s="29"/>
      <c r="F25" s="29"/>
      <c r="G25" s="29"/>
      <c r="H25" s="29"/>
      <c r="I25" s="29"/>
      <c r="J25" s="29"/>
      <c r="K25" s="29"/>
      <c r="L25" s="29"/>
    </row>
    <row r="26" spans="2:12" ht="16" customHeight="1" x14ac:dyDescent="0.35">
      <c r="B26" s="14" t="s">
        <v>311</v>
      </c>
      <c r="C26" s="14" t="s">
        <v>312</v>
      </c>
      <c r="D26" s="30">
        <f>E26+F26+G26+H26+I26+J26+K26+L26</f>
        <v>6233.8064999999997</v>
      </c>
      <c r="E26" s="30"/>
      <c r="F26" s="30"/>
      <c r="G26" s="30"/>
      <c r="H26" s="30"/>
      <c r="I26" s="30"/>
      <c r="J26" s="30"/>
      <c r="K26" s="30"/>
      <c r="L26" s="30">
        <v>6233.8064999999997</v>
      </c>
    </row>
    <row r="27" spans="2:12" ht="16" customHeight="1" x14ac:dyDescent="0.35">
      <c r="B27" s="11" t="s">
        <v>313</v>
      </c>
      <c r="C27" s="11" t="s">
        <v>22</v>
      </c>
      <c r="D27" s="29"/>
      <c r="E27" s="29"/>
      <c r="F27" s="29"/>
      <c r="G27" s="29"/>
      <c r="H27" s="29"/>
      <c r="I27" s="29"/>
      <c r="J27" s="29"/>
      <c r="K27" s="29"/>
      <c r="L27" s="29"/>
    </row>
    <row r="28" spans="2:12" ht="16" customHeight="1" x14ac:dyDescent="0.35">
      <c r="B28" s="14" t="s">
        <v>314</v>
      </c>
      <c r="C28" s="14" t="s">
        <v>315</v>
      </c>
      <c r="D28" s="30">
        <f t="shared" ref="D28:D33" si="3">E28+F28+G28+H28+I28+J28+K28+L28</f>
        <v>1524.81196</v>
      </c>
      <c r="E28" s="30"/>
      <c r="F28" s="30">
        <v>1071.3992900000001</v>
      </c>
      <c r="G28" s="30">
        <v>191.26748000000001</v>
      </c>
      <c r="H28" s="30"/>
      <c r="I28" s="30">
        <v>-36.164490000000001</v>
      </c>
      <c r="J28" s="30">
        <v>297.92257000000001</v>
      </c>
      <c r="K28" s="30">
        <v>5.6341999999999999</v>
      </c>
      <c r="L28" s="30">
        <v>-5.24709</v>
      </c>
    </row>
    <row r="29" spans="2:12" ht="16" customHeight="1" x14ac:dyDescent="0.35">
      <c r="B29" s="14" t="s">
        <v>316</v>
      </c>
      <c r="C29" s="14" t="s">
        <v>317</v>
      </c>
      <c r="D29" s="30">
        <f t="shared" si="3"/>
        <v>0</v>
      </c>
      <c r="E29" s="30"/>
      <c r="F29" s="30">
        <v>-9.0000000000000006E-5</v>
      </c>
      <c r="G29" s="30"/>
      <c r="H29" s="30"/>
      <c r="I29" s="30"/>
      <c r="J29" s="30"/>
      <c r="K29" s="30"/>
      <c r="L29" s="30">
        <v>9.0000000000000006E-5</v>
      </c>
    </row>
    <row r="30" spans="2:12" ht="16" customHeight="1" x14ac:dyDescent="0.35">
      <c r="B30" s="14" t="s">
        <v>318</v>
      </c>
      <c r="C30" s="14" t="s">
        <v>319</v>
      </c>
      <c r="D30" s="30">
        <f t="shared" si="3"/>
        <v>371003.11351</v>
      </c>
      <c r="E30" s="30"/>
      <c r="F30" s="30">
        <v>175776.07769000001</v>
      </c>
      <c r="G30" s="30">
        <v>136636.33598</v>
      </c>
      <c r="H30" s="30">
        <v>23.85454</v>
      </c>
      <c r="I30" s="30">
        <v>33111.797599999998</v>
      </c>
      <c r="J30" s="30">
        <v>24483.72192</v>
      </c>
      <c r="K30" s="30">
        <v>489.80596000000003</v>
      </c>
      <c r="L30" s="30">
        <v>481.51981999999998</v>
      </c>
    </row>
    <row r="31" spans="2:12" ht="16" customHeight="1" x14ac:dyDescent="0.35">
      <c r="B31" s="14" t="s">
        <v>320</v>
      </c>
      <c r="C31" s="14" t="s">
        <v>321</v>
      </c>
      <c r="D31" s="30">
        <f t="shared" si="3"/>
        <v>0</v>
      </c>
      <c r="E31" s="30"/>
      <c r="F31" s="30"/>
      <c r="G31" s="30"/>
      <c r="H31" s="30"/>
      <c r="I31" s="30"/>
      <c r="J31" s="30"/>
      <c r="K31" s="30"/>
      <c r="L31" s="30"/>
    </row>
    <row r="32" spans="2:12" ht="16" customHeight="1" x14ac:dyDescent="0.35">
      <c r="B32" s="14" t="s">
        <v>322</v>
      </c>
      <c r="C32" s="14" t="s">
        <v>323</v>
      </c>
      <c r="D32" s="30">
        <f t="shared" si="3"/>
        <v>-8754.4739100000024</v>
      </c>
      <c r="E32" s="30"/>
      <c r="F32" s="30">
        <v>-3662.3838799999999</v>
      </c>
      <c r="G32" s="30">
        <v>-3887.17038</v>
      </c>
      <c r="H32" s="30">
        <v>-76.098330000000004</v>
      </c>
      <c r="I32" s="30">
        <v>-709.09811000000002</v>
      </c>
      <c r="J32" s="30">
        <v>-415.25004000000001</v>
      </c>
      <c r="K32" s="30">
        <v>-4.2687799999999996</v>
      </c>
      <c r="L32" s="30">
        <v>-0.20438999999999999</v>
      </c>
    </row>
    <row r="33" spans="2:12" ht="16" customHeight="1" x14ac:dyDescent="0.35">
      <c r="B33" s="14" t="s">
        <v>324</v>
      </c>
      <c r="C33" s="14" t="s">
        <v>325</v>
      </c>
      <c r="D33" s="30">
        <f t="shared" si="3"/>
        <v>269.54040000000003</v>
      </c>
      <c r="E33" s="30"/>
      <c r="F33" s="30">
        <v>526.79106999999999</v>
      </c>
      <c r="G33" s="30">
        <v>-251.87042</v>
      </c>
      <c r="H33" s="30"/>
      <c r="I33" s="30">
        <v>-60.248640000000002</v>
      </c>
      <c r="J33" s="30">
        <v>52.767110000000002</v>
      </c>
      <c r="K33" s="30">
        <v>-1.0000000000000001E-5</v>
      </c>
      <c r="L33" s="30">
        <v>2.1012900000000001</v>
      </c>
    </row>
    <row r="34" spans="2:12" ht="16" customHeight="1" x14ac:dyDescent="0.35">
      <c r="B34" s="16" t="s">
        <v>326</v>
      </c>
      <c r="C34" s="16" t="s">
        <v>327</v>
      </c>
      <c r="D34" s="31">
        <f t="shared" ref="D34:L34" si="4">D28+D29+D30+D31+D32+D33</f>
        <v>364042.99196000001</v>
      </c>
      <c r="E34" s="31">
        <f t="shared" si="4"/>
        <v>0</v>
      </c>
      <c r="F34" s="31">
        <f t="shared" si="4"/>
        <v>173711.88408000002</v>
      </c>
      <c r="G34" s="31">
        <f t="shared" si="4"/>
        <v>132688.56266000003</v>
      </c>
      <c r="H34" s="31">
        <f t="shared" si="4"/>
        <v>-52.243790000000004</v>
      </c>
      <c r="I34" s="31">
        <f t="shared" si="4"/>
        <v>32306.286359999995</v>
      </c>
      <c r="J34" s="31">
        <f t="shared" si="4"/>
        <v>24419.16156</v>
      </c>
      <c r="K34" s="31">
        <f t="shared" si="4"/>
        <v>491.17137000000008</v>
      </c>
      <c r="L34" s="31">
        <f t="shared" si="4"/>
        <v>478.16971999999998</v>
      </c>
    </row>
    <row r="35" spans="2:12" ht="16" customHeight="1" x14ac:dyDescent="0.35">
      <c r="B35" s="11" t="s">
        <v>328</v>
      </c>
      <c r="C35" s="11" t="s">
        <v>22</v>
      </c>
      <c r="D35" s="29"/>
      <c r="E35" s="29"/>
      <c r="F35" s="29"/>
      <c r="G35" s="29"/>
      <c r="H35" s="29"/>
      <c r="I35" s="29"/>
      <c r="J35" s="29"/>
      <c r="K35" s="29"/>
      <c r="L35" s="29"/>
    </row>
    <row r="36" spans="2:12" ht="16" customHeight="1" x14ac:dyDescent="0.35">
      <c r="B36" s="14" t="s">
        <v>329</v>
      </c>
      <c r="C36" s="14" t="s">
        <v>330</v>
      </c>
      <c r="D36" s="30">
        <f t="shared" ref="D36:D41" si="5">E36+F36+G36+H36+I36+J36+K36+L36</f>
        <v>46975.73934</v>
      </c>
      <c r="E36" s="30"/>
      <c r="F36" s="30">
        <v>4843.52232</v>
      </c>
      <c r="G36" s="30">
        <v>23457.983329999999</v>
      </c>
      <c r="H36" s="30">
        <v>-85.166839999999993</v>
      </c>
      <c r="I36" s="30">
        <v>18074.3115</v>
      </c>
      <c r="J36" s="30">
        <v>18.015029999999999</v>
      </c>
      <c r="K36" s="30">
        <v>667.07399999999996</v>
      </c>
      <c r="L36" s="30"/>
    </row>
    <row r="37" spans="2:12" ht="16" customHeight="1" x14ac:dyDescent="0.35">
      <c r="B37" s="14" t="s">
        <v>331</v>
      </c>
      <c r="C37" s="14" t="s">
        <v>332</v>
      </c>
      <c r="D37" s="30">
        <f t="shared" si="5"/>
        <v>0</v>
      </c>
      <c r="E37" s="30"/>
      <c r="F37" s="30"/>
      <c r="G37" s="30"/>
      <c r="H37" s="30"/>
      <c r="I37" s="30"/>
      <c r="J37" s="30"/>
      <c r="K37" s="30"/>
      <c r="L37" s="30"/>
    </row>
    <row r="38" spans="2:12" ht="16" customHeight="1" x14ac:dyDescent="0.35">
      <c r="B38" s="14" t="s">
        <v>333</v>
      </c>
      <c r="C38" s="14" t="s">
        <v>334</v>
      </c>
      <c r="D38" s="30">
        <f t="shared" si="5"/>
        <v>213499.91732000004</v>
      </c>
      <c r="E38" s="30"/>
      <c r="F38" s="30">
        <v>213302.89761000001</v>
      </c>
      <c r="G38" s="30">
        <v>-468.56049000000002</v>
      </c>
      <c r="H38" s="30">
        <v>288.29536999999999</v>
      </c>
      <c r="I38" s="30">
        <v>43.031970000000001</v>
      </c>
      <c r="J38" s="30">
        <v>153.49881999999999</v>
      </c>
      <c r="K38" s="30">
        <v>180.75404</v>
      </c>
      <c r="L38" s="30"/>
    </row>
    <row r="39" spans="2:12" ht="16" customHeight="1" x14ac:dyDescent="0.35">
      <c r="B39" s="14" t="s">
        <v>335</v>
      </c>
      <c r="C39" s="14" t="s">
        <v>336</v>
      </c>
      <c r="D39" s="30">
        <f t="shared" si="5"/>
        <v>5.3106900000000001</v>
      </c>
      <c r="E39" s="30"/>
      <c r="F39" s="30">
        <v>5.3106900000000001</v>
      </c>
      <c r="G39" s="30"/>
      <c r="H39" s="30"/>
      <c r="I39" s="30"/>
      <c r="J39" s="30"/>
      <c r="K39" s="30"/>
      <c r="L39" s="30"/>
    </row>
    <row r="40" spans="2:12" ht="16" customHeight="1" x14ac:dyDescent="0.35">
      <c r="B40" s="14" t="s">
        <v>337</v>
      </c>
      <c r="C40" s="14" t="s">
        <v>338</v>
      </c>
      <c r="D40" s="30">
        <f t="shared" si="5"/>
        <v>16841.884099999996</v>
      </c>
      <c r="E40" s="30"/>
      <c r="F40" s="30">
        <v>14103.233689999999</v>
      </c>
      <c r="G40" s="30">
        <v>1911.37067</v>
      </c>
      <c r="H40" s="30">
        <v>0.80691000000000002</v>
      </c>
      <c r="I40" s="30">
        <v>689.88391000000001</v>
      </c>
      <c r="J40" s="30">
        <v>136.58892</v>
      </c>
      <c r="K40" s="30"/>
      <c r="L40" s="30"/>
    </row>
    <row r="41" spans="2:12" ht="16" customHeight="1" x14ac:dyDescent="0.35">
      <c r="B41" s="14" t="s">
        <v>339</v>
      </c>
      <c r="C41" s="14" t="s">
        <v>340</v>
      </c>
      <c r="D41" s="30">
        <f t="shared" si="5"/>
        <v>12.2</v>
      </c>
      <c r="E41" s="30"/>
      <c r="F41" s="30"/>
      <c r="G41" s="30"/>
      <c r="H41" s="30"/>
      <c r="I41" s="30"/>
      <c r="J41" s="30">
        <v>12.2</v>
      </c>
      <c r="K41" s="30"/>
      <c r="L41" s="30"/>
    </row>
    <row r="42" spans="2:12" ht="16" customHeight="1" x14ac:dyDescent="0.35">
      <c r="B42" s="16" t="s">
        <v>341</v>
      </c>
      <c r="C42" s="16" t="s">
        <v>342</v>
      </c>
      <c r="D42" s="31">
        <f t="shared" ref="D42:L42" si="6">D36+D37+D38+D39+D40+D41</f>
        <v>277335.05145000009</v>
      </c>
      <c r="E42" s="31">
        <f t="shared" si="6"/>
        <v>0</v>
      </c>
      <c r="F42" s="31">
        <f t="shared" si="6"/>
        <v>232254.96431000001</v>
      </c>
      <c r="G42" s="31">
        <f t="shared" si="6"/>
        <v>24900.79351</v>
      </c>
      <c r="H42" s="31">
        <f t="shared" si="6"/>
        <v>203.93544</v>
      </c>
      <c r="I42" s="31">
        <f t="shared" si="6"/>
        <v>18807.22738</v>
      </c>
      <c r="J42" s="31">
        <f t="shared" si="6"/>
        <v>320.30276999999995</v>
      </c>
      <c r="K42" s="31">
        <f t="shared" si="6"/>
        <v>847.82803999999999</v>
      </c>
      <c r="L42" s="31">
        <f t="shared" si="6"/>
        <v>0</v>
      </c>
    </row>
    <row r="43" spans="2:12" ht="16" customHeight="1" x14ac:dyDescent="0.35">
      <c r="B43" s="11" t="s">
        <v>71</v>
      </c>
      <c r="C43" s="11" t="s">
        <v>22</v>
      </c>
      <c r="D43" s="29"/>
      <c r="E43" s="29"/>
      <c r="F43" s="29"/>
      <c r="G43" s="29"/>
      <c r="H43" s="29"/>
      <c r="I43" s="29"/>
      <c r="J43" s="29"/>
      <c r="K43" s="29"/>
      <c r="L43" s="29"/>
    </row>
    <row r="44" spans="2:12" ht="16" customHeight="1" x14ac:dyDescent="0.35">
      <c r="B44" s="14" t="s">
        <v>343</v>
      </c>
      <c r="C44" s="14" t="s">
        <v>344</v>
      </c>
      <c r="D44" s="30">
        <f t="shared" ref="D44:D54" si="7">E44+F44+G44+H44+I44+J44+K44+L44</f>
        <v>3977.9576200000001</v>
      </c>
      <c r="E44" s="30"/>
      <c r="F44" s="30">
        <v>2235.6602499999999</v>
      </c>
      <c r="G44" s="30">
        <v>1109.31819</v>
      </c>
      <c r="H44" s="30"/>
      <c r="I44" s="30">
        <v>320.32987000000003</v>
      </c>
      <c r="J44" s="30">
        <v>232.54471000000001</v>
      </c>
      <c r="K44" s="30">
        <v>1.8348</v>
      </c>
      <c r="L44" s="30">
        <v>78.269800000000004</v>
      </c>
    </row>
    <row r="45" spans="2:12" ht="16" customHeight="1" x14ac:dyDescent="0.35">
      <c r="B45" s="14" t="s">
        <v>345</v>
      </c>
      <c r="C45" s="14" t="s">
        <v>346</v>
      </c>
      <c r="D45" s="30">
        <f t="shared" si="7"/>
        <v>0</v>
      </c>
      <c r="E45" s="30"/>
      <c r="F45" s="30"/>
      <c r="G45" s="30"/>
      <c r="H45" s="30"/>
      <c r="I45" s="30"/>
      <c r="J45" s="30"/>
      <c r="K45" s="30"/>
      <c r="L45" s="30"/>
    </row>
    <row r="46" spans="2:12" ht="16" customHeight="1" x14ac:dyDescent="0.35">
      <c r="B46" s="14" t="s">
        <v>347</v>
      </c>
      <c r="C46" s="14" t="s">
        <v>348</v>
      </c>
      <c r="D46" s="30">
        <f t="shared" si="7"/>
        <v>1541.2628400000001</v>
      </c>
      <c r="E46" s="30"/>
      <c r="F46" s="30">
        <v>4294.4475499999999</v>
      </c>
      <c r="G46" s="30">
        <v>-2673.82906</v>
      </c>
      <c r="H46" s="30"/>
      <c r="I46" s="30">
        <v>-56.681780000000003</v>
      </c>
      <c r="J46" s="30">
        <v>-12.99282</v>
      </c>
      <c r="K46" s="30">
        <v>-8.3730499999999992</v>
      </c>
      <c r="L46" s="30">
        <v>-1.3080000000000001</v>
      </c>
    </row>
    <row r="47" spans="2:12" ht="16" customHeight="1" x14ac:dyDescent="0.35">
      <c r="B47" s="14" t="s">
        <v>349</v>
      </c>
      <c r="C47" s="14" t="s">
        <v>350</v>
      </c>
      <c r="D47" s="30">
        <f t="shared" si="7"/>
        <v>0</v>
      </c>
      <c r="E47" s="30"/>
      <c r="F47" s="30"/>
      <c r="G47" s="30"/>
      <c r="H47" s="30"/>
      <c r="I47" s="30"/>
      <c r="J47" s="30"/>
      <c r="K47" s="30"/>
      <c r="L47" s="30"/>
    </row>
    <row r="48" spans="2:12" ht="16" customHeight="1" x14ac:dyDescent="0.35">
      <c r="B48" s="14" t="s">
        <v>351</v>
      </c>
      <c r="C48" s="14" t="s">
        <v>352</v>
      </c>
      <c r="D48" s="30">
        <f t="shared" si="7"/>
        <v>0</v>
      </c>
      <c r="E48" s="30"/>
      <c r="F48" s="30"/>
      <c r="G48" s="30"/>
      <c r="H48" s="30"/>
      <c r="I48" s="30"/>
      <c r="J48" s="30"/>
      <c r="K48" s="30"/>
      <c r="L48" s="30"/>
    </row>
    <row r="49" spans="2:12" ht="16" customHeight="1" x14ac:dyDescent="0.35">
      <c r="B49" s="14" t="s">
        <v>353</v>
      </c>
      <c r="C49" s="14" t="s">
        <v>354</v>
      </c>
      <c r="D49" s="30">
        <f t="shared" si="7"/>
        <v>0</v>
      </c>
      <c r="E49" s="30"/>
      <c r="F49" s="30"/>
      <c r="G49" s="30"/>
      <c r="H49" s="30"/>
      <c r="I49" s="30"/>
      <c r="J49" s="30"/>
      <c r="K49" s="30"/>
      <c r="L49" s="30"/>
    </row>
    <row r="50" spans="2:12" ht="16" customHeight="1" x14ac:dyDescent="0.35">
      <c r="B50" s="14" t="s">
        <v>355</v>
      </c>
      <c r="C50" s="14" t="s">
        <v>356</v>
      </c>
      <c r="D50" s="30">
        <f t="shared" si="7"/>
        <v>0</v>
      </c>
      <c r="E50" s="30"/>
      <c r="F50" s="30"/>
      <c r="G50" s="30"/>
      <c r="H50" s="30"/>
      <c r="I50" s="30"/>
      <c r="J50" s="30"/>
      <c r="K50" s="30"/>
      <c r="L50" s="30"/>
    </row>
    <row r="51" spans="2:12" ht="16" customHeight="1" x14ac:dyDescent="0.35">
      <c r="B51" s="14" t="s">
        <v>357</v>
      </c>
      <c r="C51" s="14" t="s">
        <v>358</v>
      </c>
      <c r="D51" s="30">
        <f t="shared" si="7"/>
        <v>0</v>
      </c>
      <c r="E51" s="30"/>
      <c r="F51" s="30"/>
      <c r="G51" s="30"/>
      <c r="H51" s="30"/>
      <c r="I51" s="30"/>
      <c r="J51" s="30"/>
      <c r="K51" s="30"/>
      <c r="L51" s="30"/>
    </row>
    <row r="52" spans="2:12" ht="16" customHeight="1" x14ac:dyDescent="0.35">
      <c r="B52" s="14" t="s">
        <v>359</v>
      </c>
      <c r="C52" s="14" t="s">
        <v>360</v>
      </c>
      <c r="D52" s="30">
        <f t="shared" si="7"/>
        <v>17103.491839999999</v>
      </c>
      <c r="E52" s="30"/>
      <c r="F52" s="30">
        <v>10643.830529999999</v>
      </c>
      <c r="G52" s="30">
        <v>4686.9961999999996</v>
      </c>
      <c r="H52" s="30">
        <v>-3.5720000000000001</v>
      </c>
      <c r="I52" s="30">
        <v>522.75156000000004</v>
      </c>
      <c r="J52" s="30">
        <v>1249.7096300000001</v>
      </c>
      <c r="K52" s="30">
        <v>3.7769300000000001</v>
      </c>
      <c r="L52" s="30">
        <v>-1.01E-3</v>
      </c>
    </row>
    <row r="53" spans="2:12" ht="16" customHeight="1" x14ac:dyDescent="0.35">
      <c r="B53" s="14" t="s">
        <v>361</v>
      </c>
      <c r="C53" s="14" t="s">
        <v>362</v>
      </c>
      <c r="D53" s="30">
        <f t="shared" si="7"/>
        <v>245.958</v>
      </c>
      <c r="E53" s="30"/>
      <c r="F53" s="30"/>
      <c r="G53" s="30"/>
      <c r="H53" s="30"/>
      <c r="I53" s="30"/>
      <c r="J53" s="30"/>
      <c r="K53" s="30"/>
      <c r="L53" s="30">
        <v>245.958</v>
      </c>
    </row>
    <row r="54" spans="2:12" ht="16" customHeight="1" x14ac:dyDescent="0.35">
      <c r="B54" s="14" t="s">
        <v>363</v>
      </c>
      <c r="C54" s="14" t="s">
        <v>364</v>
      </c>
      <c r="D54" s="30">
        <f t="shared" si="7"/>
        <v>13845.00405</v>
      </c>
      <c r="E54" s="30"/>
      <c r="F54" s="30">
        <v>-4.7973699999999999</v>
      </c>
      <c r="G54" s="30">
        <v>2.2682000000000002</v>
      </c>
      <c r="H54" s="30"/>
      <c r="I54" s="30">
        <v>2.1452399999999998</v>
      </c>
      <c r="J54" s="30">
        <v>13845.37535</v>
      </c>
      <c r="K54" s="30">
        <v>1.2630000000000001E-2</v>
      </c>
      <c r="L54" s="30"/>
    </row>
    <row r="55" spans="2:12" ht="16" customHeight="1" x14ac:dyDescent="0.35">
      <c r="B55" s="16" t="s">
        <v>365</v>
      </c>
      <c r="C55" s="16" t="s">
        <v>366</v>
      </c>
      <c r="D55" s="31">
        <f t="shared" ref="D55:L55" si="8">D44+D45+D46+D47+D48+D49+D50+D51+D52+D53+D54</f>
        <v>36713.674350000001</v>
      </c>
      <c r="E55" s="31">
        <f t="shared" si="8"/>
        <v>0</v>
      </c>
      <c r="F55" s="31">
        <f t="shared" si="8"/>
        <v>17169.140959999997</v>
      </c>
      <c r="G55" s="31">
        <f t="shared" si="8"/>
        <v>3124.7535299999995</v>
      </c>
      <c r="H55" s="31">
        <f t="shared" si="8"/>
        <v>-3.5720000000000001</v>
      </c>
      <c r="I55" s="31">
        <f t="shared" si="8"/>
        <v>788.54489000000001</v>
      </c>
      <c r="J55" s="31">
        <f t="shared" si="8"/>
        <v>15314.63687</v>
      </c>
      <c r="K55" s="31">
        <f t="shared" si="8"/>
        <v>-2.7486899999999994</v>
      </c>
      <c r="L55" s="31">
        <f t="shared" si="8"/>
        <v>322.91879</v>
      </c>
    </row>
    <row r="56" spans="2:12" ht="16" customHeight="1" x14ac:dyDescent="0.35">
      <c r="B56" s="11" t="s">
        <v>367</v>
      </c>
      <c r="C56" s="11" t="s">
        <v>22</v>
      </c>
      <c r="D56" s="29"/>
      <c r="E56" s="29"/>
      <c r="F56" s="29"/>
      <c r="G56" s="29"/>
      <c r="H56" s="29"/>
      <c r="I56" s="29"/>
      <c r="J56" s="29"/>
      <c r="K56" s="29"/>
      <c r="L56" s="29"/>
    </row>
    <row r="57" spans="2:12" ht="16" customHeight="1" x14ac:dyDescent="0.35">
      <c r="B57" s="14" t="s">
        <v>368</v>
      </c>
      <c r="C57" s="14" t="s">
        <v>369</v>
      </c>
      <c r="D57" s="30">
        <f>E57+F57+G57+H57+I57+J57+K57+L57</f>
        <v>0</v>
      </c>
      <c r="E57" s="30"/>
      <c r="F57" s="30"/>
      <c r="G57" s="30"/>
      <c r="H57" s="30"/>
      <c r="I57" s="30"/>
      <c r="J57" s="30"/>
      <c r="K57" s="30"/>
      <c r="L57" s="30"/>
    </row>
    <row r="58" spans="2:12" ht="16" customHeight="1" thickBot="1" x14ac:dyDescent="0.4">
      <c r="B58" s="11" t="s">
        <v>370</v>
      </c>
      <c r="C58" s="11" t="s">
        <v>22</v>
      </c>
      <c r="D58" s="29"/>
      <c r="E58" s="29"/>
      <c r="F58" s="29"/>
      <c r="G58" s="29"/>
      <c r="H58" s="29"/>
      <c r="I58" s="29"/>
      <c r="J58" s="29"/>
      <c r="K58" s="29"/>
      <c r="L58" s="29"/>
    </row>
    <row r="59" spans="2:12" ht="16" customHeight="1" thickBot="1" x14ac:dyDescent="0.4">
      <c r="B59" s="18" t="s">
        <v>371</v>
      </c>
      <c r="C59" s="18" t="s">
        <v>372</v>
      </c>
      <c r="D59" s="32">
        <f t="shared" ref="D59:L59" si="9">D13+D17+D24+D26+D34+D42+D55+D57</f>
        <v>690105.19013</v>
      </c>
      <c r="E59" s="32">
        <f t="shared" si="9"/>
        <v>0</v>
      </c>
      <c r="F59" s="32">
        <f t="shared" si="9"/>
        <v>423135.98935000005</v>
      </c>
      <c r="G59" s="32">
        <f t="shared" si="9"/>
        <v>160714.1097</v>
      </c>
      <c r="H59" s="32">
        <f t="shared" si="9"/>
        <v>148.11964999999998</v>
      </c>
      <c r="I59" s="32">
        <f t="shared" si="9"/>
        <v>51902.058629999992</v>
      </c>
      <c r="J59" s="32">
        <f t="shared" si="9"/>
        <v>40054.101199999997</v>
      </c>
      <c r="K59" s="32">
        <f t="shared" si="9"/>
        <v>1336.2507200000002</v>
      </c>
      <c r="L59" s="32">
        <f t="shared" si="9"/>
        <v>12814.560879999999</v>
      </c>
    </row>
    <row r="60" spans="2:12" ht="16" customHeight="1" x14ac:dyDescent="0.35">
      <c r="B60" s="11" t="s">
        <v>373</v>
      </c>
      <c r="C60" s="11" t="s">
        <v>22</v>
      </c>
      <c r="D60" s="29"/>
      <c r="E60" s="29"/>
      <c r="F60" s="29"/>
      <c r="G60" s="29"/>
      <c r="H60" s="29"/>
      <c r="I60" s="29"/>
      <c r="J60" s="29"/>
      <c r="K60" s="29"/>
      <c r="L60" s="29"/>
    </row>
    <row r="61" spans="2:12" ht="16" customHeight="1" x14ac:dyDescent="0.35">
      <c r="B61" s="14" t="s">
        <v>374</v>
      </c>
      <c r="C61" s="14" t="s">
        <v>375</v>
      </c>
      <c r="D61" s="30">
        <f t="shared" ref="D61:D67" si="10">E61+F61+G61+H61+I61+J61+K61+L61</f>
        <v>7.1000000000000002E-4</v>
      </c>
      <c r="E61" s="30"/>
      <c r="F61" s="30"/>
      <c r="G61" s="30"/>
      <c r="H61" s="30"/>
      <c r="I61" s="30"/>
      <c r="J61" s="30"/>
      <c r="K61" s="30"/>
      <c r="L61" s="30">
        <v>7.1000000000000002E-4</v>
      </c>
    </row>
    <row r="62" spans="2:12" ht="16" customHeight="1" x14ac:dyDescent="0.35">
      <c r="B62" s="14" t="s">
        <v>376</v>
      </c>
      <c r="C62" s="14" t="s">
        <v>377</v>
      </c>
      <c r="D62" s="30">
        <f t="shared" si="10"/>
        <v>0</v>
      </c>
      <c r="E62" s="30"/>
      <c r="F62" s="30"/>
      <c r="G62" s="30"/>
      <c r="H62" s="30"/>
      <c r="I62" s="30"/>
      <c r="J62" s="30"/>
      <c r="K62" s="30"/>
      <c r="L62" s="30"/>
    </row>
    <row r="63" spans="2:12" ht="16" customHeight="1" x14ac:dyDescent="0.35">
      <c r="B63" s="14" t="s">
        <v>378</v>
      </c>
      <c r="C63" s="14" t="s">
        <v>379</v>
      </c>
      <c r="D63" s="30">
        <f t="shared" si="10"/>
        <v>525002.31137999997</v>
      </c>
      <c r="E63" s="30"/>
      <c r="F63" s="30"/>
      <c r="G63" s="30"/>
      <c r="H63" s="30"/>
      <c r="I63" s="30"/>
      <c r="J63" s="30"/>
      <c r="K63" s="30"/>
      <c r="L63" s="30">
        <v>525002.31137999997</v>
      </c>
    </row>
    <row r="64" spans="2:12" ht="16" customHeight="1" x14ac:dyDescent="0.35">
      <c r="B64" s="14" t="s">
        <v>380</v>
      </c>
      <c r="C64" s="14" t="s">
        <v>381</v>
      </c>
      <c r="D64" s="30">
        <f t="shared" si="10"/>
        <v>0</v>
      </c>
      <c r="E64" s="30"/>
      <c r="F64" s="30"/>
      <c r="G64" s="30"/>
      <c r="H64" s="30"/>
      <c r="I64" s="30"/>
      <c r="J64" s="30"/>
      <c r="K64" s="30"/>
      <c r="L64" s="30"/>
    </row>
    <row r="65" spans="2:12" ht="16" customHeight="1" x14ac:dyDescent="0.35">
      <c r="B65" s="14" t="s">
        <v>382</v>
      </c>
      <c r="C65" s="14" t="s">
        <v>383</v>
      </c>
      <c r="D65" s="30">
        <f t="shared" si="10"/>
        <v>0</v>
      </c>
      <c r="E65" s="30"/>
      <c r="F65" s="30"/>
      <c r="G65" s="30"/>
      <c r="H65" s="30"/>
      <c r="I65" s="30"/>
      <c r="J65" s="30"/>
      <c r="K65" s="30"/>
      <c r="L65" s="30"/>
    </row>
    <row r="66" spans="2:12" ht="16" customHeight="1" x14ac:dyDescent="0.35">
      <c r="B66" s="14" t="s">
        <v>384</v>
      </c>
      <c r="C66" s="14" t="s">
        <v>385</v>
      </c>
      <c r="D66" s="30">
        <f t="shared" si="10"/>
        <v>0</v>
      </c>
      <c r="E66" s="30"/>
      <c r="F66" s="30"/>
      <c r="G66" s="30"/>
      <c r="H66" s="30"/>
      <c r="I66" s="30"/>
      <c r="J66" s="30"/>
      <c r="K66" s="30"/>
      <c r="L66" s="30"/>
    </row>
    <row r="67" spans="2:12" ht="16" customHeight="1" x14ac:dyDescent="0.35">
      <c r="B67" s="14" t="s">
        <v>386</v>
      </c>
      <c r="C67" s="14" t="s">
        <v>387</v>
      </c>
      <c r="D67" s="30">
        <f t="shared" si="10"/>
        <v>32861.885130000002</v>
      </c>
      <c r="E67" s="30"/>
      <c r="F67" s="30">
        <v>32345.353569999999</v>
      </c>
      <c r="G67" s="30">
        <v>0.23049</v>
      </c>
      <c r="H67" s="30"/>
      <c r="I67" s="30">
        <v>92.477649999999997</v>
      </c>
      <c r="J67" s="30">
        <v>-9.4439999999999996E-2</v>
      </c>
      <c r="K67" s="30">
        <v>8.1499999999999993E-3</v>
      </c>
      <c r="L67" s="30">
        <v>423.90971000000002</v>
      </c>
    </row>
    <row r="68" spans="2:12" ht="16" customHeight="1" x14ac:dyDescent="0.35">
      <c r="B68" s="16" t="s">
        <v>388</v>
      </c>
      <c r="C68" s="16" t="s">
        <v>389</v>
      </c>
      <c r="D68" s="31">
        <f t="shared" ref="D68:L68" si="11">D61+D62+D63+D64+D65+D66+D67</f>
        <v>557864.19721999997</v>
      </c>
      <c r="E68" s="31">
        <f t="shared" si="11"/>
        <v>0</v>
      </c>
      <c r="F68" s="31">
        <f t="shared" si="11"/>
        <v>32345.353569999999</v>
      </c>
      <c r="G68" s="31">
        <f t="shared" si="11"/>
        <v>0.23049</v>
      </c>
      <c r="H68" s="31">
        <f t="shared" si="11"/>
        <v>0</v>
      </c>
      <c r="I68" s="31">
        <f t="shared" si="11"/>
        <v>92.477649999999997</v>
      </c>
      <c r="J68" s="31">
        <f t="shared" si="11"/>
        <v>-9.4439999999999996E-2</v>
      </c>
      <c r="K68" s="31">
        <f t="shared" si="11"/>
        <v>8.1499999999999993E-3</v>
      </c>
      <c r="L68" s="31">
        <f t="shared" si="11"/>
        <v>525426.22180000006</v>
      </c>
    </row>
    <row r="69" spans="2:12" ht="16" customHeight="1" x14ac:dyDescent="0.35">
      <c r="B69" s="11" t="s">
        <v>390</v>
      </c>
      <c r="C69" s="11" t="s">
        <v>22</v>
      </c>
      <c r="D69" s="29"/>
      <c r="E69" s="29"/>
      <c r="F69" s="29"/>
      <c r="G69" s="29"/>
      <c r="H69" s="29"/>
      <c r="I69" s="29"/>
      <c r="J69" s="29"/>
      <c r="K69" s="29"/>
      <c r="L69" s="29"/>
    </row>
    <row r="70" spans="2:12" ht="16" customHeight="1" x14ac:dyDescent="0.35">
      <c r="B70" s="14" t="s">
        <v>391</v>
      </c>
      <c r="C70" s="14" t="s">
        <v>392</v>
      </c>
      <c r="D70" s="30">
        <f>E70+F70+G70+H70+I70+J70+K70+L70</f>
        <v>0</v>
      </c>
      <c r="E70" s="30"/>
      <c r="F70" s="30"/>
      <c r="G70" s="30"/>
      <c r="H70" s="30"/>
      <c r="I70" s="30"/>
      <c r="J70" s="30"/>
      <c r="K70" s="30"/>
      <c r="L70" s="30">
        <v>0</v>
      </c>
    </row>
    <row r="71" spans="2:12" ht="16" customHeight="1" x14ac:dyDescent="0.35">
      <c r="B71" s="14" t="s">
        <v>393</v>
      </c>
      <c r="C71" s="14" t="s">
        <v>394</v>
      </c>
      <c r="D71" s="30">
        <f>E71+F71+G71+H71+I71+J71+K71+L71</f>
        <v>0</v>
      </c>
      <c r="E71" s="30"/>
      <c r="F71" s="30"/>
      <c r="G71" s="30"/>
      <c r="H71" s="30"/>
      <c r="I71" s="30"/>
      <c r="J71" s="30"/>
      <c r="K71" s="30"/>
      <c r="L71" s="30"/>
    </row>
    <row r="72" spans="2:12" ht="16" customHeight="1" x14ac:dyDescent="0.35">
      <c r="B72" s="16" t="s">
        <v>395</v>
      </c>
      <c r="C72" s="16" t="s">
        <v>396</v>
      </c>
      <c r="D72" s="31">
        <f t="shared" ref="D72:L72" si="12">D70+D71</f>
        <v>0</v>
      </c>
      <c r="E72" s="31">
        <f t="shared" si="12"/>
        <v>0</v>
      </c>
      <c r="F72" s="31">
        <f t="shared" si="12"/>
        <v>0</v>
      </c>
      <c r="G72" s="31">
        <f t="shared" si="12"/>
        <v>0</v>
      </c>
      <c r="H72" s="31">
        <f t="shared" si="12"/>
        <v>0</v>
      </c>
      <c r="I72" s="31">
        <f t="shared" si="12"/>
        <v>0</v>
      </c>
      <c r="J72" s="31">
        <f t="shared" si="12"/>
        <v>0</v>
      </c>
      <c r="K72" s="31">
        <f t="shared" si="12"/>
        <v>0</v>
      </c>
      <c r="L72" s="31">
        <f t="shared" si="12"/>
        <v>0</v>
      </c>
    </row>
    <row r="73" spans="2:12" ht="16" customHeight="1" x14ac:dyDescent="0.35">
      <c r="B73" s="11" t="s">
        <v>77</v>
      </c>
      <c r="C73" s="11" t="s">
        <v>22</v>
      </c>
      <c r="D73" s="29"/>
      <c r="E73" s="29"/>
      <c r="F73" s="29"/>
      <c r="G73" s="29"/>
      <c r="H73" s="29"/>
      <c r="I73" s="29"/>
      <c r="J73" s="29"/>
      <c r="K73" s="29"/>
      <c r="L73" s="29"/>
    </row>
    <row r="74" spans="2:12" ht="16" customHeight="1" x14ac:dyDescent="0.35">
      <c r="B74" s="14" t="s">
        <v>397</v>
      </c>
      <c r="C74" s="14" t="s">
        <v>398</v>
      </c>
      <c r="D74" s="30">
        <f>E74+F74+G74+H74+I74+J74+K74+L74</f>
        <v>1595.63356</v>
      </c>
      <c r="E74" s="30"/>
      <c r="F74" s="30"/>
      <c r="G74" s="30"/>
      <c r="H74" s="30"/>
      <c r="I74" s="30"/>
      <c r="J74" s="30"/>
      <c r="K74" s="30"/>
      <c r="L74" s="30">
        <v>1595.63356</v>
      </c>
    </row>
    <row r="75" spans="2:12" ht="16" customHeight="1" x14ac:dyDescent="0.35">
      <c r="B75" s="11" t="s">
        <v>399</v>
      </c>
      <c r="C75" s="11" t="s">
        <v>22</v>
      </c>
      <c r="D75" s="29"/>
      <c r="E75" s="29"/>
      <c r="F75" s="29"/>
      <c r="G75" s="29"/>
      <c r="H75" s="29"/>
      <c r="I75" s="29"/>
      <c r="J75" s="29"/>
      <c r="K75" s="29"/>
      <c r="L75" s="29"/>
    </row>
    <row r="76" spans="2:12" ht="16" customHeight="1" x14ac:dyDescent="0.35">
      <c r="B76" s="14" t="s">
        <v>400</v>
      </c>
      <c r="C76" s="14" t="s">
        <v>401</v>
      </c>
      <c r="D76" s="30">
        <f>E76+F76+G76+H76+I76+J76+K76+L76</f>
        <v>2180719.2922700001</v>
      </c>
      <c r="E76" s="30"/>
      <c r="F76" s="30">
        <v>2106804.0575100002</v>
      </c>
      <c r="G76" s="30">
        <v>117615.61717</v>
      </c>
      <c r="H76" s="30">
        <v>1075.7171599999999</v>
      </c>
      <c r="I76" s="30">
        <v>35892.146809999998</v>
      </c>
      <c r="J76" s="30">
        <v>813.68078000000003</v>
      </c>
      <c r="K76" s="30">
        <v>837.87459999999999</v>
      </c>
      <c r="L76" s="30">
        <v>-82319.801760000002</v>
      </c>
    </row>
    <row r="77" spans="2:12" ht="16" customHeight="1" x14ac:dyDescent="0.35">
      <c r="B77" s="14" t="s">
        <v>402</v>
      </c>
      <c r="C77" s="14" t="s">
        <v>403</v>
      </c>
      <c r="D77" s="30">
        <f>E77+F77+G77+H77+I77+J77+K77+L77</f>
        <v>-828671.98026999994</v>
      </c>
      <c r="E77" s="30"/>
      <c r="F77" s="30">
        <v>-855761.32909000001</v>
      </c>
      <c r="G77" s="30">
        <v>-40398.93434</v>
      </c>
      <c r="H77" s="30">
        <v>-764.18912</v>
      </c>
      <c r="I77" s="30">
        <v>-14426.83265</v>
      </c>
      <c r="J77" s="30">
        <v>-130.96205</v>
      </c>
      <c r="K77" s="30">
        <v>-837.87431000000004</v>
      </c>
      <c r="L77" s="30">
        <v>83648.14129</v>
      </c>
    </row>
    <row r="78" spans="2:12" ht="16" customHeight="1" x14ac:dyDescent="0.35">
      <c r="B78" s="34" t="s">
        <v>404</v>
      </c>
      <c r="C78" s="34" t="s">
        <v>405</v>
      </c>
      <c r="D78" s="52">
        <f t="shared" ref="D78:L78" si="13">D76+D77</f>
        <v>1352047.3120000002</v>
      </c>
      <c r="E78" s="52">
        <f t="shared" si="13"/>
        <v>0</v>
      </c>
      <c r="F78" s="52">
        <f t="shared" si="13"/>
        <v>1251042.7284200001</v>
      </c>
      <c r="G78" s="52">
        <f t="shared" si="13"/>
        <v>77216.682830000005</v>
      </c>
      <c r="H78" s="52">
        <f t="shared" si="13"/>
        <v>311.52803999999992</v>
      </c>
      <c r="I78" s="52">
        <f t="shared" si="13"/>
        <v>21465.314159999998</v>
      </c>
      <c r="J78" s="52">
        <f t="shared" si="13"/>
        <v>682.71873000000005</v>
      </c>
      <c r="K78" s="52">
        <f t="shared" si="13"/>
        <v>2.8999999994994141E-4</v>
      </c>
      <c r="L78" s="52">
        <f t="shared" si="13"/>
        <v>1328.3395299999975</v>
      </c>
    </row>
    <row r="79" spans="2:12" ht="16" customHeight="1" x14ac:dyDescent="0.35">
      <c r="B79" s="14" t="s">
        <v>406</v>
      </c>
      <c r="C79" s="14" t="s">
        <v>407</v>
      </c>
      <c r="D79" s="30">
        <f>E79+F79+G79+H79+I79+J79+K79+L79</f>
        <v>197048.40250999999</v>
      </c>
      <c r="E79" s="30"/>
      <c r="F79" s="30">
        <v>116211.78930999999</v>
      </c>
      <c r="G79" s="30">
        <v>58929.054020000003</v>
      </c>
      <c r="H79" s="30">
        <v>1.0000000000000001E-5</v>
      </c>
      <c r="I79" s="30">
        <v>21576.79636</v>
      </c>
      <c r="J79" s="30">
        <v>1174.65146</v>
      </c>
      <c r="K79" s="30">
        <v>67.487250000000003</v>
      </c>
      <c r="L79" s="30">
        <v>-911.3759</v>
      </c>
    </row>
    <row r="80" spans="2:12" ht="16" customHeight="1" x14ac:dyDescent="0.35">
      <c r="B80" s="14" t="s">
        <v>408</v>
      </c>
      <c r="C80" s="14" t="s">
        <v>409</v>
      </c>
      <c r="D80" s="30">
        <f>E80+F80+G80+H80+I80+J80+K80+L80</f>
        <v>-110799.36487999999</v>
      </c>
      <c r="E80" s="30"/>
      <c r="F80" s="30">
        <v>-56510.605580000003</v>
      </c>
      <c r="G80" s="30">
        <v>-37740.093309999997</v>
      </c>
      <c r="H80" s="30">
        <v>-1.0000000000000001E-5</v>
      </c>
      <c r="I80" s="30">
        <v>-16895.876059999999</v>
      </c>
      <c r="J80" s="30">
        <v>-496.67601000000002</v>
      </c>
      <c r="K80" s="30">
        <v>-67.491129999999998</v>
      </c>
      <c r="L80" s="30">
        <v>911.37721999999997</v>
      </c>
    </row>
    <row r="81" spans="2:12" ht="16" customHeight="1" x14ac:dyDescent="0.35">
      <c r="B81" s="34" t="s">
        <v>410</v>
      </c>
      <c r="C81" s="34" t="s">
        <v>411</v>
      </c>
      <c r="D81" s="52">
        <f t="shared" ref="D81:L81" si="14">D79+D80</f>
        <v>86249.037629999992</v>
      </c>
      <c r="E81" s="52">
        <f t="shared" si="14"/>
        <v>0</v>
      </c>
      <c r="F81" s="52">
        <f t="shared" si="14"/>
        <v>59701.18372999999</v>
      </c>
      <c r="G81" s="52">
        <f t="shared" si="14"/>
        <v>21188.960710000007</v>
      </c>
      <c r="H81" s="52">
        <f t="shared" si="14"/>
        <v>0</v>
      </c>
      <c r="I81" s="52">
        <f t="shared" si="14"/>
        <v>4680.9203000000016</v>
      </c>
      <c r="J81" s="52">
        <f t="shared" si="14"/>
        <v>677.97545000000002</v>
      </c>
      <c r="K81" s="52">
        <f t="shared" si="14"/>
        <v>-3.8799999999952206E-3</v>
      </c>
      <c r="L81" s="52">
        <f t="shared" si="14"/>
        <v>1.3199999999642387E-3</v>
      </c>
    </row>
    <row r="82" spans="2:12" ht="16" customHeight="1" x14ac:dyDescent="0.35">
      <c r="B82" s="14" t="s">
        <v>412</v>
      </c>
      <c r="C82" s="14" t="s">
        <v>413</v>
      </c>
      <c r="D82" s="30">
        <f>E82+F82+G82+H82+I82+J82+K82+L82</f>
        <v>1102701.6231399998</v>
      </c>
      <c r="E82" s="30"/>
      <c r="F82" s="30">
        <v>862305.36211999995</v>
      </c>
      <c r="G82" s="30">
        <v>126462.31689</v>
      </c>
      <c r="H82" s="30">
        <v>1.4999999999999999E-4</v>
      </c>
      <c r="I82" s="30">
        <v>106886.21617</v>
      </c>
      <c r="J82" s="30">
        <v>2093.8121799999999</v>
      </c>
      <c r="K82" s="30">
        <v>373.51083999999997</v>
      </c>
      <c r="L82" s="30">
        <v>4580.4047899999996</v>
      </c>
    </row>
    <row r="83" spans="2:12" ht="16" customHeight="1" x14ac:dyDescent="0.35">
      <c r="B83" s="14" t="s">
        <v>414</v>
      </c>
      <c r="C83" s="14" t="s">
        <v>415</v>
      </c>
      <c r="D83" s="30">
        <f>E83+F83+G83+H83+I83+J83+K83+L83</f>
        <v>-749587.88468999986</v>
      </c>
      <c r="E83" s="30"/>
      <c r="F83" s="30">
        <v>-569174.23835999996</v>
      </c>
      <c r="G83" s="30">
        <v>-97166.854240000001</v>
      </c>
      <c r="H83" s="30">
        <v>-1.4999999999999999E-4</v>
      </c>
      <c r="I83" s="30">
        <v>-76613.126080000002</v>
      </c>
      <c r="J83" s="30">
        <v>-1680.08933</v>
      </c>
      <c r="K83" s="30">
        <v>-373.17176999999998</v>
      </c>
      <c r="L83" s="30">
        <v>-4580.4047600000004</v>
      </c>
    </row>
    <row r="84" spans="2:12" ht="16" customHeight="1" x14ac:dyDescent="0.35">
      <c r="B84" s="34" t="s">
        <v>416</v>
      </c>
      <c r="C84" s="34" t="s">
        <v>417</v>
      </c>
      <c r="D84" s="52">
        <f t="shared" ref="D84:L84" si="15">D82+D83</f>
        <v>353113.73844999995</v>
      </c>
      <c r="E84" s="52">
        <f t="shared" si="15"/>
        <v>0</v>
      </c>
      <c r="F84" s="52">
        <f t="shared" si="15"/>
        <v>293131.12375999999</v>
      </c>
      <c r="G84" s="52">
        <f t="shared" si="15"/>
        <v>29295.462650000001</v>
      </c>
      <c r="H84" s="52">
        <f t="shared" si="15"/>
        <v>0</v>
      </c>
      <c r="I84" s="52">
        <f t="shared" si="15"/>
        <v>30273.090089999998</v>
      </c>
      <c r="J84" s="52">
        <f t="shared" si="15"/>
        <v>413.72284999999988</v>
      </c>
      <c r="K84" s="52">
        <f t="shared" si="15"/>
        <v>0.33906999999999243</v>
      </c>
      <c r="L84" s="52">
        <f t="shared" si="15"/>
        <v>2.9999999242136255E-5</v>
      </c>
    </row>
    <row r="85" spans="2:12" ht="16" customHeight="1" x14ac:dyDescent="0.35">
      <c r="B85" s="14" t="s">
        <v>418</v>
      </c>
      <c r="C85" s="14" t="s">
        <v>419</v>
      </c>
      <c r="D85" s="30">
        <f>E85+F85+G85+H85+I85+J85+K85+L85</f>
        <v>389425.35833999998</v>
      </c>
      <c r="E85" s="30"/>
      <c r="F85" s="30">
        <v>243482.7499</v>
      </c>
      <c r="G85" s="30">
        <v>80301.577120000002</v>
      </c>
      <c r="H85" s="30">
        <v>528.81104000000005</v>
      </c>
      <c r="I85" s="30">
        <v>8189.2918</v>
      </c>
      <c r="J85" s="30">
        <v>45503.542150000001</v>
      </c>
      <c r="K85" s="30">
        <v>597.52049999999997</v>
      </c>
      <c r="L85" s="30">
        <v>10821.865830000001</v>
      </c>
    </row>
    <row r="86" spans="2:12" ht="16" customHeight="1" x14ac:dyDescent="0.35">
      <c r="B86" s="14" t="s">
        <v>420</v>
      </c>
      <c r="C86" s="14" t="s">
        <v>421</v>
      </c>
      <c r="D86" s="30">
        <f>E86+F86+G86+H86+I86+J86+K86+L86</f>
        <v>-301189.35399999999</v>
      </c>
      <c r="E86" s="30"/>
      <c r="F86" s="30">
        <v>-180869.39827000001</v>
      </c>
      <c r="G86" s="30">
        <v>-64940.908580000003</v>
      </c>
      <c r="H86" s="30">
        <v>-449.11502000000002</v>
      </c>
      <c r="I86" s="30">
        <v>-6800.66363</v>
      </c>
      <c r="J86" s="30">
        <v>-36776.403299999998</v>
      </c>
      <c r="K86" s="30">
        <v>-572.62067000000002</v>
      </c>
      <c r="L86" s="30">
        <v>-10780.24453</v>
      </c>
    </row>
    <row r="87" spans="2:12" ht="16" customHeight="1" x14ac:dyDescent="0.35">
      <c r="B87" s="34" t="s">
        <v>422</v>
      </c>
      <c r="C87" s="34" t="s">
        <v>423</v>
      </c>
      <c r="D87" s="52">
        <f t="shared" ref="D87:L87" si="16">D85+D86</f>
        <v>88236.004339999985</v>
      </c>
      <c r="E87" s="52">
        <f t="shared" si="16"/>
        <v>0</v>
      </c>
      <c r="F87" s="52">
        <f t="shared" si="16"/>
        <v>62613.35162999999</v>
      </c>
      <c r="G87" s="52">
        <f t="shared" si="16"/>
        <v>15360.668539999999</v>
      </c>
      <c r="H87" s="52">
        <f t="shared" si="16"/>
        <v>79.696020000000033</v>
      </c>
      <c r="I87" s="52">
        <f t="shared" si="16"/>
        <v>1388.62817</v>
      </c>
      <c r="J87" s="52">
        <f t="shared" si="16"/>
        <v>8727.138850000003</v>
      </c>
      <c r="K87" s="52">
        <f t="shared" si="16"/>
        <v>24.899829999999952</v>
      </c>
      <c r="L87" s="52">
        <f t="shared" si="16"/>
        <v>41.621300000000701</v>
      </c>
    </row>
    <row r="88" spans="2:12" ht="16" customHeight="1" x14ac:dyDescent="0.35">
      <c r="B88" s="14" t="s">
        <v>424</v>
      </c>
      <c r="C88" s="14" t="s">
        <v>425</v>
      </c>
      <c r="D88" s="30">
        <f>E88+F88+G88+H88+I88+J88+K88+L88</f>
        <v>82021.193189999991</v>
      </c>
      <c r="E88" s="30"/>
      <c r="F88" s="30">
        <v>58886.728000000003</v>
      </c>
      <c r="G88" s="30">
        <v>16329.48677</v>
      </c>
      <c r="H88" s="30"/>
      <c r="I88" s="30">
        <v>6632.3867200000004</v>
      </c>
      <c r="J88" s="30">
        <v>158.08414999999999</v>
      </c>
      <c r="K88" s="30"/>
      <c r="L88" s="30">
        <v>14.50755</v>
      </c>
    </row>
    <row r="89" spans="2:12" ht="16" customHeight="1" x14ac:dyDescent="0.35">
      <c r="B89" s="14" t="s">
        <v>426</v>
      </c>
      <c r="C89" s="14" t="s">
        <v>427</v>
      </c>
      <c r="D89" s="30">
        <f>E89+F89+G89+H89+I89+J89+K89+L89</f>
        <v>0</v>
      </c>
      <c r="E89" s="30"/>
      <c r="F89" s="30"/>
      <c r="G89" s="30"/>
      <c r="H89" s="30"/>
      <c r="I89" s="30"/>
      <c r="J89" s="30"/>
      <c r="K89" s="30"/>
      <c r="L89" s="30"/>
    </row>
    <row r="90" spans="2:12" ht="16" customHeight="1" x14ac:dyDescent="0.35">
      <c r="B90" s="34" t="s">
        <v>428</v>
      </c>
      <c r="C90" s="34" t="s">
        <v>429</v>
      </c>
      <c r="D90" s="52">
        <f t="shared" ref="D90:L90" si="17">D88+D89</f>
        <v>82021.193189999991</v>
      </c>
      <c r="E90" s="52">
        <f t="shared" si="17"/>
        <v>0</v>
      </c>
      <c r="F90" s="52">
        <f t="shared" si="17"/>
        <v>58886.728000000003</v>
      </c>
      <c r="G90" s="52">
        <f t="shared" si="17"/>
        <v>16329.48677</v>
      </c>
      <c r="H90" s="52">
        <f t="shared" si="17"/>
        <v>0</v>
      </c>
      <c r="I90" s="52">
        <f t="shared" si="17"/>
        <v>6632.3867200000004</v>
      </c>
      <c r="J90" s="52">
        <f t="shared" si="17"/>
        <v>158.08414999999999</v>
      </c>
      <c r="K90" s="52">
        <f t="shared" si="17"/>
        <v>0</v>
      </c>
      <c r="L90" s="52">
        <f t="shared" si="17"/>
        <v>14.50755</v>
      </c>
    </row>
    <row r="91" spans="2:12" ht="16" customHeight="1" x14ac:dyDescent="0.35">
      <c r="B91" s="11" t="s">
        <v>430</v>
      </c>
      <c r="C91" s="11" t="s">
        <v>22</v>
      </c>
      <c r="D91" s="29"/>
      <c r="E91" s="29"/>
      <c r="F91" s="29"/>
      <c r="G91" s="29"/>
      <c r="H91" s="29"/>
      <c r="I91" s="29"/>
      <c r="J91" s="29"/>
      <c r="K91" s="29"/>
      <c r="L91" s="29"/>
    </row>
    <row r="92" spans="2:12" ht="16" customHeight="1" x14ac:dyDescent="0.35">
      <c r="B92" s="16" t="s">
        <v>431</v>
      </c>
      <c r="C92" s="16" t="s">
        <v>432</v>
      </c>
      <c r="D92" s="31">
        <f t="shared" ref="D92:L94" si="18">D76+D79+D82+D85+D88</f>
        <v>3951915.8694499996</v>
      </c>
      <c r="E92" s="31">
        <f t="shared" si="18"/>
        <v>0</v>
      </c>
      <c r="F92" s="31">
        <f t="shared" si="18"/>
        <v>3387690.6868400006</v>
      </c>
      <c r="G92" s="31">
        <f t="shared" si="18"/>
        <v>399638.05196999997</v>
      </c>
      <c r="H92" s="31">
        <f t="shared" si="18"/>
        <v>1604.52836</v>
      </c>
      <c r="I92" s="31">
        <f t="shared" si="18"/>
        <v>179176.83786000003</v>
      </c>
      <c r="J92" s="31">
        <f t="shared" si="18"/>
        <v>49743.77072</v>
      </c>
      <c r="K92" s="31">
        <f t="shared" si="18"/>
        <v>1876.3931899999998</v>
      </c>
      <c r="L92" s="31">
        <f t="shared" si="18"/>
        <v>-67814.399490000011</v>
      </c>
    </row>
    <row r="93" spans="2:12" ht="16" customHeight="1" thickBot="1" x14ac:dyDescent="0.4">
      <c r="B93" s="16" t="s">
        <v>433</v>
      </c>
      <c r="C93" s="16" t="s">
        <v>434</v>
      </c>
      <c r="D93" s="31">
        <f t="shared" si="18"/>
        <v>-1990248.5838399997</v>
      </c>
      <c r="E93" s="31">
        <f t="shared" si="18"/>
        <v>0</v>
      </c>
      <c r="F93" s="31">
        <f t="shared" si="18"/>
        <v>-1662315.5713</v>
      </c>
      <c r="G93" s="31">
        <f t="shared" si="18"/>
        <v>-240246.79047000001</v>
      </c>
      <c r="H93" s="31">
        <f t="shared" si="18"/>
        <v>-1213.3043</v>
      </c>
      <c r="I93" s="31">
        <f t="shared" si="18"/>
        <v>-114736.49841999999</v>
      </c>
      <c r="J93" s="31">
        <f t="shared" si="18"/>
        <v>-39084.130689999998</v>
      </c>
      <c r="K93" s="31">
        <f t="shared" si="18"/>
        <v>-1851.15788</v>
      </c>
      <c r="L93" s="31">
        <f t="shared" si="18"/>
        <v>69198.869219999993</v>
      </c>
    </row>
    <row r="94" spans="2:12" ht="16" customHeight="1" thickBot="1" x14ac:dyDescent="0.4">
      <c r="B94" s="18" t="s">
        <v>435</v>
      </c>
      <c r="C94" s="18" t="s">
        <v>436</v>
      </c>
      <c r="D94" s="32">
        <f t="shared" si="18"/>
        <v>1961667.2856100001</v>
      </c>
      <c r="E94" s="32">
        <f t="shared" si="18"/>
        <v>0</v>
      </c>
      <c r="F94" s="32">
        <f t="shared" si="18"/>
        <v>1725375.1155400001</v>
      </c>
      <c r="G94" s="32">
        <f t="shared" si="18"/>
        <v>159391.26149999999</v>
      </c>
      <c r="H94" s="32">
        <f t="shared" si="18"/>
        <v>391.22405999999995</v>
      </c>
      <c r="I94" s="32">
        <f t="shared" si="18"/>
        <v>64440.339440000003</v>
      </c>
      <c r="J94" s="32">
        <f t="shared" si="18"/>
        <v>10659.640030000004</v>
      </c>
      <c r="K94" s="32">
        <f t="shared" si="18"/>
        <v>25.235309999999899</v>
      </c>
      <c r="L94" s="32">
        <f t="shared" si="18"/>
        <v>1384.4697299999973</v>
      </c>
    </row>
    <row r="95" spans="2:12" ht="16" customHeight="1" x14ac:dyDescent="0.35">
      <c r="B95" s="11" t="s">
        <v>437</v>
      </c>
      <c r="C95" s="11" t="s">
        <v>22</v>
      </c>
      <c r="D95" s="29"/>
      <c r="E95" s="29"/>
      <c r="F95" s="29"/>
      <c r="G95" s="29"/>
      <c r="H95" s="29"/>
      <c r="I95" s="29"/>
      <c r="J95" s="29"/>
      <c r="K95" s="29"/>
      <c r="L95" s="29"/>
    </row>
    <row r="96" spans="2:12" ht="16" customHeight="1" x14ac:dyDescent="0.35">
      <c r="B96" s="14" t="s">
        <v>438</v>
      </c>
      <c r="C96" s="14" t="s">
        <v>439</v>
      </c>
      <c r="D96" s="30">
        <f>E96+F96+G96+H96+I96+J96+K96+L96</f>
        <v>303.52346999999997</v>
      </c>
      <c r="E96" s="30"/>
      <c r="F96" s="30">
        <v>81.884550000000004</v>
      </c>
      <c r="G96" s="30">
        <v>141.04969</v>
      </c>
      <c r="H96" s="30"/>
      <c r="I96" s="30">
        <v>37.920659999999998</v>
      </c>
      <c r="J96" s="30">
        <v>42.493299999999998</v>
      </c>
      <c r="K96" s="30">
        <v>0.17527000000000001</v>
      </c>
      <c r="L96" s="30"/>
    </row>
    <row r="97" spans="2:12" ht="16" customHeight="1" x14ac:dyDescent="0.35">
      <c r="B97" s="14" t="s">
        <v>440</v>
      </c>
      <c r="C97" s="14" t="s">
        <v>441</v>
      </c>
      <c r="D97" s="30">
        <f>E97+F97+G97+H97+I97+J97+K97+L97</f>
        <v>-303.52346999999997</v>
      </c>
      <c r="E97" s="30"/>
      <c r="F97" s="30">
        <v>-75.256789999999995</v>
      </c>
      <c r="G97" s="30">
        <v>-144.47445999999999</v>
      </c>
      <c r="H97" s="30"/>
      <c r="I97" s="30">
        <v>-39.322510000000001</v>
      </c>
      <c r="J97" s="30">
        <v>-44.415799999999997</v>
      </c>
      <c r="K97" s="30">
        <v>-5.391E-2</v>
      </c>
      <c r="L97" s="30"/>
    </row>
    <row r="98" spans="2:12" ht="16" customHeight="1" x14ac:dyDescent="0.35">
      <c r="B98" s="34" t="s">
        <v>442</v>
      </c>
      <c r="C98" s="34" t="s">
        <v>443</v>
      </c>
      <c r="D98" s="52">
        <f t="shared" ref="D98:L98" si="19">D96+D97</f>
        <v>0</v>
      </c>
      <c r="E98" s="52">
        <f t="shared" si="19"/>
        <v>0</v>
      </c>
      <c r="F98" s="52">
        <f t="shared" si="19"/>
        <v>6.6277600000000092</v>
      </c>
      <c r="G98" s="52">
        <f t="shared" si="19"/>
        <v>-3.4247699999999952</v>
      </c>
      <c r="H98" s="52">
        <f t="shared" si="19"/>
        <v>0</v>
      </c>
      <c r="I98" s="52">
        <f t="shared" si="19"/>
        <v>-1.4018500000000031</v>
      </c>
      <c r="J98" s="52">
        <f t="shared" si="19"/>
        <v>-1.9224999999999994</v>
      </c>
      <c r="K98" s="52">
        <f t="shared" si="19"/>
        <v>0.12136000000000001</v>
      </c>
      <c r="L98" s="52">
        <f t="shared" si="19"/>
        <v>0</v>
      </c>
    </row>
    <row r="99" spans="2:12" ht="16" customHeight="1" x14ac:dyDescent="0.35">
      <c r="B99" s="14" t="s">
        <v>444</v>
      </c>
      <c r="C99" s="14" t="s">
        <v>445</v>
      </c>
      <c r="D99" s="30">
        <f>E99+F99+G99+H99+I99+J99+K99+L99</f>
        <v>2.3092638912203256E-14</v>
      </c>
      <c r="E99" s="30"/>
      <c r="F99" s="30">
        <v>1006.86726</v>
      </c>
      <c r="G99" s="30">
        <v>-985.49883999999997</v>
      </c>
      <c r="H99" s="30"/>
      <c r="I99" s="30">
        <v>-158.70832999999999</v>
      </c>
      <c r="J99" s="30">
        <v>129.0941</v>
      </c>
      <c r="K99" s="30">
        <v>8.2458100000000005</v>
      </c>
      <c r="L99" s="30"/>
    </row>
    <row r="100" spans="2:12" ht="16" customHeight="1" x14ac:dyDescent="0.35">
      <c r="B100" s="14" t="s">
        <v>446</v>
      </c>
      <c r="C100" s="14" t="s">
        <v>447</v>
      </c>
      <c r="D100" s="30">
        <f>E100+F100+G100+H100+I100+J100+K100+L100</f>
        <v>5.3290705182007514E-15</v>
      </c>
      <c r="E100" s="30"/>
      <c r="F100" s="30">
        <v>160.66285999999999</v>
      </c>
      <c r="G100" s="30">
        <v>-153.13006999999999</v>
      </c>
      <c r="H100" s="30"/>
      <c r="I100" s="30">
        <v>-20.846730000000001</v>
      </c>
      <c r="J100" s="30">
        <v>14.96306</v>
      </c>
      <c r="K100" s="30">
        <v>-1.6491199999999999</v>
      </c>
      <c r="L100" s="30"/>
    </row>
    <row r="101" spans="2:12" ht="16" customHeight="1" x14ac:dyDescent="0.35">
      <c r="B101" s="34" t="s">
        <v>448</v>
      </c>
      <c r="C101" s="34" t="s">
        <v>449</v>
      </c>
      <c r="D101" s="52">
        <f t="shared" ref="D101:L101" si="20">D99+D100</f>
        <v>2.8421709430404007E-14</v>
      </c>
      <c r="E101" s="52">
        <f t="shared" si="20"/>
        <v>0</v>
      </c>
      <c r="F101" s="52">
        <f t="shared" si="20"/>
        <v>1167.5301199999999</v>
      </c>
      <c r="G101" s="52">
        <f t="shared" si="20"/>
        <v>-1138.6289099999999</v>
      </c>
      <c r="H101" s="52">
        <f t="shared" si="20"/>
        <v>0</v>
      </c>
      <c r="I101" s="52">
        <f t="shared" si="20"/>
        <v>-179.55506</v>
      </c>
      <c r="J101" s="52">
        <f t="shared" si="20"/>
        <v>144.05716000000001</v>
      </c>
      <c r="K101" s="52">
        <f t="shared" si="20"/>
        <v>6.5966900000000006</v>
      </c>
      <c r="L101" s="52">
        <f t="shared" si="20"/>
        <v>0</v>
      </c>
    </row>
    <row r="102" spans="2:12" ht="16" customHeight="1" x14ac:dyDescent="0.35">
      <c r="B102" s="14" t="s">
        <v>450</v>
      </c>
      <c r="C102" s="14" t="s">
        <v>451</v>
      </c>
      <c r="D102" s="30">
        <f>E102+F102+G102+H102+I102+J102+K102+L102</f>
        <v>27353.48574</v>
      </c>
      <c r="E102" s="30"/>
      <c r="F102" s="30">
        <v>21331.912</v>
      </c>
      <c r="G102" s="30">
        <v>1941.99262</v>
      </c>
      <c r="H102" s="30"/>
      <c r="I102" s="30">
        <v>278.83976999999999</v>
      </c>
      <c r="J102" s="30">
        <v>3800.7413499999998</v>
      </c>
      <c r="K102" s="30"/>
      <c r="L102" s="30"/>
    </row>
    <row r="103" spans="2:12" ht="16" customHeight="1" x14ac:dyDescent="0.35">
      <c r="B103" s="14" t="s">
        <v>452</v>
      </c>
      <c r="C103" s="14" t="s">
        <v>453</v>
      </c>
      <c r="D103" s="30">
        <f>E103+F103+G103+H103+I103+J103+K103+L103</f>
        <v>-13592.592480000001</v>
      </c>
      <c r="E103" s="30"/>
      <c r="F103" s="30">
        <v>-10526.90998</v>
      </c>
      <c r="G103" s="30">
        <v>-409.63274000000001</v>
      </c>
      <c r="H103" s="30"/>
      <c r="I103" s="30">
        <v>-133.88503</v>
      </c>
      <c r="J103" s="30">
        <v>-2522.16473</v>
      </c>
      <c r="K103" s="30"/>
      <c r="L103" s="30"/>
    </row>
    <row r="104" spans="2:12" ht="16" customHeight="1" x14ac:dyDescent="0.35">
      <c r="B104" s="34" t="s">
        <v>454</v>
      </c>
      <c r="C104" s="34" t="s">
        <v>455</v>
      </c>
      <c r="D104" s="52">
        <f t="shared" ref="D104:L104" si="21">D102+D103</f>
        <v>13760.893259999999</v>
      </c>
      <c r="E104" s="52">
        <f t="shared" si="21"/>
        <v>0</v>
      </c>
      <c r="F104" s="52">
        <f t="shared" si="21"/>
        <v>10805.00202</v>
      </c>
      <c r="G104" s="52">
        <f t="shared" si="21"/>
        <v>1532.35988</v>
      </c>
      <c r="H104" s="52">
        <f t="shared" si="21"/>
        <v>0</v>
      </c>
      <c r="I104" s="52">
        <f t="shared" si="21"/>
        <v>144.95473999999999</v>
      </c>
      <c r="J104" s="52">
        <f t="shared" si="21"/>
        <v>1278.5766199999998</v>
      </c>
      <c r="K104" s="52">
        <f t="shared" si="21"/>
        <v>0</v>
      </c>
      <c r="L104" s="52">
        <f t="shared" si="21"/>
        <v>0</v>
      </c>
    </row>
    <row r="105" spans="2:12" ht="16" customHeight="1" x14ac:dyDescent="0.35">
      <c r="B105" s="14" t="s">
        <v>456</v>
      </c>
      <c r="C105" s="14" t="s">
        <v>457</v>
      </c>
      <c r="D105" s="30">
        <f>E105+F105+G105+H105+I105+J105+K105+L105</f>
        <v>152114.28246999998</v>
      </c>
      <c r="E105" s="30"/>
      <c r="F105" s="30">
        <v>54470.199809999998</v>
      </c>
      <c r="G105" s="30">
        <v>75212.853170000002</v>
      </c>
      <c r="H105" s="30"/>
      <c r="I105" s="30">
        <v>3364.6013200000002</v>
      </c>
      <c r="J105" s="30">
        <v>18483.826509999999</v>
      </c>
      <c r="K105" s="30">
        <v>1.8186599999999999</v>
      </c>
      <c r="L105" s="30">
        <v>580.98299999999995</v>
      </c>
    </row>
    <row r="106" spans="2:12" ht="16" customHeight="1" x14ac:dyDescent="0.35">
      <c r="B106" s="14" t="s">
        <v>458</v>
      </c>
      <c r="C106" s="14" t="s">
        <v>459</v>
      </c>
      <c r="D106" s="30">
        <f>E106+F106+G106+H106+I106+J106+K106+L106</f>
        <v>-51438.824610000003</v>
      </c>
      <c r="E106" s="30"/>
      <c r="F106" s="30">
        <v>-22810.98417</v>
      </c>
      <c r="G106" s="30">
        <v>-22092.844990000001</v>
      </c>
      <c r="H106" s="30"/>
      <c r="I106" s="30">
        <v>-1469.02306</v>
      </c>
      <c r="J106" s="30">
        <v>-5065.4255999999996</v>
      </c>
      <c r="K106" s="30">
        <v>-0.54679</v>
      </c>
      <c r="L106" s="30"/>
    </row>
    <row r="107" spans="2:12" ht="16" customHeight="1" x14ac:dyDescent="0.35">
      <c r="B107" s="34" t="s">
        <v>460</v>
      </c>
      <c r="C107" s="34" t="s">
        <v>461</v>
      </c>
      <c r="D107" s="52">
        <f t="shared" ref="D107:L107" si="22">D105+D106</f>
        <v>100675.45785999997</v>
      </c>
      <c r="E107" s="52">
        <f t="shared" si="22"/>
        <v>0</v>
      </c>
      <c r="F107" s="52">
        <f t="shared" si="22"/>
        <v>31659.215639999999</v>
      </c>
      <c r="G107" s="52">
        <f t="shared" si="22"/>
        <v>53120.008180000004</v>
      </c>
      <c r="H107" s="52">
        <f t="shared" si="22"/>
        <v>0</v>
      </c>
      <c r="I107" s="52">
        <f t="shared" si="22"/>
        <v>1895.5782600000002</v>
      </c>
      <c r="J107" s="52">
        <f t="shared" si="22"/>
        <v>13418.40091</v>
      </c>
      <c r="K107" s="52">
        <f t="shared" si="22"/>
        <v>1.2718699999999998</v>
      </c>
      <c r="L107" s="52">
        <f t="shared" si="22"/>
        <v>580.98299999999995</v>
      </c>
    </row>
    <row r="108" spans="2:12" ht="16" customHeight="1" x14ac:dyDescent="0.35">
      <c r="B108" s="14" t="s">
        <v>462</v>
      </c>
      <c r="C108" s="14" t="s">
        <v>463</v>
      </c>
      <c r="D108" s="30">
        <f>E108+F108+G108+H108+I108+J108+K108+L108</f>
        <v>0</v>
      </c>
      <c r="E108" s="30"/>
      <c r="F108" s="30"/>
      <c r="G108" s="30"/>
      <c r="H108" s="30"/>
      <c r="I108" s="30"/>
      <c r="J108" s="30"/>
      <c r="K108" s="30"/>
      <c r="L108" s="30"/>
    </row>
    <row r="109" spans="2:12" ht="16" customHeight="1" x14ac:dyDescent="0.35">
      <c r="B109" s="14" t="s">
        <v>464</v>
      </c>
      <c r="C109" s="14" t="s">
        <v>465</v>
      </c>
      <c r="D109" s="30">
        <f>E109+F109+G109+H109+I109+J109+K109+L109</f>
        <v>0</v>
      </c>
      <c r="E109" s="30"/>
      <c r="F109" s="30"/>
      <c r="G109" s="30"/>
      <c r="H109" s="30"/>
      <c r="I109" s="30"/>
      <c r="J109" s="30"/>
      <c r="K109" s="30"/>
      <c r="L109" s="30"/>
    </row>
    <row r="110" spans="2:12" ht="16" customHeight="1" x14ac:dyDescent="0.35">
      <c r="B110" s="34" t="s">
        <v>466</v>
      </c>
      <c r="C110" s="34" t="s">
        <v>467</v>
      </c>
      <c r="D110" s="52">
        <f t="shared" ref="D110:L110" si="23">D108+D109</f>
        <v>0</v>
      </c>
      <c r="E110" s="52">
        <f t="shared" si="23"/>
        <v>0</v>
      </c>
      <c r="F110" s="52">
        <f t="shared" si="23"/>
        <v>0</v>
      </c>
      <c r="G110" s="52">
        <f t="shared" si="23"/>
        <v>0</v>
      </c>
      <c r="H110" s="52">
        <f t="shared" si="23"/>
        <v>0</v>
      </c>
      <c r="I110" s="52">
        <f t="shared" si="23"/>
        <v>0</v>
      </c>
      <c r="J110" s="52">
        <f t="shared" si="23"/>
        <v>0</v>
      </c>
      <c r="K110" s="52">
        <f t="shared" si="23"/>
        <v>0</v>
      </c>
      <c r="L110" s="52">
        <f t="shared" si="23"/>
        <v>0</v>
      </c>
    </row>
    <row r="111" spans="2:12" ht="16" customHeight="1" x14ac:dyDescent="0.35">
      <c r="B111" s="11" t="s">
        <v>468</v>
      </c>
      <c r="C111" s="11" t="s">
        <v>22</v>
      </c>
      <c r="D111" s="29"/>
      <c r="E111" s="29"/>
      <c r="F111" s="29"/>
      <c r="G111" s="29"/>
      <c r="H111" s="29"/>
      <c r="I111" s="29"/>
      <c r="J111" s="29"/>
      <c r="K111" s="29"/>
      <c r="L111" s="29"/>
    </row>
    <row r="112" spans="2:12" ht="16" customHeight="1" x14ac:dyDescent="0.35">
      <c r="B112" s="16" t="s">
        <v>469</v>
      </c>
      <c r="C112" s="16" t="s">
        <v>470</v>
      </c>
      <c r="D112" s="31">
        <f t="shared" ref="D112:L114" si="24">D96+D99+D102+D105+D108</f>
        <v>179771.29167999997</v>
      </c>
      <c r="E112" s="31">
        <f t="shared" si="24"/>
        <v>0</v>
      </c>
      <c r="F112" s="31">
        <f t="shared" si="24"/>
        <v>76890.863620000004</v>
      </c>
      <c r="G112" s="31">
        <f t="shared" si="24"/>
        <v>76310.396640000006</v>
      </c>
      <c r="H112" s="31">
        <f t="shared" si="24"/>
        <v>0</v>
      </c>
      <c r="I112" s="31">
        <f t="shared" si="24"/>
        <v>3522.6534200000001</v>
      </c>
      <c r="J112" s="31">
        <f t="shared" si="24"/>
        <v>22456.15526</v>
      </c>
      <c r="K112" s="31">
        <f t="shared" si="24"/>
        <v>10.239739999999999</v>
      </c>
      <c r="L112" s="31">
        <f t="shared" si="24"/>
        <v>580.98299999999995</v>
      </c>
    </row>
    <row r="113" spans="2:12" ht="16" customHeight="1" thickBot="1" x14ac:dyDescent="0.4">
      <c r="B113" s="16" t="s">
        <v>471</v>
      </c>
      <c r="C113" s="16" t="s">
        <v>472</v>
      </c>
      <c r="D113" s="31">
        <f t="shared" si="24"/>
        <v>-65334.940560000003</v>
      </c>
      <c r="E113" s="31">
        <f t="shared" si="24"/>
        <v>0</v>
      </c>
      <c r="F113" s="31">
        <f t="shared" si="24"/>
        <v>-33252.488079999996</v>
      </c>
      <c r="G113" s="31">
        <f t="shared" si="24"/>
        <v>-22800.082260000003</v>
      </c>
      <c r="H113" s="31">
        <f t="shared" si="24"/>
        <v>0</v>
      </c>
      <c r="I113" s="31">
        <f t="shared" si="24"/>
        <v>-1663.0773300000001</v>
      </c>
      <c r="J113" s="31">
        <f t="shared" si="24"/>
        <v>-7617.0430699999997</v>
      </c>
      <c r="K113" s="31">
        <f t="shared" si="24"/>
        <v>-2.2498199999999997</v>
      </c>
      <c r="L113" s="31">
        <f t="shared" si="24"/>
        <v>0</v>
      </c>
    </row>
    <row r="114" spans="2:12" ht="16" customHeight="1" thickBot="1" x14ac:dyDescent="0.4">
      <c r="B114" s="18" t="s">
        <v>473</v>
      </c>
      <c r="C114" s="18" t="s">
        <v>474</v>
      </c>
      <c r="D114" s="32">
        <f t="shared" si="24"/>
        <v>114436.35111999996</v>
      </c>
      <c r="E114" s="32">
        <f t="shared" si="24"/>
        <v>0</v>
      </c>
      <c r="F114" s="32">
        <f t="shared" si="24"/>
        <v>43638.375540000001</v>
      </c>
      <c r="G114" s="32">
        <f t="shared" si="24"/>
        <v>53510.314380000003</v>
      </c>
      <c r="H114" s="32">
        <f t="shared" si="24"/>
        <v>0</v>
      </c>
      <c r="I114" s="32">
        <f t="shared" si="24"/>
        <v>1859.5760900000002</v>
      </c>
      <c r="J114" s="32">
        <f t="shared" si="24"/>
        <v>14839.11219</v>
      </c>
      <c r="K114" s="32">
        <f t="shared" si="24"/>
        <v>7.9899200000000006</v>
      </c>
      <c r="L114" s="32">
        <f t="shared" si="24"/>
        <v>580.98299999999995</v>
      </c>
    </row>
    <row r="115" spans="2:12" ht="16" customHeight="1" x14ac:dyDescent="0.35">
      <c r="B115" s="11" t="s">
        <v>93</v>
      </c>
      <c r="C115" s="11" t="s">
        <v>475</v>
      </c>
      <c r="D115" s="29"/>
      <c r="E115" s="29"/>
      <c r="F115" s="29"/>
      <c r="G115" s="29"/>
      <c r="H115" s="29"/>
      <c r="I115" s="29"/>
      <c r="J115" s="29"/>
      <c r="K115" s="29"/>
      <c r="L115" s="29"/>
    </row>
    <row r="116" spans="2:12" ht="16" customHeight="1" x14ac:dyDescent="0.35">
      <c r="B116" s="16" t="s">
        <v>476</v>
      </c>
      <c r="C116" s="16" t="s">
        <v>477</v>
      </c>
      <c r="D116" s="31">
        <f t="shared" ref="D116:L118" si="25">D92+D112</f>
        <v>4131687.1611299994</v>
      </c>
      <c r="E116" s="31">
        <f t="shared" si="25"/>
        <v>0</v>
      </c>
      <c r="F116" s="31">
        <f t="shared" si="25"/>
        <v>3464581.5504600005</v>
      </c>
      <c r="G116" s="31">
        <f t="shared" si="25"/>
        <v>475948.44860999996</v>
      </c>
      <c r="H116" s="31">
        <f t="shared" si="25"/>
        <v>1604.52836</v>
      </c>
      <c r="I116" s="31">
        <f t="shared" si="25"/>
        <v>182699.49128000002</v>
      </c>
      <c r="J116" s="31">
        <f t="shared" si="25"/>
        <v>72199.92598</v>
      </c>
      <c r="K116" s="31">
        <f t="shared" si="25"/>
        <v>1886.6329299999998</v>
      </c>
      <c r="L116" s="31">
        <f t="shared" si="25"/>
        <v>-67233.416490000018</v>
      </c>
    </row>
    <row r="117" spans="2:12" ht="16" customHeight="1" thickBot="1" x14ac:dyDescent="0.4">
      <c r="B117" s="16" t="s">
        <v>478</v>
      </c>
      <c r="C117" s="16" t="s">
        <v>479</v>
      </c>
      <c r="D117" s="31">
        <f t="shared" si="25"/>
        <v>-2055583.5243999998</v>
      </c>
      <c r="E117" s="31">
        <f t="shared" si="25"/>
        <v>0</v>
      </c>
      <c r="F117" s="31">
        <f t="shared" si="25"/>
        <v>-1695568.05938</v>
      </c>
      <c r="G117" s="31">
        <f t="shared" si="25"/>
        <v>-263046.87273</v>
      </c>
      <c r="H117" s="31">
        <f t="shared" si="25"/>
        <v>-1213.3043</v>
      </c>
      <c r="I117" s="31">
        <f t="shared" si="25"/>
        <v>-116399.57574999999</v>
      </c>
      <c r="J117" s="31">
        <f t="shared" si="25"/>
        <v>-46701.173759999998</v>
      </c>
      <c r="K117" s="31">
        <f t="shared" si="25"/>
        <v>-1853.4077</v>
      </c>
      <c r="L117" s="31">
        <f t="shared" si="25"/>
        <v>69198.869219999993</v>
      </c>
    </row>
    <row r="118" spans="2:12" ht="16" customHeight="1" thickBot="1" x14ac:dyDescent="0.4">
      <c r="B118" s="18" t="s">
        <v>480</v>
      </c>
      <c r="C118" s="18" t="s">
        <v>481</v>
      </c>
      <c r="D118" s="32">
        <f t="shared" si="25"/>
        <v>2076103.6367300001</v>
      </c>
      <c r="E118" s="32">
        <f t="shared" si="25"/>
        <v>0</v>
      </c>
      <c r="F118" s="32">
        <f t="shared" si="25"/>
        <v>1769013.4910800001</v>
      </c>
      <c r="G118" s="32">
        <f t="shared" si="25"/>
        <v>212901.57587999999</v>
      </c>
      <c r="H118" s="32">
        <f t="shared" si="25"/>
        <v>391.22405999999995</v>
      </c>
      <c r="I118" s="32">
        <f t="shared" si="25"/>
        <v>66299.915529999998</v>
      </c>
      <c r="J118" s="32">
        <f t="shared" si="25"/>
        <v>25498.752220000002</v>
      </c>
      <c r="K118" s="32">
        <f t="shared" si="25"/>
        <v>33.225229999999897</v>
      </c>
      <c r="L118" s="32">
        <f t="shared" si="25"/>
        <v>1965.4527299999972</v>
      </c>
    </row>
    <row r="119" spans="2:12" ht="16" customHeight="1" x14ac:dyDescent="0.35">
      <c r="B119" s="11" t="s">
        <v>482</v>
      </c>
      <c r="C119" s="11" t="s">
        <v>22</v>
      </c>
      <c r="D119" s="29"/>
      <c r="E119" s="29"/>
      <c r="F119" s="29"/>
      <c r="G119" s="29"/>
      <c r="H119" s="29"/>
      <c r="I119" s="29"/>
      <c r="J119" s="29"/>
      <c r="K119" s="29"/>
      <c r="L119" s="29"/>
    </row>
    <row r="120" spans="2:12" ht="16" customHeight="1" x14ac:dyDescent="0.35">
      <c r="B120" s="14" t="s">
        <v>483</v>
      </c>
      <c r="C120" s="14" t="s">
        <v>484</v>
      </c>
      <c r="D120" s="30">
        <f>E120+F120+G120+H120+I120+J120+K120+L120</f>
        <v>6256.0480600000001</v>
      </c>
      <c r="E120" s="30"/>
      <c r="F120" s="30">
        <v>3156.0480600000001</v>
      </c>
      <c r="G120" s="30"/>
      <c r="H120" s="30"/>
      <c r="I120" s="30"/>
      <c r="J120" s="30"/>
      <c r="K120" s="30"/>
      <c r="L120" s="30">
        <v>3100</v>
      </c>
    </row>
    <row r="121" spans="2:12" ht="16" customHeight="1" x14ac:dyDescent="0.35">
      <c r="B121" s="14" t="s">
        <v>485</v>
      </c>
      <c r="C121" s="14" t="s">
        <v>486</v>
      </c>
      <c r="D121" s="30">
        <f>E121+F121+G121+H121+I121+J121+K121+L121</f>
        <v>-1084.808</v>
      </c>
      <c r="E121" s="30"/>
      <c r="F121" s="30"/>
      <c r="G121" s="30"/>
      <c r="H121" s="30"/>
      <c r="I121" s="30"/>
      <c r="J121" s="30"/>
      <c r="K121" s="30"/>
      <c r="L121" s="30">
        <v>-1084.808</v>
      </c>
    </row>
    <row r="122" spans="2:12" ht="16" customHeight="1" x14ac:dyDescent="0.35">
      <c r="B122" s="34" t="s">
        <v>487</v>
      </c>
      <c r="C122" s="34" t="s">
        <v>488</v>
      </c>
      <c r="D122" s="52">
        <f t="shared" ref="D122:L122" si="26">D120+D121</f>
        <v>5171.2400600000001</v>
      </c>
      <c r="E122" s="52">
        <f t="shared" si="26"/>
        <v>0</v>
      </c>
      <c r="F122" s="52">
        <f t="shared" si="26"/>
        <v>3156.0480600000001</v>
      </c>
      <c r="G122" s="52">
        <f t="shared" si="26"/>
        <v>0</v>
      </c>
      <c r="H122" s="52">
        <f t="shared" si="26"/>
        <v>0</v>
      </c>
      <c r="I122" s="52">
        <f t="shared" si="26"/>
        <v>0</v>
      </c>
      <c r="J122" s="52">
        <f t="shared" si="26"/>
        <v>0</v>
      </c>
      <c r="K122" s="52">
        <f t="shared" si="26"/>
        <v>0</v>
      </c>
      <c r="L122" s="52">
        <f t="shared" si="26"/>
        <v>2015.192</v>
      </c>
    </row>
    <row r="123" spans="2:12" ht="16" customHeight="1" x14ac:dyDescent="0.35">
      <c r="B123" s="14" t="s">
        <v>489</v>
      </c>
      <c r="C123" s="14" t="s">
        <v>490</v>
      </c>
      <c r="D123" s="30">
        <f>E123+F123+G123+H123+I123+J123+K123+L123</f>
        <v>163609.36256000001</v>
      </c>
      <c r="E123" s="30"/>
      <c r="F123" s="30">
        <v>163334.93290000001</v>
      </c>
      <c r="G123" s="30"/>
      <c r="H123" s="30"/>
      <c r="I123" s="30"/>
      <c r="J123" s="30"/>
      <c r="K123" s="30"/>
      <c r="L123" s="30">
        <v>274.42966000000001</v>
      </c>
    </row>
    <row r="124" spans="2:12" ht="16" customHeight="1" x14ac:dyDescent="0.35">
      <c r="B124" s="14" t="s">
        <v>491</v>
      </c>
      <c r="C124" s="14" t="s">
        <v>492</v>
      </c>
      <c r="D124" s="30">
        <f>E124+F124+G124+H124+I124+J124+K124+L124</f>
        <v>-41067.070899999999</v>
      </c>
      <c r="E124" s="30"/>
      <c r="F124" s="30">
        <v>-41067.070899999999</v>
      </c>
      <c r="G124" s="30"/>
      <c r="H124" s="30"/>
      <c r="I124" s="30"/>
      <c r="J124" s="30"/>
      <c r="K124" s="30"/>
      <c r="L124" s="30"/>
    </row>
    <row r="125" spans="2:12" ht="16" customHeight="1" x14ac:dyDescent="0.35">
      <c r="B125" s="34" t="s">
        <v>493</v>
      </c>
      <c r="C125" s="34" t="s">
        <v>494</v>
      </c>
      <c r="D125" s="52">
        <f t="shared" ref="D125:L125" si="27">D123+D124</f>
        <v>122542.29166000002</v>
      </c>
      <c r="E125" s="52">
        <f t="shared" si="27"/>
        <v>0</v>
      </c>
      <c r="F125" s="52">
        <f t="shared" si="27"/>
        <v>122267.86200000002</v>
      </c>
      <c r="G125" s="52">
        <f t="shared" si="27"/>
        <v>0</v>
      </c>
      <c r="H125" s="52">
        <f t="shared" si="27"/>
        <v>0</v>
      </c>
      <c r="I125" s="52">
        <f t="shared" si="27"/>
        <v>0</v>
      </c>
      <c r="J125" s="52">
        <f t="shared" si="27"/>
        <v>0</v>
      </c>
      <c r="K125" s="52">
        <f t="shared" si="27"/>
        <v>0</v>
      </c>
      <c r="L125" s="52">
        <f t="shared" si="27"/>
        <v>274.42966000000001</v>
      </c>
    </row>
    <row r="126" spans="2:12" ht="16" customHeight="1" x14ac:dyDescent="0.35">
      <c r="B126" s="14" t="s">
        <v>495</v>
      </c>
      <c r="C126" s="14" t="s">
        <v>496</v>
      </c>
      <c r="D126" s="30">
        <f>E126+F126+G126+H126+I126+J126+K126+L126</f>
        <v>2925.9769099999999</v>
      </c>
      <c r="E126" s="30"/>
      <c r="F126" s="30">
        <v>3.0000000000000001E-5</v>
      </c>
      <c r="G126" s="30">
        <v>635.41130999999996</v>
      </c>
      <c r="H126" s="30">
        <v>2.4883799999999998</v>
      </c>
      <c r="I126" s="30"/>
      <c r="J126" s="30">
        <v>-6.9999999999999994E-5</v>
      </c>
      <c r="K126" s="30"/>
      <c r="L126" s="30">
        <v>2288.07726</v>
      </c>
    </row>
    <row r="127" spans="2:12" ht="16" customHeight="1" x14ac:dyDescent="0.35">
      <c r="B127" s="14" t="s">
        <v>497</v>
      </c>
      <c r="C127" s="14" t="s">
        <v>498</v>
      </c>
      <c r="D127" s="30">
        <f>E127+F127+G127+H127+I127+J127+K127+L127</f>
        <v>-2768.2368999999999</v>
      </c>
      <c r="E127" s="30"/>
      <c r="F127" s="30">
        <v>-3.0000000000000001E-5</v>
      </c>
      <c r="G127" s="30">
        <v>-635.41130999999996</v>
      </c>
      <c r="H127" s="30">
        <v>-2.4883799999999998</v>
      </c>
      <c r="I127" s="30"/>
      <c r="J127" s="30">
        <v>139.78807</v>
      </c>
      <c r="K127" s="30"/>
      <c r="L127" s="30">
        <v>-2270.1252500000001</v>
      </c>
    </row>
    <row r="128" spans="2:12" ht="16" customHeight="1" x14ac:dyDescent="0.35">
      <c r="B128" s="34" t="s">
        <v>499</v>
      </c>
      <c r="C128" s="34" t="s">
        <v>500</v>
      </c>
      <c r="D128" s="52">
        <f t="shared" ref="D128:L128" si="28">D126+D127</f>
        <v>157.74000999999998</v>
      </c>
      <c r="E128" s="52">
        <f t="shared" si="28"/>
        <v>0</v>
      </c>
      <c r="F128" s="52">
        <f t="shared" si="28"/>
        <v>0</v>
      </c>
      <c r="G128" s="52">
        <f t="shared" si="28"/>
        <v>0</v>
      </c>
      <c r="H128" s="52">
        <f t="shared" si="28"/>
        <v>0</v>
      </c>
      <c r="I128" s="52">
        <f t="shared" si="28"/>
        <v>0</v>
      </c>
      <c r="J128" s="52">
        <f t="shared" si="28"/>
        <v>139.78800000000001</v>
      </c>
      <c r="K128" s="52">
        <f t="shared" si="28"/>
        <v>0</v>
      </c>
      <c r="L128" s="52">
        <f t="shared" si="28"/>
        <v>17.952009999999973</v>
      </c>
    </row>
    <row r="129" spans="2:12" ht="16" customHeight="1" x14ac:dyDescent="0.35">
      <c r="B129" s="14" t="s">
        <v>501</v>
      </c>
      <c r="C129" s="14" t="s">
        <v>502</v>
      </c>
      <c r="D129" s="30">
        <f>E129+F129+G129+H129+I129+J129+K129+L129</f>
        <v>0</v>
      </c>
      <c r="E129" s="30"/>
      <c r="F129" s="30"/>
      <c r="G129" s="30"/>
      <c r="H129" s="30"/>
      <c r="I129" s="30"/>
      <c r="J129" s="30"/>
      <c r="K129" s="30"/>
      <c r="L129" s="30"/>
    </row>
    <row r="130" spans="2:12" ht="16" customHeight="1" x14ac:dyDescent="0.35">
      <c r="B130" s="14" t="s">
        <v>503</v>
      </c>
      <c r="C130" s="14" t="s">
        <v>504</v>
      </c>
      <c r="D130" s="30">
        <f>E130+F130+G130+H130+I130+J130+K130+L130</f>
        <v>0</v>
      </c>
      <c r="E130" s="30"/>
      <c r="F130" s="30"/>
      <c r="G130" s="30"/>
      <c r="H130" s="30"/>
      <c r="I130" s="30"/>
      <c r="J130" s="30"/>
      <c r="K130" s="30"/>
      <c r="L130" s="30"/>
    </row>
    <row r="131" spans="2:12" ht="16" customHeight="1" x14ac:dyDescent="0.35">
      <c r="B131" s="34" t="s">
        <v>505</v>
      </c>
      <c r="C131" s="34" t="s">
        <v>506</v>
      </c>
      <c r="D131" s="52">
        <f t="shared" ref="D131:L131" si="29">D129+D130</f>
        <v>0</v>
      </c>
      <c r="E131" s="52">
        <f t="shared" si="29"/>
        <v>0</v>
      </c>
      <c r="F131" s="52">
        <f t="shared" si="29"/>
        <v>0</v>
      </c>
      <c r="G131" s="52">
        <f t="shared" si="29"/>
        <v>0</v>
      </c>
      <c r="H131" s="52">
        <f t="shared" si="29"/>
        <v>0</v>
      </c>
      <c r="I131" s="52">
        <f t="shared" si="29"/>
        <v>0</v>
      </c>
      <c r="J131" s="52">
        <f t="shared" si="29"/>
        <v>0</v>
      </c>
      <c r="K131" s="52">
        <f t="shared" si="29"/>
        <v>0</v>
      </c>
      <c r="L131" s="52">
        <f t="shared" si="29"/>
        <v>0</v>
      </c>
    </row>
    <row r="132" spans="2:12" ht="16" customHeight="1" x14ac:dyDescent="0.35">
      <c r="B132" s="14" t="s">
        <v>507</v>
      </c>
      <c r="C132" s="14" t="s">
        <v>508</v>
      </c>
      <c r="D132" s="30">
        <f>E132+F132+G132+H132+I132+J132+K132+L132</f>
        <v>4000</v>
      </c>
      <c r="E132" s="30"/>
      <c r="F132" s="30">
        <v>4000</v>
      </c>
      <c r="G132" s="30"/>
      <c r="H132" s="30"/>
      <c r="I132" s="30"/>
      <c r="J132" s="30"/>
      <c r="K132" s="30"/>
      <c r="L132" s="30"/>
    </row>
    <row r="133" spans="2:12" ht="16" customHeight="1" x14ac:dyDescent="0.35">
      <c r="B133" s="14" t="s">
        <v>509</v>
      </c>
      <c r="C133" s="14" t="s">
        <v>510</v>
      </c>
      <c r="D133" s="30">
        <f>E133+F133+G133+H133+I133+J133+K133+L133</f>
        <v>0</v>
      </c>
      <c r="E133" s="30"/>
      <c r="F133" s="30"/>
      <c r="G133" s="30"/>
      <c r="H133" s="30"/>
      <c r="I133" s="30"/>
      <c r="J133" s="30"/>
      <c r="K133" s="30"/>
      <c r="L133" s="30"/>
    </row>
    <row r="134" spans="2:12" ht="16" customHeight="1" x14ac:dyDescent="0.35">
      <c r="B134" s="34" t="s">
        <v>511</v>
      </c>
      <c r="C134" s="34" t="s">
        <v>512</v>
      </c>
      <c r="D134" s="52">
        <f t="shared" ref="D134:L134" si="30">D132+D133</f>
        <v>4000</v>
      </c>
      <c r="E134" s="52">
        <f t="shared" si="30"/>
        <v>0</v>
      </c>
      <c r="F134" s="52">
        <f t="shared" si="30"/>
        <v>4000</v>
      </c>
      <c r="G134" s="52">
        <f t="shared" si="30"/>
        <v>0</v>
      </c>
      <c r="H134" s="52">
        <f t="shared" si="30"/>
        <v>0</v>
      </c>
      <c r="I134" s="52">
        <f t="shared" si="30"/>
        <v>0</v>
      </c>
      <c r="J134" s="52">
        <f t="shared" si="30"/>
        <v>0</v>
      </c>
      <c r="K134" s="52">
        <f t="shared" si="30"/>
        <v>0</v>
      </c>
      <c r="L134" s="52">
        <f t="shared" si="30"/>
        <v>0</v>
      </c>
    </row>
    <row r="135" spans="2:12" ht="16" customHeight="1" x14ac:dyDescent="0.35">
      <c r="B135" s="14" t="s">
        <v>513</v>
      </c>
      <c r="C135" s="14" t="s">
        <v>514</v>
      </c>
      <c r="D135" s="30">
        <f>E135+F135+G135+H135+I135+J135+K135+L135</f>
        <v>46401.963899999995</v>
      </c>
      <c r="E135" s="30"/>
      <c r="F135" s="30">
        <v>43810.719969999998</v>
      </c>
      <c r="G135" s="30">
        <v>887.97398999999996</v>
      </c>
      <c r="H135" s="30"/>
      <c r="I135" s="30">
        <v>101.75078000000001</v>
      </c>
      <c r="J135" s="30">
        <v>391.10584</v>
      </c>
      <c r="K135" s="30">
        <v>0.61228000000000005</v>
      </c>
      <c r="L135" s="30">
        <v>1209.8010400000001</v>
      </c>
    </row>
    <row r="136" spans="2:12" ht="16" customHeight="1" x14ac:dyDescent="0.35">
      <c r="B136" s="14" t="s">
        <v>515</v>
      </c>
      <c r="C136" s="14" t="s">
        <v>516</v>
      </c>
      <c r="D136" s="30">
        <f>E136+F136+G136+H136+I136+J136+K136+L136</f>
        <v>-32378.150310000001</v>
      </c>
      <c r="E136" s="30"/>
      <c r="F136" s="30">
        <v>-28067.959220000001</v>
      </c>
      <c r="G136" s="30">
        <v>-454.10701</v>
      </c>
      <c r="H136" s="30"/>
      <c r="I136" s="30">
        <v>58.204540000000001</v>
      </c>
      <c r="J136" s="30">
        <v>-396.30131999999998</v>
      </c>
      <c r="K136" s="30">
        <v>-0.61229999999999996</v>
      </c>
      <c r="L136" s="30">
        <v>-3517.375</v>
      </c>
    </row>
    <row r="137" spans="2:12" ht="16" customHeight="1" x14ac:dyDescent="0.35">
      <c r="B137" s="34" t="s">
        <v>517</v>
      </c>
      <c r="C137" s="34" t="s">
        <v>518</v>
      </c>
      <c r="D137" s="52">
        <f t="shared" ref="D137:L137" si="31">D135+D136</f>
        <v>14023.813589999994</v>
      </c>
      <c r="E137" s="52">
        <f t="shared" si="31"/>
        <v>0</v>
      </c>
      <c r="F137" s="52">
        <f t="shared" si="31"/>
        <v>15742.760749999998</v>
      </c>
      <c r="G137" s="52">
        <f t="shared" si="31"/>
        <v>433.86697999999996</v>
      </c>
      <c r="H137" s="52">
        <f t="shared" si="31"/>
        <v>0</v>
      </c>
      <c r="I137" s="52">
        <f t="shared" si="31"/>
        <v>159.95532</v>
      </c>
      <c r="J137" s="52">
        <f t="shared" si="31"/>
        <v>-5.195479999999975</v>
      </c>
      <c r="K137" s="52">
        <f t="shared" si="31"/>
        <v>-1.9999999999908979E-5</v>
      </c>
      <c r="L137" s="52">
        <f t="shared" si="31"/>
        <v>-2307.5739599999997</v>
      </c>
    </row>
    <row r="138" spans="2:12" ht="16" customHeight="1" x14ac:dyDescent="0.35">
      <c r="B138" s="14" t="s">
        <v>519</v>
      </c>
      <c r="C138" s="14" t="s">
        <v>520</v>
      </c>
      <c r="D138" s="30">
        <f>E138+F138+G138+H138+I138+J138+K138+L138</f>
        <v>0</v>
      </c>
      <c r="E138" s="30"/>
      <c r="F138" s="30"/>
      <c r="G138" s="30"/>
      <c r="H138" s="30"/>
      <c r="I138" s="30"/>
      <c r="J138" s="30"/>
      <c r="K138" s="30"/>
      <c r="L138" s="30"/>
    </row>
    <row r="139" spans="2:12" ht="16" customHeight="1" x14ac:dyDescent="0.35">
      <c r="B139" s="14" t="s">
        <v>521</v>
      </c>
      <c r="C139" s="14" t="s">
        <v>522</v>
      </c>
      <c r="D139" s="30">
        <f>E139+F139+G139+H139+I139+J139+K139+L139</f>
        <v>0</v>
      </c>
      <c r="E139" s="30"/>
      <c r="F139" s="30"/>
      <c r="G139" s="30"/>
      <c r="H139" s="30"/>
      <c r="I139" s="30"/>
      <c r="J139" s="30"/>
      <c r="K139" s="30"/>
      <c r="L139" s="30"/>
    </row>
    <row r="140" spans="2:12" ht="16" customHeight="1" x14ac:dyDescent="0.35">
      <c r="B140" s="34" t="s">
        <v>523</v>
      </c>
      <c r="C140" s="34" t="s">
        <v>524</v>
      </c>
      <c r="D140" s="52">
        <f t="shared" ref="D140:L140" si="32">D138+D139</f>
        <v>0</v>
      </c>
      <c r="E140" s="52">
        <f t="shared" si="32"/>
        <v>0</v>
      </c>
      <c r="F140" s="52">
        <f t="shared" si="32"/>
        <v>0</v>
      </c>
      <c r="G140" s="52">
        <f t="shared" si="32"/>
        <v>0</v>
      </c>
      <c r="H140" s="52">
        <f t="shared" si="32"/>
        <v>0</v>
      </c>
      <c r="I140" s="52">
        <f t="shared" si="32"/>
        <v>0</v>
      </c>
      <c r="J140" s="52">
        <f t="shared" si="32"/>
        <v>0</v>
      </c>
      <c r="K140" s="52">
        <f t="shared" si="32"/>
        <v>0</v>
      </c>
      <c r="L140" s="52">
        <f t="shared" si="32"/>
        <v>0</v>
      </c>
    </row>
    <row r="141" spans="2:12" ht="16" customHeight="1" x14ac:dyDescent="0.35">
      <c r="B141" s="11" t="s">
        <v>525</v>
      </c>
      <c r="C141" s="11" t="s">
        <v>475</v>
      </c>
      <c r="D141" s="29"/>
      <c r="E141" s="29"/>
      <c r="F141" s="29"/>
      <c r="G141" s="29"/>
      <c r="H141" s="29"/>
      <c r="I141" s="29"/>
      <c r="J141" s="29"/>
      <c r="K141" s="29"/>
      <c r="L141" s="29"/>
    </row>
    <row r="142" spans="2:12" ht="16" customHeight="1" x14ac:dyDescent="0.35">
      <c r="B142" s="16" t="s">
        <v>526</v>
      </c>
      <c r="C142" s="16" t="s">
        <v>527</v>
      </c>
      <c r="D142" s="31">
        <f t="shared" ref="D142:L144" si="33">D120+D123+D126+D129+D132+D135+D138</f>
        <v>223193.35143000001</v>
      </c>
      <c r="E142" s="31">
        <f t="shared" si="33"/>
        <v>0</v>
      </c>
      <c r="F142" s="31">
        <f t="shared" si="33"/>
        <v>214301.70096000002</v>
      </c>
      <c r="G142" s="31">
        <f t="shared" si="33"/>
        <v>1523.3852999999999</v>
      </c>
      <c r="H142" s="31">
        <f t="shared" si="33"/>
        <v>2.4883799999999998</v>
      </c>
      <c r="I142" s="31">
        <f t="shared" si="33"/>
        <v>101.75078000000001</v>
      </c>
      <c r="J142" s="31">
        <f t="shared" si="33"/>
        <v>391.10577000000001</v>
      </c>
      <c r="K142" s="31">
        <f t="shared" si="33"/>
        <v>0.61228000000000005</v>
      </c>
      <c r="L142" s="31">
        <f t="shared" si="33"/>
        <v>6872.3079600000001</v>
      </c>
    </row>
    <row r="143" spans="2:12" ht="16" customHeight="1" thickBot="1" x14ac:dyDescent="0.4">
      <c r="B143" s="16" t="s">
        <v>528</v>
      </c>
      <c r="C143" s="16" t="s">
        <v>529</v>
      </c>
      <c r="D143" s="31">
        <f t="shared" si="33"/>
        <v>-77298.266109999997</v>
      </c>
      <c r="E143" s="31">
        <f t="shared" si="33"/>
        <v>0</v>
      </c>
      <c r="F143" s="31">
        <f t="shared" si="33"/>
        <v>-69135.030150000006</v>
      </c>
      <c r="G143" s="31">
        <f t="shared" si="33"/>
        <v>-1089.5183199999999</v>
      </c>
      <c r="H143" s="31">
        <f t="shared" si="33"/>
        <v>-2.4883799999999998</v>
      </c>
      <c r="I143" s="31">
        <f t="shared" si="33"/>
        <v>58.204540000000001</v>
      </c>
      <c r="J143" s="31">
        <f t="shared" si="33"/>
        <v>-256.51324999999997</v>
      </c>
      <c r="K143" s="31">
        <f t="shared" si="33"/>
        <v>-0.61229999999999996</v>
      </c>
      <c r="L143" s="31">
        <f t="shared" si="33"/>
        <v>-6872.30825</v>
      </c>
    </row>
    <row r="144" spans="2:12" ht="16" customHeight="1" thickBot="1" x14ac:dyDescent="0.4">
      <c r="B144" s="18" t="s">
        <v>530</v>
      </c>
      <c r="C144" s="18" t="s">
        <v>531</v>
      </c>
      <c r="D144" s="32">
        <f t="shared" si="33"/>
        <v>145895.08532000001</v>
      </c>
      <c r="E144" s="32">
        <f t="shared" si="33"/>
        <v>0</v>
      </c>
      <c r="F144" s="32">
        <f t="shared" si="33"/>
        <v>145166.67081000001</v>
      </c>
      <c r="G144" s="32">
        <f t="shared" si="33"/>
        <v>433.86697999999996</v>
      </c>
      <c r="H144" s="32">
        <f t="shared" si="33"/>
        <v>0</v>
      </c>
      <c r="I144" s="32">
        <f t="shared" si="33"/>
        <v>159.95532</v>
      </c>
      <c r="J144" s="32">
        <f t="shared" si="33"/>
        <v>134.59252000000004</v>
      </c>
      <c r="K144" s="32">
        <f t="shared" si="33"/>
        <v>-1.9999999999908979E-5</v>
      </c>
      <c r="L144" s="32">
        <f t="shared" si="33"/>
        <v>-2.8999999994994141E-4</v>
      </c>
    </row>
    <row r="145" spans="2:12" ht="16" customHeight="1" x14ac:dyDescent="0.35">
      <c r="B145" s="11" t="s">
        <v>532</v>
      </c>
      <c r="C145" s="11" t="s">
        <v>22</v>
      </c>
      <c r="D145" s="29"/>
      <c r="E145" s="29"/>
      <c r="F145" s="29"/>
      <c r="G145" s="29"/>
      <c r="H145" s="29"/>
      <c r="I145" s="29"/>
      <c r="J145" s="29"/>
      <c r="K145" s="29"/>
      <c r="L145" s="29"/>
    </row>
    <row r="146" spans="2:12" ht="16" customHeight="1" x14ac:dyDescent="0.35">
      <c r="B146" s="14" t="s">
        <v>533</v>
      </c>
      <c r="C146" s="14" t="s">
        <v>534</v>
      </c>
      <c r="D146" s="30">
        <f>E146+F146+G146+H146+I146+J146+K146+L146</f>
        <v>365626.63206000003</v>
      </c>
      <c r="E146" s="30"/>
      <c r="F146" s="30">
        <v>186321.90255999999</v>
      </c>
      <c r="G146" s="30">
        <v>158857.51371</v>
      </c>
      <c r="H146" s="30"/>
      <c r="I146" s="30">
        <v>-288.73084</v>
      </c>
      <c r="J146" s="30"/>
      <c r="K146" s="30"/>
      <c r="L146" s="30">
        <v>20735.946629999999</v>
      </c>
    </row>
    <row r="147" spans="2:12" ht="16" customHeight="1" x14ac:dyDescent="0.35">
      <c r="B147" s="14" t="s">
        <v>535</v>
      </c>
      <c r="C147" s="14" t="s">
        <v>536</v>
      </c>
      <c r="D147" s="30">
        <f>E147+F147+G147+H147+I147+J147+K147+L147</f>
        <v>-19154.206880000002</v>
      </c>
      <c r="E147" s="30"/>
      <c r="F147" s="30"/>
      <c r="G147" s="30"/>
      <c r="H147" s="30"/>
      <c r="I147" s="30"/>
      <c r="J147" s="30"/>
      <c r="K147" s="30"/>
      <c r="L147" s="30">
        <v>-19154.206880000002</v>
      </c>
    </row>
    <row r="148" spans="2:12" ht="16" customHeight="1" x14ac:dyDescent="0.35">
      <c r="B148" s="14" t="s">
        <v>537</v>
      </c>
      <c r="C148" s="14" t="s">
        <v>538</v>
      </c>
      <c r="D148" s="30">
        <f>E148+F148+G148+H148+I148+J148+K148+L148</f>
        <v>1630087</v>
      </c>
      <c r="E148" s="30"/>
      <c r="F148" s="30">
        <v>969828</v>
      </c>
      <c r="G148" s="30">
        <v>275479</v>
      </c>
      <c r="H148" s="30">
        <v>0</v>
      </c>
      <c r="I148" s="30">
        <v>251670</v>
      </c>
      <c r="J148" s="30">
        <v>132895</v>
      </c>
      <c r="K148" s="30">
        <v>215</v>
      </c>
      <c r="L148" s="30"/>
    </row>
    <row r="149" spans="2:12" ht="16" customHeight="1" x14ac:dyDescent="0.35">
      <c r="B149" s="14" t="s">
        <v>539</v>
      </c>
      <c r="C149" s="14" t="s">
        <v>540</v>
      </c>
      <c r="D149" s="30">
        <f>E149+F149+G149+H149+I149+J149+K149+L149</f>
        <v>0</v>
      </c>
      <c r="E149" s="30"/>
      <c r="F149" s="30"/>
      <c r="G149" s="30"/>
      <c r="H149" s="30"/>
      <c r="I149" s="30"/>
      <c r="J149" s="30"/>
      <c r="K149" s="30"/>
      <c r="L149" s="30"/>
    </row>
    <row r="150" spans="2:12" ht="16" customHeight="1" x14ac:dyDescent="0.35">
      <c r="B150" s="16" t="s">
        <v>541</v>
      </c>
      <c r="C150" s="16" t="s">
        <v>542</v>
      </c>
      <c r="D150" s="31">
        <f t="shared" ref="D150:L150" si="34">D146+D147+D148+D149</f>
        <v>1976559.42518</v>
      </c>
      <c r="E150" s="31">
        <f t="shared" si="34"/>
        <v>0</v>
      </c>
      <c r="F150" s="31">
        <f t="shared" si="34"/>
        <v>1156149.9025600001</v>
      </c>
      <c r="G150" s="31">
        <f t="shared" si="34"/>
        <v>434336.51370999997</v>
      </c>
      <c r="H150" s="31">
        <f t="shared" si="34"/>
        <v>0</v>
      </c>
      <c r="I150" s="31">
        <f t="shared" si="34"/>
        <v>251381.26916</v>
      </c>
      <c r="J150" s="31">
        <f t="shared" si="34"/>
        <v>132895</v>
      </c>
      <c r="K150" s="31">
        <f t="shared" si="34"/>
        <v>215</v>
      </c>
      <c r="L150" s="31">
        <f t="shared" si="34"/>
        <v>1581.739749999997</v>
      </c>
    </row>
    <row r="151" spans="2:12" ht="16" customHeight="1" x14ac:dyDescent="0.35">
      <c r="B151" s="11" t="s">
        <v>543</v>
      </c>
      <c r="C151" s="11" t="s">
        <v>22</v>
      </c>
      <c r="D151" s="29"/>
      <c r="E151" s="29"/>
      <c r="F151" s="29"/>
      <c r="G151" s="29"/>
      <c r="H151" s="29"/>
      <c r="I151" s="29"/>
      <c r="J151" s="29"/>
      <c r="K151" s="29"/>
      <c r="L151" s="29"/>
    </row>
    <row r="152" spans="2:12" ht="16" customHeight="1" x14ac:dyDescent="0.35">
      <c r="B152" s="14" t="s">
        <v>544</v>
      </c>
      <c r="C152" s="14" t="s">
        <v>545</v>
      </c>
      <c r="D152" s="30">
        <f>E152+F152+G152+H152+I152+J152+K152+L152</f>
        <v>15293.701590000001</v>
      </c>
      <c r="E152" s="30"/>
      <c r="F152" s="30">
        <v>8953.8422599999994</v>
      </c>
      <c r="G152" s="30">
        <v>3876.33025</v>
      </c>
      <c r="H152" s="30"/>
      <c r="I152" s="30">
        <v>1859.3860299999999</v>
      </c>
      <c r="J152" s="30"/>
      <c r="K152" s="30"/>
      <c r="L152" s="30">
        <v>604.14305000000002</v>
      </c>
    </row>
    <row r="153" spans="2:12" ht="16" customHeight="1" x14ac:dyDescent="0.35">
      <c r="B153" s="14" t="s">
        <v>546</v>
      </c>
      <c r="C153" s="14" t="s">
        <v>547</v>
      </c>
      <c r="D153" s="30">
        <f>E153+F153+G153+H153+I153+J153+K153+L153</f>
        <v>19311.3024</v>
      </c>
      <c r="E153" s="30"/>
      <c r="F153" s="30">
        <v>1551.8431</v>
      </c>
      <c r="G153" s="30">
        <v>2246.0205099999998</v>
      </c>
      <c r="H153" s="30"/>
      <c r="I153" s="30">
        <v>409.85149999999999</v>
      </c>
      <c r="J153" s="30">
        <v>92.450940000000003</v>
      </c>
      <c r="K153" s="30"/>
      <c r="L153" s="30">
        <v>15011.136350000001</v>
      </c>
    </row>
    <row r="154" spans="2:12" ht="16" customHeight="1" x14ac:dyDescent="0.35">
      <c r="B154" s="14" t="s">
        <v>548</v>
      </c>
      <c r="C154" s="14" t="s">
        <v>549</v>
      </c>
      <c r="D154" s="30">
        <f>E154+F154+G154+H154+I154+J154+K154+L154</f>
        <v>9301.5444699999989</v>
      </c>
      <c r="E154" s="30"/>
      <c r="F154" s="30">
        <v>7658.0745200000001</v>
      </c>
      <c r="G154" s="30">
        <v>1619.4872800000001</v>
      </c>
      <c r="H154" s="30"/>
      <c r="I154" s="30">
        <v>0</v>
      </c>
      <c r="J154" s="30">
        <v>23.982669999999999</v>
      </c>
      <c r="K154" s="30"/>
      <c r="L154" s="30"/>
    </row>
    <row r="155" spans="2:12" ht="16" customHeight="1" x14ac:dyDescent="0.35">
      <c r="B155" s="14" t="s">
        <v>550</v>
      </c>
      <c r="C155" s="14" t="s">
        <v>551</v>
      </c>
      <c r="D155" s="30">
        <f>E155+F155+G155+H155+I155+J155+K155+L155</f>
        <v>74310.394089999987</v>
      </c>
      <c r="E155" s="30"/>
      <c r="F155" s="30">
        <v>53358.235289999997</v>
      </c>
      <c r="G155" s="30">
        <v>13683.512059999999</v>
      </c>
      <c r="H155" s="30"/>
      <c r="I155" s="30">
        <v>918.11081000000001</v>
      </c>
      <c r="J155" s="30">
        <v>4437.3093399999998</v>
      </c>
      <c r="K155" s="30"/>
      <c r="L155" s="30">
        <v>1913.22659</v>
      </c>
    </row>
    <row r="156" spans="2:12" ht="16" customHeight="1" x14ac:dyDescent="0.35">
      <c r="B156" s="16" t="s">
        <v>552</v>
      </c>
      <c r="C156" s="16" t="s">
        <v>553</v>
      </c>
      <c r="D156" s="31">
        <f t="shared" ref="D156:L156" si="35">D152+D153+D154+D155</f>
        <v>118216.94254999998</v>
      </c>
      <c r="E156" s="31">
        <f t="shared" si="35"/>
        <v>0</v>
      </c>
      <c r="F156" s="31">
        <f t="shared" si="35"/>
        <v>71521.995169999995</v>
      </c>
      <c r="G156" s="31">
        <f t="shared" si="35"/>
        <v>21425.3501</v>
      </c>
      <c r="H156" s="31">
        <f t="shared" si="35"/>
        <v>0</v>
      </c>
      <c r="I156" s="31">
        <f t="shared" si="35"/>
        <v>3187.34834</v>
      </c>
      <c r="J156" s="31">
        <f t="shared" si="35"/>
        <v>4553.7429499999998</v>
      </c>
      <c r="K156" s="31">
        <f t="shared" si="35"/>
        <v>0</v>
      </c>
      <c r="L156" s="31">
        <f t="shared" si="35"/>
        <v>17528.505990000001</v>
      </c>
    </row>
    <row r="157" spans="2:12" ht="16" customHeight="1" x14ac:dyDescent="0.35">
      <c r="B157" s="11" t="s">
        <v>105</v>
      </c>
      <c r="C157" s="11" t="s">
        <v>22</v>
      </c>
      <c r="D157" s="29"/>
      <c r="E157" s="29"/>
      <c r="F157" s="29"/>
      <c r="G157" s="29"/>
      <c r="H157" s="29"/>
      <c r="I157" s="29"/>
      <c r="J157" s="29"/>
      <c r="K157" s="29"/>
      <c r="L157" s="29"/>
    </row>
    <row r="158" spans="2:12" ht="16" customHeight="1" x14ac:dyDescent="0.35">
      <c r="B158" s="14" t="s">
        <v>554</v>
      </c>
      <c r="C158" s="14" t="s">
        <v>555</v>
      </c>
      <c r="D158" s="30">
        <f>E158+F158+G158+H158+I158+J158+K158+L158</f>
        <v>0</v>
      </c>
      <c r="E158" s="30"/>
      <c r="F158" s="30"/>
      <c r="G158" s="30"/>
      <c r="H158" s="30"/>
      <c r="I158" s="30"/>
      <c r="J158" s="30"/>
      <c r="K158" s="30"/>
      <c r="L158" s="30"/>
    </row>
    <row r="159" spans="2:12" ht="16" customHeight="1" x14ac:dyDescent="0.35">
      <c r="B159" s="11" t="s">
        <v>556</v>
      </c>
      <c r="C159" s="11" t="s">
        <v>22</v>
      </c>
      <c r="D159" s="29"/>
      <c r="E159" s="29"/>
      <c r="F159" s="29"/>
      <c r="G159" s="29"/>
      <c r="H159" s="29"/>
      <c r="I159" s="29"/>
      <c r="J159" s="29"/>
      <c r="K159" s="29"/>
      <c r="L159" s="29"/>
    </row>
    <row r="160" spans="2:12" ht="16" customHeight="1" x14ac:dyDescent="0.35">
      <c r="B160" s="14" t="s">
        <v>557</v>
      </c>
      <c r="C160" s="14" t="s">
        <v>558</v>
      </c>
      <c r="D160" s="30">
        <f>E160+F160+G160+H160+I160+J160+K160+L160</f>
        <v>0</v>
      </c>
      <c r="E160" s="30"/>
      <c r="F160" s="30"/>
      <c r="G160" s="30"/>
      <c r="H160" s="30"/>
      <c r="I160" s="30"/>
      <c r="J160" s="30"/>
      <c r="K160" s="30"/>
      <c r="L160" s="30"/>
    </row>
    <row r="161" spans="2:12" ht="16" customHeight="1" thickBot="1" x14ac:dyDescent="0.4">
      <c r="B161" s="11" t="s">
        <v>559</v>
      </c>
      <c r="C161" s="11" t="s">
        <v>22</v>
      </c>
      <c r="D161" s="29"/>
      <c r="E161" s="29"/>
      <c r="F161" s="29"/>
      <c r="G161" s="29"/>
      <c r="H161" s="29"/>
      <c r="I161" s="29"/>
      <c r="J161" s="29"/>
      <c r="K161" s="29"/>
      <c r="L161" s="29"/>
    </row>
    <row r="162" spans="2:12" ht="16" customHeight="1" thickBot="1" x14ac:dyDescent="0.4">
      <c r="B162" s="18" t="s">
        <v>560</v>
      </c>
      <c r="C162" s="18" t="s">
        <v>561</v>
      </c>
      <c r="D162" s="32">
        <f t="shared" ref="D162:L162" si="36">D68+D72+D74+D118+D150+D144+D158+D160+D156</f>
        <v>4876234.9205599995</v>
      </c>
      <c r="E162" s="32">
        <f t="shared" si="36"/>
        <v>0</v>
      </c>
      <c r="F162" s="32">
        <f t="shared" si="36"/>
        <v>3174197.4131900002</v>
      </c>
      <c r="G162" s="32">
        <f t="shared" si="36"/>
        <v>669097.53716000007</v>
      </c>
      <c r="H162" s="32">
        <f t="shared" si="36"/>
        <v>391.22405999999995</v>
      </c>
      <c r="I162" s="32">
        <f t="shared" si="36"/>
        <v>321120.96600000001</v>
      </c>
      <c r="J162" s="32">
        <f t="shared" si="36"/>
        <v>163081.99325</v>
      </c>
      <c r="K162" s="32">
        <f t="shared" si="36"/>
        <v>248.23335999999989</v>
      </c>
      <c r="L162" s="32">
        <f t="shared" si="36"/>
        <v>548097.55353999999</v>
      </c>
    </row>
    <row r="163" spans="2:12" ht="16" customHeight="1" thickBot="1" x14ac:dyDescent="0.4">
      <c r="B163" s="11" t="s">
        <v>562</v>
      </c>
      <c r="C163" s="11" t="s">
        <v>22</v>
      </c>
      <c r="D163" s="29"/>
      <c r="E163" s="29"/>
      <c r="F163" s="29"/>
      <c r="G163" s="29"/>
      <c r="H163" s="29"/>
      <c r="I163" s="29"/>
      <c r="J163" s="29"/>
      <c r="K163" s="29"/>
      <c r="L163" s="29"/>
    </row>
    <row r="164" spans="2:12" ht="16" customHeight="1" thickBot="1" x14ac:dyDescent="0.4">
      <c r="B164" s="18" t="s">
        <v>563</v>
      </c>
      <c r="C164" s="18" t="s">
        <v>564</v>
      </c>
      <c r="D164" s="32">
        <f t="shared" ref="D164:L164" si="37">D59+D162</f>
        <v>5566340.1106899995</v>
      </c>
      <c r="E164" s="32">
        <f t="shared" si="37"/>
        <v>0</v>
      </c>
      <c r="F164" s="32">
        <f t="shared" si="37"/>
        <v>3597333.4025400002</v>
      </c>
      <c r="G164" s="32">
        <f t="shared" si="37"/>
        <v>829811.6468600001</v>
      </c>
      <c r="H164" s="32">
        <f t="shared" si="37"/>
        <v>539.34370999999987</v>
      </c>
      <c r="I164" s="32">
        <f t="shared" si="37"/>
        <v>373023.02463</v>
      </c>
      <c r="J164" s="32">
        <f t="shared" si="37"/>
        <v>203136.09445</v>
      </c>
      <c r="K164" s="32">
        <f t="shared" si="37"/>
        <v>1584.4840800000002</v>
      </c>
      <c r="L164" s="32">
        <f t="shared" si="37"/>
        <v>560912.11442</v>
      </c>
    </row>
    <row r="165" spans="2:12" ht="16" customHeight="1" x14ac:dyDescent="0.35">
      <c r="B165" s="11" t="s">
        <v>565</v>
      </c>
      <c r="C165" s="11" t="s">
        <v>22</v>
      </c>
      <c r="D165" s="29"/>
      <c r="E165" s="29"/>
      <c r="F165" s="29"/>
      <c r="G165" s="29"/>
      <c r="H165" s="29"/>
      <c r="I165" s="29"/>
      <c r="J165" s="29"/>
      <c r="K165" s="29"/>
      <c r="L165" s="29"/>
    </row>
    <row r="166" spans="2:12" ht="16" customHeight="1" x14ac:dyDescent="0.35">
      <c r="B166" s="14" t="s">
        <v>566</v>
      </c>
      <c r="C166" s="14" t="s">
        <v>567</v>
      </c>
      <c r="D166" s="30">
        <f>E166+F166+G166+H166+I166+J166+K166+L166</f>
        <v>21212.34851</v>
      </c>
      <c r="E166" s="30"/>
      <c r="F166" s="30">
        <v>684.77544</v>
      </c>
      <c r="G166" s="30">
        <v>20478.945339999998</v>
      </c>
      <c r="H166" s="30"/>
      <c r="I166" s="30">
        <v>13.12716</v>
      </c>
      <c r="J166" s="30">
        <v>12.89273</v>
      </c>
      <c r="K166" s="30">
        <v>22.176590000000001</v>
      </c>
      <c r="L166" s="30">
        <v>0.43125000000000002</v>
      </c>
    </row>
    <row r="167" spans="2:12" ht="16" customHeight="1" x14ac:dyDescent="0.35">
      <c r="B167" s="14" t="s">
        <v>568</v>
      </c>
      <c r="C167" s="14" t="s">
        <v>569</v>
      </c>
      <c r="D167" s="30">
        <f>E167+F167+G167+H167+I167+J167+K167+L167</f>
        <v>0</v>
      </c>
      <c r="E167" s="30"/>
      <c r="F167" s="30"/>
      <c r="G167" s="30"/>
      <c r="H167" s="30"/>
      <c r="I167" s="30"/>
      <c r="J167" s="30"/>
      <c r="K167" s="30"/>
      <c r="L167" s="30"/>
    </row>
    <row r="168" spans="2:12" ht="16" customHeight="1" x14ac:dyDescent="0.35">
      <c r="B168" s="14" t="s">
        <v>570</v>
      </c>
      <c r="C168" s="14" t="s">
        <v>571</v>
      </c>
      <c r="D168" s="30">
        <f>E168+F168+G168+H168+I168+J168+K168+L168</f>
        <v>199158.95551000003</v>
      </c>
      <c r="E168" s="30">
        <v>0</v>
      </c>
      <c r="F168" s="30">
        <v>352288.92667000002</v>
      </c>
      <c r="G168" s="30">
        <v>49586.879670000002</v>
      </c>
      <c r="H168" s="30">
        <v>87.514240000000001</v>
      </c>
      <c r="I168" s="30">
        <v>15066.95205</v>
      </c>
      <c r="J168" s="30">
        <v>13185.11362</v>
      </c>
      <c r="K168" s="30">
        <v>538.76184000000001</v>
      </c>
      <c r="L168" s="30">
        <v>-231595.19258</v>
      </c>
    </row>
    <row r="169" spans="2:12" ht="16" customHeight="1" x14ac:dyDescent="0.35">
      <c r="B169" s="14" t="s">
        <v>572</v>
      </c>
      <c r="C169" s="14" t="s">
        <v>573</v>
      </c>
      <c r="D169" s="30">
        <f>E169+F169+G169+H169+I169+J169+K169+L169</f>
        <v>7420.20136</v>
      </c>
      <c r="E169" s="30"/>
      <c r="F169" s="30">
        <v>2321.8786100000002</v>
      </c>
      <c r="G169" s="30">
        <v>539.09722999999997</v>
      </c>
      <c r="H169" s="30"/>
      <c r="I169" s="30">
        <v>255.99331000000001</v>
      </c>
      <c r="J169" s="30">
        <v>4303.0899799999997</v>
      </c>
      <c r="K169" s="30">
        <v>-0.20115</v>
      </c>
      <c r="L169" s="30">
        <v>0.34338000000000002</v>
      </c>
    </row>
    <row r="170" spans="2:12" ht="16" customHeight="1" x14ac:dyDescent="0.35">
      <c r="B170" s="16" t="s">
        <v>574</v>
      </c>
      <c r="C170" s="16" t="s">
        <v>575</v>
      </c>
      <c r="D170" s="31">
        <f t="shared" ref="D170:L170" si="38">-(-(D166+D167)-D168-D169)</f>
        <v>227791.50538000005</v>
      </c>
      <c r="E170" s="31">
        <f t="shared" si="38"/>
        <v>0</v>
      </c>
      <c r="F170" s="31">
        <f t="shared" si="38"/>
        <v>355295.58072000003</v>
      </c>
      <c r="G170" s="31">
        <f t="shared" si="38"/>
        <v>70604.92224</v>
      </c>
      <c r="H170" s="31">
        <f t="shared" si="38"/>
        <v>87.514240000000001</v>
      </c>
      <c r="I170" s="31">
        <f t="shared" si="38"/>
        <v>15336.07252</v>
      </c>
      <c r="J170" s="31">
        <f t="shared" si="38"/>
        <v>17501.09633</v>
      </c>
      <c r="K170" s="31">
        <f t="shared" si="38"/>
        <v>560.73728000000006</v>
      </c>
      <c r="L170" s="31">
        <f t="shared" si="38"/>
        <v>-231594.41795</v>
      </c>
    </row>
    <row r="171" spans="2:12" ht="16" customHeight="1" x14ac:dyDescent="0.35">
      <c r="B171" s="11" t="s">
        <v>576</v>
      </c>
      <c r="C171" s="11" t="s">
        <v>22</v>
      </c>
      <c r="D171" s="29"/>
      <c r="E171" s="29"/>
      <c r="F171" s="29"/>
      <c r="G171" s="29"/>
      <c r="H171" s="29"/>
      <c r="I171" s="29"/>
      <c r="J171" s="29"/>
      <c r="K171" s="29"/>
      <c r="L171" s="29"/>
    </row>
    <row r="172" spans="2:12" ht="16" customHeight="1" x14ac:dyDescent="0.35">
      <c r="B172" s="14" t="s">
        <v>577</v>
      </c>
      <c r="C172" s="14" t="s">
        <v>578</v>
      </c>
      <c r="D172" s="30">
        <f t="shared" ref="D172:D181" si="39">E172+F172+G172+H172+I172+J172+K172+L172</f>
        <v>703169.21542999998</v>
      </c>
      <c r="E172" s="30"/>
      <c r="F172" s="30"/>
      <c r="G172" s="30"/>
      <c r="H172" s="30"/>
      <c r="I172" s="30"/>
      <c r="J172" s="30"/>
      <c r="K172" s="30"/>
      <c r="L172" s="30">
        <v>703169.21542999998</v>
      </c>
    </row>
    <row r="173" spans="2:12" ht="16" customHeight="1" x14ac:dyDescent="0.35">
      <c r="B173" s="14" t="s">
        <v>579</v>
      </c>
      <c r="C173" s="14" t="s">
        <v>580</v>
      </c>
      <c r="D173" s="30">
        <f t="shared" si="39"/>
        <v>0</v>
      </c>
      <c r="E173" s="30"/>
      <c r="F173" s="30"/>
      <c r="G173" s="30"/>
      <c r="H173" s="30"/>
      <c r="I173" s="30"/>
      <c r="J173" s="30"/>
      <c r="K173" s="30"/>
      <c r="L173" s="30"/>
    </row>
    <row r="174" spans="2:12" ht="16" customHeight="1" x14ac:dyDescent="0.35">
      <c r="B174" s="14" t="s">
        <v>581</v>
      </c>
      <c r="C174" s="14" t="s">
        <v>582</v>
      </c>
      <c r="D174" s="30">
        <f t="shared" si="39"/>
        <v>-8.9480000000000004E-2</v>
      </c>
      <c r="E174" s="30"/>
      <c r="F174" s="30"/>
      <c r="G174" s="30"/>
      <c r="H174" s="30"/>
      <c r="I174" s="30"/>
      <c r="J174" s="30"/>
      <c r="K174" s="30"/>
      <c r="L174" s="30">
        <v>-8.9480000000000004E-2</v>
      </c>
    </row>
    <row r="175" spans="2:12" ht="16" customHeight="1" x14ac:dyDescent="0.35">
      <c r="B175" s="14" t="s">
        <v>583</v>
      </c>
      <c r="C175" s="14" t="s">
        <v>584</v>
      </c>
      <c r="D175" s="30">
        <f t="shared" si="39"/>
        <v>0</v>
      </c>
      <c r="E175" s="30"/>
      <c r="F175" s="30"/>
      <c r="G175" s="30"/>
      <c r="H175" s="30"/>
      <c r="I175" s="30"/>
      <c r="J175" s="30"/>
      <c r="K175" s="30"/>
      <c r="L175" s="30"/>
    </row>
    <row r="176" spans="2:12" ht="16" customHeight="1" x14ac:dyDescent="0.35">
      <c r="B176" s="14" t="s">
        <v>585</v>
      </c>
      <c r="C176" s="14" t="s">
        <v>586</v>
      </c>
      <c r="D176" s="30">
        <f t="shared" si="39"/>
        <v>146489.6594</v>
      </c>
      <c r="E176" s="30"/>
      <c r="F176" s="30"/>
      <c r="G176" s="30"/>
      <c r="H176" s="30"/>
      <c r="I176" s="30"/>
      <c r="J176" s="30"/>
      <c r="K176" s="30"/>
      <c r="L176" s="30">
        <v>146489.6594</v>
      </c>
    </row>
    <row r="177" spans="2:12" ht="16" customHeight="1" x14ac:dyDescent="0.35">
      <c r="B177" s="14" t="s">
        <v>587</v>
      </c>
      <c r="C177" s="14" t="s">
        <v>588</v>
      </c>
      <c r="D177" s="30">
        <f t="shared" si="39"/>
        <v>0</v>
      </c>
      <c r="E177" s="30"/>
      <c r="F177" s="30"/>
      <c r="G177" s="30"/>
      <c r="H177" s="30"/>
      <c r="I177" s="30"/>
      <c r="J177" s="30"/>
      <c r="K177" s="30"/>
      <c r="L177" s="30"/>
    </row>
    <row r="178" spans="2:12" ht="16" customHeight="1" x14ac:dyDescent="0.35">
      <c r="B178" s="14" t="s">
        <v>589</v>
      </c>
      <c r="C178" s="14" t="s">
        <v>590</v>
      </c>
      <c r="D178" s="30">
        <f t="shared" si="39"/>
        <v>0</v>
      </c>
      <c r="E178" s="30"/>
      <c r="F178" s="30"/>
      <c r="G178" s="30"/>
      <c r="H178" s="30"/>
      <c r="I178" s="30"/>
      <c r="J178" s="30"/>
      <c r="K178" s="30"/>
      <c r="L178" s="30"/>
    </row>
    <row r="179" spans="2:12" ht="16" customHeight="1" x14ac:dyDescent="0.35">
      <c r="B179" s="14" t="s">
        <v>591</v>
      </c>
      <c r="C179" s="14" t="s">
        <v>592</v>
      </c>
      <c r="D179" s="30">
        <f t="shared" si="39"/>
        <v>493.60199999999998</v>
      </c>
      <c r="E179" s="30"/>
      <c r="F179" s="30"/>
      <c r="G179" s="30"/>
      <c r="H179" s="30"/>
      <c r="I179" s="30"/>
      <c r="J179" s="30"/>
      <c r="K179" s="30"/>
      <c r="L179" s="30">
        <v>493.60199999999998</v>
      </c>
    </row>
    <row r="180" spans="2:12" ht="16" customHeight="1" x14ac:dyDescent="0.35">
      <c r="B180" s="14" t="s">
        <v>593</v>
      </c>
      <c r="C180" s="14" t="s">
        <v>594</v>
      </c>
      <c r="D180" s="30">
        <f t="shared" si="39"/>
        <v>48469.169179999997</v>
      </c>
      <c r="E180" s="30"/>
      <c r="F180" s="30"/>
      <c r="G180" s="30"/>
      <c r="H180" s="30"/>
      <c r="I180" s="30"/>
      <c r="J180" s="30"/>
      <c r="K180" s="30"/>
      <c r="L180" s="30">
        <v>48469.169179999997</v>
      </c>
    </row>
    <row r="181" spans="2:12" ht="16" customHeight="1" x14ac:dyDescent="0.35">
      <c r="B181" s="14" t="s">
        <v>595</v>
      </c>
      <c r="C181" s="14" t="s">
        <v>596</v>
      </c>
      <c r="D181" s="30">
        <f t="shared" si="39"/>
        <v>0</v>
      </c>
      <c r="E181" s="30"/>
      <c r="F181" s="30"/>
      <c r="G181" s="30"/>
      <c r="H181" s="30"/>
      <c r="I181" s="30"/>
      <c r="J181" s="30"/>
      <c r="K181" s="30"/>
      <c r="L181" s="30">
        <v>0</v>
      </c>
    </row>
    <row r="182" spans="2:12" ht="16" customHeight="1" x14ac:dyDescent="0.35">
      <c r="B182" s="16" t="s">
        <v>597</v>
      </c>
      <c r="C182" s="16" t="s">
        <v>598</v>
      </c>
      <c r="D182" s="31">
        <f t="shared" ref="D182:L182" si="40">-(-(D172+D173)-D174-D175-D176-D177-D178-D179-D180-D181)</f>
        <v>898621.55652999994</v>
      </c>
      <c r="E182" s="31">
        <f t="shared" si="40"/>
        <v>0</v>
      </c>
      <c r="F182" s="31">
        <f t="shared" si="40"/>
        <v>0</v>
      </c>
      <c r="G182" s="31">
        <f t="shared" si="40"/>
        <v>0</v>
      </c>
      <c r="H182" s="31">
        <f t="shared" si="40"/>
        <v>0</v>
      </c>
      <c r="I182" s="31">
        <f t="shared" si="40"/>
        <v>0</v>
      </c>
      <c r="J182" s="31">
        <f t="shared" si="40"/>
        <v>0</v>
      </c>
      <c r="K182" s="31">
        <f t="shared" si="40"/>
        <v>0</v>
      </c>
      <c r="L182" s="31">
        <f t="shared" si="40"/>
        <v>898621.55652999994</v>
      </c>
    </row>
    <row r="183" spans="2:12" ht="16" customHeight="1" x14ac:dyDescent="0.35">
      <c r="B183" s="11" t="s">
        <v>115</v>
      </c>
      <c r="C183" s="11" t="s">
        <v>22</v>
      </c>
      <c r="D183" s="29"/>
      <c r="E183" s="29"/>
      <c r="F183" s="29"/>
      <c r="G183" s="29"/>
      <c r="H183" s="29"/>
      <c r="I183" s="29"/>
      <c r="J183" s="29"/>
      <c r="K183" s="29"/>
      <c r="L183" s="29"/>
    </row>
    <row r="184" spans="2:12" ht="16" customHeight="1" x14ac:dyDescent="0.35">
      <c r="B184" s="14" t="s">
        <v>599</v>
      </c>
      <c r="C184" s="14" t="s">
        <v>600</v>
      </c>
      <c r="D184" s="30">
        <f>E184+F184+G184+H184+I184+J184+K184+L184</f>
        <v>163.11313999999999</v>
      </c>
      <c r="E184" s="30"/>
      <c r="F184" s="30"/>
      <c r="G184" s="30"/>
      <c r="H184" s="30"/>
      <c r="I184" s="30"/>
      <c r="J184" s="30"/>
      <c r="K184" s="30"/>
      <c r="L184" s="30">
        <v>163.11313999999999</v>
      </c>
    </row>
    <row r="185" spans="2:12" ht="16" customHeight="1" x14ac:dyDescent="0.35">
      <c r="B185" s="11" t="s">
        <v>601</v>
      </c>
      <c r="C185" s="11" t="s">
        <v>22</v>
      </c>
      <c r="D185" s="29"/>
      <c r="E185" s="29"/>
      <c r="F185" s="29"/>
      <c r="G185" s="29"/>
      <c r="H185" s="29"/>
      <c r="I185" s="29"/>
      <c r="J185" s="29"/>
      <c r="K185" s="29"/>
      <c r="L185" s="29"/>
    </row>
    <row r="186" spans="2:12" ht="16" customHeight="1" x14ac:dyDescent="0.35">
      <c r="B186" s="14" t="s">
        <v>602</v>
      </c>
      <c r="C186" s="14" t="s">
        <v>603</v>
      </c>
      <c r="D186" s="30">
        <f>E186+F186+G186+H186+I186+J186+K186+L186</f>
        <v>10714.47775</v>
      </c>
      <c r="E186" s="30"/>
      <c r="F186" s="30"/>
      <c r="G186" s="30"/>
      <c r="H186" s="30"/>
      <c r="I186" s="30"/>
      <c r="J186" s="30"/>
      <c r="K186" s="30"/>
      <c r="L186" s="30">
        <v>10714.47775</v>
      </c>
    </row>
    <row r="187" spans="2:12" ht="16" customHeight="1" x14ac:dyDescent="0.35">
      <c r="B187" s="14" t="s">
        <v>604</v>
      </c>
      <c r="C187" s="14" t="s">
        <v>605</v>
      </c>
      <c r="D187" s="30">
        <f>E187+F187+G187+H187+I187+J187+K187+L187</f>
        <v>0</v>
      </c>
      <c r="E187" s="30"/>
      <c r="F187" s="30"/>
      <c r="G187" s="30"/>
      <c r="H187" s="30"/>
      <c r="I187" s="30"/>
      <c r="J187" s="30"/>
      <c r="K187" s="30"/>
      <c r="L187" s="30"/>
    </row>
    <row r="188" spans="2:12" ht="16" customHeight="1" x14ac:dyDescent="0.35">
      <c r="B188" s="16" t="s">
        <v>606</v>
      </c>
      <c r="C188" s="16" t="s">
        <v>607</v>
      </c>
      <c r="D188" s="31">
        <f t="shared" ref="D188:L188" si="41">D186+D187</f>
        <v>10714.47775</v>
      </c>
      <c r="E188" s="31">
        <f t="shared" si="41"/>
        <v>0</v>
      </c>
      <c r="F188" s="31">
        <f t="shared" si="41"/>
        <v>0</v>
      </c>
      <c r="G188" s="31">
        <f t="shared" si="41"/>
        <v>0</v>
      </c>
      <c r="H188" s="31">
        <f t="shared" si="41"/>
        <v>0</v>
      </c>
      <c r="I188" s="31">
        <f t="shared" si="41"/>
        <v>0</v>
      </c>
      <c r="J188" s="31">
        <f t="shared" si="41"/>
        <v>0</v>
      </c>
      <c r="K188" s="31">
        <f t="shared" si="41"/>
        <v>0</v>
      </c>
      <c r="L188" s="31">
        <f t="shared" si="41"/>
        <v>10714.47775</v>
      </c>
    </row>
    <row r="189" spans="2:12" ht="16" customHeight="1" x14ac:dyDescent="0.35">
      <c r="B189" s="11" t="s">
        <v>608</v>
      </c>
      <c r="C189" s="11" t="s">
        <v>22</v>
      </c>
      <c r="D189" s="29"/>
      <c r="E189" s="29"/>
      <c r="F189" s="29"/>
      <c r="G189" s="29"/>
      <c r="H189" s="29"/>
      <c r="I189" s="29"/>
      <c r="J189" s="29"/>
      <c r="K189" s="29"/>
      <c r="L189" s="29"/>
    </row>
    <row r="190" spans="2:12" ht="16" customHeight="1" x14ac:dyDescent="0.35">
      <c r="B190" s="14" t="s">
        <v>609</v>
      </c>
      <c r="C190" s="14" t="s">
        <v>610</v>
      </c>
      <c r="D190" s="30">
        <f t="shared" ref="D190:D203" si="42">E190+F190+G190+H190+I190+J190+K190+L190</f>
        <v>3583.6652100000001</v>
      </c>
      <c r="E190" s="30"/>
      <c r="F190" s="30"/>
      <c r="G190" s="30"/>
      <c r="H190" s="30"/>
      <c r="I190" s="30"/>
      <c r="J190" s="30"/>
      <c r="K190" s="30"/>
      <c r="L190" s="30">
        <v>3583.6652100000001</v>
      </c>
    </row>
    <row r="191" spans="2:12" ht="16" customHeight="1" x14ac:dyDescent="0.35">
      <c r="B191" s="14" t="s">
        <v>611</v>
      </c>
      <c r="C191" s="14" t="s">
        <v>612</v>
      </c>
      <c r="D191" s="30">
        <f t="shared" si="42"/>
        <v>0</v>
      </c>
      <c r="E191" s="30"/>
      <c r="F191" s="30"/>
      <c r="G191" s="30"/>
      <c r="H191" s="30"/>
      <c r="I191" s="30"/>
      <c r="J191" s="30"/>
      <c r="K191" s="30"/>
      <c r="L191" s="30"/>
    </row>
    <row r="192" spans="2:12" ht="16" customHeight="1" x14ac:dyDescent="0.35">
      <c r="B192" s="14" t="s">
        <v>613</v>
      </c>
      <c r="C192" s="14" t="s">
        <v>614</v>
      </c>
      <c r="D192" s="30">
        <f t="shared" si="42"/>
        <v>999.19690000000003</v>
      </c>
      <c r="E192" s="30"/>
      <c r="F192" s="30"/>
      <c r="G192" s="30"/>
      <c r="H192" s="30"/>
      <c r="I192" s="30"/>
      <c r="J192" s="30"/>
      <c r="K192" s="30"/>
      <c r="L192" s="30">
        <v>999.19690000000003</v>
      </c>
    </row>
    <row r="193" spans="2:12" ht="16" customHeight="1" x14ac:dyDescent="0.35">
      <c r="B193" s="14" t="s">
        <v>615</v>
      </c>
      <c r="C193" s="14" t="s">
        <v>616</v>
      </c>
      <c r="D193" s="30">
        <f t="shared" si="42"/>
        <v>17938.174539999996</v>
      </c>
      <c r="E193" s="30"/>
      <c r="F193" s="30">
        <v>8736.9353300000002</v>
      </c>
      <c r="G193" s="30">
        <v>5219.2235199999996</v>
      </c>
      <c r="H193" s="30">
        <v>0.12395</v>
      </c>
      <c r="I193" s="30">
        <v>1814.1377299999999</v>
      </c>
      <c r="J193" s="30">
        <v>2154.1771699999999</v>
      </c>
      <c r="K193" s="30">
        <v>20.40718</v>
      </c>
      <c r="L193" s="30">
        <v>-6.8303399999999996</v>
      </c>
    </row>
    <row r="194" spans="2:12" ht="16" customHeight="1" x14ac:dyDescent="0.35">
      <c r="B194" s="14" t="s">
        <v>617</v>
      </c>
      <c r="C194" s="14" t="s">
        <v>618</v>
      </c>
      <c r="D194" s="30">
        <f t="shared" si="42"/>
        <v>0</v>
      </c>
      <c r="E194" s="30"/>
      <c r="F194" s="30"/>
      <c r="G194" s="30"/>
      <c r="H194" s="30"/>
      <c r="I194" s="30"/>
      <c r="J194" s="30"/>
      <c r="K194" s="30"/>
      <c r="L194" s="30"/>
    </row>
    <row r="195" spans="2:12" ht="16" customHeight="1" x14ac:dyDescent="0.35">
      <c r="B195" s="14" t="s">
        <v>619</v>
      </c>
      <c r="C195" s="14" t="s">
        <v>620</v>
      </c>
      <c r="D195" s="30">
        <f t="shared" si="42"/>
        <v>57983.203079999992</v>
      </c>
      <c r="E195" s="30">
        <v>0</v>
      </c>
      <c r="F195" s="30">
        <v>23868.952809999999</v>
      </c>
      <c r="G195" s="30">
        <v>16369.535320000001</v>
      </c>
      <c r="H195" s="30">
        <v>107.7509</v>
      </c>
      <c r="I195" s="30">
        <v>10500.783789999999</v>
      </c>
      <c r="J195" s="30">
        <v>4415.0213199999998</v>
      </c>
      <c r="K195" s="30">
        <v>182.11792</v>
      </c>
      <c r="L195" s="30">
        <v>2539.0410200000001</v>
      </c>
    </row>
    <row r="196" spans="2:12" ht="16" customHeight="1" x14ac:dyDescent="0.35">
      <c r="B196" s="14" t="s">
        <v>621</v>
      </c>
      <c r="C196" s="14" t="s">
        <v>622</v>
      </c>
      <c r="D196" s="30">
        <f t="shared" si="42"/>
        <v>12392.874159999998</v>
      </c>
      <c r="E196" s="30"/>
      <c r="F196" s="30">
        <v>10346.261479999999</v>
      </c>
      <c r="G196" s="30">
        <v>626.32425999999998</v>
      </c>
      <c r="H196" s="30"/>
      <c r="I196" s="30">
        <v>1416.4303600000001</v>
      </c>
      <c r="J196" s="30">
        <v>3.85832</v>
      </c>
      <c r="K196" s="30"/>
      <c r="L196" s="30">
        <v>-2.5999999999999998E-4</v>
      </c>
    </row>
    <row r="197" spans="2:12" ht="16" customHeight="1" x14ac:dyDescent="0.35">
      <c r="B197" s="14" t="s">
        <v>623</v>
      </c>
      <c r="C197" s="14" t="s">
        <v>624</v>
      </c>
      <c r="D197" s="30">
        <f t="shared" si="42"/>
        <v>3.4106051316484809E-13</v>
      </c>
      <c r="E197" s="30"/>
      <c r="F197" s="30">
        <v>-4937.8374599999997</v>
      </c>
      <c r="G197" s="30">
        <v>3611.5938700000002</v>
      </c>
      <c r="H197" s="30"/>
      <c r="I197" s="30">
        <v>610.38050999999996</v>
      </c>
      <c r="J197" s="30">
        <v>715.86307999999997</v>
      </c>
      <c r="K197" s="30"/>
      <c r="L197" s="30"/>
    </row>
    <row r="198" spans="2:12" ht="16" customHeight="1" x14ac:dyDescent="0.35">
      <c r="B198" s="14" t="s">
        <v>625</v>
      </c>
      <c r="C198" s="14" t="s">
        <v>626</v>
      </c>
      <c r="D198" s="30">
        <f t="shared" si="42"/>
        <v>5092.0617000000011</v>
      </c>
      <c r="E198" s="30"/>
      <c r="F198" s="30">
        <v>2583.2468600000002</v>
      </c>
      <c r="G198" s="30">
        <v>2016.33052</v>
      </c>
      <c r="H198" s="30"/>
      <c r="I198" s="30">
        <v>453.87203</v>
      </c>
      <c r="J198" s="30">
        <v>834.54137000000003</v>
      </c>
      <c r="K198" s="30">
        <v>39.528910000000003</v>
      </c>
      <c r="L198" s="30">
        <v>-835.45799</v>
      </c>
    </row>
    <row r="199" spans="2:12" ht="16" customHeight="1" x14ac:dyDescent="0.35">
      <c r="B199" s="14" t="s">
        <v>627</v>
      </c>
      <c r="C199" s="14" t="s">
        <v>628</v>
      </c>
      <c r="D199" s="30">
        <f t="shared" si="42"/>
        <v>39802.934410000002</v>
      </c>
      <c r="E199" s="30"/>
      <c r="F199" s="30"/>
      <c r="G199" s="30"/>
      <c r="H199" s="30"/>
      <c r="I199" s="30"/>
      <c r="J199" s="30"/>
      <c r="K199" s="30"/>
      <c r="L199" s="30">
        <v>39802.934410000002</v>
      </c>
    </row>
    <row r="200" spans="2:12" ht="16" customHeight="1" x14ac:dyDescent="0.35">
      <c r="B200" s="14" t="s">
        <v>629</v>
      </c>
      <c r="C200" s="14" t="s">
        <v>630</v>
      </c>
      <c r="D200" s="30">
        <f t="shared" si="42"/>
        <v>0</v>
      </c>
      <c r="E200" s="30"/>
      <c r="F200" s="30"/>
      <c r="G200" s="30"/>
      <c r="H200" s="30"/>
      <c r="I200" s="30"/>
      <c r="J200" s="30"/>
      <c r="K200" s="30"/>
      <c r="L200" s="30"/>
    </row>
    <row r="201" spans="2:12" ht="16" customHeight="1" x14ac:dyDescent="0.35">
      <c r="B201" s="14" t="s">
        <v>631</v>
      </c>
      <c r="C201" s="14" t="s">
        <v>632</v>
      </c>
      <c r="D201" s="30">
        <f t="shared" si="42"/>
        <v>0</v>
      </c>
      <c r="E201" s="30"/>
      <c r="F201" s="30"/>
      <c r="G201" s="30"/>
      <c r="H201" s="30"/>
      <c r="I201" s="30"/>
      <c r="J201" s="30"/>
      <c r="K201" s="30"/>
      <c r="L201" s="30"/>
    </row>
    <row r="202" spans="2:12" ht="16" customHeight="1" x14ac:dyDescent="0.35">
      <c r="B202" s="14" t="s">
        <v>633</v>
      </c>
      <c r="C202" s="14" t="s">
        <v>634</v>
      </c>
      <c r="D202" s="30">
        <f t="shared" si="42"/>
        <v>0</v>
      </c>
      <c r="E202" s="30"/>
      <c r="F202" s="30"/>
      <c r="G202" s="30"/>
      <c r="H202" s="30"/>
      <c r="I202" s="30"/>
      <c r="J202" s="30"/>
      <c r="K202" s="30"/>
      <c r="L202" s="30"/>
    </row>
    <row r="203" spans="2:12" ht="16" customHeight="1" x14ac:dyDescent="0.35">
      <c r="B203" s="14" t="s">
        <v>635</v>
      </c>
      <c r="C203" s="14" t="s">
        <v>636</v>
      </c>
      <c r="D203" s="30">
        <f t="shared" si="42"/>
        <v>-1.796</v>
      </c>
      <c r="E203" s="30"/>
      <c r="F203" s="30">
        <v>0.29699999999999999</v>
      </c>
      <c r="G203" s="30"/>
      <c r="H203" s="30"/>
      <c r="I203" s="30"/>
      <c r="J203" s="30"/>
      <c r="K203" s="30">
        <v>-4.0000000000000001E-3</v>
      </c>
      <c r="L203" s="30">
        <v>-2.089</v>
      </c>
    </row>
    <row r="204" spans="2:12" ht="16" customHeight="1" x14ac:dyDescent="0.35">
      <c r="B204" s="16" t="s">
        <v>637</v>
      </c>
      <c r="C204" s="16" t="s">
        <v>638</v>
      </c>
      <c r="D204" s="31">
        <f t="shared" ref="D204:L204" si="43">-(-(D190+D191)-D192-D193-D194-D195-D196-D197-D198-D200-D202-D201-D203-D199)</f>
        <v>137790.31399999998</v>
      </c>
      <c r="E204" s="31">
        <f t="shared" si="43"/>
        <v>0</v>
      </c>
      <c r="F204" s="31">
        <f t="shared" si="43"/>
        <v>40597.856019999992</v>
      </c>
      <c r="G204" s="31">
        <f t="shared" si="43"/>
        <v>27843.007490000004</v>
      </c>
      <c r="H204" s="31">
        <f t="shared" si="43"/>
        <v>107.87485</v>
      </c>
      <c r="I204" s="31">
        <f t="shared" si="43"/>
        <v>14795.604420000001</v>
      </c>
      <c r="J204" s="31">
        <f t="shared" si="43"/>
        <v>8123.46126</v>
      </c>
      <c r="K204" s="31">
        <f t="shared" si="43"/>
        <v>242.05001000000001</v>
      </c>
      <c r="L204" s="31">
        <f t="shared" si="43"/>
        <v>46080.459950000004</v>
      </c>
    </row>
    <row r="205" spans="2:12" ht="16" customHeight="1" x14ac:dyDescent="0.35">
      <c r="B205" s="11" t="s">
        <v>639</v>
      </c>
      <c r="C205" s="11" t="s">
        <v>22</v>
      </c>
      <c r="D205" s="29"/>
      <c r="E205" s="29"/>
      <c r="F205" s="29"/>
      <c r="G205" s="29"/>
      <c r="H205" s="29"/>
      <c r="I205" s="29"/>
      <c r="J205" s="29"/>
      <c r="K205" s="29"/>
      <c r="L205" s="29"/>
    </row>
    <row r="206" spans="2:12" ht="16" customHeight="1" x14ac:dyDescent="0.35">
      <c r="B206" s="14" t="s">
        <v>640</v>
      </c>
      <c r="C206" s="14" t="s">
        <v>641</v>
      </c>
      <c r="D206" s="30">
        <f>E206+F206+G206+H206+I206+J206+K206+L206</f>
        <v>54692.40509</v>
      </c>
      <c r="E206" s="30"/>
      <c r="F206" s="30">
        <v>47067.83236</v>
      </c>
      <c r="G206" s="30">
        <v>4850.5746799999997</v>
      </c>
      <c r="H206" s="30"/>
      <c r="I206" s="30">
        <v>958.57437000000004</v>
      </c>
      <c r="J206" s="30">
        <v>1816.49296</v>
      </c>
      <c r="K206" s="30">
        <v>-1.06928</v>
      </c>
      <c r="L206" s="30"/>
    </row>
    <row r="207" spans="2:12" ht="16" customHeight="1" x14ac:dyDescent="0.35">
      <c r="B207" s="11" t="s">
        <v>642</v>
      </c>
      <c r="C207" s="11" t="s">
        <v>22</v>
      </c>
      <c r="D207" s="29"/>
      <c r="E207" s="29"/>
      <c r="F207" s="29"/>
      <c r="G207" s="29"/>
      <c r="H207" s="29"/>
      <c r="I207" s="29"/>
      <c r="J207" s="29"/>
      <c r="K207" s="29"/>
      <c r="L207" s="29"/>
    </row>
    <row r="208" spans="2:12" ht="16" customHeight="1" x14ac:dyDescent="0.35">
      <c r="B208" s="14" t="s">
        <v>643</v>
      </c>
      <c r="C208" s="14" t="s">
        <v>644</v>
      </c>
      <c r="D208" s="30">
        <f>E208+F208+G208+H208+I208+J208+K208+L208</f>
        <v>0</v>
      </c>
      <c r="E208" s="30"/>
      <c r="F208" s="30"/>
      <c r="G208" s="30"/>
      <c r="H208" s="30"/>
      <c r="I208" s="30"/>
      <c r="J208" s="30"/>
      <c r="K208" s="30"/>
      <c r="L208" s="30"/>
    </row>
    <row r="209" spans="2:12" ht="16" customHeight="1" thickBot="1" x14ac:dyDescent="0.4">
      <c r="B209" s="11" t="s">
        <v>124</v>
      </c>
      <c r="C209" s="11" t="s">
        <v>22</v>
      </c>
      <c r="D209" s="29"/>
      <c r="E209" s="29"/>
      <c r="F209" s="29"/>
      <c r="G209" s="29"/>
      <c r="H209" s="29"/>
      <c r="I209" s="29"/>
      <c r="J209" s="29"/>
      <c r="K209" s="29"/>
      <c r="L209" s="29"/>
    </row>
    <row r="210" spans="2:12" ht="16" customHeight="1" thickBot="1" x14ac:dyDescent="0.4">
      <c r="B210" s="18" t="s">
        <v>645</v>
      </c>
      <c r="C210" s="18" t="s">
        <v>646</v>
      </c>
      <c r="D210" s="32">
        <f t="shared" ref="D210:L210" si="44">-(-(D170+D182)-D184-D188-D204-D206-D208)</f>
        <v>1329773.3718900001</v>
      </c>
      <c r="E210" s="32">
        <f t="shared" si="44"/>
        <v>0</v>
      </c>
      <c r="F210" s="32">
        <f t="shared" si="44"/>
        <v>442961.26910000003</v>
      </c>
      <c r="G210" s="32">
        <f t="shared" si="44"/>
        <v>103298.50441000001</v>
      </c>
      <c r="H210" s="32">
        <f t="shared" si="44"/>
        <v>195.38909000000001</v>
      </c>
      <c r="I210" s="32">
        <f t="shared" si="44"/>
        <v>31090.25131</v>
      </c>
      <c r="J210" s="32">
        <f t="shared" si="44"/>
        <v>27441.05055</v>
      </c>
      <c r="K210" s="32">
        <f t="shared" si="44"/>
        <v>801.71801000000005</v>
      </c>
      <c r="L210" s="32">
        <f t="shared" si="44"/>
        <v>723985.18941999995</v>
      </c>
    </row>
    <row r="211" spans="2:12" ht="16" customHeight="1" x14ac:dyDescent="0.35">
      <c r="B211" s="11" t="s">
        <v>647</v>
      </c>
      <c r="C211" s="11" t="s">
        <v>22</v>
      </c>
      <c r="D211" s="29"/>
      <c r="E211" s="29"/>
      <c r="F211" s="29"/>
      <c r="G211" s="29"/>
      <c r="H211" s="29"/>
      <c r="I211" s="29"/>
      <c r="J211" s="29"/>
      <c r="K211" s="29"/>
      <c r="L211" s="29"/>
    </row>
    <row r="212" spans="2:12" ht="16" customHeight="1" x14ac:dyDescent="0.35">
      <c r="B212" s="14" t="s">
        <v>648</v>
      </c>
      <c r="C212" s="14" t="s">
        <v>649</v>
      </c>
      <c r="D212" s="30">
        <f t="shared" ref="D212:D217" si="45">E212+F212+G212+H212+I212+J212+K212+L212</f>
        <v>578910.09525000001</v>
      </c>
      <c r="E212" s="30"/>
      <c r="F212" s="30"/>
      <c r="G212" s="30"/>
      <c r="H212" s="30"/>
      <c r="I212" s="30"/>
      <c r="J212" s="30"/>
      <c r="K212" s="30"/>
      <c r="L212" s="30">
        <v>578910.09525000001</v>
      </c>
    </row>
    <row r="213" spans="2:12" ht="16" customHeight="1" x14ac:dyDescent="0.35">
      <c r="B213" s="14" t="s">
        <v>650</v>
      </c>
      <c r="C213" s="14" t="s">
        <v>651</v>
      </c>
      <c r="D213" s="30">
        <f t="shared" si="45"/>
        <v>0</v>
      </c>
      <c r="E213" s="30"/>
      <c r="F213" s="30"/>
      <c r="G213" s="30"/>
      <c r="H213" s="30"/>
      <c r="I213" s="30"/>
      <c r="J213" s="30"/>
      <c r="K213" s="30"/>
      <c r="L213" s="30"/>
    </row>
    <row r="214" spans="2:12" ht="16" customHeight="1" x14ac:dyDescent="0.35">
      <c r="B214" s="14" t="s">
        <v>652</v>
      </c>
      <c r="C214" s="14" t="s">
        <v>653</v>
      </c>
      <c r="D214" s="30">
        <f t="shared" si="45"/>
        <v>0</v>
      </c>
      <c r="E214" s="30"/>
      <c r="F214" s="30"/>
      <c r="G214" s="30"/>
      <c r="H214" s="30"/>
      <c r="I214" s="30"/>
      <c r="J214" s="30"/>
      <c r="K214" s="30"/>
      <c r="L214" s="30"/>
    </row>
    <row r="215" spans="2:12" ht="16" customHeight="1" x14ac:dyDescent="0.35">
      <c r="B215" s="14" t="s">
        <v>654</v>
      </c>
      <c r="C215" s="14" t="s">
        <v>655</v>
      </c>
      <c r="D215" s="30">
        <f t="shared" si="45"/>
        <v>680.94407000000001</v>
      </c>
      <c r="E215" s="30"/>
      <c r="F215" s="30"/>
      <c r="G215" s="30"/>
      <c r="H215" s="30"/>
      <c r="I215" s="30"/>
      <c r="J215" s="30"/>
      <c r="K215" s="30"/>
      <c r="L215" s="30">
        <v>680.94407000000001</v>
      </c>
    </row>
    <row r="216" spans="2:12" ht="16" customHeight="1" x14ac:dyDescent="0.35">
      <c r="B216" s="14" t="s">
        <v>656</v>
      </c>
      <c r="C216" s="14" t="s">
        <v>657</v>
      </c>
      <c r="D216" s="30">
        <f t="shared" si="45"/>
        <v>70453.889330000005</v>
      </c>
      <c r="E216" s="30"/>
      <c r="F216" s="30"/>
      <c r="G216" s="30"/>
      <c r="H216" s="30"/>
      <c r="I216" s="30"/>
      <c r="J216" s="30"/>
      <c r="K216" s="30"/>
      <c r="L216" s="30">
        <v>70453.889330000005</v>
      </c>
    </row>
    <row r="217" spans="2:12" ht="16" customHeight="1" x14ac:dyDescent="0.35">
      <c r="B217" s="14" t="s">
        <v>658</v>
      </c>
      <c r="C217" s="14" t="s">
        <v>659</v>
      </c>
      <c r="D217" s="30">
        <f t="shared" si="45"/>
        <v>-29.22</v>
      </c>
      <c r="E217" s="30"/>
      <c r="F217" s="30"/>
      <c r="G217" s="30"/>
      <c r="H217" s="30"/>
      <c r="I217" s="30"/>
      <c r="J217" s="30"/>
      <c r="K217" s="30"/>
      <c r="L217" s="30">
        <v>-29.22</v>
      </c>
    </row>
    <row r="218" spans="2:12" ht="16" customHeight="1" x14ac:dyDescent="0.35">
      <c r="B218" s="16" t="s">
        <v>660</v>
      </c>
      <c r="C218" s="16" t="s">
        <v>661</v>
      </c>
      <c r="D218" s="31">
        <f t="shared" ref="D218:L218" si="46">-(-(D212+D213)-D214-D215-D216-D217)</f>
        <v>650015.70865000004</v>
      </c>
      <c r="E218" s="31">
        <f t="shared" si="46"/>
        <v>0</v>
      </c>
      <c r="F218" s="31">
        <f t="shared" si="46"/>
        <v>0</v>
      </c>
      <c r="G218" s="31">
        <f t="shared" si="46"/>
        <v>0</v>
      </c>
      <c r="H218" s="31">
        <f t="shared" si="46"/>
        <v>0</v>
      </c>
      <c r="I218" s="31">
        <f t="shared" si="46"/>
        <v>0</v>
      </c>
      <c r="J218" s="31">
        <f t="shared" si="46"/>
        <v>0</v>
      </c>
      <c r="K218" s="31">
        <f t="shared" si="46"/>
        <v>0</v>
      </c>
      <c r="L218" s="31">
        <f t="shared" si="46"/>
        <v>650015.70865000004</v>
      </c>
    </row>
    <row r="219" spans="2:12" ht="16" customHeight="1" x14ac:dyDescent="0.35">
      <c r="B219" s="11" t="s">
        <v>662</v>
      </c>
      <c r="C219" s="11" t="s">
        <v>22</v>
      </c>
      <c r="D219" s="29"/>
      <c r="E219" s="29"/>
      <c r="F219" s="29"/>
      <c r="G219" s="29"/>
      <c r="H219" s="29"/>
      <c r="I219" s="29"/>
      <c r="J219" s="29"/>
      <c r="K219" s="29"/>
      <c r="L219" s="29"/>
    </row>
    <row r="220" spans="2:12" ht="16" customHeight="1" x14ac:dyDescent="0.35">
      <c r="B220" s="14" t="s">
        <v>663</v>
      </c>
      <c r="C220" s="14" t="s">
        <v>664</v>
      </c>
      <c r="D220" s="30">
        <f>E220+F220+G220+H220+I220+J220+K220+L220</f>
        <v>24.42088</v>
      </c>
      <c r="E220" s="30"/>
      <c r="F220" s="30"/>
      <c r="G220" s="30"/>
      <c r="H220" s="30"/>
      <c r="I220" s="30"/>
      <c r="J220" s="30"/>
      <c r="K220" s="30"/>
      <c r="L220" s="30">
        <v>24.42088</v>
      </c>
    </row>
    <row r="221" spans="2:12" ht="16" customHeight="1" x14ac:dyDescent="0.35">
      <c r="B221" s="11" t="s">
        <v>665</v>
      </c>
      <c r="C221" s="11" t="s">
        <v>22</v>
      </c>
      <c r="D221" s="29"/>
      <c r="E221" s="29"/>
      <c r="F221" s="29"/>
      <c r="G221" s="29"/>
      <c r="H221" s="29"/>
      <c r="I221" s="29"/>
      <c r="J221" s="29"/>
      <c r="K221" s="29"/>
      <c r="L221" s="29"/>
    </row>
    <row r="222" spans="2:12" ht="16" customHeight="1" x14ac:dyDescent="0.35">
      <c r="B222" s="14" t="s">
        <v>666</v>
      </c>
      <c r="C222" s="14" t="s">
        <v>667</v>
      </c>
      <c r="D222" s="30">
        <f>E222+F222+G222+H222+I222+J222+K222+L222</f>
        <v>-1.1368683772161603E-13</v>
      </c>
      <c r="E222" s="30"/>
      <c r="F222" s="30">
        <v>1336.36682</v>
      </c>
      <c r="G222" s="30">
        <v>-3405.4860800000001</v>
      </c>
      <c r="H222" s="30"/>
      <c r="I222" s="30">
        <v>-1833.08519</v>
      </c>
      <c r="J222" s="30">
        <v>3453.8557900000001</v>
      </c>
      <c r="K222" s="30">
        <v>448.34866</v>
      </c>
      <c r="L222" s="30"/>
    </row>
    <row r="223" spans="2:12" ht="16" customHeight="1" x14ac:dyDescent="0.35">
      <c r="B223" s="11" t="s">
        <v>668</v>
      </c>
      <c r="C223" s="11" t="s">
        <v>22</v>
      </c>
      <c r="D223" s="29"/>
      <c r="E223" s="29"/>
      <c r="F223" s="29"/>
      <c r="G223" s="29"/>
      <c r="H223" s="29"/>
      <c r="I223" s="29"/>
      <c r="J223" s="29"/>
      <c r="K223" s="29"/>
      <c r="L223" s="29"/>
    </row>
    <row r="224" spans="2:12" ht="16" customHeight="1" x14ac:dyDescent="0.35">
      <c r="B224" s="14" t="s">
        <v>669</v>
      </c>
      <c r="C224" s="14" t="s">
        <v>670</v>
      </c>
      <c r="D224" s="30">
        <f>E224+F224+G224+H224+I224+J224+K224+L224</f>
        <v>260735.81271999999</v>
      </c>
      <c r="E224" s="30"/>
      <c r="F224" s="30"/>
      <c r="G224" s="30"/>
      <c r="H224" s="30"/>
      <c r="I224" s="30"/>
      <c r="J224" s="30"/>
      <c r="K224" s="30"/>
      <c r="L224" s="30">
        <v>260735.81271999999</v>
      </c>
    </row>
    <row r="225" spans="2:12" ht="16" customHeight="1" x14ac:dyDescent="0.35">
      <c r="B225" s="11" t="s">
        <v>136</v>
      </c>
      <c r="C225" s="11" t="s">
        <v>22</v>
      </c>
      <c r="D225" s="29"/>
      <c r="E225" s="29"/>
      <c r="F225" s="29"/>
      <c r="G225" s="29"/>
      <c r="H225" s="29"/>
      <c r="I225" s="29"/>
      <c r="J225" s="29"/>
      <c r="K225" s="29"/>
      <c r="L225" s="29"/>
    </row>
    <row r="226" spans="2:12" ht="16" customHeight="1" x14ac:dyDescent="0.35">
      <c r="B226" s="14" t="s">
        <v>671</v>
      </c>
      <c r="C226" s="14" t="s">
        <v>672</v>
      </c>
      <c r="D226" s="30">
        <f>E226+F226+G226+H226+I226+J226+K226+L226</f>
        <v>165716.98688000001</v>
      </c>
      <c r="E226" s="30"/>
      <c r="F226" s="30">
        <v>120411.34682000001</v>
      </c>
      <c r="G226" s="30">
        <v>31223.498029999999</v>
      </c>
      <c r="H226" s="30">
        <v>375.23523999999998</v>
      </c>
      <c r="I226" s="30">
        <v>7910.5988699999998</v>
      </c>
      <c r="J226" s="30">
        <v>5757.8959800000002</v>
      </c>
      <c r="K226" s="30">
        <v>38.412289999999999</v>
      </c>
      <c r="L226" s="30">
        <v>-3.5E-4</v>
      </c>
    </row>
    <row r="227" spans="2:12" ht="16" customHeight="1" x14ac:dyDescent="0.35">
      <c r="B227" s="11" t="s">
        <v>673</v>
      </c>
      <c r="C227" s="11" t="s">
        <v>22</v>
      </c>
      <c r="D227" s="29"/>
      <c r="E227" s="29"/>
      <c r="F227" s="29"/>
      <c r="G227" s="29"/>
      <c r="H227" s="29"/>
      <c r="I227" s="29"/>
      <c r="J227" s="29"/>
      <c r="K227" s="29"/>
      <c r="L227" s="29"/>
    </row>
    <row r="228" spans="2:12" ht="16" customHeight="1" x14ac:dyDescent="0.35">
      <c r="B228" s="14" t="s">
        <v>674</v>
      </c>
      <c r="C228" s="14" t="s">
        <v>675</v>
      </c>
      <c r="D228" s="30">
        <f>E228+F228+G228+H228+I228+J228+K228+L228</f>
        <v>80414.377729999993</v>
      </c>
      <c r="E228" s="30"/>
      <c r="F228" s="30"/>
      <c r="G228" s="30"/>
      <c r="H228" s="30"/>
      <c r="I228" s="30"/>
      <c r="J228" s="30"/>
      <c r="K228" s="30"/>
      <c r="L228" s="30">
        <v>80414.377729999993</v>
      </c>
    </row>
    <row r="229" spans="2:12" ht="16" customHeight="1" x14ac:dyDescent="0.35">
      <c r="B229" s="11" t="s">
        <v>676</v>
      </c>
      <c r="C229" s="11" t="s">
        <v>22</v>
      </c>
      <c r="D229" s="29"/>
      <c r="E229" s="29"/>
      <c r="F229" s="29"/>
      <c r="G229" s="29"/>
      <c r="H229" s="29"/>
      <c r="I229" s="29"/>
      <c r="J229" s="29"/>
      <c r="K229" s="29"/>
      <c r="L229" s="29"/>
    </row>
    <row r="230" spans="2:12" ht="16" customHeight="1" x14ac:dyDescent="0.35">
      <c r="B230" s="14" t="s">
        <v>677</v>
      </c>
      <c r="C230" s="14" t="s">
        <v>678</v>
      </c>
      <c r="D230" s="30">
        <f>E230+F230+G230+H230+I230+J230+K230+L230</f>
        <v>-1.6670000000000001E-2</v>
      </c>
      <c r="E230" s="30"/>
      <c r="F230" s="30"/>
      <c r="G230" s="30"/>
      <c r="H230" s="30"/>
      <c r="I230" s="30"/>
      <c r="J230" s="30"/>
      <c r="K230" s="30"/>
      <c r="L230" s="30">
        <v>-1.6670000000000001E-2</v>
      </c>
    </row>
    <row r="231" spans="2:12" ht="16" customHeight="1" thickBot="1" x14ac:dyDescent="0.4">
      <c r="B231" s="11" t="s">
        <v>679</v>
      </c>
      <c r="C231" s="11" t="s">
        <v>22</v>
      </c>
      <c r="D231" s="29"/>
      <c r="E231" s="29"/>
      <c r="F231" s="29"/>
      <c r="G231" s="29"/>
      <c r="H231" s="29"/>
      <c r="I231" s="29"/>
      <c r="J231" s="29"/>
      <c r="K231" s="29"/>
      <c r="L231" s="29"/>
    </row>
    <row r="232" spans="2:12" ht="16" customHeight="1" thickBot="1" x14ac:dyDescent="0.4">
      <c r="B232" s="18" t="s">
        <v>680</v>
      </c>
      <c r="C232" s="18" t="s">
        <v>681</v>
      </c>
      <c r="D232" s="32">
        <f t="shared" ref="D232:L232" si="47">-(-(D218+D220)-D222-D224-D226-D200-D228-D230)</f>
        <v>1156907.2901900001</v>
      </c>
      <c r="E232" s="32">
        <f t="shared" si="47"/>
        <v>0</v>
      </c>
      <c r="F232" s="32">
        <f t="shared" si="47"/>
        <v>121747.71364</v>
      </c>
      <c r="G232" s="32">
        <f t="shared" si="47"/>
        <v>27818.01195</v>
      </c>
      <c r="H232" s="32">
        <f t="shared" si="47"/>
        <v>375.23523999999998</v>
      </c>
      <c r="I232" s="32">
        <f t="shared" si="47"/>
        <v>6077.51368</v>
      </c>
      <c r="J232" s="32">
        <f t="shared" si="47"/>
        <v>9211.7517700000008</v>
      </c>
      <c r="K232" s="32">
        <f t="shared" si="47"/>
        <v>486.76094999999998</v>
      </c>
      <c r="L232" s="32">
        <f t="shared" si="47"/>
        <v>991190.30296</v>
      </c>
    </row>
    <row r="233" spans="2:12" ht="16" customHeight="1" thickBot="1" x14ac:dyDescent="0.4">
      <c r="B233" s="11" t="s">
        <v>682</v>
      </c>
      <c r="C233" s="11" t="s">
        <v>22</v>
      </c>
      <c r="D233" s="29"/>
      <c r="E233" s="29"/>
      <c r="F233" s="29"/>
      <c r="G233" s="29"/>
      <c r="H233" s="29"/>
      <c r="I233" s="29"/>
      <c r="J233" s="29"/>
      <c r="K233" s="29"/>
      <c r="L233" s="29"/>
    </row>
    <row r="234" spans="2:12" ht="16" customHeight="1" thickBot="1" x14ac:dyDescent="0.4">
      <c r="B234" s="18" t="s">
        <v>683</v>
      </c>
      <c r="C234" s="18" t="s">
        <v>684</v>
      </c>
      <c r="D234" s="32">
        <f t="shared" ref="D234:L234" si="48">D210+D232</f>
        <v>2486680.6620800002</v>
      </c>
      <c r="E234" s="32">
        <f t="shared" si="48"/>
        <v>0</v>
      </c>
      <c r="F234" s="32">
        <f t="shared" si="48"/>
        <v>564708.98274000001</v>
      </c>
      <c r="G234" s="32">
        <f t="shared" si="48"/>
        <v>131116.51636000001</v>
      </c>
      <c r="H234" s="32">
        <f t="shared" si="48"/>
        <v>570.62432999999999</v>
      </c>
      <c r="I234" s="32">
        <f t="shared" si="48"/>
        <v>37167.764989999996</v>
      </c>
      <c r="J234" s="32">
        <f t="shared" si="48"/>
        <v>36652.802320000003</v>
      </c>
      <c r="K234" s="32">
        <f t="shared" si="48"/>
        <v>1288.4789599999999</v>
      </c>
      <c r="L234" s="32">
        <f t="shared" si="48"/>
        <v>1715175.49238</v>
      </c>
    </row>
    <row r="235" spans="2:12" ht="16" customHeight="1" x14ac:dyDescent="0.35">
      <c r="B235" s="11" t="s">
        <v>685</v>
      </c>
      <c r="C235" s="11" t="s">
        <v>22</v>
      </c>
      <c r="D235" s="29"/>
      <c r="E235" s="29"/>
      <c r="F235" s="29"/>
      <c r="G235" s="29"/>
      <c r="H235" s="29"/>
      <c r="I235" s="29"/>
      <c r="J235" s="29"/>
      <c r="K235" s="29"/>
      <c r="L235" s="29"/>
    </row>
    <row r="236" spans="2:12" ht="16" customHeight="1" x14ac:dyDescent="0.35">
      <c r="B236" s="14" t="s">
        <v>686</v>
      </c>
      <c r="C236" s="14" t="s">
        <v>687</v>
      </c>
      <c r="D236" s="30">
        <f>E236+F236+G236+H236+I236+J236+K236+L236</f>
        <v>9842.5452600000008</v>
      </c>
      <c r="E236" s="30"/>
      <c r="F236" s="30"/>
      <c r="G236" s="30"/>
      <c r="H236" s="30"/>
      <c r="I236" s="30"/>
      <c r="J236" s="30"/>
      <c r="K236" s="30"/>
      <c r="L236" s="30">
        <v>9842.5452600000008</v>
      </c>
    </row>
    <row r="237" spans="2:12" ht="16" customHeight="1" x14ac:dyDescent="0.35">
      <c r="B237" s="11" t="s">
        <v>152</v>
      </c>
      <c r="C237" s="11" t="s">
        <v>22</v>
      </c>
      <c r="D237" s="29"/>
      <c r="E237" s="29"/>
      <c r="F237" s="29"/>
      <c r="G237" s="29"/>
      <c r="H237" s="29"/>
      <c r="I237" s="29"/>
      <c r="J237" s="29"/>
      <c r="K237" s="29"/>
      <c r="L237" s="29"/>
    </row>
    <row r="238" spans="2:12" ht="16" customHeight="1" x14ac:dyDescent="0.35">
      <c r="B238" s="14" t="s">
        <v>688</v>
      </c>
      <c r="C238" s="14" t="s">
        <v>689</v>
      </c>
      <c r="D238" s="30">
        <f>E238+F238+G238+H238+I238+J238+K238+L238</f>
        <v>1982351.60784</v>
      </c>
      <c r="E238" s="30"/>
      <c r="F238" s="30"/>
      <c r="G238" s="30"/>
      <c r="H238" s="30"/>
      <c r="I238" s="30"/>
      <c r="J238" s="30"/>
      <c r="K238" s="30"/>
      <c r="L238" s="30">
        <v>1982351.60784</v>
      </c>
    </row>
    <row r="239" spans="2:12" ht="16" customHeight="1" x14ac:dyDescent="0.35">
      <c r="B239" s="11" t="s">
        <v>690</v>
      </c>
      <c r="C239" s="11" t="s">
        <v>22</v>
      </c>
      <c r="D239" s="29"/>
      <c r="E239" s="29"/>
      <c r="F239" s="29"/>
      <c r="G239" s="29"/>
      <c r="H239" s="29"/>
      <c r="I239" s="29"/>
      <c r="J239" s="29"/>
      <c r="K239" s="29"/>
      <c r="L239" s="29"/>
    </row>
    <row r="240" spans="2:12" ht="16" customHeight="1" x14ac:dyDescent="0.35">
      <c r="B240" s="14" t="s">
        <v>691</v>
      </c>
      <c r="C240" s="14" t="s">
        <v>692</v>
      </c>
      <c r="D240" s="30">
        <f>E240+F240+G240+H240+I240+J240+K240+L240</f>
        <v>0</v>
      </c>
      <c r="E240" s="30"/>
      <c r="F240" s="30"/>
      <c r="G240" s="30"/>
      <c r="H240" s="30"/>
      <c r="I240" s="30"/>
      <c r="J240" s="30"/>
      <c r="K240" s="30"/>
      <c r="L240" s="30"/>
    </row>
    <row r="241" spans="2:12" ht="16" customHeight="1" x14ac:dyDescent="0.35">
      <c r="B241" s="11" t="s">
        <v>693</v>
      </c>
      <c r="C241" s="11" t="s">
        <v>22</v>
      </c>
      <c r="D241" s="29"/>
      <c r="E241" s="29"/>
      <c r="F241" s="29"/>
      <c r="G241" s="29"/>
      <c r="H241" s="29"/>
      <c r="I241" s="29"/>
      <c r="J241" s="29"/>
      <c r="K241" s="29"/>
      <c r="L241" s="29"/>
    </row>
    <row r="242" spans="2:12" ht="16" customHeight="1" x14ac:dyDescent="0.35">
      <c r="B242" s="14" t="s">
        <v>694</v>
      </c>
      <c r="C242" s="14" t="s">
        <v>695</v>
      </c>
      <c r="D242" s="30">
        <f t="shared" ref="D242:D263" si="49">E242+F242+G242+H242+I242+J242+K242+L242</f>
        <v>2726.6811400000001</v>
      </c>
      <c r="E242" s="30"/>
      <c r="F242" s="30"/>
      <c r="G242" s="30"/>
      <c r="H242" s="30"/>
      <c r="I242" s="30"/>
      <c r="J242" s="30"/>
      <c r="K242" s="30"/>
      <c r="L242" s="30">
        <v>2726.6811400000001</v>
      </c>
    </row>
    <row r="243" spans="2:12" ht="16" customHeight="1" x14ac:dyDescent="0.35">
      <c r="B243" s="14" t="s">
        <v>696</v>
      </c>
      <c r="C243" s="14" t="s">
        <v>697</v>
      </c>
      <c r="D243" s="30">
        <f t="shared" si="49"/>
        <v>-473965.39189999999</v>
      </c>
      <c r="E243" s="30"/>
      <c r="F243" s="30"/>
      <c r="G243" s="30"/>
      <c r="H243" s="30"/>
      <c r="I243" s="30"/>
      <c r="J243" s="30"/>
      <c r="K243" s="30"/>
      <c r="L243" s="30">
        <v>-473965.39189999999</v>
      </c>
    </row>
    <row r="244" spans="2:12" ht="16" customHeight="1" x14ac:dyDescent="0.35">
      <c r="B244" s="14" t="s">
        <v>698</v>
      </c>
      <c r="C244" s="14" t="s">
        <v>699</v>
      </c>
      <c r="D244" s="30">
        <f t="shared" si="49"/>
        <v>-24896.02706</v>
      </c>
      <c r="E244" s="30"/>
      <c r="F244" s="30"/>
      <c r="G244" s="30"/>
      <c r="H244" s="30"/>
      <c r="I244" s="30"/>
      <c r="J244" s="30"/>
      <c r="K244" s="30"/>
      <c r="L244" s="30">
        <v>-24896.02706</v>
      </c>
    </row>
    <row r="245" spans="2:12" ht="16" customHeight="1" x14ac:dyDescent="0.35">
      <c r="B245" s="14" t="s">
        <v>700</v>
      </c>
      <c r="C245" s="14" t="s">
        <v>701</v>
      </c>
      <c r="D245" s="30">
        <f t="shared" si="49"/>
        <v>1624414</v>
      </c>
      <c r="E245" s="30"/>
      <c r="F245" s="30"/>
      <c r="G245" s="30"/>
      <c r="H245" s="30"/>
      <c r="I245" s="30"/>
      <c r="J245" s="30"/>
      <c r="K245" s="30"/>
      <c r="L245" s="30">
        <v>1624414</v>
      </c>
    </row>
    <row r="246" spans="2:12" ht="16" customHeight="1" x14ac:dyDescent="0.35">
      <c r="B246" s="14" t="s">
        <v>702</v>
      </c>
      <c r="C246" s="14" t="s">
        <v>703</v>
      </c>
      <c r="D246" s="30">
        <f t="shared" si="49"/>
        <v>-519.91142000000002</v>
      </c>
      <c r="E246" s="30"/>
      <c r="F246" s="30"/>
      <c r="G246" s="30"/>
      <c r="H246" s="30"/>
      <c r="I246" s="30"/>
      <c r="J246" s="30"/>
      <c r="K246" s="30"/>
      <c r="L246" s="30">
        <v>-519.91142000000002</v>
      </c>
    </row>
    <row r="247" spans="2:12" ht="16" customHeight="1" x14ac:dyDescent="0.35">
      <c r="B247" s="14" t="s">
        <v>704</v>
      </c>
      <c r="C247" s="14" t="s">
        <v>705</v>
      </c>
      <c r="D247" s="30">
        <f t="shared" si="49"/>
        <v>0</v>
      </c>
      <c r="E247" s="30"/>
      <c r="F247" s="30"/>
      <c r="G247" s="30"/>
      <c r="H247" s="30"/>
      <c r="I247" s="30"/>
      <c r="J247" s="30"/>
      <c r="K247" s="30"/>
      <c r="L247" s="30"/>
    </row>
    <row r="248" spans="2:12" ht="16" customHeight="1" x14ac:dyDescent="0.35">
      <c r="B248" s="14" t="s">
        <v>706</v>
      </c>
      <c r="C248" s="14" t="s">
        <v>707</v>
      </c>
      <c r="D248" s="30">
        <f t="shared" si="49"/>
        <v>0</v>
      </c>
      <c r="E248" s="30"/>
      <c r="F248" s="30"/>
      <c r="G248" s="30"/>
      <c r="H248" s="30"/>
      <c r="I248" s="30"/>
      <c r="J248" s="30"/>
      <c r="K248" s="30"/>
      <c r="L248" s="30"/>
    </row>
    <row r="249" spans="2:12" ht="16" customHeight="1" x14ac:dyDescent="0.35">
      <c r="B249" s="14" t="s">
        <v>708</v>
      </c>
      <c r="C249" s="14" t="s">
        <v>709</v>
      </c>
      <c r="D249" s="30">
        <f t="shared" si="49"/>
        <v>0</v>
      </c>
      <c r="E249" s="30"/>
      <c r="F249" s="30"/>
      <c r="G249" s="30"/>
      <c r="H249" s="30"/>
      <c r="I249" s="30"/>
      <c r="J249" s="30"/>
      <c r="K249" s="30"/>
      <c r="L249" s="30"/>
    </row>
    <row r="250" spans="2:12" ht="16" customHeight="1" x14ac:dyDescent="0.35">
      <c r="B250" s="14" t="s">
        <v>710</v>
      </c>
      <c r="C250" s="14" t="s">
        <v>711</v>
      </c>
      <c r="D250" s="30">
        <f t="shared" si="49"/>
        <v>0</v>
      </c>
      <c r="E250" s="30"/>
      <c r="F250" s="30"/>
      <c r="G250" s="30"/>
      <c r="H250" s="30"/>
      <c r="I250" s="30"/>
      <c r="J250" s="30"/>
      <c r="K250" s="30"/>
      <c r="L250" s="30"/>
    </row>
    <row r="251" spans="2:12" ht="16" customHeight="1" x14ac:dyDescent="0.35">
      <c r="B251" s="14" t="s">
        <v>712</v>
      </c>
      <c r="C251" s="14" t="s">
        <v>713</v>
      </c>
      <c r="D251" s="30">
        <f t="shared" si="49"/>
        <v>0</v>
      </c>
      <c r="E251" s="30"/>
      <c r="F251" s="30"/>
      <c r="G251" s="30"/>
      <c r="H251" s="30"/>
      <c r="I251" s="30"/>
      <c r="J251" s="30"/>
      <c r="K251" s="30"/>
      <c r="L251" s="30"/>
    </row>
    <row r="252" spans="2:12" ht="16" customHeight="1" x14ac:dyDescent="0.35">
      <c r="B252" s="14" t="s">
        <v>714</v>
      </c>
      <c r="C252" s="14" t="s">
        <v>715</v>
      </c>
      <c r="D252" s="30">
        <f t="shared" si="49"/>
        <v>0</v>
      </c>
      <c r="E252" s="30"/>
      <c r="F252" s="30"/>
      <c r="G252" s="30"/>
      <c r="H252" s="30"/>
      <c r="I252" s="30"/>
      <c r="J252" s="30"/>
      <c r="K252" s="30"/>
      <c r="L252" s="30">
        <v>0</v>
      </c>
    </row>
    <row r="253" spans="2:12" ht="16" customHeight="1" x14ac:dyDescent="0.35">
      <c r="B253" s="14" t="s">
        <v>716</v>
      </c>
      <c r="C253" s="14" t="s">
        <v>717</v>
      </c>
      <c r="D253" s="30">
        <f t="shared" si="49"/>
        <v>0</v>
      </c>
      <c r="E253" s="30"/>
      <c r="F253" s="30"/>
      <c r="G253" s="30"/>
      <c r="H253" s="30"/>
      <c r="I253" s="30"/>
      <c r="J253" s="30"/>
      <c r="K253" s="30"/>
      <c r="L253" s="30"/>
    </row>
    <row r="254" spans="2:12" ht="16" customHeight="1" x14ac:dyDescent="0.35">
      <c r="B254" s="14" t="s">
        <v>718</v>
      </c>
      <c r="C254" s="14" t="s">
        <v>719</v>
      </c>
      <c r="D254" s="30">
        <f t="shared" si="49"/>
        <v>0</v>
      </c>
      <c r="E254" s="30"/>
      <c r="F254" s="30"/>
      <c r="G254" s="30"/>
      <c r="H254" s="30"/>
      <c r="I254" s="30"/>
      <c r="J254" s="30"/>
      <c r="K254" s="30"/>
      <c r="L254" s="30"/>
    </row>
    <row r="255" spans="2:12" ht="16" customHeight="1" x14ac:dyDescent="0.35">
      <c r="B255" s="14" t="s">
        <v>720</v>
      </c>
      <c r="C255" s="14" t="s">
        <v>721</v>
      </c>
      <c r="D255" s="30">
        <f t="shared" si="49"/>
        <v>7641.9060399999998</v>
      </c>
      <c r="E255" s="30"/>
      <c r="F255" s="30"/>
      <c r="G255" s="30"/>
      <c r="H255" s="30"/>
      <c r="I255" s="30"/>
      <c r="J255" s="30"/>
      <c r="K255" s="30"/>
      <c r="L255" s="30">
        <v>7641.9060399999998</v>
      </c>
    </row>
    <row r="256" spans="2:12" ht="16" customHeight="1" x14ac:dyDescent="0.35">
      <c r="B256" s="14" t="s">
        <v>722</v>
      </c>
      <c r="C256" s="14" t="s">
        <v>723</v>
      </c>
      <c r="D256" s="30">
        <f t="shared" si="49"/>
        <v>-1776.82339</v>
      </c>
      <c r="E256" s="30"/>
      <c r="F256" s="30"/>
      <c r="G256" s="30"/>
      <c r="H256" s="30"/>
      <c r="I256" s="30"/>
      <c r="J256" s="30"/>
      <c r="K256" s="30"/>
      <c r="L256" s="30">
        <v>-1776.82339</v>
      </c>
    </row>
    <row r="257" spans="2:12" ht="16" customHeight="1" x14ac:dyDescent="0.35">
      <c r="B257" s="14" t="s">
        <v>724</v>
      </c>
      <c r="C257" s="14" t="s">
        <v>725</v>
      </c>
      <c r="D257" s="30">
        <f t="shared" si="49"/>
        <v>0</v>
      </c>
      <c r="E257" s="30"/>
      <c r="F257" s="30"/>
      <c r="G257" s="30"/>
      <c r="H257" s="30"/>
      <c r="I257" s="30"/>
      <c r="J257" s="30"/>
      <c r="K257" s="30"/>
      <c r="L257" s="30"/>
    </row>
    <row r="258" spans="2:12" ht="16" customHeight="1" x14ac:dyDescent="0.35">
      <c r="B258" s="14" t="s">
        <v>726</v>
      </c>
      <c r="C258" s="14" t="s">
        <v>727</v>
      </c>
      <c r="D258" s="30">
        <f t="shared" si="49"/>
        <v>0</v>
      </c>
      <c r="E258" s="30"/>
      <c r="F258" s="30"/>
      <c r="G258" s="30"/>
      <c r="H258" s="30"/>
      <c r="I258" s="30"/>
      <c r="J258" s="30"/>
      <c r="K258" s="30"/>
      <c r="L258" s="30"/>
    </row>
    <row r="259" spans="2:12" ht="16" customHeight="1" x14ac:dyDescent="0.35">
      <c r="B259" s="14" t="s">
        <v>728</v>
      </c>
      <c r="C259" s="14" t="s">
        <v>729</v>
      </c>
      <c r="D259" s="30">
        <f t="shared" si="49"/>
        <v>0</v>
      </c>
      <c r="E259" s="30"/>
      <c r="F259" s="30"/>
      <c r="G259" s="30"/>
      <c r="H259" s="30"/>
      <c r="I259" s="30"/>
      <c r="J259" s="30"/>
      <c r="K259" s="30"/>
      <c r="L259" s="30"/>
    </row>
    <row r="260" spans="2:12" ht="16" customHeight="1" x14ac:dyDescent="0.35">
      <c r="B260" s="14" t="s">
        <v>730</v>
      </c>
      <c r="C260" s="14" t="s">
        <v>731</v>
      </c>
      <c r="D260" s="30">
        <f t="shared" si="49"/>
        <v>0</v>
      </c>
      <c r="E260" s="30"/>
      <c r="F260" s="30"/>
      <c r="G260" s="30"/>
      <c r="H260" s="30"/>
      <c r="I260" s="30"/>
      <c r="J260" s="30"/>
      <c r="K260" s="30"/>
      <c r="L260" s="30"/>
    </row>
    <row r="261" spans="2:12" ht="16" customHeight="1" x14ac:dyDescent="0.35">
      <c r="B261" s="14" t="s">
        <v>732</v>
      </c>
      <c r="C261" s="14" t="s">
        <v>733</v>
      </c>
      <c r="D261" s="30">
        <f t="shared" si="49"/>
        <v>-46148.600780000001</v>
      </c>
      <c r="E261" s="30"/>
      <c r="F261" s="30"/>
      <c r="G261" s="30"/>
      <c r="H261" s="30"/>
      <c r="I261" s="30"/>
      <c r="J261" s="30"/>
      <c r="K261" s="30"/>
      <c r="L261" s="30">
        <v>-46148.600780000001</v>
      </c>
    </row>
    <row r="262" spans="2:12" ht="16" customHeight="1" x14ac:dyDescent="0.35">
      <c r="B262" s="14" t="s">
        <v>734</v>
      </c>
      <c r="C262" s="14" t="s">
        <v>735</v>
      </c>
      <c r="D262" s="30">
        <f t="shared" si="49"/>
        <v>0</v>
      </c>
      <c r="E262" s="30"/>
      <c r="F262" s="30"/>
      <c r="G262" s="30"/>
      <c r="H262" s="30"/>
      <c r="I262" s="30"/>
      <c r="J262" s="30"/>
      <c r="K262" s="30"/>
      <c r="L262" s="30"/>
    </row>
    <row r="263" spans="2:12" ht="16" customHeight="1" x14ac:dyDescent="0.35">
      <c r="B263" s="14" t="s">
        <v>736</v>
      </c>
      <c r="C263" s="14" t="s">
        <v>737</v>
      </c>
      <c r="D263" s="30">
        <f t="shared" si="49"/>
        <v>0</v>
      </c>
      <c r="E263" s="30"/>
      <c r="F263" s="30"/>
      <c r="G263" s="30"/>
      <c r="H263" s="30"/>
      <c r="I263" s="30"/>
      <c r="J263" s="30"/>
      <c r="K263" s="30"/>
      <c r="L263" s="30"/>
    </row>
    <row r="264" spans="2:12" ht="16" customHeight="1" x14ac:dyDescent="0.35">
      <c r="B264" s="16" t="s">
        <v>738</v>
      </c>
      <c r="C264" s="16" t="s">
        <v>739</v>
      </c>
      <c r="D264" s="31">
        <f t="shared" ref="D264:L264" si="50">-(-(D242+D243)-D244-D245-D246-D247-D248-D249-D250-D251-D252-D253-D254-D255-D256-D257-D258-D259-D260-D261-D262-D263)</f>
        <v>1087475.8326300001</v>
      </c>
      <c r="E264" s="31">
        <f t="shared" si="50"/>
        <v>0</v>
      </c>
      <c r="F264" s="31">
        <f t="shared" si="50"/>
        <v>0</v>
      </c>
      <c r="G264" s="31">
        <f t="shared" si="50"/>
        <v>0</v>
      </c>
      <c r="H264" s="31">
        <f t="shared" si="50"/>
        <v>0</v>
      </c>
      <c r="I264" s="31">
        <f t="shared" si="50"/>
        <v>0</v>
      </c>
      <c r="J264" s="31">
        <f t="shared" si="50"/>
        <v>0</v>
      </c>
      <c r="K264" s="31">
        <f t="shared" si="50"/>
        <v>0</v>
      </c>
      <c r="L264" s="31">
        <f t="shared" si="50"/>
        <v>1087475.8326300001</v>
      </c>
    </row>
    <row r="265" spans="2:12" ht="16" customHeight="1" x14ac:dyDescent="0.35">
      <c r="B265" s="11" t="s">
        <v>740</v>
      </c>
      <c r="C265" s="11" t="s">
        <v>22</v>
      </c>
      <c r="D265" s="29"/>
      <c r="E265" s="29"/>
      <c r="F265" s="29"/>
      <c r="G265" s="29"/>
      <c r="H265" s="29"/>
      <c r="I265" s="29"/>
      <c r="J265" s="29"/>
      <c r="K265" s="29"/>
      <c r="L265" s="29"/>
    </row>
    <row r="266" spans="2:12" ht="16" customHeight="1" x14ac:dyDescent="0.35">
      <c r="B266" s="16" t="s">
        <v>741</v>
      </c>
      <c r="C266" s="16" t="s">
        <v>742</v>
      </c>
      <c r="D266" s="31">
        <f>E266+F266+G266+H266+I266+J266+K266+L266</f>
        <v>-10.532999999999999</v>
      </c>
      <c r="E266" s="31"/>
      <c r="F266" s="31"/>
      <c r="G266" s="31"/>
      <c r="H266" s="31"/>
      <c r="I266" s="31"/>
      <c r="J266" s="31"/>
      <c r="K266" s="31"/>
      <c r="L266" s="31">
        <v>-10.532999999999999</v>
      </c>
    </row>
    <row r="267" spans="2:12" ht="16" customHeight="1" thickBot="1" x14ac:dyDescent="0.4">
      <c r="B267" s="11" t="s">
        <v>743</v>
      </c>
      <c r="C267" s="11" t="s">
        <v>22</v>
      </c>
      <c r="D267" s="29"/>
      <c r="E267" s="29"/>
      <c r="F267" s="29"/>
      <c r="G267" s="29"/>
      <c r="H267" s="29"/>
      <c r="I267" s="29"/>
      <c r="J267" s="29"/>
      <c r="K267" s="29"/>
      <c r="L267" s="29"/>
    </row>
    <row r="268" spans="2:12" ht="16" customHeight="1" thickBot="1" x14ac:dyDescent="0.4">
      <c r="B268" s="18" t="s">
        <v>744</v>
      </c>
      <c r="C268" s="18" t="s">
        <v>745</v>
      </c>
      <c r="D268" s="32">
        <f t="shared" ref="D268:L268" si="51">-(-(D236+D238)-D240-D264-D266)</f>
        <v>3079659.45273</v>
      </c>
      <c r="E268" s="32">
        <f t="shared" si="51"/>
        <v>0</v>
      </c>
      <c r="F268" s="32">
        <f t="shared" si="51"/>
        <v>0</v>
      </c>
      <c r="G268" s="32">
        <f t="shared" si="51"/>
        <v>0</v>
      </c>
      <c r="H268" s="32">
        <f t="shared" si="51"/>
        <v>0</v>
      </c>
      <c r="I268" s="32">
        <f t="shared" si="51"/>
        <v>0</v>
      </c>
      <c r="J268" s="32">
        <f t="shared" si="51"/>
        <v>0</v>
      </c>
      <c r="K268" s="32">
        <f t="shared" si="51"/>
        <v>0</v>
      </c>
      <c r="L268" s="32">
        <f t="shared" si="51"/>
        <v>3079659.45273</v>
      </c>
    </row>
    <row r="269" spans="2:12" ht="16" customHeight="1" thickBot="1" x14ac:dyDescent="0.4">
      <c r="B269" s="11" t="s">
        <v>171</v>
      </c>
      <c r="C269" s="11" t="s">
        <v>22</v>
      </c>
      <c r="D269" s="29"/>
      <c r="E269" s="29"/>
      <c r="F269" s="29"/>
      <c r="G269" s="29"/>
      <c r="H269" s="29"/>
      <c r="I269" s="29"/>
      <c r="J269" s="29"/>
      <c r="K269" s="29"/>
      <c r="L269" s="29"/>
    </row>
    <row r="270" spans="2:12" ht="16" customHeight="1" thickBot="1" x14ac:dyDescent="0.4">
      <c r="B270" s="18" t="s">
        <v>746</v>
      </c>
      <c r="C270" s="18" t="s">
        <v>747</v>
      </c>
      <c r="D270" s="32">
        <f t="shared" ref="D270:L270" si="52">D234+D268</f>
        <v>5566340.1148100002</v>
      </c>
      <c r="E270" s="32">
        <f t="shared" si="52"/>
        <v>0</v>
      </c>
      <c r="F270" s="32">
        <f t="shared" si="52"/>
        <v>564708.98274000001</v>
      </c>
      <c r="G270" s="32">
        <f t="shared" si="52"/>
        <v>131116.51636000001</v>
      </c>
      <c r="H270" s="32">
        <f t="shared" si="52"/>
        <v>570.62432999999999</v>
      </c>
      <c r="I270" s="32">
        <f t="shared" si="52"/>
        <v>37167.764989999996</v>
      </c>
      <c r="J270" s="32">
        <f t="shared" si="52"/>
        <v>36652.802320000003</v>
      </c>
      <c r="K270" s="32">
        <f t="shared" si="52"/>
        <v>1288.4789599999999</v>
      </c>
      <c r="L270" s="32">
        <f t="shared" si="52"/>
        <v>4794834.9451099997</v>
      </c>
    </row>
    <row r="271" spans="2:12" ht="16" customHeight="1" x14ac:dyDescent="0.35">
      <c r="B271" s="11" t="s">
        <v>748</v>
      </c>
      <c r="C271" s="11" t="s">
        <v>22</v>
      </c>
      <c r="D271" s="29"/>
      <c r="E271" s="29"/>
      <c r="F271" s="29"/>
      <c r="G271" s="29"/>
      <c r="H271" s="29"/>
      <c r="I271" s="29"/>
      <c r="J271" s="29"/>
      <c r="K271" s="29"/>
      <c r="L271" s="29"/>
    </row>
    <row r="272" spans="2:12" ht="16" customHeight="1" x14ac:dyDescent="0.35">
      <c r="B272" s="11" t="s">
        <v>749</v>
      </c>
      <c r="C272" s="11" t="s">
        <v>22</v>
      </c>
      <c r="D272" s="29"/>
      <c r="E272" s="29"/>
      <c r="F272" s="29"/>
      <c r="G272" s="29"/>
      <c r="H272" s="29"/>
      <c r="I272" s="29"/>
      <c r="J272" s="29"/>
      <c r="K272" s="29"/>
      <c r="L272" s="29"/>
    </row>
    <row r="273" spans="2:12" ht="16" customHeight="1" x14ac:dyDescent="0.35">
      <c r="B273" s="36" t="s">
        <v>750</v>
      </c>
      <c r="C273" s="36" t="s">
        <v>751</v>
      </c>
      <c r="D273" s="37">
        <f t="shared" ref="D273:L273" si="53">D164-D270</f>
        <v>-4.1200006380677223E-3</v>
      </c>
      <c r="E273" s="37">
        <f t="shared" si="53"/>
        <v>0</v>
      </c>
      <c r="F273" s="37">
        <f t="shared" si="53"/>
        <v>3032624.4198000003</v>
      </c>
      <c r="G273" s="37">
        <f t="shared" si="53"/>
        <v>698695.13050000009</v>
      </c>
      <c r="H273" s="37">
        <f t="shared" si="53"/>
        <v>-31.280620000000113</v>
      </c>
      <c r="I273" s="37">
        <f t="shared" si="53"/>
        <v>335855.25964</v>
      </c>
      <c r="J273" s="37">
        <f t="shared" si="53"/>
        <v>166483.29213000002</v>
      </c>
      <c r="K273" s="37">
        <f t="shared" si="53"/>
        <v>296.00512000000026</v>
      </c>
      <c r="L273" s="37">
        <f t="shared" si="53"/>
        <v>-4233922.8306900002</v>
      </c>
    </row>
    <row r="274" spans="2:12" ht="16" customHeight="1" x14ac:dyDescent="0.45">
      <c r="B274" s="13"/>
      <c r="C274" s="9"/>
      <c r="D274" s="13"/>
      <c r="E274" s="13"/>
      <c r="F274" s="13"/>
      <c r="G274" s="13"/>
      <c r="H274" s="13"/>
      <c r="I274" s="13"/>
      <c r="J274" s="13"/>
      <c r="K274" s="13"/>
      <c r="L274" s="13"/>
    </row>
  </sheetData>
  <mergeCells count="2">
    <mergeCell ref="B4:C4"/>
    <mergeCell ref="B8:C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2A04-055D-4803-A95B-9A66A22BDCD9}">
  <dimension ref="A3:AV285"/>
  <sheetViews>
    <sheetView showGridLines="0" zoomScale="90" zoomScaleNormal="90" workbookViewId="0">
      <pane xSplit="6" ySplit="9" topLeftCell="G10" activePane="bottomRight" state="frozen"/>
      <selection pane="topRight" activeCell="G1" sqref="G1"/>
      <selection pane="bottomLeft" activeCell="A7" sqref="A7"/>
      <selection pane="bottomRight" activeCell="B4" sqref="B4:C4"/>
    </sheetView>
  </sheetViews>
  <sheetFormatPr defaultColWidth="9.1796875" defaultRowHeight="16" customHeight="1" x14ac:dyDescent="0.35"/>
  <cols>
    <col min="1" max="1" width="5.7265625" style="1" customWidth="1"/>
    <col min="2" max="2" width="10.7265625" style="1" customWidth="1"/>
    <col min="3" max="3" width="60.7265625" style="1" customWidth="1"/>
    <col min="4" max="4" width="2.7265625" style="1" customWidth="1"/>
    <col min="5" max="5" width="14.7265625" style="1" customWidth="1"/>
    <col min="6" max="6" width="2.7265625" style="1" customWidth="1"/>
    <col min="7" max="80" width="14.7265625" style="1" customWidth="1"/>
    <col min="81" max="130" width="15.7265625" style="1" customWidth="1"/>
    <col min="131" max="16384" width="9.1796875" style="1"/>
  </cols>
  <sheetData>
    <row r="3" spans="1:48" ht="16" customHeight="1" x14ac:dyDescent="0.35">
      <c r="B3" s="2" t="s">
        <v>1045</v>
      </c>
    </row>
    <row r="4" spans="1:48" ht="16" customHeight="1" x14ac:dyDescent="0.35">
      <c r="B4" s="33" t="s">
        <v>270</v>
      </c>
      <c r="C4" s="33"/>
    </row>
    <row r="5" spans="1:48" ht="16" customHeight="1" x14ac:dyDescent="0.35">
      <c r="B5" s="4" t="s">
        <v>1046</v>
      </c>
    </row>
    <row r="6" spans="1:48" ht="16" customHeight="1" x14ac:dyDescent="0.35">
      <c r="B6" s="4" t="s">
        <v>1016</v>
      </c>
      <c r="C6" s="75"/>
      <c r="E6" s="76"/>
    </row>
    <row r="7" spans="1:48" ht="16" customHeight="1" x14ac:dyDescent="0.35">
      <c r="A7" s="20"/>
      <c r="B7" s="56">
        <v>46194.597842766205</v>
      </c>
      <c r="C7" s="56"/>
    </row>
    <row r="9" spans="1:48" ht="26.5" thickBot="1" x14ac:dyDescent="0.5">
      <c r="B9" s="7"/>
      <c r="C9" s="28"/>
      <c r="D9" s="59"/>
      <c r="E9" s="21" t="s">
        <v>1017</v>
      </c>
      <c r="F9" s="59"/>
      <c r="G9" s="8" t="s">
        <v>1047</v>
      </c>
      <c r="H9" s="8" t="s">
        <v>1048</v>
      </c>
      <c r="I9" s="8" t="s">
        <v>1049</v>
      </c>
      <c r="J9" s="8" t="s">
        <v>1050</v>
      </c>
      <c r="K9" s="8" t="s">
        <v>1051</v>
      </c>
      <c r="L9" s="8" t="s">
        <v>1052</v>
      </c>
      <c r="M9" s="8" t="s">
        <v>1053</v>
      </c>
      <c r="N9" s="8" t="s">
        <v>1054</v>
      </c>
      <c r="O9" s="8" t="s">
        <v>1055</v>
      </c>
      <c r="P9" s="8" t="s">
        <v>1056</v>
      </c>
      <c r="Q9" s="8" t="s">
        <v>1057</v>
      </c>
      <c r="R9" s="8" t="s">
        <v>1058</v>
      </c>
      <c r="S9" s="8" t="s">
        <v>1059</v>
      </c>
      <c r="T9" s="8" t="s">
        <v>1060</v>
      </c>
      <c r="U9" s="8" t="s">
        <v>1061</v>
      </c>
      <c r="V9" s="8" t="s">
        <v>1062</v>
      </c>
      <c r="W9" s="8" t="s">
        <v>1063</v>
      </c>
      <c r="X9" s="8" t="s">
        <v>1064</v>
      </c>
      <c r="Y9" s="8" t="s">
        <v>1065</v>
      </c>
      <c r="Z9" s="8" t="s">
        <v>1066</v>
      </c>
      <c r="AA9" s="8" t="s">
        <v>1067</v>
      </c>
      <c r="AB9" s="8" t="s">
        <v>1068</v>
      </c>
      <c r="AC9" s="8" t="s">
        <v>1069</v>
      </c>
      <c r="AD9" s="8" t="s">
        <v>1070</v>
      </c>
      <c r="AE9" s="8" t="s">
        <v>1071</v>
      </c>
      <c r="AF9" s="8" t="s">
        <v>1072</v>
      </c>
      <c r="AG9" s="8" t="s">
        <v>1073</v>
      </c>
      <c r="AH9" s="8" t="s">
        <v>1074</v>
      </c>
      <c r="AI9" s="8" t="s">
        <v>1075</v>
      </c>
      <c r="AJ9" s="8" t="s">
        <v>1076</v>
      </c>
      <c r="AK9" s="9"/>
      <c r="AL9" s="9"/>
      <c r="AM9" s="9"/>
      <c r="AN9" s="9"/>
      <c r="AO9" s="9"/>
      <c r="AP9" s="9"/>
      <c r="AQ9" s="9"/>
      <c r="AR9" s="9"/>
      <c r="AS9" s="9"/>
      <c r="AT9" s="9"/>
      <c r="AU9" s="13"/>
      <c r="AV9" s="9"/>
    </row>
    <row r="10" spans="1:48" ht="15" customHeight="1" x14ac:dyDescent="0.45">
      <c r="B10" s="11"/>
      <c r="C10" s="11"/>
      <c r="D10" s="29"/>
      <c r="E10" s="60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12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</row>
    <row r="11" spans="1:48" ht="16" customHeight="1" x14ac:dyDescent="0.45">
      <c r="B11" s="14" t="s">
        <v>13</v>
      </c>
      <c r="C11" s="14" t="s">
        <v>14</v>
      </c>
      <c r="D11" s="61"/>
      <c r="E11" s="62">
        <v>95352.358850000004</v>
      </c>
      <c r="F11" s="61"/>
      <c r="G11" s="30"/>
      <c r="H11" s="30"/>
      <c r="I11" s="30">
        <v>3753.9852099999998</v>
      </c>
      <c r="J11" s="30">
        <v>2451.3959599999998</v>
      </c>
      <c r="K11" s="30"/>
      <c r="L11" s="30"/>
      <c r="M11" s="30"/>
      <c r="N11" s="30"/>
      <c r="O11" s="30">
        <v>184.59034</v>
      </c>
      <c r="P11" s="30"/>
      <c r="Q11" s="30"/>
      <c r="R11" s="30">
        <v>14980.67427</v>
      </c>
      <c r="S11" s="30">
        <v>13712.93273</v>
      </c>
      <c r="T11" s="30">
        <v>27046.77954</v>
      </c>
      <c r="U11" s="30"/>
      <c r="V11" s="30"/>
      <c r="W11" s="30"/>
      <c r="X11" s="30"/>
      <c r="Y11" s="30">
        <v>3.0000000000000001E-5</v>
      </c>
      <c r="Z11" s="30"/>
      <c r="AA11" s="30">
        <v>6040.1984000000002</v>
      </c>
      <c r="AB11" s="30">
        <v>4.1739300000000004</v>
      </c>
      <c r="AC11" s="30"/>
      <c r="AD11" s="30"/>
      <c r="AE11" s="30">
        <v>15261.93756</v>
      </c>
      <c r="AF11" s="30">
        <v>8686.6647699999994</v>
      </c>
      <c r="AG11" s="30"/>
      <c r="AH11" s="30"/>
      <c r="AI11" s="30">
        <v>3229.0261099999998</v>
      </c>
      <c r="AJ11" s="15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</row>
    <row r="12" spans="1:48" ht="16" customHeight="1" x14ac:dyDescent="0.45">
      <c r="B12" s="14" t="s">
        <v>15</v>
      </c>
      <c r="C12" s="14" t="s">
        <v>16</v>
      </c>
      <c r="D12" s="61"/>
      <c r="E12" s="62"/>
      <c r="F12" s="61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15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</row>
    <row r="13" spans="1:48" ht="16" customHeight="1" x14ac:dyDescent="0.45">
      <c r="B13" s="14" t="s">
        <v>17</v>
      </c>
      <c r="C13" s="14" t="s">
        <v>18</v>
      </c>
      <c r="D13" s="61"/>
      <c r="E13" s="62">
        <v>3121772.9803599999</v>
      </c>
      <c r="F13" s="61"/>
      <c r="G13" s="30">
        <v>2231141.6737500001</v>
      </c>
      <c r="H13" s="30">
        <v>13820.274719999999</v>
      </c>
      <c r="I13" s="30">
        <v>152328.41472999999</v>
      </c>
      <c r="J13" s="30">
        <v>55816.659019999999</v>
      </c>
      <c r="K13" s="30"/>
      <c r="L13" s="30"/>
      <c r="M13" s="30"/>
      <c r="N13" s="30">
        <v>1354.2641000000001</v>
      </c>
      <c r="O13" s="30">
        <v>1.2688999999999999</v>
      </c>
      <c r="P13" s="30">
        <v>99.814999999999998</v>
      </c>
      <c r="Q13" s="30"/>
      <c r="R13" s="30">
        <v>190405.61364</v>
      </c>
      <c r="S13" s="30">
        <v>59869.159140000003</v>
      </c>
      <c r="T13" s="30">
        <v>160248.47271999999</v>
      </c>
      <c r="U13" s="30"/>
      <c r="V13" s="30"/>
      <c r="W13" s="30">
        <v>36.342440000000003</v>
      </c>
      <c r="X13" s="30">
        <v>317.92092000000002</v>
      </c>
      <c r="Y13" s="30">
        <v>9181.2593899999993</v>
      </c>
      <c r="Z13" s="30">
        <v>283.30198000000001</v>
      </c>
      <c r="AA13" s="30">
        <v>48952.715369999998</v>
      </c>
      <c r="AB13" s="30">
        <v>1314.8866</v>
      </c>
      <c r="AC13" s="30">
        <v>70</v>
      </c>
      <c r="AD13" s="30"/>
      <c r="AE13" s="30">
        <v>116377.02398</v>
      </c>
      <c r="AF13" s="30">
        <v>59166.561950000003</v>
      </c>
      <c r="AG13" s="30"/>
      <c r="AH13" s="30">
        <v>1317.91237</v>
      </c>
      <c r="AI13" s="30">
        <v>334.46014000000002</v>
      </c>
      <c r="AJ13" s="15">
        <v>19334.979500000001</v>
      </c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</row>
    <row r="14" spans="1:48" ht="16" customHeight="1" x14ac:dyDescent="0.45">
      <c r="B14" s="14" t="s">
        <v>1077</v>
      </c>
      <c r="C14" s="14" t="s">
        <v>330</v>
      </c>
      <c r="D14" s="61"/>
      <c r="E14" s="62">
        <v>-497151.76516000001</v>
      </c>
      <c r="F14" s="61"/>
      <c r="G14" s="30">
        <v>-216400.04808000001</v>
      </c>
      <c r="H14" s="30"/>
      <c r="I14" s="30"/>
      <c r="J14" s="30">
        <v>-5263.0086700000002</v>
      </c>
      <c r="K14" s="30"/>
      <c r="L14" s="30"/>
      <c r="M14" s="30"/>
      <c r="N14" s="30">
        <v>-4.7759499999999999</v>
      </c>
      <c r="O14" s="30"/>
      <c r="P14" s="30"/>
      <c r="Q14" s="30"/>
      <c r="R14" s="30">
        <v>-94439.386169999998</v>
      </c>
      <c r="S14" s="30">
        <v>-19357.388139999999</v>
      </c>
      <c r="T14" s="30">
        <v>-73664.162620000003</v>
      </c>
      <c r="U14" s="30"/>
      <c r="V14" s="30"/>
      <c r="W14" s="30"/>
      <c r="X14" s="30"/>
      <c r="Y14" s="30"/>
      <c r="Z14" s="30"/>
      <c r="AA14" s="30">
        <v>-18468.900720000001</v>
      </c>
      <c r="AB14" s="30">
        <v>-3.24166</v>
      </c>
      <c r="AC14" s="30">
        <v>-3383.0436500000001</v>
      </c>
      <c r="AD14" s="30"/>
      <c r="AE14" s="30">
        <v>-35161.320979999997</v>
      </c>
      <c r="AF14" s="30">
        <v>-21777.138920000001</v>
      </c>
      <c r="AG14" s="30">
        <v>1361.66732</v>
      </c>
      <c r="AH14" s="30"/>
      <c r="AI14" s="30"/>
      <c r="AJ14" s="15">
        <v>-10591.01692</v>
      </c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</row>
    <row r="15" spans="1:48" ht="16" customHeight="1" x14ac:dyDescent="0.45">
      <c r="B15" s="14" t="s">
        <v>1078</v>
      </c>
      <c r="C15" s="14" t="s">
        <v>1079</v>
      </c>
      <c r="D15" s="61"/>
      <c r="E15" s="62"/>
      <c r="F15" s="61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15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</row>
    <row r="16" spans="1:48" ht="16" customHeight="1" x14ac:dyDescent="0.45">
      <c r="B16" s="14" t="s">
        <v>1080</v>
      </c>
      <c r="C16" s="14" t="s">
        <v>1081</v>
      </c>
      <c r="D16" s="61"/>
      <c r="E16" s="62"/>
      <c r="F16" s="61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15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</row>
    <row r="17" spans="2:48" ht="16" customHeight="1" x14ac:dyDescent="0.45">
      <c r="B17" s="14" t="s">
        <v>1082</v>
      </c>
      <c r="C17" s="14" t="s">
        <v>1083</v>
      </c>
      <c r="D17" s="61"/>
      <c r="E17" s="62"/>
      <c r="F17" s="61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15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</row>
    <row r="18" spans="2:48" ht="16" customHeight="1" x14ac:dyDescent="0.45">
      <c r="B18" s="14" t="s">
        <v>1084</v>
      </c>
      <c r="C18" s="14" t="s">
        <v>1085</v>
      </c>
      <c r="D18" s="61"/>
      <c r="E18" s="62"/>
      <c r="F18" s="61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15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</row>
    <row r="19" spans="2:48" ht="16" customHeight="1" x14ac:dyDescent="0.45">
      <c r="B19" s="14" t="s">
        <v>1086</v>
      </c>
      <c r="C19" s="14" t="s">
        <v>30</v>
      </c>
      <c r="D19" s="61"/>
      <c r="E19" s="62">
        <v>-119999.17718</v>
      </c>
      <c r="F19" s="61"/>
      <c r="G19" s="30">
        <v>-92325.072520000002</v>
      </c>
      <c r="H19" s="30">
        <v>-647.87932000000001</v>
      </c>
      <c r="I19" s="30">
        <v>-4023.1826999999998</v>
      </c>
      <c r="J19" s="30">
        <v>-1311.30654</v>
      </c>
      <c r="K19" s="30"/>
      <c r="L19" s="30">
        <v>-86.955920000000006</v>
      </c>
      <c r="M19" s="30">
        <v>-189.45415</v>
      </c>
      <c r="N19" s="30">
        <v>-1857.59113</v>
      </c>
      <c r="O19" s="30">
        <v>-94.357429999999994</v>
      </c>
      <c r="P19" s="30"/>
      <c r="Q19" s="30"/>
      <c r="R19" s="30">
        <v>-5555.4479899999997</v>
      </c>
      <c r="S19" s="30">
        <v>-1343.56367</v>
      </c>
      <c r="T19" s="30">
        <v>-4014.9462899999999</v>
      </c>
      <c r="U19" s="30">
        <v>-8.7270500000000002</v>
      </c>
      <c r="V19" s="30"/>
      <c r="W19" s="30">
        <v>-1553.5223599999999</v>
      </c>
      <c r="X19" s="30"/>
      <c r="Y19" s="30">
        <v>-682.27747999999997</v>
      </c>
      <c r="Z19" s="30">
        <v>-27.156130000000001</v>
      </c>
      <c r="AA19" s="30">
        <v>-2065.5346399999999</v>
      </c>
      <c r="AB19" s="30"/>
      <c r="AC19" s="30">
        <v>-184.31106</v>
      </c>
      <c r="AD19" s="30"/>
      <c r="AE19" s="30">
        <v>-4548.9944800000003</v>
      </c>
      <c r="AF19" s="30">
        <v>-1174.38966</v>
      </c>
      <c r="AG19" s="30">
        <v>3623.1063100000001</v>
      </c>
      <c r="AH19" s="30">
        <v>-87.590500000000006</v>
      </c>
      <c r="AI19" s="30">
        <v>-1266.2123300000001</v>
      </c>
      <c r="AJ19" s="15">
        <v>-573.81014000000005</v>
      </c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2:48" ht="16" customHeight="1" x14ac:dyDescent="0.45">
      <c r="B20" s="14" t="s">
        <v>1087</v>
      </c>
      <c r="C20" s="14" t="s">
        <v>1088</v>
      </c>
      <c r="D20" s="61"/>
      <c r="E20" s="62">
        <v>-13559.43528</v>
      </c>
      <c r="F20" s="61"/>
      <c r="G20" s="30"/>
      <c r="H20" s="30">
        <v>-95.145210000000006</v>
      </c>
      <c r="I20" s="30">
        <v>-1109.4406799999999</v>
      </c>
      <c r="J20" s="30">
        <v>-1114.10933</v>
      </c>
      <c r="K20" s="30"/>
      <c r="L20" s="30"/>
      <c r="M20" s="30">
        <v>-226.99848</v>
      </c>
      <c r="N20" s="30">
        <v>-963.88761</v>
      </c>
      <c r="O20" s="30">
        <v>-408.83677999999998</v>
      </c>
      <c r="P20" s="30"/>
      <c r="Q20" s="30"/>
      <c r="R20" s="30">
        <v>-800.13426000000004</v>
      </c>
      <c r="S20" s="30">
        <v>-731.91222000000005</v>
      </c>
      <c r="T20" s="30">
        <v>-1762.1943000000001</v>
      </c>
      <c r="U20" s="30">
        <v>-30.5044</v>
      </c>
      <c r="V20" s="30"/>
      <c r="W20" s="30">
        <v>-437.65841</v>
      </c>
      <c r="X20" s="30"/>
      <c r="Y20" s="30">
        <v>-516.94645000000003</v>
      </c>
      <c r="Z20" s="30">
        <v>-1.7299599999999999</v>
      </c>
      <c r="AA20" s="30">
        <v>-1011.1382599999999</v>
      </c>
      <c r="AB20" s="30"/>
      <c r="AC20" s="30">
        <v>-117.94020999999999</v>
      </c>
      <c r="AD20" s="30"/>
      <c r="AE20" s="30">
        <v>-2147.4522400000001</v>
      </c>
      <c r="AF20" s="30">
        <v>-1903.6664900000001</v>
      </c>
      <c r="AG20" s="30"/>
      <c r="AH20" s="30">
        <v>-7.9110300000000002</v>
      </c>
      <c r="AI20" s="30">
        <v>-59.159939999999999</v>
      </c>
      <c r="AJ20" s="15">
        <v>-112.66902</v>
      </c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</row>
    <row r="21" spans="2:48" ht="16" customHeight="1" x14ac:dyDescent="0.45">
      <c r="B21" s="14" t="s">
        <v>1089</v>
      </c>
      <c r="C21" s="14" t="s">
        <v>1090</v>
      </c>
      <c r="D21" s="61"/>
      <c r="E21" s="62">
        <v>-25124.188959999999</v>
      </c>
      <c r="F21" s="61"/>
      <c r="G21" s="30">
        <v>-9623.0334199999998</v>
      </c>
      <c r="H21" s="30">
        <v>-21.392910000000001</v>
      </c>
      <c r="I21" s="30">
        <v>-1324.86519</v>
      </c>
      <c r="J21" s="30">
        <v>-1020.38814</v>
      </c>
      <c r="K21" s="30"/>
      <c r="L21" s="30"/>
      <c r="M21" s="30">
        <v>-50.193080000000002</v>
      </c>
      <c r="N21" s="30">
        <v>-1387.5027399999999</v>
      </c>
      <c r="O21" s="30">
        <v>-21.832080000000001</v>
      </c>
      <c r="P21" s="30"/>
      <c r="Q21" s="30"/>
      <c r="R21" s="30">
        <v>-2728.6047800000001</v>
      </c>
      <c r="S21" s="30">
        <v>-2094.5518000000002</v>
      </c>
      <c r="T21" s="30">
        <v>-1491.5722000000001</v>
      </c>
      <c r="U21" s="30">
        <v>-84.371080000000006</v>
      </c>
      <c r="V21" s="30"/>
      <c r="W21" s="30">
        <v>-1024.2756899999999</v>
      </c>
      <c r="X21" s="30"/>
      <c r="Y21" s="30">
        <v>-40.935189999999999</v>
      </c>
      <c r="Z21" s="30">
        <v>-0.32190000000000002</v>
      </c>
      <c r="AA21" s="30">
        <v>-719.34424000000001</v>
      </c>
      <c r="AB21" s="30"/>
      <c r="AC21" s="30">
        <v>-127.49927</v>
      </c>
      <c r="AD21" s="30"/>
      <c r="AE21" s="30">
        <v>-1224.5757000000001</v>
      </c>
      <c r="AF21" s="30">
        <v>-1776.6575700000001</v>
      </c>
      <c r="AG21" s="30"/>
      <c r="AH21" s="30">
        <v>-17.091200000000001</v>
      </c>
      <c r="AI21" s="30">
        <v>-253.48477</v>
      </c>
      <c r="AJ21" s="15">
        <v>-91.696010000000001</v>
      </c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</row>
    <row r="22" spans="2:48" ht="16" customHeight="1" x14ac:dyDescent="0.45">
      <c r="B22" s="14" t="s">
        <v>1091</v>
      </c>
      <c r="C22" s="14" t="s">
        <v>1092</v>
      </c>
      <c r="D22" s="61"/>
      <c r="E22" s="62">
        <v>-9.1858400000000007</v>
      </c>
      <c r="F22" s="61"/>
      <c r="G22" s="30"/>
      <c r="H22" s="30"/>
      <c r="I22" s="30"/>
      <c r="J22" s="30"/>
      <c r="K22" s="30"/>
      <c r="L22" s="30"/>
      <c r="M22" s="30"/>
      <c r="N22" s="30">
        <v>-6.8250000000000005E-2</v>
      </c>
      <c r="O22" s="30"/>
      <c r="P22" s="30"/>
      <c r="Q22" s="30"/>
      <c r="R22" s="30"/>
      <c r="S22" s="30">
        <v>-8.1449700000000007</v>
      </c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>
        <v>-0.97262000000000004</v>
      </c>
      <c r="AG22" s="30"/>
      <c r="AH22" s="30"/>
      <c r="AI22" s="30"/>
      <c r="AJ22" s="15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</row>
    <row r="23" spans="2:48" ht="16" customHeight="1" x14ac:dyDescent="0.45">
      <c r="B23" s="14" t="s">
        <v>1093</v>
      </c>
      <c r="C23" s="14" t="s">
        <v>1094</v>
      </c>
      <c r="D23" s="61"/>
      <c r="E23" s="62"/>
      <c r="F23" s="61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15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</row>
    <row r="24" spans="2:48" ht="16" customHeight="1" x14ac:dyDescent="0.45">
      <c r="B24" s="14" t="s">
        <v>1095</v>
      </c>
      <c r="C24" s="14" t="s">
        <v>1096</v>
      </c>
      <c r="D24" s="61"/>
      <c r="E24" s="62">
        <v>-129351.93584999999</v>
      </c>
      <c r="F24" s="61"/>
      <c r="G24" s="30"/>
      <c r="H24" s="30">
        <v>-1414.09402</v>
      </c>
      <c r="I24" s="30">
        <v>-5953.1183300000002</v>
      </c>
      <c r="J24" s="30">
        <v>-4590.7875100000001</v>
      </c>
      <c r="K24" s="30"/>
      <c r="L24" s="30"/>
      <c r="M24" s="30">
        <v>-1711.15742</v>
      </c>
      <c r="N24" s="30">
        <v>-10921.26051</v>
      </c>
      <c r="O24" s="30">
        <v>-590.43344999999999</v>
      </c>
      <c r="P24" s="30"/>
      <c r="Q24" s="30"/>
      <c r="R24" s="30">
        <v>-23593.569500000001</v>
      </c>
      <c r="S24" s="30">
        <v>-13666.92822</v>
      </c>
      <c r="T24" s="30">
        <v>-19308.85195</v>
      </c>
      <c r="U24" s="30">
        <v>-12.892770000000001</v>
      </c>
      <c r="V24" s="30"/>
      <c r="W24" s="30">
        <v>-2797.8914599999998</v>
      </c>
      <c r="X24" s="30"/>
      <c r="Y24" s="30">
        <v>-2894.4812299999999</v>
      </c>
      <c r="Z24" s="30">
        <v>-110.31328999999999</v>
      </c>
      <c r="AA24" s="30">
        <v>-13035.68902</v>
      </c>
      <c r="AB24" s="30"/>
      <c r="AC24" s="30">
        <v>-960.64823000000001</v>
      </c>
      <c r="AD24" s="30"/>
      <c r="AE24" s="30">
        <v>-12668.060229999999</v>
      </c>
      <c r="AF24" s="30">
        <v>-9984.2577399999991</v>
      </c>
      <c r="AG24" s="30">
        <v>0</v>
      </c>
      <c r="AH24" s="30">
        <v>-206.58828</v>
      </c>
      <c r="AI24" s="30">
        <v>-1085.7713100000001</v>
      </c>
      <c r="AJ24" s="15">
        <v>-3845.14138</v>
      </c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</row>
    <row r="25" spans="2:48" ht="16" customHeight="1" x14ac:dyDescent="0.45">
      <c r="B25" s="14" t="s">
        <v>1097</v>
      </c>
      <c r="C25" s="14" t="s">
        <v>1098</v>
      </c>
      <c r="D25" s="61"/>
      <c r="E25" s="62">
        <v>-62.855429999999998</v>
      </c>
      <c r="F25" s="61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>
        <v>-9.3682800000000004</v>
      </c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>
        <v>-53.48715</v>
      </c>
      <c r="AF25" s="30"/>
      <c r="AG25" s="30"/>
      <c r="AH25" s="30"/>
      <c r="AI25" s="30"/>
      <c r="AJ25" s="15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</row>
    <row r="26" spans="2:48" ht="16" customHeight="1" x14ac:dyDescent="0.45">
      <c r="B26" s="14" t="s">
        <v>1099</v>
      </c>
      <c r="C26" s="14" t="s">
        <v>1100</v>
      </c>
      <c r="D26" s="61"/>
      <c r="E26" s="62">
        <v>-15268.22169</v>
      </c>
      <c r="F26" s="61"/>
      <c r="G26" s="30"/>
      <c r="H26" s="30">
        <v>-100.64615000000001</v>
      </c>
      <c r="I26" s="30">
        <v>-1178.6851099999999</v>
      </c>
      <c r="J26" s="30">
        <v>-530.07333000000006</v>
      </c>
      <c r="K26" s="30"/>
      <c r="L26" s="30"/>
      <c r="M26" s="30">
        <v>-239.25677999999999</v>
      </c>
      <c r="N26" s="30">
        <v>-1984.4528299999999</v>
      </c>
      <c r="O26" s="30">
        <v>-100.78059</v>
      </c>
      <c r="P26" s="30"/>
      <c r="Q26" s="30"/>
      <c r="R26" s="30">
        <v>-3094.57573</v>
      </c>
      <c r="S26" s="30">
        <v>-1724.50638</v>
      </c>
      <c r="T26" s="30">
        <v>-1425.54755</v>
      </c>
      <c r="U26" s="30">
        <v>0</v>
      </c>
      <c r="V26" s="30"/>
      <c r="W26" s="30">
        <v>0</v>
      </c>
      <c r="X26" s="30"/>
      <c r="Y26" s="30">
        <v>-456.04266999999999</v>
      </c>
      <c r="Z26" s="30">
        <v>-26.283270000000002</v>
      </c>
      <c r="AA26" s="30">
        <v>-1275.9475199999999</v>
      </c>
      <c r="AB26" s="30"/>
      <c r="AC26" s="30">
        <v>-286.02834999999999</v>
      </c>
      <c r="AD26" s="30"/>
      <c r="AE26" s="30">
        <v>-1558.8986299999999</v>
      </c>
      <c r="AF26" s="30">
        <v>-585.60983999999996</v>
      </c>
      <c r="AG26" s="30"/>
      <c r="AH26" s="30"/>
      <c r="AI26" s="30">
        <v>-205.02509000000001</v>
      </c>
      <c r="AJ26" s="15">
        <v>-495.86187000000001</v>
      </c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</row>
    <row r="27" spans="2:48" ht="16" customHeight="1" x14ac:dyDescent="0.45">
      <c r="B27" s="14" t="s">
        <v>1101</v>
      </c>
      <c r="C27" s="14" t="s">
        <v>1102</v>
      </c>
      <c r="D27" s="61"/>
      <c r="E27" s="62">
        <v>2.2040000000000002</v>
      </c>
      <c r="F27" s="61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>
        <v>2.2040000000000002</v>
      </c>
      <c r="AF27" s="30"/>
      <c r="AG27" s="30"/>
      <c r="AH27" s="30"/>
      <c r="AI27" s="30"/>
      <c r="AJ27" s="15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</row>
    <row r="28" spans="2:48" ht="16" customHeight="1" x14ac:dyDescent="0.45">
      <c r="B28" s="14" t="s">
        <v>1103</v>
      </c>
      <c r="C28" s="14" t="s">
        <v>1104</v>
      </c>
      <c r="D28" s="61"/>
      <c r="E28" s="62">
        <v>-374519.21302000002</v>
      </c>
      <c r="F28" s="61"/>
      <c r="G28" s="30">
        <v>-270639.81365000003</v>
      </c>
      <c r="H28" s="30">
        <v>-344.2593</v>
      </c>
      <c r="I28" s="30">
        <v>-32069.222020000001</v>
      </c>
      <c r="J28" s="30">
        <v>-4362.1159500000003</v>
      </c>
      <c r="K28" s="30"/>
      <c r="L28" s="30">
        <v>-1098.3686600000001</v>
      </c>
      <c r="M28" s="30">
        <v>-1275.80844</v>
      </c>
      <c r="N28" s="30">
        <v>-4951.9699199999995</v>
      </c>
      <c r="O28" s="30">
        <v>-5573.3480200000004</v>
      </c>
      <c r="P28" s="30"/>
      <c r="Q28" s="30">
        <v>-5775.8089099999997</v>
      </c>
      <c r="R28" s="30">
        <v>-13452.44075</v>
      </c>
      <c r="S28" s="30">
        <v>-2116.7368299999998</v>
      </c>
      <c r="T28" s="30">
        <v>-11060.325800000001</v>
      </c>
      <c r="U28" s="30"/>
      <c r="V28" s="30"/>
      <c r="W28" s="30">
        <v>-2348.03838</v>
      </c>
      <c r="X28" s="30"/>
      <c r="Y28" s="30">
        <v>-1690.4192800000001</v>
      </c>
      <c r="Z28" s="30">
        <v>-175.41353000000001</v>
      </c>
      <c r="AA28" s="30">
        <v>-1547.6691000000001</v>
      </c>
      <c r="AB28" s="30">
        <v>-93.298959999999994</v>
      </c>
      <c r="AC28" s="30">
        <v>-190.21147999999999</v>
      </c>
      <c r="AD28" s="30">
        <v>-861.22892000000002</v>
      </c>
      <c r="AE28" s="30">
        <v>-9932.7986600000004</v>
      </c>
      <c r="AF28" s="30">
        <v>-1897.36429</v>
      </c>
      <c r="AG28" s="30"/>
      <c r="AH28" s="30">
        <v>9.1851199999999995</v>
      </c>
      <c r="AI28" s="30">
        <v>-3071.73729</v>
      </c>
      <c r="AJ28" s="15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</row>
    <row r="29" spans="2:48" ht="16" customHeight="1" x14ac:dyDescent="0.45">
      <c r="B29" s="14" t="s">
        <v>1105</v>
      </c>
      <c r="C29" s="14" t="s">
        <v>1106</v>
      </c>
      <c r="D29" s="61"/>
      <c r="E29" s="62">
        <v>-35345.555999999997</v>
      </c>
      <c r="F29" s="61"/>
      <c r="G29" s="30"/>
      <c r="H29" s="30">
        <v>-762.13653999999997</v>
      </c>
      <c r="I29" s="30">
        <v>-1260.4958799999999</v>
      </c>
      <c r="J29" s="30">
        <v>-1769.0401400000001</v>
      </c>
      <c r="K29" s="30"/>
      <c r="L29" s="30"/>
      <c r="M29" s="30">
        <v>-325.24597999999997</v>
      </c>
      <c r="N29" s="30">
        <v>-2772.2943300000002</v>
      </c>
      <c r="O29" s="30">
        <v>-152.03456</v>
      </c>
      <c r="P29" s="30"/>
      <c r="Q29" s="30"/>
      <c r="R29" s="30">
        <v>-1041.20731</v>
      </c>
      <c r="S29" s="30">
        <v>-12975.049419999999</v>
      </c>
      <c r="T29" s="30">
        <v>-3173.9917700000001</v>
      </c>
      <c r="U29" s="30">
        <v>-34.625999999999998</v>
      </c>
      <c r="V29" s="30"/>
      <c r="W29" s="30">
        <v>-131.52148</v>
      </c>
      <c r="X29" s="30"/>
      <c r="Y29" s="30">
        <v>-614.64925000000005</v>
      </c>
      <c r="Z29" s="30"/>
      <c r="AA29" s="30">
        <v>-1567.27838</v>
      </c>
      <c r="AB29" s="30"/>
      <c r="AC29" s="30"/>
      <c r="AD29" s="30"/>
      <c r="AE29" s="30">
        <v>-4364.8158100000001</v>
      </c>
      <c r="AF29" s="30">
        <v>-4719.3544199999997</v>
      </c>
      <c r="AG29" s="30">
        <v>747.33879000000002</v>
      </c>
      <c r="AH29" s="30">
        <v>-267.47899999999998</v>
      </c>
      <c r="AI29" s="30">
        <v>-161.67452</v>
      </c>
      <c r="AJ29" s="15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 spans="2:48" ht="16" customHeight="1" x14ac:dyDescent="0.45">
      <c r="B30" s="14" t="s">
        <v>1107</v>
      </c>
      <c r="C30" s="14" t="s">
        <v>1108</v>
      </c>
      <c r="D30" s="61"/>
      <c r="E30" s="62">
        <v>-38497.273480000003</v>
      </c>
      <c r="F30" s="61"/>
      <c r="G30" s="30">
        <v>-27888.1185</v>
      </c>
      <c r="H30" s="30">
        <v>-1470.44417</v>
      </c>
      <c r="I30" s="30">
        <v>-1797.0051900000001</v>
      </c>
      <c r="J30" s="30">
        <v>-60</v>
      </c>
      <c r="K30" s="30"/>
      <c r="L30" s="30"/>
      <c r="M30" s="30"/>
      <c r="N30" s="30">
        <v>-1509.05835</v>
      </c>
      <c r="O30" s="30"/>
      <c r="P30" s="30">
        <v>1769.9012399999999</v>
      </c>
      <c r="Q30" s="30"/>
      <c r="R30" s="30">
        <v>-1528.9397799999999</v>
      </c>
      <c r="S30" s="30">
        <v>-839.57920999999999</v>
      </c>
      <c r="T30" s="30">
        <v>-2002.20325</v>
      </c>
      <c r="U30" s="30"/>
      <c r="V30" s="30"/>
      <c r="W30" s="30">
        <v>-71.914779999999993</v>
      </c>
      <c r="X30" s="30"/>
      <c r="Y30" s="30">
        <v>-651.31795999999997</v>
      </c>
      <c r="Z30" s="30"/>
      <c r="AA30" s="30">
        <v>-155.64407</v>
      </c>
      <c r="AB30" s="30"/>
      <c r="AC30" s="30"/>
      <c r="AD30" s="30"/>
      <c r="AE30" s="30">
        <v>-1905.6527100000001</v>
      </c>
      <c r="AF30" s="30"/>
      <c r="AG30" s="30"/>
      <c r="AH30" s="30">
        <v>-35.172629999999998</v>
      </c>
      <c r="AI30" s="30">
        <v>-352.12412</v>
      </c>
      <c r="AJ30" s="15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 spans="2:48" ht="16" customHeight="1" x14ac:dyDescent="0.45">
      <c r="B31" s="14" t="s">
        <v>1109</v>
      </c>
      <c r="C31" s="14" t="s">
        <v>1110</v>
      </c>
      <c r="D31" s="61"/>
      <c r="E31" s="62">
        <v>-1332.93453</v>
      </c>
      <c r="F31" s="61"/>
      <c r="G31" s="30"/>
      <c r="H31" s="30"/>
      <c r="I31" s="30">
        <v>-215.21223000000001</v>
      </c>
      <c r="J31" s="30"/>
      <c r="K31" s="30"/>
      <c r="L31" s="30"/>
      <c r="M31" s="30"/>
      <c r="N31" s="30"/>
      <c r="O31" s="30">
        <v>-16.19877</v>
      </c>
      <c r="P31" s="30"/>
      <c r="Q31" s="30"/>
      <c r="R31" s="30">
        <v>-759.73352999999997</v>
      </c>
      <c r="S31" s="30">
        <v>-21.99</v>
      </c>
      <c r="T31" s="30">
        <v>-269.85000000000002</v>
      </c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>
        <v>-49.95</v>
      </c>
      <c r="AF31" s="30"/>
      <c r="AG31" s="30"/>
      <c r="AH31" s="30"/>
      <c r="AI31" s="30"/>
      <c r="AJ31" s="15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 spans="2:48" ht="16" customHeight="1" x14ac:dyDescent="0.45">
      <c r="B32" s="14" t="s">
        <v>1111</v>
      </c>
      <c r="C32" s="14" t="s">
        <v>1112</v>
      </c>
      <c r="D32" s="61"/>
      <c r="E32" s="62">
        <v>-132004.32026000001</v>
      </c>
      <c r="F32" s="61"/>
      <c r="G32" s="30">
        <v>-132004.56471999999</v>
      </c>
      <c r="H32" s="30"/>
      <c r="I32" s="30">
        <v>0.24446000000000001</v>
      </c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15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 spans="2:48" ht="16" customHeight="1" x14ac:dyDescent="0.45">
      <c r="B33" s="14" t="s">
        <v>1113</v>
      </c>
      <c r="C33" s="14" t="s">
        <v>1114</v>
      </c>
      <c r="D33" s="61"/>
      <c r="E33" s="62">
        <v>-64427.852989999999</v>
      </c>
      <c r="F33" s="61"/>
      <c r="G33" s="30">
        <v>-20492.39474</v>
      </c>
      <c r="H33" s="30">
        <v>-540.07883000000004</v>
      </c>
      <c r="I33" s="30">
        <v>-4100.0005600000004</v>
      </c>
      <c r="J33" s="30">
        <v>-2591.24307</v>
      </c>
      <c r="K33" s="30"/>
      <c r="L33" s="30"/>
      <c r="M33" s="30">
        <v>-685.63130000000001</v>
      </c>
      <c r="N33" s="30">
        <v>-3514.3096599999999</v>
      </c>
      <c r="O33" s="30">
        <v>-630.90931</v>
      </c>
      <c r="P33" s="30"/>
      <c r="Q33" s="30"/>
      <c r="R33" s="30">
        <v>-7090.6328800000001</v>
      </c>
      <c r="S33" s="30">
        <v>-3085.4225299999998</v>
      </c>
      <c r="T33" s="30">
        <v>-8808.4358300000004</v>
      </c>
      <c r="U33" s="30">
        <v>-6.95601</v>
      </c>
      <c r="V33" s="30"/>
      <c r="W33" s="30">
        <v>-2429.5451200000002</v>
      </c>
      <c r="X33" s="30"/>
      <c r="Y33" s="30">
        <v>-1080.69319</v>
      </c>
      <c r="Z33" s="30">
        <v>-36.218000000000004</v>
      </c>
      <c r="AA33" s="30">
        <v>-3662.0041900000001</v>
      </c>
      <c r="AB33" s="30">
        <v>8.3594000000000008</v>
      </c>
      <c r="AC33" s="30">
        <v>-122.93358000000001</v>
      </c>
      <c r="AD33" s="30"/>
      <c r="AE33" s="30">
        <v>-4214.0461699999996</v>
      </c>
      <c r="AF33" s="30">
        <v>-2462.6392099999998</v>
      </c>
      <c r="AG33" s="30">
        <v>3790.8991299999998</v>
      </c>
      <c r="AH33" s="30">
        <v>-278.95889</v>
      </c>
      <c r="AI33" s="30">
        <v>-1779.9726900000001</v>
      </c>
      <c r="AJ33" s="15">
        <v>-614.08576000000005</v>
      </c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spans="2:48" ht="16" customHeight="1" x14ac:dyDescent="0.45">
      <c r="B34" s="14" t="s">
        <v>1115</v>
      </c>
      <c r="C34" s="14" t="s">
        <v>1116</v>
      </c>
      <c r="D34" s="61"/>
      <c r="E34" s="62">
        <v>-331683.35567000002</v>
      </c>
      <c r="F34" s="61"/>
      <c r="G34" s="30">
        <v>-244308.27569000001</v>
      </c>
      <c r="H34" s="30">
        <v>-722.04936999999995</v>
      </c>
      <c r="I34" s="30">
        <v>-1895.10286</v>
      </c>
      <c r="J34" s="30">
        <v>-4640.1608999999999</v>
      </c>
      <c r="K34" s="30">
        <v>-2419.3922600000001</v>
      </c>
      <c r="L34" s="30"/>
      <c r="M34" s="30">
        <v>-494.43067000000002</v>
      </c>
      <c r="N34" s="30">
        <v>-2506.6822299999999</v>
      </c>
      <c r="O34" s="30">
        <v>-339.17201</v>
      </c>
      <c r="P34" s="30"/>
      <c r="Q34" s="30"/>
      <c r="R34" s="30">
        <v>-21002.609380000002</v>
      </c>
      <c r="S34" s="30">
        <v>-3278.5005500000002</v>
      </c>
      <c r="T34" s="30">
        <v>-12170.892610000001</v>
      </c>
      <c r="U34" s="30">
        <v>-117.59515</v>
      </c>
      <c r="V34" s="30"/>
      <c r="W34" s="30">
        <v>-818.46914000000004</v>
      </c>
      <c r="X34" s="30"/>
      <c r="Y34" s="30">
        <v>-1195.5433399999999</v>
      </c>
      <c r="Z34" s="30">
        <v>-4.9083600000000001</v>
      </c>
      <c r="AA34" s="30">
        <v>-4831.8631400000004</v>
      </c>
      <c r="AB34" s="30">
        <v>-373.03536000000003</v>
      </c>
      <c r="AC34" s="30">
        <v>-446.22879999999998</v>
      </c>
      <c r="AD34" s="30"/>
      <c r="AE34" s="30">
        <v>-10347.024079999999</v>
      </c>
      <c r="AF34" s="30">
        <v>-5694.5261300000002</v>
      </c>
      <c r="AG34" s="30">
        <v>-11322.149450000001</v>
      </c>
      <c r="AH34" s="30">
        <v>-215.28796</v>
      </c>
      <c r="AI34" s="30">
        <v>-594.74095999999997</v>
      </c>
      <c r="AJ34" s="15">
        <v>-1944.7152699999999</v>
      </c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spans="2:48" ht="16" customHeight="1" x14ac:dyDescent="0.45">
      <c r="B35" s="14" t="s">
        <v>1117</v>
      </c>
      <c r="C35" s="14" t="s">
        <v>1118</v>
      </c>
      <c r="D35" s="61"/>
      <c r="E35" s="62">
        <v>-53289.56553</v>
      </c>
      <c r="F35" s="61"/>
      <c r="G35" s="30">
        <v>-53282.499539999997</v>
      </c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>
        <v>-7.0659900000000002</v>
      </c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15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</row>
    <row r="36" spans="2:48" ht="16" customHeight="1" x14ac:dyDescent="0.45">
      <c r="B36" s="14" t="s">
        <v>1119</v>
      </c>
      <c r="C36" s="14" t="s">
        <v>1120</v>
      </c>
      <c r="D36" s="61"/>
      <c r="E36" s="62">
        <v>8.8781199999999991</v>
      </c>
      <c r="F36" s="61"/>
      <c r="G36" s="30"/>
      <c r="H36" s="30"/>
      <c r="I36" s="30">
        <v>8.8781199999999991</v>
      </c>
      <c r="J36" s="30">
        <v>0</v>
      </c>
      <c r="K36" s="30"/>
      <c r="L36" s="30"/>
      <c r="M36" s="30"/>
      <c r="N36" s="30"/>
      <c r="O36" s="30"/>
      <c r="P36" s="30"/>
      <c r="Q36" s="30"/>
      <c r="R36" s="30">
        <v>0</v>
      </c>
      <c r="S36" s="30">
        <v>0</v>
      </c>
      <c r="T36" s="30">
        <v>0</v>
      </c>
      <c r="U36" s="30"/>
      <c r="V36" s="30"/>
      <c r="W36" s="30"/>
      <c r="X36" s="30"/>
      <c r="Y36" s="30">
        <v>0</v>
      </c>
      <c r="Z36" s="30"/>
      <c r="AA36" s="30">
        <v>0</v>
      </c>
      <c r="AB36" s="30"/>
      <c r="AC36" s="30"/>
      <c r="AD36" s="30"/>
      <c r="AE36" s="30">
        <v>0</v>
      </c>
      <c r="AF36" s="30">
        <v>0</v>
      </c>
      <c r="AG36" s="30"/>
      <c r="AH36" s="30"/>
      <c r="AI36" s="30"/>
      <c r="AJ36" s="15">
        <v>0</v>
      </c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</row>
    <row r="37" spans="2:48" ht="16" customHeight="1" x14ac:dyDescent="0.45">
      <c r="B37" s="14" t="s">
        <v>1121</v>
      </c>
      <c r="C37" s="14" t="s">
        <v>1122</v>
      </c>
      <c r="D37" s="61"/>
      <c r="E37" s="62">
        <v>-16.251529999999999</v>
      </c>
      <c r="F37" s="61"/>
      <c r="G37" s="30"/>
      <c r="H37" s="30"/>
      <c r="I37" s="30"/>
      <c r="J37" s="30"/>
      <c r="K37" s="30"/>
      <c r="L37" s="30"/>
      <c r="M37" s="30"/>
      <c r="N37" s="30">
        <v>-3.7231700000000001</v>
      </c>
      <c r="O37" s="30"/>
      <c r="P37" s="30"/>
      <c r="Q37" s="30"/>
      <c r="R37" s="30">
        <v>-5.1613800000000003</v>
      </c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>
        <v>-6.7080000000000002</v>
      </c>
      <c r="AF37" s="30">
        <v>-0.65898000000000001</v>
      </c>
      <c r="AG37" s="30"/>
      <c r="AH37" s="30"/>
      <c r="AI37" s="30"/>
      <c r="AJ37" s="15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</row>
    <row r="38" spans="2:48" ht="16" customHeight="1" x14ac:dyDescent="0.45">
      <c r="B38" s="14" t="s">
        <v>1123</v>
      </c>
      <c r="C38" s="14" t="s">
        <v>1124</v>
      </c>
      <c r="D38" s="61"/>
      <c r="E38" s="62">
        <v>-15010.08052</v>
      </c>
      <c r="F38" s="61"/>
      <c r="G38" s="30">
        <v>-6070.4434000000001</v>
      </c>
      <c r="H38" s="30">
        <v>-55.289470000000001</v>
      </c>
      <c r="I38" s="30">
        <v>-262.16124000000002</v>
      </c>
      <c r="J38" s="30">
        <v>-378.84244999999999</v>
      </c>
      <c r="K38" s="30"/>
      <c r="L38" s="30"/>
      <c r="M38" s="30">
        <v>-83.616259999999997</v>
      </c>
      <c r="N38" s="30">
        <v>-444.24991999999997</v>
      </c>
      <c r="O38" s="30">
        <v>-51.677729999999997</v>
      </c>
      <c r="P38" s="30"/>
      <c r="Q38" s="30"/>
      <c r="R38" s="30">
        <v>-2617.4050000000002</v>
      </c>
      <c r="S38" s="30">
        <v>-261.46260000000001</v>
      </c>
      <c r="T38" s="30">
        <v>-1226.21603</v>
      </c>
      <c r="U38" s="30">
        <v>-2.9499999999999998E-2</v>
      </c>
      <c r="V38" s="30"/>
      <c r="W38" s="30">
        <v>-32.279139999999998</v>
      </c>
      <c r="X38" s="30"/>
      <c r="Y38" s="30">
        <v>-236.10442</v>
      </c>
      <c r="Z38" s="30">
        <v>-2.2531400000000001</v>
      </c>
      <c r="AA38" s="30">
        <v>-635.03773000000001</v>
      </c>
      <c r="AB38" s="30">
        <v>-37.913550000000001</v>
      </c>
      <c r="AC38" s="30">
        <v>-20.771519999999999</v>
      </c>
      <c r="AD38" s="30"/>
      <c r="AE38" s="30">
        <v>-654.97451999999998</v>
      </c>
      <c r="AF38" s="30">
        <v>-884.99068999999997</v>
      </c>
      <c r="AG38" s="30">
        <v>-667.08741999999995</v>
      </c>
      <c r="AH38" s="30">
        <v>-20.236350000000002</v>
      </c>
      <c r="AI38" s="30">
        <v>-24.758089999999999</v>
      </c>
      <c r="AJ38" s="15">
        <v>-342.28035</v>
      </c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</row>
    <row r="39" spans="2:48" ht="16" customHeight="1" x14ac:dyDescent="0.45">
      <c r="B39" s="14" t="s">
        <v>1125</v>
      </c>
      <c r="C39" s="14" t="s">
        <v>80</v>
      </c>
      <c r="D39" s="61"/>
      <c r="E39" s="62">
        <v>-345680.86881000001</v>
      </c>
      <c r="F39" s="61"/>
      <c r="G39" s="30">
        <v>-293832.68409</v>
      </c>
      <c r="H39" s="30">
        <v>-269.17072999999999</v>
      </c>
      <c r="I39" s="30">
        <v>-16392.663519999998</v>
      </c>
      <c r="J39" s="30">
        <v>-1335.68416</v>
      </c>
      <c r="K39" s="30"/>
      <c r="L39" s="30">
        <v>-430.24781999999999</v>
      </c>
      <c r="M39" s="30">
        <v>-108.15759</v>
      </c>
      <c r="N39" s="30">
        <v>-1444.5294899999999</v>
      </c>
      <c r="O39" s="30">
        <v>-507.85214000000002</v>
      </c>
      <c r="P39" s="30"/>
      <c r="Q39" s="30"/>
      <c r="R39" s="30">
        <v>-9242.3088200000002</v>
      </c>
      <c r="S39" s="30">
        <v>-1629.7295899999999</v>
      </c>
      <c r="T39" s="30">
        <v>-5623.8533200000002</v>
      </c>
      <c r="U39" s="30">
        <v>-459.25461000000001</v>
      </c>
      <c r="V39" s="30"/>
      <c r="W39" s="30">
        <v>-458.20954</v>
      </c>
      <c r="X39" s="30"/>
      <c r="Y39" s="30">
        <v>-833.27507000000003</v>
      </c>
      <c r="Z39" s="30">
        <v>-0.49763000000000002</v>
      </c>
      <c r="AA39" s="30">
        <v>-1236.85502</v>
      </c>
      <c r="AB39" s="30">
        <v>-150.14795000000001</v>
      </c>
      <c r="AC39" s="30">
        <v>-309.01116000000002</v>
      </c>
      <c r="AD39" s="30"/>
      <c r="AE39" s="30">
        <v>-4925.5226499999999</v>
      </c>
      <c r="AF39" s="30">
        <v>-3140.1673999999998</v>
      </c>
      <c r="AG39" s="30">
        <v>-1819.9240600000001</v>
      </c>
      <c r="AH39" s="30">
        <v>-106.80916000000001</v>
      </c>
      <c r="AI39" s="30">
        <v>-793.55190000000005</v>
      </c>
      <c r="AJ39" s="15">
        <v>-630.76139000000001</v>
      </c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</row>
    <row r="40" spans="2:48" ht="16" customHeight="1" x14ac:dyDescent="0.45">
      <c r="B40" s="14" t="s">
        <v>1126</v>
      </c>
      <c r="C40" s="14" t="s">
        <v>762</v>
      </c>
      <c r="D40" s="61"/>
      <c r="E40" s="62">
        <v>-20415.388889999998</v>
      </c>
      <c r="F40" s="61"/>
      <c r="G40" s="30"/>
      <c r="H40" s="30">
        <v>-233.99968000000001</v>
      </c>
      <c r="I40" s="30">
        <v>-1391.67326</v>
      </c>
      <c r="J40" s="30">
        <v>-864.92546000000004</v>
      </c>
      <c r="K40" s="30"/>
      <c r="L40" s="30">
        <v>-265.43765000000002</v>
      </c>
      <c r="M40" s="30">
        <v>91.504490000000004</v>
      </c>
      <c r="N40" s="30">
        <v>-1651.1846700000001</v>
      </c>
      <c r="O40" s="30">
        <v>-119.45961</v>
      </c>
      <c r="P40" s="30"/>
      <c r="Q40" s="30"/>
      <c r="R40" s="30">
        <v>-4052.8519799999999</v>
      </c>
      <c r="S40" s="30">
        <v>-1482.71291</v>
      </c>
      <c r="T40" s="30">
        <v>-2996.2171499999999</v>
      </c>
      <c r="U40" s="30">
        <v>-10.661199999999999</v>
      </c>
      <c r="V40" s="30"/>
      <c r="W40" s="30">
        <v>-1252.5915</v>
      </c>
      <c r="X40" s="30">
        <v>-285.46575000000001</v>
      </c>
      <c r="Y40" s="30">
        <v>-566.84920999999997</v>
      </c>
      <c r="Z40" s="30"/>
      <c r="AA40" s="30">
        <v>-1962.46056</v>
      </c>
      <c r="AB40" s="30"/>
      <c r="AC40" s="30">
        <v>-10.33337</v>
      </c>
      <c r="AD40" s="30"/>
      <c r="AE40" s="30">
        <v>-1396.3379500000001</v>
      </c>
      <c r="AF40" s="30">
        <v>-1023.72996</v>
      </c>
      <c r="AG40" s="30">
        <v>-26.517969999999998</v>
      </c>
      <c r="AH40" s="30"/>
      <c r="AI40" s="30">
        <v>-516.35983999999996</v>
      </c>
      <c r="AJ40" s="15">
        <v>-397.12369999999999</v>
      </c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</row>
    <row r="41" spans="2:48" ht="16" customHeight="1" x14ac:dyDescent="0.45">
      <c r="B41" s="14" t="s">
        <v>1127</v>
      </c>
      <c r="C41" s="14" t="s">
        <v>1128</v>
      </c>
      <c r="D41" s="61"/>
      <c r="E41" s="62">
        <v>-246612.97893000001</v>
      </c>
      <c r="F41" s="61"/>
      <c r="G41" s="30">
        <v>-224516.13024999999</v>
      </c>
      <c r="H41" s="30">
        <v>-719.31104000000005</v>
      </c>
      <c r="I41" s="30">
        <v>-1014.47493</v>
      </c>
      <c r="J41" s="30">
        <v>-1523.6021900000001</v>
      </c>
      <c r="K41" s="30"/>
      <c r="L41" s="30">
        <v>-176.88596000000001</v>
      </c>
      <c r="M41" s="30">
        <v>-315.02733999999998</v>
      </c>
      <c r="N41" s="30">
        <v>-474.19709999999998</v>
      </c>
      <c r="O41" s="30">
        <v>-78.934709999999995</v>
      </c>
      <c r="P41" s="30"/>
      <c r="Q41" s="30"/>
      <c r="R41" s="30">
        <v>-3890.5848500000002</v>
      </c>
      <c r="S41" s="30">
        <v>-363.43347999999997</v>
      </c>
      <c r="T41" s="30">
        <v>-4310.8595299999997</v>
      </c>
      <c r="U41" s="30"/>
      <c r="V41" s="30"/>
      <c r="W41" s="30">
        <v>-892.53071</v>
      </c>
      <c r="X41" s="30"/>
      <c r="Y41" s="30">
        <v>-543.36893999999995</v>
      </c>
      <c r="Z41" s="30">
        <v>-0.85136999999999996</v>
      </c>
      <c r="AA41" s="30">
        <v>-1200.5519300000001</v>
      </c>
      <c r="AB41" s="30">
        <v>-26.678039999999999</v>
      </c>
      <c r="AC41" s="30">
        <v>-5.87425</v>
      </c>
      <c r="AD41" s="30"/>
      <c r="AE41" s="30">
        <v>-4154.0207300000002</v>
      </c>
      <c r="AF41" s="30">
        <v>-2109.0272799999998</v>
      </c>
      <c r="AG41" s="30"/>
      <c r="AH41" s="30">
        <v>-121.19837</v>
      </c>
      <c r="AI41" s="30">
        <v>-3.84415</v>
      </c>
      <c r="AJ41" s="15">
        <v>-171.59178</v>
      </c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</row>
    <row r="42" spans="2:48" ht="16" customHeight="1" x14ac:dyDescent="0.45">
      <c r="B42" s="14" t="s">
        <v>1129</v>
      </c>
      <c r="C42" s="14" t="s">
        <v>1130</v>
      </c>
      <c r="D42" s="61"/>
      <c r="E42" s="62">
        <v>-205545.44661000001</v>
      </c>
      <c r="F42" s="61"/>
      <c r="G42" s="30">
        <v>-152913.91386999999</v>
      </c>
      <c r="H42" s="30">
        <v>-156.86915999999999</v>
      </c>
      <c r="I42" s="30">
        <v>-1698.3259700000001</v>
      </c>
      <c r="J42" s="30">
        <v>-1209.63625</v>
      </c>
      <c r="K42" s="30">
        <v>-3.78E-2</v>
      </c>
      <c r="L42" s="30"/>
      <c r="M42" s="30">
        <v>-392.49898000000002</v>
      </c>
      <c r="N42" s="30">
        <v>-1194.3172999999999</v>
      </c>
      <c r="O42" s="30">
        <v>-241.49856</v>
      </c>
      <c r="P42" s="30"/>
      <c r="Q42" s="30"/>
      <c r="R42" s="30">
        <v>-11985.48004</v>
      </c>
      <c r="S42" s="30">
        <v>-1568.7647199999999</v>
      </c>
      <c r="T42" s="30">
        <v>-4138.3800799999999</v>
      </c>
      <c r="U42" s="30">
        <v>836.14667999999995</v>
      </c>
      <c r="V42" s="30"/>
      <c r="W42" s="30">
        <v>-464.97492</v>
      </c>
      <c r="X42" s="30">
        <v>-9.5</v>
      </c>
      <c r="Y42" s="30">
        <v>-1094.06032</v>
      </c>
      <c r="Z42" s="30">
        <v>-17.995830000000002</v>
      </c>
      <c r="AA42" s="30">
        <v>-3332.5945700000002</v>
      </c>
      <c r="AB42" s="30">
        <v>-25.16432</v>
      </c>
      <c r="AC42" s="30">
        <v>-288.30090999999999</v>
      </c>
      <c r="AD42" s="30"/>
      <c r="AE42" s="30">
        <v>-3364.38292</v>
      </c>
      <c r="AF42" s="30">
        <v>-2238.9947400000001</v>
      </c>
      <c r="AG42" s="30">
        <v>-18459.90136</v>
      </c>
      <c r="AH42" s="30">
        <v>-107.2899</v>
      </c>
      <c r="AI42" s="30">
        <v>-402.00105000000002</v>
      </c>
      <c r="AJ42" s="15">
        <v>-1076.7097200000001</v>
      </c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</row>
    <row r="43" spans="2:48" ht="16" customHeight="1" x14ac:dyDescent="0.45">
      <c r="B43" s="14" t="s">
        <v>1131</v>
      </c>
      <c r="C43" s="14" t="s">
        <v>1132</v>
      </c>
      <c r="D43" s="61"/>
      <c r="E43" s="62">
        <v>119869.61236</v>
      </c>
      <c r="F43" s="61"/>
      <c r="G43" s="30">
        <v>117047.82438000001</v>
      </c>
      <c r="H43" s="30">
        <v>8.8100000000000001E-3</v>
      </c>
      <c r="I43" s="30">
        <v>-2.4856099999999999</v>
      </c>
      <c r="J43" s="30">
        <v>178.83526000000001</v>
      </c>
      <c r="K43" s="30"/>
      <c r="L43" s="30"/>
      <c r="M43" s="30">
        <v>-0.34140999999999999</v>
      </c>
      <c r="N43" s="30">
        <v>-706.79385000000002</v>
      </c>
      <c r="O43" s="30">
        <v>5.1639999999999998E-2</v>
      </c>
      <c r="P43" s="30"/>
      <c r="Q43" s="30">
        <v>6064.5993500000004</v>
      </c>
      <c r="R43" s="30">
        <v>292.36180000000002</v>
      </c>
      <c r="S43" s="30">
        <v>1.62923</v>
      </c>
      <c r="T43" s="30">
        <v>-6063.7447899999997</v>
      </c>
      <c r="U43" s="30">
        <v>-164.68899999999999</v>
      </c>
      <c r="V43" s="30"/>
      <c r="W43" s="30"/>
      <c r="X43" s="30"/>
      <c r="Y43" s="30">
        <v>-0.65732999999999997</v>
      </c>
      <c r="Z43" s="30">
        <v>46.399149999999999</v>
      </c>
      <c r="AA43" s="30">
        <v>198.41718</v>
      </c>
      <c r="AB43" s="30">
        <v>-5.0000000000000001E-4</v>
      </c>
      <c r="AC43" s="30">
        <v>5.2199999999999998E-3</v>
      </c>
      <c r="AD43" s="30">
        <v>904.29039</v>
      </c>
      <c r="AE43" s="30">
        <v>14.267329999999999</v>
      </c>
      <c r="AF43" s="30">
        <v>47.474130000000002</v>
      </c>
      <c r="AG43" s="30">
        <v>2016.4264000000001</v>
      </c>
      <c r="AH43" s="30"/>
      <c r="AI43" s="30">
        <v>5.0000000000000002E-5</v>
      </c>
      <c r="AJ43" s="15">
        <v>-4.2654699999999997</v>
      </c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</row>
    <row r="44" spans="2:48" ht="16" customHeight="1" x14ac:dyDescent="0.45">
      <c r="B44" s="14" t="s">
        <v>1133</v>
      </c>
      <c r="C44" s="14" t="s">
        <v>1134</v>
      </c>
      <c r="D44" s="61"/>
      <c r="E44" s="62">
        <v>2914.7993000000001</v>
      </c>
      <c r="F44" s="61"/>
      <c r="G44" s="30">
        <v>2259.28233</v>
      </c>
      <c r="H44" s="30"/>
      <c r="I44" s="30"/>
      <c r="J44" s="30">
        <v>0</v>
      </c>
      <c r="K44" s="30"/>
      <c r="L44" s="30"/>
      <c r="M44" s="30"/>
      <c r="N44" s="30"/>
      <c r="O44" s="30"/>
      <c r="P44" s="30"/>
      <c r="Q44" s="30"/>
      <c r="R44" s="30">
        <v>456.40992</v>
      </c>
      <c r="S44" s="30">
        <v>-8.57029</v>
      </c>
      <c r="T44" s="30">
        <v>-14.988160000000001</v>
      </c>
      <c r="U44" s="30"/>
      <c r="V44" s="30"/>
      <c r="W44" s="30"/>
      <c r="X44" s="30"/>
      <c r="Y44" s="30"/>
      <c r="Z44" s="30"/>
      <c r="AA44" s="30"/>
      <c r="AB44" s="30"/>
      <c r="AC44" s="30">
        <v>0</v>
      </c>
      <c r="AD44" s="30"/>
      <c r="AE44" s="30">
        <v>0</v>
      </c>
      <c r="AF44" s="30">
        <v>222.66550000000001</v>
      </c>
      <c r="AG44" s="30"/>
      <c r="AH44" s="30"/>
      <c r="AI44" s="30"/>
      <c r="AJ44" s="15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</row>
    <row r="45" spans="2:48" ht="16" customHeight="1" x14ac:dyDescent="0.45">
      <c r="B45" s="14" t="s">
        <v>1135</v>
      </c>
      <c r="C45" s="14" t="s">
        <v>1136</v>
      </c>
      <c r="D45" s="61"/>
      <c r="E45" s="62">
        <v>-55.8626</v>
      </c>
      <c r="F45" s="61"/>
      <c r="G45" s="30"/>
      <c r="H45" s="30"/>
      <c r="I45" s="30">
        <v>-18.537749999999999</v>
      </c>
      <c r="J45" s="30">
        <v>20.4695</v>
      </c>
      <c r="K45" s="30"/>
      <c r="L45" s="30"/>
      <c r="M45" s="30">
        <v>-2.0300000000000001E-3</v>
      </c>
      <c r="N45" s="30"/>
      <c r="O45" s="30"/>
      <c r="P45" s="30"/>
      <c r="Q45" s="30"/>
      <c r="R45" s="30">
        <v>50.722340000000003</v>
      </c>
      <c r="S45" s="30">
        <v>-65.304349999999999</v>
      </c>
      <c r="T45" s="30">
        <v>15.506919999999999</v>
      </c>
      <c r="U45" s="30"/>
      <c r="V45" s="30"/>
      <c r="W45" s="30">
        <v>43.840229999999998</v>
      </c>
      <c r="X45" s="30"/>
      <c r="Y45" s="30">
        <v>5.1861899999999999</v>
      </c>
      <c r="Z45" s="30"/>
      <c r="AA45" s="30">
        <v>-4.9155699999999998</v>
      </c>
      <c r="AB45" s="30"/>
      <c r="AC45" s="30"/>
      <c r="AD45" s="30"/>
      <c r="AE45" s="30">
        <v>-12.153549999999999</v>
      </c>
      <c r="AF45" s="30">
        <v>-84.783659999999998</v>
      </c>
      <c r="AG45" s="30"/>
      <c r="AH45" s="30">
        <v>-3.5446200000000001</v>
      </c>
      <c r="AI45" s="30">
        <v>-2.3462499999999999</v>
      </c>
      <c r="AJ45" s="15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</row>
    <row r="46" spans="2:48" ht="16" customHeight="1" x14ac:dyDescent="0.45">
      <c r="B46" s="14" t="s">
        <v>1137</v>
      </c>
      <c r="C46" s="14" t="s">
        <v>88</v>
      </c>
      <c r="D46" s="61"/>
      <c r="E46" s="62">
        <v>2350.6073999999999</v>
      </c>
      <c r="F46" s="61"/>
      <c r="G46" s="30"/>
      <c r="H46" s="30"/>
      <c r="I46" s="30">
        <v>96.171000000000006</v>
      </c>
      <c r="J46" s="30">
        <v>0.30399999999999999</v>
      </c>
      <c r="K46" s="30"/>
      <c r="L46" s="30"/>
      <c r="M46" s="30"/>
      <c r="N46" s="30">
        <v>60.142499999999998</v>
      </c>
      <c r="O46" s="30"/>
      <c r="P46" s="30"/>
      <c r="Q46" s="30"/>
      <c r="R46" s="30">
        <v>1626.8224600000001</v>
      </c>
      <c r="S46" s="30">
        <v>87.583500000000001</v>
      </c>
      <c r="T46" s="30">
        <v>69.981750000000005</v>
      </c>
      <c r="U46" s="30">
        <v>164.68899999999999</v>
      </c>
      <c r="V46" s="30"/>
      <c r="W46" s="30">
        <v>12.196</v>
      </c>
      <c r="X46" s="30"/>
      <c r="Y46" s="30"/>
      <c r="Z46" s="30"/>
      <c r="AA46" s="30">
        <v>147.21892</v>
      </c>
      <c r="AB46" s="30"/>
      <c r="AC46" s="30">
        <v>13.60952</v>
      </c>
      <c r="AD46" s="30"/>
      <c r="AE46" s="30">
        <v>71.888750000000002</v>
      </c>
      <c r="AF46" s="30"/>
      <c r="AG46" s="30"/>
      <c r="AH46" s="30"/>
      <c r="AI46" s="30"/>
      <c r="AJ46" s="15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</row>
    <row r="47" spans="2:48" ht="16" customHeight="1" x14ac:dyDescent="0.45">
      <c r="B47" s="14" t="s">
        <v>1138</v>
      </c>
      <c r="C47" s="14" t="s">
        <v>64</v>
      </c>
      <c r="D47" s="61"/>
      <c r="E47" s="62">
        <v>-154.20959999999999</v>
      </c>
      <c r="F47" s="61"/>
      <c r="G47" s="30"/>
      <c r="H47" s="30">
        <v>0.27977000000000002</v>
      </c>
      <c r="I47" s="30">
        <v>2.9E-4</v>
      </c>
      <c r="J47" s="30"/>
      <c r="K47" s="30"/>
      <c r="L47" s="30"/>
      <c r="M47" s="30"/>
      <c r="N47" s="30">
        <v>3.7576100000000001</v>
      </c>
      <c r="O47" s="30"/>
      <c r="P47" s="30"/>
      <c r="Q47" s="30"/>
      <c r="R47" s="30">
        <v>0.32279000000000002</v>
      </c>
      <c r="S47" s="30"/>
      <c r="T47" s="30">
        <v>1.2916799999999999</v>
      </c>
      <c r="U47" s="30"/>
      <c r="V47" s="30"/>
      <c r="W47" s="30"/>
      <c r="X47" s="30"/>
      <c r="Y47" s="30"/>
      <c r="Z47" s="30"/>
      <c r="AA47" s="30">
        <v>-15.57626</v>
      </c>
      <c r="AB47" s="30"/>
      <c r="AC47" s="30"/>
      <c r="AD47" s="30"/>
      <c r="AE47" s="30">
        <v>-2.6360000000000001E-2</v>
      </c>
      <c r="AF47" s="30">
        <v>-143.35</v>
      </c>
      <c r="AG47" s="30"/>
      <c r="AH47" s="30"/>
      <c r="AI47" s="30"/>
      <c r="AJ47" s="15">
        <v>-0.90912000000000004</v>
      </c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</row>
    <row r="48" spans="2:48" ht="16" customHeight="1" x14ac:dyDescent="0.45">
      <c r="B48" s="14" t="s">
        <v>121</v>
      </c>
      <c r="C48" s="14" t="s">
        <v>64</v>
      </c>
      <c r="D48" s="61"/>
      <c r="E48" s="62"/>
      <c r="F48" s="61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15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</row>
    <row r="49" spans="2:48" ht="16" customHeight="1" x14ac:dyDescent="0.45">
      <c r="B49" s="14" t="s">
        <v>1139</v>
      </c>
      <c r="C49" s="14" t="s">
        <v>43</v>
      </c>
      <c r="D49" s="61"/>
      <c r="E49" s="62">
        <v>-4489.2545799999998</v>
      </c>
      <c r="F49" s="61"/>
      <c r="G49" s="30"/>
      <c r="H49" s="30">
        <v>0</v>
      </c>
      <c r="I49" s="30">
        <v>-1455.74254</v>
      </c>
      <c r="J49" s="30">
        <v>-51.736280000000001</v>
      </c>
      <c r="K49" s="30"/>
      <c r="L49" s="30"/>
      <c r="M49" s="30">
        <v>-229.88901999999999</v>
      </c>
      <c r="N49" s="30">
        <v>-570.88981000000001</v>
      </c>
      <c r="O49" s="30"/>
      <c r="P49" s="30"/>
      <c r="Q49" s="30"/>
      <c r="R49" s="30">
        <v>-75.664590000000004</v>
      </c>
      <c r="S49" s="30">
        <v>-63.904980000000002</v>
      </c>
      <c r="T49" s="30">
        <v>-1.9982500000000001</v>
      </c>
      <c r="U49" s="30"/>
      <c r="V49" s="30"/>
      <c r="W49" s="30"/>
      <c r="X49" s="30"/>
      <c r="Y49" s="30">
        <v>-55.657420000000002</v>
      </c>
      <c r="Z49" s="30"/>
      <c r="AA49" s="30">
        <v>-40.098509999999997</v>
      </c>
      <c r="AB49" s="30">
        <v>-320.14690000000002</v>
      </c>
      <c r="AC49" s="30">
        <v>-253.64562000000001</v>
      </c>
      <c r="AD49" s="30"/>
      <c r="AE49" s="30">
        <v>-450.42743000000002</v>
      </c>
      <c r="AF49" s="30">
        <v>-123.31084</v>
      </c>
      <c r="AG49" s="30"/>
      <c r="AH49" s="30"/>
      <c r="AI49" s="30">
        <v>-796.14238999999998</v>
      </c>
      <c r="AJ49" s="15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</row>
    <row r="50" spans="2:48" ht="16" customHeight="1" x14ac:dyDescent="0.45">
      <c r="B50" s="14" t="s">
        <v>1140</v>
      </c>
      <c r="C50" s="14" t="s">
        <v>1141</v>
      </c>
      <c r="D50" s="61"/>
      <c r="E50" s="62">
        <v>-1446.8424500000001</v>
      </c>
      <c r="F50" s="61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>
        <v>-1446.8424500000001</v>
      </c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15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</row>
    <row r="51" spans="2:48" ht="16" customHeight="1" x14ac:dyDescent="0.45">
      <c r="B51" s="14" t="s">
        <v>1142</v>
      </c>
      <c r="C51" s="14" t="s">
        <v>823</v>
      </c>
      <c r="D51" s="61"/>
      <c r="E51" s="62">
        <v>3607.6763000000001</v>
      </c>
      <c r="F51" s="61"/>
      <c r="G51" s="30"/>
      <c r="H51" s="30">
        <v>-7.8119999999999995E-2</v>
      </c>
      <c r="I51" s="30">
        <v>967.75134000000003</v>
      </c>
      <c r="J51" s="30">
        <v>395.89494999999999</v>
      </c>
      <c r="K51" s="30"/>
      <c r="L51" s="30"/>
      <c r="M51" s="30">
        <v>0</v>
      </c>
      <c r="N51" s="30">
        <v>0</v>
      </c>
      <c r="O51" s="30">
        <v>5.0000000000000002E-5</v>
      </c>
      <c r="P51" s="30"/>
      <c r="Q51" s="30"/>
      <c r="R51" s="30">
        <v>1351.7530200000001</v>
      </c>
      <c r="S51" s="30">
        <v>18.924880000000002</v>
      </c>
      <c r="T51" s="30">
        <v>0</v>
      </c>
      <c r="U51" s="30"/>
      <c r="V51" s="30"/>
      <c r="W51" s="30">
        <v>16.014009999999999</v>
      </c>
      <c r="X51" s="30"/>
      <c r="Y51" s="30">
        <v>0.22932</v>
      </c>
      <c r="Z51" s="30"/>
      <c r="AA51" s="30">
        <v>6.8183999999999996</v>
      </c>
      <c r="AB51" s="30">
        <v>-10.68835</v>
      </c>
      <c r="AC51" s="30"/>
      <c r="AD51" s="30"/>
      <c r="AE51" s="30">
        <v>0.14981</v>
      </c>
      <c r="AF51" s="30">
        <v>860.90779999999995</v>
      </c>
      <c r="AG51" s="30"/>
      <c r="AH51" s="30">
        <v>0</v>
      </c>
      <c r="AI51" s="30">
        <v>-8.0999999999999996E-4</v>
      </c>
      <c r="AJ51" s="15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</row>
    <row r="52" spans="2:48" ht="16" customHeight="1" x14ac:dyDescent="0.45">
      <c r="B52" s="14" t="s">
        <v>1143</v>
      </c>
      <c r="C52" s="14" t="s">
        <v>1144</v>
      </c>
      <c r="D52" s="61"/>
      <c r="E52" s="62">
        <v>9630.7546399999992</v>
      </c>
      <c r="F52" s="61"/>
      <c r="G52" s="30"/>
      <c r="H52" s="30">
        <v>149.51036999999999</v>
      </c>
      <c r="I52" s="30">
        <v>406.91584</v>
      </c>
      <c r="J52" s="30">
        <v>-5011.4366200000004</v>
      </c>
      <c r="K52" s="30">
        <v>0</v>
      </c>
      <c r="L52" s="30"/>
      <c r="M52" s="30">
        <v>-395.74790999999999</v>
      </c>
      <c r="N52" s="30">
        <v>1554.66851</v>
      </c>
      <c r="O52" s="30">
        <v>-74.076909999999998</v>
      </c>
      <c r="P52" s="30"/>
      <c r="Q52" s="30"/>
      <c r="R52" s="30">
        <v>778.30593999999996</v>
      </c>
      <c r="S52" s="30">
        <v>485.99531999999999</v>
      </c>
      <c r="T52" s="30">
        <v>875.96595000000002</v>
      </c>
      <c r="U52" s="30">
        <v>0</v>
      </c>
      <c r="V52" s="30"/>
      <c r="W52" s="30">
        <v>1556.12869</v>
      </c>
      <c r="X52" s="30"/>
      <c r="Y52" s="30">
        <v>-79.328940000000003</v>
      </c>
      <c r="Z52" s="30">
        <v>-2.7680899999999999</v>
      </c>
      <c r="AA52" s="30">
        <v>-1465.4603300000001</v>
      </c>
      <c r="AB52" s="30">
        <v>-253.74118000000001</v>
      </c>
      <c r="AC52" s="30">
        <v>-5.5010000000000003E-2</v>
      </c>
      <c r="AD52" s="30"/>
      <c r="AE52" s="30">
        <v>3122.3118599999998</v>
      </c>
      <c r="AF52" s="30">
        <v>-2272.0830500000002</v>
      </c>
      <c r="AG52" s="30">
        <v>2475.3206</v>
      </c>
      <c r="AH52" s="30">
        <v>977.06677000000002</v>
      </c>
      <c r="AI52" s="30">
        <v>6803.2628299999997</v>
      </c>
      <c r="AJ52" s="15">
        <v>0</v>
      </c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</row>
    <row r="53" spans="2:48" ht="16" customHeight="1" x14ac:dyDescent="0.45">
      <c r="B53" s="14" t="s">
        <v>1145</v>
      </c>
      <c r="C53" s="14" t="s">
        <v>1146</v>
      </c>
      <c r="D53" s="61"/>
      <c r="E53" s="62"/>
      <c r="F53" s="61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15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</row>
    <row r="54" spans="2:48" ht="16" customHeight="1" x14ac:dyDescent="0.45">
      <c r="B54" s="14" t="s">
        <v>140</v>
      </c>
      <c r="C54" s="14" t="s">
        <v>141</v>
      </c>
      <c r="D54" s="61"/>
      <c r="E54" s="62">
        <v>-2531.78622</v>
      </c>
      <c r="F54" s="61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>
        <v>-462.48228</v>
      </c>
      <c r="S54" s="30"/>
      <c r="T54" s="30"/>
      <c r="U54" s="30">
        <v>-902.66600000000005</v>
      </c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>
        <v>0</v>
      </c>
      <c r="AG54" s="30">
        <v>-1166.6379400000001</v>
      </c>
      <c r="AH54" s="30"/>
      <c r="AI54" s="30"/>
      <c r="AJ54" s="15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</row>
    <row r="55" spans="2:48" ht="16" customHeight="1" x14ac:dyDescent="0.45">
      <c r="B55" s="14" t="s">
        <v>142</v>
      </c>
      <c r="C55" s="14" t="s">
        <v>143</v>
      </c>
      <c r="D55" s="61"/>
      <c r="E55" s="62">
        <v>-2304.8542200000002</v>
      </c>
      <c r="F55" s="61"/>
      <c r="G55" s="30"/>
      <c r="H55" s="30">
        <v>-369.83542</v>
      </c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>
        <v>-1935.0188000000001</v>
      </c>
      <c r="AF55" s="30"/>
      <c r="AG55" s="30"/>
      <c r="AH55" s="30"/>
      <c r="AI55" s="30"/>
      <c r="AJ55" s="15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</row>
    <row r="56" spans="2:48" ht="16" customHeight="1" x14ac:dyDescent="0.45">
      <c r="B56" s="14" t="s">
        <v>144</v>
      </c>
      <c r="C56" s="14" t="s">
        <v>1147</v>
      </c>
      <c r="D56" s="61"/>
      <c r="E56" s="62"/>
      <c r="F56" s="61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15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</row>
    <row r="57" spans="2:48" ht="16" customHeight="1" x14ac:dyDescent="0.45">
      <c r="B57" s="14" t="s">
        <v>146</v>
      </c>
      <c r="C57" s="14" t="s">
        <v>147</v>
      </c>
      <c r="D57" s="61"/>
      <c r="E57" s="62">
        <v>-3453.2849099999999</v>
      </c>
      <c r="F57" s="61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>
        <v>-3453.2849099999999</v>
      </c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15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</row>
    <row r="58" spans="2:48" ht="16" customHeight="1" x14ac:dyDescent="0.45">
      <c r="B58" s="14" t="s">
        <v>148</v>
      </c>
      <c r="C58" s="14" t="s">
        <v>149</v>
      </c>
      <c r="D58" s="61"/>
      <c r="E58" s="62"/>
      <c r="F58" s="61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15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</row>
    <row r="59" spans="2:48" ht="16" customHeight="1" x14ac:dyDescent="0.45">
      <c r="B59" s="14" t="s">
        <v>153</v>
      </c>
      <c r="C59" s="14" t="s">
        <v>154</v>
      </c>
      <c r="D59" s="61"/>
      <c r="E59" s="62"/>
      <c r="F59" s="61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15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</row>
    <row r="60" spans="2:48" ht="16" customHeight="1" x14ac:dyDescent="0.45">
      <c r="B60" s="14" t="s">
        <v>155</v>
      </c>
      <c r="C60" s="14" t="s">
        <v>156</v>
      </c>
      <c r="D60" s="61"/>
      <c r="E60" s="62"/>
      <c r="F60" s="61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15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</row>
    <row r="61" spans="2:48" ht="16" customHeight="1" x14ac:dyDescent="0.45">
      <c r="B61" s="14" t="s">
        <v>157</v>
      </c>
      <c r="C61" s="14" t="s">
        <v>158</v>
      </c>
      <c r="D61" s="61"/>
      <c r="E61" s="62"/>
      <c r="F61" s="61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15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</row>
    <row r="62" spans="2:48" ht="16" customHeight="1" x14ac:dyDescent="0.45">
      <c r="B62" s="14" t="s">
        <v>159</v>
      </c>
      <c r="C62" s="14" t="s">
        <v>1148</v>
      </c>
      <c r="D62" s="61"/>
      <c r="E62" s="62"/>
      <c r="F62" s="61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15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</row>
    <row r="63" spans="2:48" ht="16" customHeight="1" x14ac:dyDescent="0.45">
      <c r="B63" s="14" t="s">
        <v>161</v>
      </c>
      <c r="C63" s="14" t="s">
        <v>1149</v>
      </c>
      <c r="D63" s="61"/>
      <c r="E63" s="62"/>
      <c r="F63" s="61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15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</row>
    <row r="64" spans="2:48" ht="16" customHeight="1" x14ac:dyDescent="0.45">
      <c r="B64" s="14" t="s">
        <v>128</v>
      </c>
      <c r="C64" s="14" t="s">
        <v>129</v>
      </c>
      <c r="D64" s="61"/>
      <c r="E64" s="62">
        <v>-220338.90653000001</v>
      </c>
      <c r="F64" s="61"/>
      <c r="G64" s="30">
        <v>-166457.10816</v>
      </c>
      <c r="H64" s="30">
        <v>-862.63274000000001</v>
      </c>
      <c r="I64" s="30">
        <v>-5135.4097700000002</v>
      </c>
      <c r="J64" s="30">
        <v>-1773.3186499999999</v>
      </c>
      <c r="K64" s="30"/>
      <c r="L64" s="30">
        <v>-57.533000000000001</v>
      </c>
      <c r="M64" s="30">
        <v>-834.26954999999998</v>
      </c>
      <c r="N64" s="30">
        <v>-1586.9721099999999</v>
      </c>
      <c r="O64" s="30">
        <v>-289.32146999999998</v>
      </c>
      <c r="P64" s="30">
        <v>-1497.64</v>
      </c>
      <c r="Q64" s="30"/>
      <c r="R64" s="30">
        <v>-10784.454599999999</v>
      </c>
      <c r="S64" s="30">
        <v>-1708.96315</v>
      </c>
      <c r="T64" s="30">
        <v>-10198.56979</v>
      </c>
      <c r="U64" s="30">
        <v>-967.03030000000001</v>
      </c>
      <c r="V64" s="30">
        <v>-74.591999999999999</v>
      </c>
      <c r="W64" s="30">
        <v>-743.46478999999999</v>
      </c>
      <c r="X64" s="30"/>
      <c r="Y64" s="30">
        <v>-1765.1850999999999</v>
      </c>
      <c r="Z64" s="30">
        <v>-7.15</v>
      </c>
      <c r="AA64" s="30">
        <v>-3220.1386000000002</v>
      </c>
      <c r="AB64" s="30">
        <v>-0.60348999999999997</v>
      </c>
      <c r="AC64" s="30">
        <v>-41.962159999999997</v>
      </c>
      <c r="AD64" s="30"/>
      <c r="AE64" s="30">
        <v>-5990.5181000000002</v>
      </c>
      <c r="AF64" s="30">
        <v>-3653.03791</v>
      </c>
      <c r="AG64" s="30">
        <v>-68.061999999999998</v>
      </c>
      <c r="AH64" s="30">
        <v>-170.32914</v>
      </c>
      <c r="AI64" s="30">
        <v>-649.09416999999996</v>
      </c>
      <c r="AJ64" s="15">
        <v>-1801.5457799999999</v>
      </c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</row>
    <row r="65" spans="2:48" ht="16" customHeight="1" x14ac:dyDescent="0.45">
      <c r="B65" s="14" t="s">
        <v>132</v>
      </c>
      <c r="C65" s="14" t="s">
        <v>1150</v>
      </c>
      <c r="D65" s="61"/>
      <c r="E65" s="62">
        <v>-9071.6067899999998</v>
      </c>
      <c r="F65" s="61"/>
      <c r="G65" s="30">
        <v>-5868.5386099999996</v>
      </c>
      <c r="H65" s="30">
        <v>-175.98421999999999</v>
      </c>
      <c r="I65" s="30">
        <v>-149.79514</v>
      </c>
      <c r="J65" s="30">
        <v>-355.47474999999997</v>
      </c>
      <c r="K65" s="30"/>
      <c r="L65" s="30"/>
      <c r="M65" s="30">
        <v>-46.19211</v>
      </c>
      <c r="N65" s="30">
        <v>-117.44184</v>
      </c>
      <c r="O65" s="30">
        <v>-23.314080000000001</v>
      </c>
      <c r="P65" s="30"/>
      <c r="Q65" s="30"/>
      <c r="R65" s="30">
        <v>-183.70407</v>
      </c>
      <c r="S65" s="30">
        <v>-75.100499999999997</v>
      </c>
      <c r="T65" s="30">
        <v>-855.26310000000001</v>
      </c>
      <c r="U65" s="30">
        <v>-192.22494</v>
      </c>
      <c r="V65" s="30"/>
      <c r="W65" s="30">
        <v>-5.8743400000000001</v>
      </c>
      <c r="X65" s="30"/>
      <c r="Y65" s="30">
        <v>-70.195840000000004</v>
      </c>
      <c r="Z65" s="30"/>
      <c r="AA65" s="30">
        <v>-417.98307999999997</v>
      </c>
      <c r="AB65" s="30"/>
      <c r="AC65" s="30">
        <v>-44.810119999999998</v>
      </c>
      <c r="AD65" s="30"/>
      <c r="AE65" s="30">
        <v>-214.14178999999999</v>
      </c>
      <c r="AF65" s="30">
        <v>-135.62737000000001</v>
      </c>
      <c r="AG65" s="30"/>
      <c r="AH65" s="30">
        <v>-16.095120000000001</v>
      </c>
      <c r="AI65" s="30">
        <v>-64.224329999999995</v>
      </c>
      <c r="AJ65" s="15">
        <v>-59.62144</v>
      </c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</row>
    <row r="66" spans="2:48" ht="16" customHeight="1" x14ac:dyDescent="0.45">
      <c r="B66" s="14" t="s">
        <v>130</v>
      </c>
      <c r="C66" s="14" t="s">
        <v>131</v>
      </c>
      <c r="D66" s="61"/>
      <c r="E66" s="62">
        <v>-1463.2139999999999</v>
      </c>
      <c r="F66" s="61"/>
      <c r="G66" s="30"/>
      <c r="H66" s="30">
        <v>-524.06899999999996</v>
      </c>
      <c r="I66" s="30"/>
      <c r="J66" s="30"/>
      <c r="K66" s="30"/>
      <c r="L66" s="30"/>
      <c r="M66" s="30"/>
      <c r="N66" s="30">
        <v>-77.582999999999998</v>
      </c>
      <c r="O66" s="30"/>
      <c r="P66" s="30"/>
      <c r="Q66" s="30"/>
      <c r="R66" s="30">
        <v>-318.971</v>
      </c>
      <c r="S66" s="30"/>
      <c r="T66" s="30">
        <v>-322.798</v>
      </c>
      <c r="U66" s="30"/>
      <c r="V66" s="30"/>
      <c r="W66" s="30">
        <v>-217.89599999999999</v>
      </c>
      <c r="X66" s="30"/>
      <c r="Y66" s="30"/>
      <c r="Z66" s="30"/>
      <c r="AA66" s="30">
        <v>-1.897</v>
      </c>
      <c r="AB66" s="30"/>
      <c r="AC66" s="30"/>
      <c r="AD66" s="30"/>
      <c r="AE66" s="30"/>
      <c r="AF66" s="30"/>
      <c r="AG66" s="30"/>
      <c r="AH66" s="30"/>
      <c r="AI66" s="30"/>
      <c r="AJ66" s="15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</row>
    <row r="67" spans="2:48" ht="16" customHeight="1" x14ac:dyDescent="0.45">
      <c r="B67" s="14" t="s">
        <v>119</v>
      </c>
      <c r="C67" s="14" t="s">
        <v>1151</v>
      </c>
      <c r="D67" s="61"/>
      <c r="E67" s="62">
        <v>-22278.571540000001</v>
      </c>
      <c r="F67" s="61"/>
      <c r="G67" s="30"/>
      <c r="H67" s="30">
        <v>-141.99853999999999</v>
      </c>
      <c r="I67" s="30">
        <v>-1630.4580900000001</v>
      </c>
      <c r="J67" s="30">
        <v>-630.16305</v>
      </c>
      <c r="K67" s="30"/>
      <c r="L67" s="30"/>
      <c r="M67" s="30">
        <v>-56.94294</v>
      </c>
      <c r="N67" s="30">
        <v>-629.97929999999997</v>
      </c>
      <c r="O67" s="30">
        <v>-93.332470000000001</v>
      </c>
      <c r="P67" s="30"/>
      <c r="Q67" s="30"/>
      <c r="R67" s="30">
        <v>-5840.8479500000003</v>
      </c>
      <c r="S67" s="30">
        <v>-1348.57267</v>
      </c>
      <c r="T67" s="30">
        <v>-4157.12435</v>
      </c>
      <c r="U67" s="30">
        <v>-1.4E-3</v>
      </c>
      <c r="V67" s="30"/>
      <c r="W67" s="30">
        <v>-628.02295000000004</v>
      </c>
      <c r="X67" s="30"/>
      <c r="Y67" s="30">
        <v>-323.49077</v>
      </c>
      <c r="Z67" s="30"/>
      <c r="AA67" s="30">
        <v>-1714.7142699999999</v>
      </c>
      <c r="AB67" s="30"/>
      <c r="AC67" s="30">
        <v>-253.71134000000001</v>
      </c>
      <c r="AD67" s="30"/>
      <c r="AE67" s="30">
        <v>-2701.3743100000002</v>
      </c>
      <c r="AF67" s="30">
        <v>-807.72883000000002</v>
      </c>
      <c r="AG67" s="30">
        <v>-79.460350000000005</v>
      </c>
      <c r="AH67" s="30">
        <v>-57.198900000000002</v>
      </c>
      <c r="AI67" s="30">
        <v>-658.91678999999999</v>
      </c>
      <c r="AJ67" s="15">
        <v>-524.53227000000004</v>
      </c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</row>
    <row r="68" spans="2:48" ht="16" customHeight="1" x14ac:dyDescent="0.45">
      <c r="B68" s="14" t="s">
        <v>109</v>
      </c>
      <c r="C68" s="14" t="s">
        <v>110</v>
      </c>
      <c r="D68" s="61"/>
      <c r="E68" s="62"/>
      <c r="F68" s="61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15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</row>
    <row r="69" spans="2:48" ht="16" customHeight="1" x14ac:dyDescent="0.45">
      <c r="B69" s="14" t="s">
        <v>111</v>
      </c>
      <c r="C69" s="14" t="s">
        <v>112</v>
      </c>
      <c r="D69" s="61"/>
      <c r="E69" s="62"/>
      <c r="F69" s="61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15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</row>
    <row r="70" spans="2:48" ht="16" customHeight="1" x14ac:dyDescent="0.45">
      <c r="B70" s="14" t="s">
        <v>1152</v>
      </c>
      <c r="C70" s="14" t="s">
        <v>1153</v>
      </c>
      <c r="D70" s="61"/>
      <c r="E70" s="62"/>
      <c r="F70" s="61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15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</row>
    <row r="71" spans="2:48" ht="16" customHeight="1" x14ac:dyDescent="0.45">
      <c r="B71" s="14" t="s">
        <v>134</v>
      </c>
      <c r="C71" s="14" t="s">
        <v>135</v>
      </c>
      <c r="D71" s="61"/>
      <c r="E71" s="62"/>
      <c r="F71" s="61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15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</row>
    <row r="72" spans="2:48" ht="16" customHeight="1" x14ac:dyDescent="0.45">
      <c r="B72" s="14" t="s">
        <v>122</v>
      </c>
      <c r="C72" s="14" t="s">
        <v>1154</v>
      </c>
      <c r="D72" s="61"/>
      <c r="E72" s="62"/>
      <c r="F72" s="61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15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</row>
    <row r="73" spans="2:48" ht="16" customHeight="1" x14ac:dyDescent="0.45">
      <c r="B73" s="14" t="s">
        <v>166</v>
      </c>
      <c r="C73" s="14" t="s">
        <v>167</v>
      </c>
      <c r="D73" s="61"/>
      <c r="E73" s="62"/>
      <c r="F73" s="61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15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</row>
    <row r="74" spans="2:48" ht="16" customHeight="1" x14ac:dyDescent="0.45">
      <c r="B74" s="14" t="s">
        <v>101</v>
      </c>
      <c r="C74" s="14" t="s">
        <v>1155</v>
      </c>
      <c r="D74" s="61"/>
      <c r="E74" s="62"/>
      <c r="F74" s="61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15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</row>
    <row r="75" spans="2:48" ht="16" customHeight="1" x14ac:dyDescent="0.45">
      <c r="B75" s="14" t="s">
        <v>89</v>
      </c>
      <c r="C75" s="14" t="s">
        <v>1156</v>
      </c>
      <c r="D75" s="61"/>
      <c r="E75" s="62"/>
      <c r="F75" s="61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15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</row>
    <row r="76" spans="2:48" ht="16" customHeight="1" x14ac:dyDescent="0.45">
      <c r="B76" s="14" t="s">
        <v>37</v>
      </c>
      <c r="C76" s="14" t="s">
        <v>1157</v>
      </c>
      <c r="D76" s="61"/>
      <c r="E76" s="62"/>
      <c r="F76" s="61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15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</row>
    <row r="77" spans="2:48" ht="16" customHeight="1" x14ac:dyDescent="0.45">
      <c r="B77" s="14" t="s">
        <v>67</v>
      </c>
      <c r="C77" s="14" t="s">
        <v>1158</v>
      </c>
      <c r="D77" s="61"/>
      <c r="E77" s="62"/>
      <c r="F77" s="61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15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</row>
    <row r="78" spans="2:48" ht="16" customHeight="1" x14ac:dyDescent="0.45">
      <c r="B78" s="14" t="s">
        <v>237</v>
      </c>
      <c r="C78" s="14" t="s">
        <v>238</v>
      </c>
      <c r="D78" s="61"/>
      <c r="E78" s="62"/>
      <c r="F78" s="61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15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</row>
    <row r="79" spans="2:48" ht="16" customHeight="1" x14ac:dyDescent="0.45">
      <c r="B79" s="14" t="s">
        <v>235</v>
      </c>
      <c r="C79" s="14" t="s">
        <v>236</v>
      </c>
      <c r="D79" s="61"/>
      <c r="E79" s="62">
        <v>0</v>
      </c>
      <c r="F79" s="61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>
        <v>0</v>
      </c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15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</row>
    <row r="80" spans="2:48" ht="16" customHeight="1" x14ac:dyDescent="0.45">
      <c r="B80" s="14" t="s">
        <v>239</v>
      </c>
      <c r="C80" s="14" t="s">
        <v>1159</v>
      </c>
      <c r="D80" s="61"/>
      <c r="E80" s="62"/>
      <c r="F80" s="61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15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</row>
    <row r="81" spans="2:48" ht="16" customHeight="1" x14ac:dyDescent="0.45">
      <c r="B81" s="14" t="s">
        <v>241</v>
      </c>
      <c r="C81" s="14" t="s">
        <v>1160</v>
      </c>
      <c r="D81" s="61"/>
      <c r="E81" s="62"/>
      <c r="F81" s="61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15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</row>
    <row r="82" spans="2:48" ht="16" customHeight="1" x14ac:dyDescent="0.45">
      <c r="B82" s="14" t="s">
        <v>1161</v>
      </c>
      <c r="C82" s="14" t="s">
        <v>1162</v>
      </c>
      <c r="D82" s="61"/>
      <c r="E82" s="62"/>
      <c r="F82" s="61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15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</row>
    <row r="83" spans="2:48" ht="16" customHeight="1" x14ac:dyDescent="0.45">
      <c r="B83" s="14" t="s">
        <v>249</v>
      </c>
      <c r="C83" s="14" t="s">
        <v>250</v>
      </c>
      <c r="D83" s="61"/>
      <c r="E83" s="62">
        <v>-124417.72258</v>
      </c>
      <c r="F83" s="61"/>
      <c r="G83" s="30">
        <v>-138147.16899999999</v>
      </c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>
        <v>3.2722600000000002</v>
      </c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>
        <v>13726.17416</v>
      </c>
      <c r="AH83" s="30"/>
      <c r="AI83" s="30"/>
      <c r="AJ83" s="15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</row>
    <row r="84" spans="2:48" ht="16" customHeight="1" x14ac:dyDescent="0.45">
      <c r="B84" s="14" t="s">
        <v>251</v>
      </c>
      <c r="C84" s="14" t="s">
        <v>252</v>
      </c>
      <c r="D84" s="61"/>
      <c r="E84" s="62">
        <v>8436.5139999999992</v>
      </c>
      <c r="F84" s="61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>
        <v>8436.5139999999992</v>
      </c>
      <c r="AH84" s="30"/>
      <c r="AI84" s="30"/>
      <c r="AJ84" s="15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</row>
    <row r="85" spans="2:48" ht="16" customHeight="1" x14ac:dyDescent="0.45">
      <c r="B85" s="14" t="s">
        <v>172</v>
      </c>
      <c r="C85" s="14" t="s">
        <v>173</v>
      </c>
      <c r="D85" s="61"/>
      <c r="E85" s="62"/>
      <c r="F85" s="61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15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</row>
    <row r="86" spans="2:48" ht="16" customHeight="1" x14ac:dyDescent="0.45">
      <c r="B86" s="14" t="s">
        <v>176</v>
      </c>
      <c r="C86" s="14" t="s">
        <v>177</v>
      </c>
      <c r="D86" s="61"/>
      <c r="E86" s="62"/>
      <c r="F86" s="61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15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</row>
    <row r="87" spans="2:48" ht="16" customHeight="1" x14ac:dyDescent="0.45">
      <c r="B87" s="14" t="s">
        <v>174</v>
      </c>
      <c r="C87" s="14" t="s">
        <v>1163</v>
      </c>
      <c r="D87" s="61"/>
      <c r="E87" s="62"/>
      <c r="F87" s="61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15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</row>
    <row r="88" spans="2:48" ht="16" customHeight="1" x14ac:dyDescent="0.45">
      <c r="B88" s="14" t="s">
        <v>178</v>
      </c>
      <c r="C88" s="14" t="s">
        <v>179</v>
      </c>
      <c r="D88" s="61"/>
      <c r="E88" s="62"/>
      <c r="F88" s="61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15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</row>
    <row r="89" spans="2:48" ht="16" customHeight="1" x14ac:dyDescent="0.45">
      <c r="B89" s="14" t="s">
        <v>1164</v>
      </c>
      <c r="C89" s="14" t="s">
        <v>1165</v>
      </c>
      <c r="D89" s="61"/>
      <c r="E89" s="62"/>
      <c r="F89" s="61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15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</row>
    <row r="90" spans="2:48" ht="16" customHeight="1" x14ac:dyDescent="0.45">
      <c r="B90" s="14" t="s">
        <v>1166</v>
      </c>
      <c r="C90" s="14" t="s">
        <v>1167</v>
      </c>
      <c r="D90" s="61"/>
      <c r="E90" s="62"/>
      <c r="F90" s="61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15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</row>
    <row r="91" spans="2:48" ht="16" customHeight="1" x14ac:dyDescent="0.45">
      <c r="B91" s="14" t="s">
        <v>1168</v>
      </c>
      <c r="C91" s="14" t="s">
        <v>1169</v>
      </c>
      <c r="D91" s="61"/>
      <c r="E91" s="62"/>
      <c r="F91" s="61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15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</row>
    <row r="92" spans="2:48" ht="16" customHeight="1" x14ac:dyDescent="0.45">
      <c r="B92" s="14" t="s">
        <v>1170</v>
      </c>
      <c r="C92" s="14" t="s">
        <v>1171</v>
      </c>
      <c r="D92" s="61"/>
      <c r="E92" s="62"/>
      <c r="F92" s="61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15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</row>
    <row r="93" spans="2:48" ht="16" customHeight="1" x14ac:dyDescent="0.45">
      <c r="B93" s="14" t="s">
        <v>1172</v>
      </c>
      <c r="C93" s="14" t="s">
        <v>1173</v>
      </c>
      <c r="D93" s="61"/>
      <c r="E93" s="62"/>
      <c r="F93" s="61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15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</row>
    <row r="94" spans="2:48" ht="16" customHeight="1" x14ac:dyDescent="0.45">
      <c r="B94" s="14" t="s">
        <v>1174</v>
      </c>
      <c r="C94" s="14" t="s">
        <v>1175</v>
      </c>
      <c r="D94" s="61"/>
      <c r="E94" s="62"/>
      <c r="F94" s="61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15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</row>
    <row r="95" spans="2:48" ht="16" customHeight="1" x14ac:dyDescent="0.45">
      <c r="B95" s="14" t="s">
        <v>1176</v>
      </c>
      <c r="C95" s="14" t="s">
        <v>1177</v>
      </c>
      <c r="D95" s="61"/>
      <c r="E95" s="62"/>
      <c r="F95" s="61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15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</row>
    <row r="96" spans="2:48" ht="16" customHeight="1" x14ac:dyDescent="0.45">
      <c r="B96" s="14" t="s">
        <v>1178</v>
      </c>
      <c r="C96" s="14" t="s">
        <v>1179</v>
      </c>
      <c r="D96" s="61"/>
      <c r="E96" s="62"/>
      <c r="F96" s="61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15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</row>
    <row r="97" spans="2:48" ht="16" customHeight="1" x14ac:dyDescent="0.45">
      <c r="B97" s="14" t="s">
        <v>1180</v>
      </c>
      <c r="C97" s="14" t="s">
        <v>1181</v>
      </c>
      <c r="D97" s="61"/>
      <c r="E97" s="62"/>
      <c r="F97" s="61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15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</row>
    <row r="98" spans="2:48" ht="16" customHeight="1" x14ac:dyDescent="0.45">
      <c r="B98" s="14" t="s">
        <v>1182</v>
      </c>
      <c r="C98" s="14" t="s">
        <v>1183</v>
      </c>
      <c r="D98" s="61"/>
      <c r="E98" s="62"/>
      <c r="F98" s="61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15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</row>
    <row r="99" spans="2:48" ht="16" customHeight="1" x14ac:dyDescent="0.45">
      <c r="B99" s="14" t="s">
        <v>1184</v>
      </c>
      <c r="C99" s="14" t="s">
        <v>1185</v>
      </c>
      <c r="D99" s="61"/>
      <c r="E99" s="62"/>
      <c r="F99" s="61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15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</row>
    <row r="100" spans="2:48" ht="16" customHeight="1" x14ac:dyDescent="0.45">
      <c r="B100" s="14" t="s">
        <v>1186</v>
      </c>
      <c r="C100" s="14" t="s">
        <v>1187</v>
      </c>
      <c r="D100" s="61"/>
      <c r="E100" s="62">
        <v>608.67386999999997</v>
      </c>
      <c r="F100" s="61"/>
      <c r="G100" s="30">
        <v>608.67386999999997</v>
      </c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15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</row>
    <row r="101" spans="2:48" ht="16" customHeight="1" x14ac:dyDescent="0.45">
      <c r="B101" s="14" t="s">
        <v>183</v>
      </c>
      <c r="C101" s="14" t="s">
        <v>184</v>
      </c>
      <c r="D101" s="61"/>
      <c r="E101" s="62"/>
      <c r="F101" s="61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15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</row>
    <row r="102" spans="2:48" ht="16" customHeight="1" x14ac:dyDescent="0.45">
      <c r="B102" s="14" t="s">
        <v>189</v>
      </c>
      <c r="C102" s="14" t="s">
        <v>1188</v>
      </c>
      <c r="D102" s="61"/>
      <c r="E102" s="62"/>
      <c r="F102" s="61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15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</row>
    <row r="103" spans="2:48" ht="16" customHeight="1" x14ac:dyDescent="0.45">
      <c r="B103" s="14" t="s">
        <v>1189</v>
      </c>
      <c r="C103" s="14" t="s">
        <v>1190</v>
      </c>
      <c r="D103" s="61"/>
      <c r="E103" s="62"/>
      <c r="F103" s="61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15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</row>
    <row r="104" spans="2:48" ht="16" customHeight="1" x14ac:dyDescent="0.45">
      <c r="B104" s="14" t="s">
        <v>1191</v>
      </c>
      <c r="C104" s="14" t="s">
        <v>1192</v>
      </c>
      <c r="D104" s="61"/>
      <c r="E104" s="62"/>
      <c r="F104" s="61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15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</row>
    <row r="105" spans="2:48" ht="16" customHeight="1" x14ac:dyDescent="0.45">
      <c r="B105" s="14" t="s">
        <v>1193</v>
      </c>
      <c r="C105" s="14" t="s">
        <v>1194</v>
      </c>
      <c r="D105" s="61"/>
      <c r="E105" s="62"/>
      <c r="F105" s="61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15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</row>
    <row r="106" spans="2:48" ht="16" customHeight="1" x14ac:dyDescent="0.45">
      <c r="B106" s="14" t="s">
        <v>1195</v>
      </c>
      <c r="C106" s="14" t="s">
        <v>1196</v>
      </c>
      <c r="D106" s="61"/>
      <c r="E106" s="62"/>
      <c r="F106" s="61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15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</row>
    <row r="107" spans="2:48" ht="16" customHeight="1" x14ac:dyDescent="0.45">
      <c r="B107" s="14" t="s">
        <v>1197</v>
      </c>
      <c r="C107" s="14" t="s">
        <v>1198</v>
      </c>
      <c r="D107" s="61"/>
      <c r="E107" s="62"/>
      <c r="F107" s="61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15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</row>
    <row r="108" spans="2:48" ht="16" customHeight="1" x14ac:dyDescent="0.45">
      <c r="B108" s="14" t="s">
        <v>1199</v>
      </c>
      <c r="C108" s="14" t="s">
        <v>1200</v>
      </c>
      <c r="D108" s="61"/>
      <c r="E108" s="62"/>
      <c r="F108" s="61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15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</row>
    <row r="109" spans="2:48" ht="16" customHeight="1" x14ac:dyDescent="0.45">
      <c r="B109" s="14" t="s">
        <v>1201</v>
      </c>
      <c r="C109" s="14" t="s">
        <v>1202</v>
      </c>
      <c r="D109" s="61"/>
      <c r="E109" s="62"/>
      <c r="F109" s="61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15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</row>
    <row r="110" spans="2:48" ht="16" customHeight="1" x14ac:dyDescent="0.45">
      <c r="B110" s="14" t="s">
        <v>1203</v>
      </c>
      <c r="C110" s="14" t="s">
        <v>1204</v>
      </c>
      <c r="D110" s="61"/>
      <c r="E110" s="62"/>
      <c r="F110" s="61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15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</row>
    <row r="111" spans="2:48" ht="16" customHeight="1" x14ac:dyDescent="0.45">
      <c r="B111" s="14" t="s">
        <v>1205</v>
      </c>
      <c r="C111" s="14" t="s">
        <v>1206</v>
      </c>
      <c r="D111" s="61"/>
      <c r="E111" s="62"/>
      <c r="F111" s="61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15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</row>
    <row r="112" spans="2:48" ht="16" customHeight="1" x14ac:dyDescent="0.45">
      <c r="B112" s="14" t="s">
        <v>1207</v>
      </c>
      <c r="C112" s="14" t="s">
        <v>1208</v>
      </c>
      <c r="D112" s="61"/>
      <c r="E112" s="62">
        <v>-9007.30278</v>
      </c>
      <c r="F112" s="61"/>
      <c r="G112" s="30">
        <v>-8951.6590099999994</v>
      </c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>
        <v>0</v>
      </c>
      <c r="S112" s="30">
        <v>48.878639999999997</v>
      </c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>
        <v>-95.034540000000007</v>
      </c>
      <c r="AG112" s="30">
        <v>-9.4878699999999991</v>
      </c>
      <c r="AH112" s="30"/>
      <c r="AI112" s="30"/>
      <c r="AJ112" s="15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</row>
    <row r="113" spans="2:48" ht="16" customHeight="1" x14ac:dyDescent="0.45">
      <c r="B113" s="14" t="s">
        <v>1209</v>
      </c>
      <c r="C113" s="14" t="s">
        <v>1210</v>
      </c>
      <c r="D113" s="61"/>
      <c r="E113" s="62">
        <v>-3.7158500000000001</v>
      </c>
      <c r="F113" s="61"/>
      <c r="G113" s="30"/>
      <c r="H113" s="30">
        <v>0.25814999999999999</v>
      </c>
      <c r="I113" s="30">
        <v>-9.0569999999999998E-2</v>
      </c>
      <c r="J113" s="30">
        <v>-0.11852</v>
      </c>
      <c r="K113" s="30"/>
      <c r="L113" s="30"/>
      <c r="M113" s="30"/>
      <c r="N113" s="30"/>
      <c r="O113" s="30"/>
      <c r="P113" s="30"/>
      <c r="Q113" s="30"/>
      <c r="R113" s="30"/>
      <c r="S113" s="30">
        <v>-2.97241</v>
      </c>
      <c r="T113" s="30"/>
      <c r="U113" s="30"/>
      <c r="V113" s="30"/>
      <c r="W113" s="30">
        <v>-0.10111000000000001</v>
      </c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15">
        <v>-0.69138999999999995</v>
      </c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</row>
    <row r="114" spans="2:48" ht="16" customHeight="1" x14ac:dyDescent="0.45">
      <c r="B114" s="14" t="s">
        <v>1211</v>
      </c>
      <c r="C114" s="14" t="s">
        <v>1212</v>
      </c>
      <c r="D114" s="61"/>
      <c r="E114" s="62"/>
      <c r="F114" s="61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15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</row>
    <row r="115" spans="2:48" ht="16" customHeight="1" x14ac:dyDescent="0.45">
      <c r="B115" s="14" t="s">
        <v>1213</v>
      </c>
      <c r="C115" s="14" t="s">
        <v>1214</v>
      </c>
      <c r="D115" s="61"/>
      <c r="E115" s="62"/>
      <c r="F115" s="61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15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</row>
    <row r="116" spans="2:48" ht="16" customHeight="1" x14ac:dyDescent="0.45">
      <c r="B116" s="14" t="s">
        <v>1215</v>
      </c>
      <c r="C116" s="14" t="s">
        <v>1216</v>
      </c>
      <c r="D116" s="61"/>
      <c r="E116" s="62"/>
      <c r="F116" s="61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15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</row>
    <row r="117" spans="2:48" ht="16" customHeight="1" x14ac:dyDescent="0.45">
      <c r="B117" s="14" t="s">
        <v>1217</v>
      </c>
      <c r="C117" s="14" t="s">
        <v>1218</v>
      </c>
      <c r="D117" s="61"/>
      <c r="E117" s="62">
        <v>-6186.9358899999997</v>
      </c>
      <c r="F117" s="61"/>
      <c r="G117" s="30">
        <v>-3212.4821999999999</v>
      </c>
      <c r="H117" s="30"/>
      <c r="I117" s="30"/>
      <c r="J117" s="30"/>
      <c r="K117" s="30"/>
      <c r="L117" s="30"/>
      <c r="M117" s="30"/>
      <c r="N117" s="30">
        <v>-7.5030200000000002</v>
      </c>
      <c r="O117" s="30"/>
      <c r="P117" s="30"/>
      <c r="Q117" s="30"/>
      <c r="R117" s="30">
        <v>-479.85066</v>
      </c>
      <c r="S117" s="30">
        <v>-50.890999999999998</v>
      </c>
      <c r="T117" s="30">
        <v>-246.87100000000001</v>
      </c>
      <c r="U117" s="30">
        <v>-89.46</v>
      </c>
      <c r="V117" s="30">
        <v>-18.571000000000002</v>
      </c>
      <c r="W117" s="30"/>
      <c r="X117" s="30"/>
      <c r="Y117" s="30">
        <v>-13.351000000000001</v>
      </c>
      <c r="Z117" s="30"/>
      <c r="AA117" s="30">
        <v>-4.6349999999999998</v>
      </c>
      <c r="AB117" s="30"/>
      <c r="AC117" s="30"/>
      <c r="AD117" s="30"/>
      <c r="AE117" s="30">
        <v>-50.942</v>
      </c>
      <c r="AF117" s="30">
        <v>-35.433999999999997</v>
      </c>
      <c r="AG117" s="30">
        <v>-1976.9450099999999</v>
      </c>
      <c r="AH117" s="30"/>
      <c r="AI117" s="30"/>
      <c r="AJ117" s="15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</row>
    <row r="118" spans="2:48" ht="16" customHeight="1" x14ac:dyDescent="0.45">
      <c r="B118" s="14" t="s">
        <v>1219</v>
      </c>
      <c r="C118" s="14" t="s">
        <v>1220</v>
      </c>
      <c r="D118" s="61"/>
      <c r="E118" s="62"/>
      <c r="F118" s="61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15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</row>
    <row r="119" spans="2:48" ht="16" customHeight="1" x14ac:dyDescent="0.45">
      <c r="B119" s="14" t="s">
        <v>1221</v>
      </c>
      <c r="C119" s="14" t="s">
        <v>1222</v>
      </c>
      <c r="D119" s="61"/>
      <c r="E119" s="62"/>
      <c r="F119" s="61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15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</row>
    <row r="120" spans="2:48" ht="16" customHeight="1" x14ac:dyDescent="0.45">
      <c r="B120" s="14" t="s">
        <v>1223</v>
      </c>
      <c r="C120" s="14" t="s">
        <v>1224</v>
      </c>
      <c r="D120" s="61"/>
      <c r="E120" s="62"/>
      <c r="F120" s="61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15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</row>
    <row r="121" spans="2:48" ht="16" customHeight="1" x14ac:dyDescent="0.45">
      <c r="B121" s="14" t="s">
        <v>1225</v>
      </c>
      <c r="C121" s="14" t="s">
        <v>1226</v>
      </c>
      <c r="D121" s="61"/>
      <c r="E121" s="62"/>
      <c r="F121" s="61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15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</row>
    <row r="122" spans="2:48" ht="16" customHeight="1" x14ac:dyDescent="0.45">
      <c r="B122" s="14" t="s">
        <v>1227</v>
      </c>
      <c r="C122" s="14" t="s">
        <v>1228</v>
      </c>
      <c r="D122" s="61"/>
      <c r="E122" s="62">
        <v>-2627.0178799999999</v>
      </c>
      <c r="F122" s="61"/>
      <c r="G122" s="30"/>
      <c r="H122" s="30">
        <v>-17.835899999999999</v>
      </c>
      <c r="I122" s="30">
        <v>-192.59755000000001</v>
      </c>
      <c r="J122" s="30">
        <v>-37.778199999999998</v>
      </c>
      <c r="K122" s="30"/>
      <c r="L122" s="30"/>
      <c r="M122" s="30">
        <v>-9.3889099999999992</v>
      </c>
      <c r="N122" s="30">
        <v>-55.922420000000002</v>
      </c>
      <c r="O122" s="30">
        <v>-13.867229999999999</v>
      </c>
      <c r="P122" s="30"/>
      <c r="Q122" s="30"/>
      <c r="R122" s="30">
        <v>-838.85545000000002</v>
      </c>
      <c r="S122" s="30">
        <v>-173.09917999999999</v>
      </c>
      <c r="T122" s="30">
        <v>-589.75046999999995</v>
      </c>
      <c r="U122" s="30"/>
      <c r="V122" s="30"/>
      <c r="W122" s="30">
        <v>-79.736609999999999</v>
      </c>
      <c r="X122" s="30"/>
      <c r="Y122" s="30">
        <v>-51.182499999999997</v>
      </c>
      <c r="Z122" s="30">
        <v>-7.0650000000000004E-2</v>
      </c>
      <c r="AA122" s="30">
        <v>-188.60821000000001</v>
      </c>
      <c r="AB122" s="30"/>
      <c r="AC122" s="30">
        <v>-17.91553</v>
      </c>
      <c r="AD122" s="30"/>
      <c r="AE122" s="30">
        <v>-337.18011999999999</v>
      </c>
      <c r="AF122" s="30">
        <v>116.9718</v>
      </c>
      <c r="AG122" s="30">
        <v>-14.68154</v>
      </c>
      <c r="AH122" s="30">
        <v>-7.7303800000000003</v>
      </c>
      <c r="AI122" s="30">
        <v>-55.153019999999998</v>
      </c>
      <c r="AJ122" s="15">
        <v>-62.635809999999999</v>
      </c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</row>
    <row r="123" spans="2:48" ht="16" customHeight="1" x14ac:dyDescent="0.45">
      <c r="B123" s="14" t="s">
        <v>1229</v>
      </c>
      <c r="C123" s="14" t="s">
        <v>1230</v>
      </c>
      <c r="D123" s="61"/>
      <c r="E123" s="62"/>
      <c r="F123" s="61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15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</row>
    <row r="124" spans="2:48" ht="16" customHeight="1" x14ac:dyDescent="0.45">
      <c r="B124" s="14" t="s">
        <v>1231</v>
      </c>
      <c r="C124" s="14" t="s">
        <v>1232</v>
      </c>
      <c r="D124" s="61"/>
      <c r="E124" s="62">
        <v>-7952.0918899999997</v>
      </c>
      <c r="F124" s="61"/>
      <c r="G124" s="30">
        <v>-7920.6611499999999</v>
      </c>
      <c r="H124" s="30">
        <v>3.0000000000000001E-5</v>
      </c>
      <c r="I124" s="30">
        <v>1.0000000000000001E-5</v>
      </c>
      <c r="J124" s="30">
        <v>1.22908</v>
      </c>
      <c r="K124" s="30"/>
      <c r="L124" s="30"/>
      <c r="M124" s="30"/>
      <c r="N124" s="30"/>
      <c r="O124" s="30"/>
      <c r="P124" s="30"/>
      <c r="Q124" s="30"/>
      <c r="R124" s="30">
        <v>-0.10494000000000001</v>
      </c>
      <c r="S124" s="30">
        <v>1.0000000000000001E-5</v>
      </c>
      <c r="T124" s="30">
        <v>-5.4497099999999996</v>
      </c>
      <c r="U124" s="30"/>
      <c r="V124" s="30"/>
      <c r="W124" s="30">
        <v>-1.20079</v>
      </c>
      <c r="X124" s="30">
        <v>-3.77881</v>
      </c>
      <c r="Y124" s="30"/>
      <c r="Z124" s="30"/>
      <c r="AA124" s="30">
        <v>-0.33174999999999999</v>
      </c>
      <c r="AB124" s="30">
        <v>0</v>
      </c>
      <c r="AC124" s="30"/>
      <c r="AD124" s="30"/>
      <c r="AE124" s="30">
        <v>-3.5E-4</v>
      </c>
      <c r="AF124" s="30">
        <v>1.112E-2</v>
      </c>
      <c r="AG124" s="30">
        <v>5.91845</v>
      </c>
      <c r="AH124" s="30">
        <v>-31.214659999999999</v>
      </c>
      <c r="AI124" s="30">
        <v>3.4915699999999998</v>
      </c>
      <c r="AJ124" s="15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</row>
    <row r="125" spans="2:48" ht="16" customHeight="1" x14ac:dyDescent="0.45">
      <c r="B125" s="14" t="s">
        <v>1233</v>
      </c>
      <c r="C125" s="14" t="s">
        <v>1234</v>
      </c>
      <c r="D125" s="61"/>
      <c r="E125" s="62">
        <v>15.60858</v>
      </c>
      <c r="F125" s="61"/>
      <c r="G125" s="30"/>
      <c r="H125" s="30"/>
      <c r="I125" s="30"/>
      <c r="J125" s="30">
        <v>14.03833</v>
      </c>
      <c r="K125" s="30"/>
      <c r="L125" s="30"/>
      <c r="M125" s="30"/>
      <c r="N125" s="30"/>
      <c r="O125" s="30"/>
      <c r="P125" s="30"/>
      <c r="Q125" s="30"/>
      <c r="R125" s="30">
        <v>0</v>
      </c>
      <c r="S125" s="30"/>
      <c r="T125" s="30">
        <v>0.18604999999999999</v>
      </c>
      <c r="U125" s="30"/>
      <c r="V125" s="30"/>
      <c r="W125" s="30">
        <v>3.0110000000000001</v>
      </c>
      <c r="X125" s="30"/>
      <c r="Y125" s="30"/>
      <c r="Z125" s="30"/>
      <c r="AA125" s="30">
        <v>0</v>
      </c>
      <c r="AB125" s="30">
        <v>1.34E-3</v>
      </c>
      <c r="AC125" s="30"/>
      <c r="AD125" s="30"/>
      <c r="AE125" s="30">
        <v>0</v>
      </c>
      <c r="AF125" s="30">
        <v>0</v>
      </c>
      <c r="AG125" s="30">
        <v>3.0198100000000001</v>
      </c>
      <c r="AH125" s="30">
        <v>-1.15E-3</v>
      </c>
      <c r="AI125" s="30">
        <v>-4.6467999999999998</v>
      </c>
      <c r="AJ125" s="15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</row>
    <row r="126" spans="2:48" ht="16" customHeight="1" x14ac:dyDescent="0.45">
      <c r="B126" s="14" t="s">
        <v>1235</v>
      </c>
      <c r="C126" s="14" t="s">
        <v>1236</v>
      </c>
      <c r="D126" s="61"/>
      <c r="E126" s="62"/>
      <c r="F126" s="61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15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</row>
    <row r="127" spans="2:48" ht="16" customHeight="1" x14ac:dyDescent="0.45">
      <c r="B127" s="14" t="s">
        <v>194</v>
      </c>
      <c r="C127" s="14" t="s">
        <v>195</v>
      </c>
      <c r="D127" s="61"/>
      <c r="E127" s="62">
        <v>-7948.6327700000002</v>
      </c>
      <c r="F127" s="61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>
        <v>-7948.6327700000002</v>
      </c>
      <c r="AH127" s="30"/>
      <c r="AI127" s="30"/>
      <c r="AJ127" s="15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</row>
    <row r="128" spans="2:48" ht="16" customHeight="1" x14ac:dyDescent="0.45">
      <c r="B128" s="14" t="s">
        <v>216</v>
      </c>
      <c r="C128" s="14" t="s">
        <v>1237</v>
      </c>
      <c r="D128" s="61"/>
      <c r="E128" s="62"/>
      <c r="F128" s="61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15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</row>
    <row r="129" spans="2:48" ht="16" customHeight="1" x14ac:dyDescent="0.45">
      <c r="B129" s="14" t="s">
        <v>220</v>
      </c>
      <c r="C129" s="14" t="s">
        <v>221</v>
      </c>
      <c r="D129" s="61"/>
      <c r="E129" s="62"/>
      <c r="F129" s="61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15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</row>
    <row r="130" spans="2:48" ht="16" customHeight="1" x14ac:dyDescent="0.45">
      <c r="B130" s="14" t="s">
        <v>1238</v>
      </c>
      <c r="C130" s="14" t="s">
        <v>1239</v>
      </c>
      <c r="D130" s="61"/>
      <c r="E130" s="62">
        <v>-13952.15144</v>
      </c>
      <c r="F130" s="61"/>
      <c r="G130" s="30"/>
      <c r="H130" s="30">
        <v>-217.89774</v>
      </c>
      <c r="I130" s="30">
        <v>-3990.8626800000002</v>
      </c>
      <c r="J130" s="30">
        <v>-626.75626999999997</v>
      </c>
      <c r="K130" s="30"/>
      <c r="L130" s="30"/>
      <c r="M130" s="30"/>
      <c r="N130" s="30"/>
      <c r="O130" s="30"/>
      <c r="P130" s="30"/>
      <c r="Q130" s="30"/>
      <c r="R130" s="30">
        <v>-2354.27018</v>
      </c>
      <c r="S130" s="30">
        <v>-1203.28449</v>
      </c>
      <c r="T130" s="30">
        <v>-1684.6386399999999</v>
      </c>
      <c r="U130" s="30"/>
      <c r="V130" s="30"/>
      <c r="W130" s="30"/>
      <c r="X130" s="30"/>
      <c r="Y130" s="30">
        <v>-246.62197</v>
      </c>
      <c r="Z130" s="30"/>
      <c r="AA130" s="30">
        <v>-849.73652000000004</v>
      </c>
      <c r="AB130" s="30"/>
      <c r="AC130" s="30"/>
      <c r="AD130" s="30"/>
      <c r="AE130" s="30">
        <v>-2314.4989799999998</v>
      </c>
      <c r="AF130" s="30">
        <v>-471.19204999999999</v>
      </c>
      <c r="AG130" s="30">
        <v>-578.25800000000004</v>
      </c>
      <c r="AH130" s="30">
        <v>-13.26732</v>
      </c>
      <c r="AI130" s="30">
        <v>-13.26732</v>
      </c>
      <c r="AJ130" s="15">
        <v>612.40071999999998</v>
      </c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</row>
    <row r="131" spans="2:48" ht="16" customHeight="1" x14ac:dyDescent="0.45">
      <c r="B131" s="14" t="s">
        <v>1240</v>
      </c>
      <c r="C131" s="14" t="s">
        <v>1241</v>
      </c>
      <c r="D131" s="61"/>
      <c r="E131" s="62">
        <v>-11320.543079999999</v>
      </c>
      <c r="F131" s="61"/>
      <c r="G131" s="30"/>
      <c r="H131" s="30">
        <v>-243.84643</v>
      </c>
      <c r="I131" s="30">
        <v>-4339.6876099999999</v>
      </c>
      <c r="J131" s="30">
        <v>-538.32263999999998</v>
      </c>
      <c r="K131" s="30"/>
      <c r="L131" s="30"/>
      <c r="M131" s="30"/>
      <c r="N131" s="30"/>
      <c r="O131" s="30"/>
      <c r="P131" s="30"/>
      <c r="Q131" s="30"/>
      <c r="R131" s="30">
        <v>-846.37987999999996</v>
      </c>
      <c r="S131" s="30">
        <v>-152.77737999999999</v>
      </c>
      <c r="T131" s="30">
        <v>-843.24149999999997</v>
      </c>
      <c r="U131" s="30"/>
      <c r="V131" s="30"/>
      <c r="W131" s="30"/>
      <c r="X131" s="30"/>
      <c r="Y131" s="30">
        <v>-279.50497999999999</v>
      </c>
      <c r="Z131" s="30"/>
      <c r="AA131" s="30">
        <v>-524.27674999999999</v>
      </c>
      <c r="AB131" s="30"/>
      <c r="AC131" s="30"/>
      <c r="AD131" s="30"/>
      <c r="AE131" s="30">
        <v>-1802.37546</v>
      </c>
      <c r="AF131" s="30">
        <v>-178.82223999999999</v>
      </c>
      <c r="AG131" s="30">
        <v>1.0000000000000001E-5</v>
      </c>
      <c r="AH131" s="30">
        <v>-839.96631000000002</v>
      </c>
      <c r="AI131" s="30">
        <v>-839.96631000000002</v>
      </c>
      <c r="AJ131" s="15">
        <v>108.62439999999999</v>
      </c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</row>
    <row r="132" spans="2:48" ht="16" customHeight="1" x14ac:dyDescent="0.45">
      <c r="B132" s="14" t="s">
        <v>1242</v>
      </c>
      <c r="C132" s="14" t="s">
        <v>1243</v>
      </c>
      <c r="D132" s="61"/>
      <c r="E132" s="62"/>
      <c r="F132" s="61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15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</row>
    <row r="133" spans="2:48" ht="16" customHeight="1" x14ac:dyDescent="0.45">
      <c r="B133" s="14" t="s">
        <v>1244</v>
      </c>
      <c r="C133" s="14" t="s">
        <v>1245</v>
      </c>
      <c r="D133" s="61"/>
      <c r="E133" s="62"/>
      <c r="F133" s="61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15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</row>
    <row r="134" spans="2:48" ht="16" customHeight="1" x14ac:dyDescent="0.45">
      <c r="B134" s="14" t="s">
        <v>1246</v>
      </c>
      <c r="C134" s="14" t="s">
        <v>1247</v>
      </c>
      <c r="D134" s="61"/>
      <c r="E134" s="62"/>
      <c r="F134" s="61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15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</row>
    <row r="135" spans="2:48" ht="16" customHeight="1" x14ac:dyDescent="0.45">
      <c r="B135" s="14" t="s">
        <v>1248</v>
      </c>
      <c r="C135" s="14" t="s">
        <v>1249</v>
      </c>
      <c r="D135" s="61"/>
      <c r="E135" s="62"/>
      <c r="F135" s="61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15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</row>
    <row r="136" spans="2:48" ht="16" customHeight="1" x14ac:dyDescent="0.45">
      <c r="B136" s="14" t="s">
        <v>1250</v>
      </c>
      <c r="C136" s="14" t="s">
        <v>1251</v>
      </c>
      <c r="D136" s="61"/>
      <c r="E136" s="62"/>
      <c r="F136" s="61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15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</row>
    <row r="137" spans="2:48" ht="16" customHeight="1" x14ac:dyDescent="0.45">
      <c r="B137" s="14" t="s">
        <v>1252</v>
      </c>
      <c r="C137" s="14" t="s">
        <v>1253</v>
      </c>
      <c r="D137" s="61"/>
      <c r="E137" s="62"/>
      <c r="F137" s="61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15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</row>
    <row r="138" spans="2:48" ht="16" customHeight="1" x14ac:dyDescent="0.45">
      <c r="B138" s="14" t="s">
        <v>1254</v>
      </c>
      <c r="C138" s="14" t="s">
        <v>1255</v>
      </c>
      <c r="D138" s="61"/>
      <c r="E138" s="62"/>
      <c r="F138" s="61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15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</row>
    <row r="139" spans="2:48" ht="16" customHeight="1" x14ac:dyDescent="0.45">
      <c r="B139" s="14" t="s">
        <v>1256</v>
      </c>
      <c r="C139" s="14" t="s">
        <v>1257</v>
      </c>
      <c r="D139" s="61"/>
      <c r="E139" s="62"/>
      <c r="F139" s="61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15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</row>
    <row r="140" spans="2:48" ht="16" customHeight="1" x14ac:dyDescent="0.45">
      <c r="B140" s="14" t="s">
        <v>1258</v>
      </c>
      <c r="C140" s="14" t="s">
        <v>1259</v>
      </c>
      <c r="D140" s="61"/>
      <c r="E140" s="62"/>
      <c r="F140" s="61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15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</row>
    <row r="141" spans="2:48" ht="16" customHeight="1" x14ac:dyDescent="0.45">
      <c r="B141" s="14" t="s">
        <v>218</v>
      </c>
      <c r="C141" s="14" t="s">
        <v>1260</v>
      </c>
      <c r="D141" s="61"/>
      <c r="E141" s="62"/>
      <c r="F141" s="61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15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</row>
    <row r="142" spans="2:48" ht="16" customHeight="1" x14ac:dyDescent="0.45">
      <c r="B142" s="14" t="s">
        <v>222</v>
      </c>
      <c r="C142" s="14" t="s">
        <v>223</v>
      </c>
      <c r="D142" s="61"/>
      <c r="E142" s="62"/>
      <c r="F142" s="61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15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</row>
    <row r="143" spans="2:48" ht="16" customHeight="1" x14ac:dyDescent="0.45">
      <c r="B143" s="14" t="s">
        <v>224</v>
      </c>
      <c r="C143" s="14" t="s">
        <v>225</v>
      </c>
      <c r="D143" s="61"/>
      <c r="E143" s="62"/>
      <c r="F143" s="61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15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</row>
    <row r="144" spans="2:48" ht="16" customHeight="1" x14ac:dyDescent="0.45">
      <c r="B144" s="14" t="s">
        <v>256</v>
      </c>
      <c r="C144" s="14" t="s">
        <v>1261</v>
      </c>
      <c r="D144" s="61"/>
      <c r="E144" s="62"/>
      <c r="F144" s="61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15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</row>
    <row r="145" spans="2:48" ht="16" customHeight="1" x14ac:dyDescent="0.45">
      <c r="B145" s="14" t="s">
        <v>262</v>
      </c>
      <c r="C145" s="14" t="s">
        <v>1262</v>
      </c>
      <c r="D145" s="61"/>
      <c r="E145" s="62"/>
      <c r="F145" s="61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15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</row>
    <row r="146" spans="2:48" ht="16" customHeight="1" x14ac:dyDescent="0.45">
      <c r="B146" s="14" t="s">
        <v>1263</v>
      </c>
      <c r="C146" s="14" t="s">
        <v>1264</v>
      </c>
      <c r="D146" s="61"/>
      <c r="E146" s="23">
        <v>248658.30802</v>
      </c>
      <c r="F146" s="63"/>
      <c r="G146" s="15">
        <v>276202.84373000002</v>
      </c>
      <c r="H146" s="15">
        <v>3863.3878399999999</v>
      </c>
      <c r="I146" s="15">
        <v>64961.064019999998</v>
      </c>
      <c r="J146" s="15">
        <v>17288.797030000002</v>
      </c>
      <c r="K146" s="15">
        <v>-2419.4300600000001</v>
      </c>
      <c r="L146" s="15">
        <v>-2115.4290099999998</v>
      </c>
      <c r="M146" s="15">
        <v>-7578.74586</v>
      </c>
      <c r="N146" s="15">
        <v>-38366.307789999999</v>
      </c>
      <c r="O146" s="15">
        <v>-9235.3269799999998</v>
      </c>
      <c r="P146" s="15">
        <v>372.07623999999998</v>
      </c>
      <c r="Q146" s="15">
        <v>288.79043999999999</v>
      </c>
      <c r="R146" s="15">
        <v>-24036.962920000002</v>
      </c>
      <c r="S146" s="15">
        <v>2821.2858099999999</v>
      </c>
      <c r="T146" s="15">
        <v>5825.2465700000002</v>
      </c>
      <c r="U146" s="15">
        <v>-2080.8537299999998</v>
      </c>
      <c r="V146" s="15">
        <v>-93.162999999999997</v>
      </c>
      <c r="W146" s="15">
        <v>-14722.18685</v>
      </c>
      <c r="X146" s="15">
        <v>19.176359999999999</v>
      </c>
      <c r="Y146" s="15">
        <v>-6795.4649200000003</v>
      </c>
      <c r="Z146" s="15">
        <v>-84.230019999999996</v>
      </c>
      <c r="AA146" s="15">
        <v>-9811.5166700000009</v>
      </c>
      <c r="AB146" s="15">
        <v>32.761009999999999</v>
      </c>
      <c r="AC146" s="15">
        <v>-6981.6208800000004</v>
      </c>
      <c r="AD146" s="15">
        <v>43.06147</v>
      </c>
      <c r="AE146" s="15">
        <v>16362.102430000001</v>
      </c>
      <c r="AF146" s="15">
        <v>-273.29336000000001</v>
      </c>
      <c r="AG146" s="15">
        <v>-7951.3607599999996</v>
      </c>
      <c r="AH146" s="15">
        <v>-306.79660999999999</v>
      </c>
      <c r="AI146" s="15">
        <v>-3283.9355399999999</v>
      </c>
      <c r="AJ146" s="15">
        <v>-3285.6599700000002</v>
      </c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</row>
    <row r="147" spans="2:48" ht="16" customHeight="1" x14ac:dyDescent="0.45">
      <c r="B147" s="13"/>
      <c r="C147" s="9"/>
      <c r="D147" s="9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spans="2:48" ht="16" customHeight="1" x14ac:dyDescent="0.45">
      <c r="B148" s="13"/>
      <c r="C148" s="9"/>
      <c r="D148" s="9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spans="2:48" ht="16" customHeight="1" x14ac:dyDescent="0.45">
      <c r="B149" s="13"/>
      <c r="C149" s="9"/>
      <c r="D149" s="9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spans="2:48" ht="16" customHeight="1" x14ac:dyDescent="0.45">
      <c r="B150" s="13"/>
      <c r="C150" s="9"/>
      <c r="D150" s="9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spans="2:48" ht="16" customHeight="1" x14ac:dyDescent="0.45">
      <c r="B151" s="13"/>
      <c r="C151" s="9"/>
      <c r="D151" s="9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spans="2:48" ht="16" customHeight="1" x14ac:dyDescent="0.45">
      <c r="B152" s="13"/>
      <c r="C152" s="9"/>
      <c r="D152" s="9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spans="2:48" ht="16" customHeight="1" x14ac:dyDescent="0.45">
      <c r="B153" s="13"/>
      <c r="C153" s="9"/>
      <c r="D153" s="9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spans="2:48" ht="16" customHeight="1" x14ac:dyDescent="0.45">
      <c r="B154" s="13"/>
      <c r="C154" s="9"/>
      <c r="D154" s="9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spans="2:48" ht="16" customHeight="1" x14ac:dyDescent="0.45">
      <c r="B155" s="13"/>
      <c r="C155" s="9"/>
      <c r="D155" s="9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spans="2:48" ht="16" customHeight="1" x14ac:dyDescent="0.45">
      <c r="B156" s="13"/>
      <c r="C156" s="9"/>
      <c r="D156" s="9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spans="2:48" ht="16" customHeight="1" x14ac:dyDescent="0.45">
      <c r="B157" s="13"/>
      <c r="C157" s="9"/>
      <c r="D157" s="9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spans="2:48" ht="16" customHeight="1" x14ac:dyDescent="0.45">
      <c r="B158" s="13"/>
      <c r="C158" s="9"/>
      <c r="D158" s="9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spans="2:48" ht="16" customHeight="1" x14ac:dyDescent="0.45">
      <c r="B159" s="13"/>
      <c r="C159" s="9"/>
      <c r="D159" s="9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spans="2:48" ht="16" customHeight="1" x14ac:dyDescent="0.45">
      <c r="B160" s="13"/>
      <c r="C160" s="9"/>
      <c r="D160" s="9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spans="2:19" ht="16" customHeight="1" x14ac:dyDescent="0.45">
      <c r="B161" s="13"/>
      <c r="C161" s="9"/>
      <c r="D161" s="9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spans="2:19" ht="16" customHeight="1" x14ac:dyDescent="0.45">
      <c r="B162" s="13"/>
      <c r="C162" s="9"/>
      <c r="D162" s="9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spans="2:19" ht="16" customHeight="1" x14ac:dyDescent="0.45">
      <c r="B163" s="13"/>
      <c r="C163" s="9"/>
      <c r="D163" s="9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spans="2:19" ht="16" customHeight="1" x14ac:dyDescent="0.45">
      <c r="B164" s="13"/>
      <c r="C164" s="9"/>
      <c r="D164" s="9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spans="2:19" ht="16" customHeight="1" x14ac:dyDescent="0.45">
      <c r="B165" s="13"/>
      <c r="C165" s="9"/>
      <c r="D165" s="9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spans="2:19" ht="16" customHeight="1" x14ac:dyDescent="0.45">
      <c r="B166" s="13"/>
      <c r="C166" s="9"/>
      <c r="D166" s="9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spans="2:19" ht="16" customHeight="1" x14ac:dyDescent="0.45">
      <c r="B167" s="13"/>
      <c r="C167" s="9"/>
      <c r="D167" s="9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spans="2:19" ht="16" customHeight="1" x14ac:dyDescent="0.45">
      <c r="B168" s="13"/>
      <c r="C168" s="9"/>
      <c r="D168" s="9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spans="2:19" ht="16" customHeight="1" x14ac:dyDescent="0.45">
      <c r="B169" s="13"/>
      <c r="C169" s="9"/>
      <c r="D169" s="9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spans="2:19" ht="16" customHeight="1" x14ac:dyDescent="0.45">
      <c r="B170" s="13"/>
      <c r="C170" s="9"/>
      <c r="D170" s="9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spans="2:19" ht="16" customHeight="1" x14ac:dyDescent="0.45">
      <c r="B171" s="13"/>
      <c r="C171" s="9"/>
      <c r="D171" s="9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spans="2:19" ht="16" customHeight="1" x14ac:dyDescent="0.45">
      <c r="B172" s="13"/>
      <c r="C172" s="9"/>
      <c r="D172" s="9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spans="2:19" ht="16" customHeight="1" x14ac:dyDescent="0.45">
      <c r="B173" s="13"/>
      <c r="C173" s="9"/>
      <c r="D173" s="9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spans="2:19" ht="16" customHeight="1" x14ac:dyDescent="0.45">
      <c r="B174" s="13"/>
      <c r="C174" s="9"/>
      <c r="D174" s="9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spans="2:19" ht="16" customHeight="1" x14ac:dyDescent="0.45">
      <c r="B175" s="13"/>
      <c r="C175" s="9"/>
      <c r="D175" s="9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spans="2:19" ht="16" customHeight="1" x14ac:dyDescent="0.45">
      <c r="B176" s="13"/>
      <c r="C176" s="9"/>
      <c r="D176" s="9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spans="2:19" ht="16" customHeight="1" x14ac:dyDescent="0.45">
      <c r="B177" s="13"/>
      <c r="C177" s="9"/>
      <c r="D177" s="9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spans="2:19" ht="16" customHeight="1" x14ac:dyDescent="0.45">
      <c r="B178" s="13"/>
      <c r="C178" s="9"/>
      <c r="D178" s="9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spans="2:19" ht="16" customHeight="1" x14ac:dyDescent="0.45">
      <c r="B179" s="13"/>
      <c r="C179" s="9"/>
      <c r="D179" s="9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spans="2:19" ht="16" customHeight="1" x14ac:dyDescent="0.45">
      <c r="B180" s="13"/>
      <c r="C180" s="9"/>
      <c r="D180" s="9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spans="2:19" ht="16" customHeight="1" x14ac:dyDescent="0.45">
      <c r="B181" s="13"/>
      <c r="C181" s="9"/>
      <c r="D181" s="9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spans="2:19" ht="16" customHeight="1" x14ac:dyDescent="0.45">
      <c r="B182" s="13"/>
      <c r="C182" s="9"/>
      <c r="D182" s="9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spans="2:19" ht="16" customHeight="1" x14ac:dyDescent="0.45">
      <c r="B183" s="13"/>
      <c r="C183" s="9"/>
      <c r="D183" s="9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spans="2:19" ht="16" customHeight="1" x14ac:dyDescent="0.45">
      <c r="B184" s="13"/>
      <c r="C184" s="9"/>
      <c r="D184" s="9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spans="2:19" ht="16" customHeight="1" x14ac:dyDescent="0.45">
      <c r="B185" s="13"/>
      <c r="C185" s="9"/>
      <c r="D185" s="9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spans="2:19" ht="16" customHeight="1" x14ac:dyDescent="0.45">
      <c r="B186" s="13"/>
      <c r="C186" s="9"/>
      <c r="D186" s="9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spans="2:19" ht="16" customHeight="1" x14ac:dyDescent="0.45">
      <c r="B187" s="13"/>
      <c r="C187" s="9"/>
      <c r="D187" s="9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spans="2:19" ht="16" customHeight="1" x14ac:dyDescent="0.45">
      <c r="B188" s="13"/>
      <c r="C188" s="9"/>
      <c r="D188" s="9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spans="2:19" ht="16" customHeight="1" x14ac:dyDescent="0.45">
      <c r="B189" s="13"/>
      <c r="C189" s="9"/>
      <c r="D189" s="9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spans="2:19" ht="16" customHeight="1" x14ac:dyDescent="0.45">
      <c r="B190" s="13"/>
      <c r="C190" s="9"/>
      <c r="D190" s="9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spans="2:19" ht="16" customHeight="1" x14ac:dyDescent="0.45">
      <c r="B191" s="13"/>
      <c r="C191" s="9"/>
      <c r="D191" s="9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spans="2:19" ht="16" customHeight="1" x14ac:dyDescent="0.45">
      <c r="B192" s="13"/>
      <c r="C192" s="9"/>
      <c r="D192" s="9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spans="2:19" ht="16" customHeight="1" x14ac:dyDescent="0.45">
      <c r="B193" s="13"/>
      <c r="C193" s="9"/>
      <c r="D193" s="9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spans="2:19" ht="16" customHeight="1" x14ac:dyDescent="0.45">
      <c r="B194" s="13"/>
      <c r="C194" s="9"/>
      <c r="D194" s="9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spans="2:19" ht="16" customHeight="1" x14ac:dyDescent="0.45">
      <c r="B195" s="13"/>
      <c r="C195" s="9"/>
      <c r="D195" s="9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spans="2:19" ht="16" customHeight="1" x14ac:dyDescent="0.45">
      <c r="B196" s="13"/>
      <c r="C196" s="9"/>
      <c r="D196" s="9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spans="2:19" ht="16" customHeight="1" x14ac:dyDescent="0.45">
      <c r="B197" s="13"/>
      <c r="C197" s="9"/>
      <c r="D197" s="9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spans="2:19" ht="16" customHeight="1" x14ac:dyDescent="0.45">
      <c r="B198" s="13"/>
      <c r="C198" s="9"/>
      <c r="D198" s="9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spans="2:19" ht="16" customHeight="1" x14ac:dyDescent="0.45">
      <c r="B199" s="13"/>
      <c r="C199" s="9"/>
      <c r="D199" s="9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spans="2:19" ht="16" customHeight="1" x14ac:dyDescent="0.45">
      <c r="B200" s="13"/>
      <c r="C200" s="9"/>
      <c r="D200" s="9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spans="2:19" ht="16" customHeight="1" x14ac:dyDescent="0.45">
      <c r="B201" s="13"/>
      <c r="C201" s="9"/>
      <c r="D201" s="9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spans="2:19" ht="16" customHeight="1" x14ac:dyDescent="0.45">
      <c r="B202" s="13"/>
      <c r="C202" s="9"/>
      <c r="D202" s="9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spans="2:19" ht="16" customHeight="1" x14ac:dyDescent="0.45">
      <c r="B203" s="13"/>
      <c r="C203" s="9"/>
      <c r="D203" s="9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spans="2:19" ht="16" customHeight="1" x14ac:dyDescent="0.45">
      <c r="B204" s="13"/>
      <c r="C204" s="9"/>
      <c r="D204" s="9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spans="2:19" ht="16" customHeight="1" x14ac:dyDescent="0.45">
      <c r="B205" s="13"/>
      <c r="C205" s="9"/>
      <c r="D205" s="9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spans="2:19" ht="16" customHeight="1" x14ac:dyDescent="0.45">
      <c r="B206" s="13"/>
      <c r="C206" s="9"/>
      <c r="D206" s="9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spans="2:19" ht="16" customHeight="1" x14ac:dyDescent="0.45">
      <c r="B207" s="13"/>
      <c r="C207" s="9"/>
      <c r="D207" s="9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spans="2:19" ht="16" customHeight="1" x14ac:dyDescent="0.45">
      <c r="B208" s="13"/>
      <c r="C208" s="9"/>
      <c r="D208" s="9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spans="2:19" ht="16" customHeight="1" x14ac:dyDescent="0.45">
      <c r="B209" s="13"/>
      <c r="C209" s="9"/>
      <c r="D209" s="9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spans="2:19" ht="16" customHeight="1" x14ac:dyDescent="0.45">
      <c r="B210" s="13"/>
      <c r="C210" s="9"/>
      <c r="D210" s="9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spans="2:19" ht="16" customHeight="1" x14ac:dyDescent="0.45">
      <c r="B211" s="13"/>
      <c r="C211" s="9"/>
      <c r="D211" s="9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spans="2:19" ht="16" customHeight="1" x14ac:dyDescent="0.45">
      <c r="B212" s="13"/>
      <c r="C212" s="9"/>
      <c r="D212" s="9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spans="2:19" ht="16" customHeight="1" x14ac:dyDescent="0.45">
      <c r="B213" s="13"/>
      <c r="C213" s="9"/>
      <c r="D213" s="9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spans="2:19" ht="16" customHeight="1" x14ac:dyDescent="0.45">
      <c r="B214" s="13"/>
      <c r="C214" s="9"/>
      <c r="D214" s="9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spans="2:19" ht="16" customHeight="1" x14ac:dyDescent="0.45">
      <c r="B215" s="13"/>
      <c r="C215" s="9"/>
      <c r="D215" s="9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spans="2:19" ht="16" customHeight="1" x14ac:dyDescent="0.45">
      <c r="B216" s="13"/>
      <c r="C216" s="9"/>
      <c r="D216" s="9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spans="2:19" ht="16" customHeight="1" x14ac:dyDescent="0.45">
      <c r="B217" s="13"/>
      <c r="C217" s="9"/>
      <c r="D217" s="9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spans="2:19" ht="16" customHeight="1" x14ac:dyDescent="0.45">
      <c r="B218" s="13"/>
      <c r="C218" s="9"/>
      <c r="D218" s="9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spans="2:19" ht="16" customHeight="1" x14ac:dyDescent="0.45">
      <c r="B219" s="13"/>
      <c r="C219" s="9"/>
      <c r="D219" s="9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spans="2:19" ht="16" customHeight="1" x14ac:dyDescent="0.45">
      <c r="B220" s="13"/>
      <c r="C220" s="9"/>
      <c r="D220" s="9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spans="2:19" ht="16" customHeight="1" x14ac:dyDescent="0.45">
      <c r="B221" s="13"/>
      <c r="C221" s="9"/>
      <c r="D221" s="9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spans="2:19" ht="16" customHeight="1" x14ac:dyDescent="0.45">
      <c r="B222" s="13"/>
      <c r="C222" s="9"/>
      <c r="D222" s="9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spans="2:19" ht="16" customHeight="1" x14ac:dyDescent="0.45">
      <c r="B223" s="13"/>
      <c r="C223" s="9"/>
      <c r="D223" s="9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spans="2:19" ht="16" customHeight="1" x14ac:dyDescent="0.45">
      <c r="B224" s="13"/>
      <c r="C224" s="9"/>
      <c r="D224" s="9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spans="2:19" ht="16" customHeight="1" x14ac:dyDescent="0.45">
      <c r="B225" s="13"/>
      <c r="C225" s="9"/>
      <c r="D225" s="9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spans="2:19" ht="16" customHeight="1" x14ac:dyDescent="0.45">
      <c r="B226" s="13"/>
      <c r="C226" s="9"/>
      <c r="D226" s="9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spans="2:19" ht="16" customHeight="1" x14ac:dyDescent="0.45">
      <c r="B227" s="13"/>
      <c r="C227" s="9"/>
      <c r="D227" s="9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spans="2:19" ht="16" customHeight="1" x14ac:dyDescent="0.45">
      <c r="B228" s="13"/>
      <c r="C228" s="9"/>
      <c r="D228" s="9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spans="2:19" ht="16" customHeight="1" x14ac:dyDescent="0.45">
      <c r="B229" s="13"/>
      <c r="C229" s="9"/>
      <c r="D229" s="9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spans="2:19" ht="16" customHeight="1" x14ac:dyDescent="0.45">
      <c r="B230" s="13"/>
      <c r="C230" s="9"/>
      <c r="D230" s="9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spans="2:19" ht="16" customHeight="1" x14ac:dyDescent="0.45">
      <c r="B231" s="13"/>
      <c r="C231" s="9"/>
      <c r="D231" s="9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spans="2:19" ht="16" customHeight="1" x14ac:dyDescent="0.45">
      <c r="B232" s="13"/>
      <c r="C232" s="9"/>
      <c r="D232" s="9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spans="2:19" ht="16" customHeight="1" x14ac:dyDescent="0.45">
      <c r="B233" s="13"/>
      <c r="C233" s="9"/>
      <c r="D233" s="9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spans="2:19" ht="16" customHeight="1" x14ac:dyDescent="0.45">
      <c r="B234" s="13"/>
      <c r="C234" s="9"/>
      <c r="D234" s="9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spans="2:19" ht="16" customHeight="1" x14ac:dyDescent="0.45">
      <c r="B235" s="13"/>
      <c r="C235" s="9"/>
      <c r="D235" s="9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spans="2:19" ht="16" customHeight="1" x14ac:dyDescent="0.45">
      <c r="B236" s="13"/>
      <c r="C236" s="9"/>
      <c r="D236" s="9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spans="2:19" ht="16" customHeight="1" x14ac:dyDescent="0.45">
      <c r="B237" s="13"/>
      <c r="C237" s="9"/>
      <c r="D237" s="9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spans="2:19" ht="16" customHeight="1" x14ac:dyDescent="0.45">
      <c r="B238" s="13"/>
      <c r="C238" s="9"/>
      <c r="D238" s="9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spans="2:19" ht="16" customHeight="1" x14ac:dyDescent="0.45">
      <c r="B239" s="13"/>
      <c r="C239" s="9"/>
      <c r="D239" s="9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spans="2:19" ht="16" customHeight="1" x14ac:dyDescent="0.45">
      <c r="B240" s="13"/>
      <c r="C240" s="9"/>
      <c r="D240" s="9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spans="2:19" ht="16" customHeight="1" x14ac:dyDescent="0.45">
      <c r="B241" s="13"/>
      <c r="C241" s="9"/>
      <c r="D241" s="9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spans="2:19" ht="16" customHeight="1" x14ac:dyDescent="0.45">
      <c r="B242" s="13"/>
      <c r="C242" s="9"/>
      <c r="D242" s="9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spans="2:19" ht="16" customHeight="1" x14ac:dyDescent="0.45">
      <c r="B243" s="13"/>
      <c r="C243" s="9"/>
      <c r="D243" s="9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spans="2:19" ht="16" customHeight="1" x14ac:dyDescent="0.45">
      <c r="B244" s="13"/>
      <c r="C244" s="9"/>
      <c r="D244" s="9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spans="2:19" ht="16" customHeight="1" x14ac:dyDescent="0.45">
      <c r="B245" s="13"/>
      <c r="C245" s="9"/>
      <c r="D245" s="9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spans="2:19" ht="16" customHeight="1" x14ac:dyDescent="0.45">
      <c r="B246" s="13"/>
      <c r="C246" s="9"/>
      <c r="D246" s="9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spans="2:19" ht="16" customHeight="1" x14ac:dyDescent="0.45">
      <c r="B247" s="13"/>
      <c r="C247" s="9"/>
      <c r="D247" s="9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spans="2:19" ht="16" customHeight="1" x14ac:dyDescent="0.45">
      <c r="B248" s="13"/>
      <c r="C248" s="9"/>
      <c r="D248" s="9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spans="2:19" ht="16" customHeight="1" x14ac:dyDescent="0.45">
      <c r="B249" s="13"/>
      <c r="C249" s="9"/>
      <c r="D249" s="9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spans="2:19" ht="16" customHeight="1" x14ac:dyDescent="0.45">
      <c r="B250" s="13"/>
      <c r="C250" s="9"/>
      <c r="D250" s="9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spans="2:19" ht="16" customHeight="1" x14ac:dyDescent="0.45">
      <c r="B251" s="13"/>
      <c r="C251" s="9"/>
      <c r="D251" s="9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spans="2:19" ht="16" customHeight="1" x14ac:dyDescent="0.45">
      <c r="B252" s="13"/>
      <c r="C252" s="9"/>
      <c r="D252" s="9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spans="2:19" ht="16" customHeight="1" x14ac:dyDescent="0.45">
      <c r="B253" s="13"/>
      <c r="C253" s="9"/>
      <c r="D253" s="9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spans="2:19" ht="16" customHeight="1" x14ac:dyDescent="0.45">
      <c r="B254" s="13"/>
      <c r="C254" s="9"/>
      <c r="D254" s="9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spans="2:19" ht="16" customHeight="1" x14ac:dyDescent="0.45">
      <c r="B255" s="13"/>
      <c r="C255" s="9"/>
      <c r="D255" s="9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spans="2:19" ht="16" customHeight="1" x14ac:dyDescent="0.45">
      <c r="B256" s="13"/>
      <c r="C256" s="9"/>
      <c r="D256" s="9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spans="2:19" ht="16" customHeight="1" x14ac:dyDescent="0.45">
      <c r="B257" s="13"/>
      <c r="C257" s="9"/>
      <c r="D257" s="9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spans="2:19" ht="16" customHeight="1" x14ac:dyDescent="0.45">
      <c r="B258" s="13"/>
      <c r="C258" s="9"/>
      <c r="D258" s="9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spans="2:19" ht="16" customHeight="1" x14ac:dyDescent="0.45">
      <c r="B259" s="13"/>
      <c r="C259" s="9"/>
      <c r="D259" s="9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spans="2:19" ht="16" customHeight="1" x14ac:dyDescent="0.45">
      <c r="B260" s="13"/>
      <c r="C260" s="9"/>
      <c r="D260" s="9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spans="2:19" ht="16" customHeight="1" x14ac:dyDescent="0.45">
      <c r="B261" s="13"/>
      <c r="C261" s="9"/>
      <c r="D261" s="9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spans="2:19" ht="16" customHeight="1" x14ac:dyDescent="0.45">
      <c r="B262" s="13"/>
      <c r="C262" s="9"/>
      <c r="D262" s="9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spans="2:19" ht="16" customHeight="1" x14ac:dyDescent="0.45">
      <c r="B263" s="13"/>
      <c r="C263" s="9"/>
      <c r="D263" s="9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spans="2:19" ht="16" customHeight="1" x14ac:dyDescent="0.45">
      <c r="B264" s="13"/>
      <c r="C264" s="9"/>
      <c r="D264" s="9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spans="2:19" ht="16" customHeight="1" x14ac:dyDescent="0.45">
      <c r="B265" s="13"/>
      <c r="C265" s="9"/>
      <c r="D265" s="9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spans="2:19" ht="16" customHeight="1" x14ac:dyDescent="0.45">
      <c r="B266" s="13"/>
      <c r="C266" s="9"/>
      <c r="D266" s="9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spans="2:19" ht="16" customHeight="1" x14ac:dyDescent="0.45">
      <c r="B267" s="13"/>
      <c r="C267" s="9"/>
      <c r="D267" s="9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spans="2:19" ht="16" customHeight="1" x14ac:dyDescent="0.45">
      <c r="B268" s="13"/>
      <c r="C268" s="9"/>
      <c r="D268" s="9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spans="2:19" ht="16" customHeight="1" x14ac:dyDescent="0.45">
      <c r="B269" s="13"/>
      <c r="C269" s="9"/>
      <c r="D269" s="9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spans="2:19" ht="16" customHeight="1" x14ac:dyDescent="0.45">
      <c r="B270" s="13"/>
      <c r="C270" s="9"/>
      <c r="D270" s="9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spans="2:19" ht="16" customHeight="1" x14ac:dyDescent="0.45">
      <c r="B271" s="13"/>
      <c r="C271" s="9"/>
      <c r="D271" s="9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spans="2:19" ht="16" customHeight="1" x14ac:dyDescent="0.45">
      <c r="B272" s="13"/>
      <c r="C272" s="9"/>
      <c r="D272" s="9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spans="2:19" ht="16" customHeight="1" x14ac:dyDescent="0.45">
      <c r="B273" s="13"/>
      <c r="C273" s="9"/>
      <c r="D273" s="9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spans="2:19" ht="16" customHeight="1" x14ac:dyDescent="0.45">
      <c r="B274" s="13"/>
      <c r="C274" s="9"/>
      <c r="D274" s="9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spans="2:19" ht="16" customHeight="1" x14ac:dyDescent="0.45">
      <c r="B275" s="13"/>
      <c r="C275" s="9"/>
      <c r="D275" s="9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spans="2:19" ht="16" customHeight="1" x14ac:dyDescent="0.45">
      <c r="B276" s="13"/>
      <c r="C276" s="9"/>
      <c r="D276" s="9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spans="2:19" ht="16" customHeight="1" x14ac:dyDescent="0.45">
      <c r="B277" s="13"/>
      <c r="C277" s="9"/>
      <c r="D277" s="9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spans="2:19" ht="16" customHeight="1" x14ac:dyDescent="0.45">
      <c r="B278" s="13"/>
      <c r="C278" s="9"/>
      <c r="D278" s="9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spans="2:19" ht="16" customHeight="1" x14ac:dyDescent="0.45">
      <c r="B279" s="13"/>
      <c r="C279" s="9"/>
      <c r="D279" s="9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spans="2:19" ht="16" customHeight="1" x14ac:dyDescent="0.45">
      <c r="B280" s="13"/>
      <c r="C280" s="9"/>
      <c r="D280" s="9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spans="2:19" ht="16" customHeight="1" x14ac:dyDescent="0.45">
      <c r="B281" s="13"/>
      <c r="C281" s="9"/>
      <c r="D281" s="9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spans="2:19" ht="16" customHeight="1" x14ac:dyDescent="0.45">
      <c r="B282" s="13"/>
      <c r="C282" s="9"/>
      <c r="D282" s="9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spans="2:19" ht="16" customHeight="1" x14ac:dyDescent="0.45">
      <c r="B283" s="13"/>
      <c r="C283" s="9"/>
      <c r="D283" s="9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spans="2:19" ht="16" customHeight="1" x14ac:dyDescent="0.45">
      <c r="B284" s="13"/>
      <c r="C284" s="9"/>
      <c r="D284" s="9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spans="2:19" ht="16" customHeight="1" x14ac:dyDescent="0.45">
      <c r="B285" s="13"/>
      <c r="C285" s="9"/>
      <c r="D285" s="9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</sheetData>
  <mergeCells count="2">
    <mergeCell ref="B4:C4"/>
    <mergeCell ref="B7:C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91F12-5E7D-4117-9CBE-97289E4A16D2}">
  <dimension ref="A3:AX352"/>
  <sheetViews>
    <sheetView showGridLines="0" zoomScale="90" zoomScaleNormal="90" workbookViewId="0">
      <pane xSplit="6" ySplit="9" topLeftCell="G10" activePane="bottomRight" state="frozen"/>
      <selection pane="topRight" activeCell="G1" sqref="G1"/>
      <selection pane="bottomLeft" activeCell="A7" sqref="A7"/>
      <selection pane="bottomRight" activeCell="B4" sqref="B4:C4"/>
    </sheetView>
  </sheetViews>
  <sheetFormatPr defaultColWidth="9.1796875" defaultRowHeight="16" customHeight="1" x14ac:dyDescent="0.35"/>
  <cols>
    <col min="1" max="1" width="1.7265625" style="1" customWidth="1"/>
    <col min="2" max="2" width="10.7265625" style="1" customWidth="1"/>
    <col min="3" max="3" width="60.7265625" style="1" customWidth="1"/>
    <col min="4" max="4" width="2.7265625" style="1" customWidth="1"/>
    <col min="5" max="5" width="14.7265625" style="1" customWidth="1"/>
    <col min="6" max="6" width="2.7265625" style="1" customWidth="1"/>
    <col min="7" max="80" width="14.7265625" style="1" customWidth="1"/>
    <col min="81" max="130" width="15.7265625" style="1" customWidth="1"/>
    <col min="131" max="16384" width="9.1796875" style="1"/>
  </cols>
  <sheetData>
    <row r="3" spans="1:50" ht="16" customHeight="1" x14ac:dyDescent="0.35">
      <c r="B3" s="2" t="s">
        <v>1265</v>
      </c>
    </row>
    <row r="4" spans="1:50" ht="16" customHeight="1" x14ac:dyDescent="0.35">
      <c r="B4" s="33" t="s">
        <v>270</v>
      </c>
      <c r="C4" s="33"/>
    </row>
    <row r="5" spans="1:50" ht="16" customHeight="1" x14ac:dyDescent="0.35">
      <c r="B5" s="4" t="s">
        <v>1046</v>
      </c>
    </row>
    <row r="6" spans="1:50" ht="16" customHeight="1" x14ac:dyDescent="0.35">
      <c r="B6" s="4" t="s">
        <v>1016</v>
      </c>
      <c r="E6" s="75"/>
      <c r="F6" s="4"/>
    </row>
    <row r="7" spans="1:50" ht="16" customHeight="1" x14ac:dyDescent="0.35">
      <c r="A7" s="20"/>
      <c r="B7" s="56">
        <v>46194.598235254627</v>
      </c>
      <c r="C7" s="56"/>
    </row>
    <row r="9" spans="1:50" ht="25" customHeight="1" thickBot="1" x14ac:dyDescent="0.5">
      <c r="B9" s="7"/>
      <c r="C9" s="28"/>
      <c r="D9" s="59"/>
      <c r="E9" s="21" t="s">
        <v>1017</v>
      </c>
      <c r="F9" s="59"/>
      <c r="G9" s="8" t="s">
        <v>1047</v>
      </c>
      <c r="H9" s="8" t="s">
        <v>1048</v>
      </c>
      <c r="I9" s="8" t="s">
        <v>1049</v>
      </c>
      <c r="J9" s="8" t="s">
        <v>1050</v>
      </c>
      <c r="K9" s="8" t="s">
        <v>1051</v>
      </c>
      <c r="L9" s="8" t="s">
        <v>1052</v>
      </c>
      <c r="M9" s="8" t="s">
        <v>1053</v>
      </c>
      <c r="N9" s="8" t="s">
        <v>1054</v>
      </c>
      <c r="O9" s="8" t="s">
        <v>1055</v>
      </c>
      <c r="P9" s="8" t="s">
        <v>1056</v>
      </c>
      <c r="Q9" s="8" t="s">
        <v>1057</v>
      </c>
      <c r="R9" s="8" t="s">
        <v>1058</v>
      </c>
      <c r="S9" s="8" t="s">
        <v>1059</v>
      </c>
      <c r="T9" s="8" t="s">
        <v>1060</v>
      </c>
      <c r="U9" s="8" t="s">
        <v>1061</v>
      </c>
      <c r="V9" s="8" t="s">
        <v>1062</v>
      </c>
      <c r="W9" s="8" t="s">
        <v>1063</v>
      </c>
      <c r="X9" s="8" t="s">
        <v>1064</v>
      </c>
      <c r="Y9" s="8" t="s">
        <v>1065</v>
      </c>
      <c r="Z9" s="8" t="s">
        <v>1066</v>
      </c>
      <c r="AA9" s="8" t="s">
        <v>1067</v>
      </c>
      <c r="AB9" s="8" t="s">
        <v>1068</v>
      </c>
      <c r="AC9" s="8" t="s">
        <v>1069</v>
      </c>
      <c r="AD9" s="8" t="s">
        <v>1070</v>
      </c>
      <c r="AE9" s="8" t="s">
        <v>1266</v>
      </c>
      <c r="AF9" s="8" t="s">
        <v>1071</v>
      </c>
      <c r="AG9" s="8" t="s">
        <v>1072</v>
      </c>
      <c r="AH9" s="8" t="s">
        <v>1073</v>
      </c>
      <c r="AI9" s="8" t="s">
        <v>1074</v>
      </c>
      <c r="AJ9" s="8" t="s">
        <v>1075</v>
      </c>
      <c r="AK9" s="8" t="s">
        <v>1267</v>
      </c>
      <c r="AL9" s="8" t="s">
        <v>1076</v>
      </c>
      <c r="AM9" s="9"/>
      <c r="AN9" s="9"/>
      <c r="AO9" s="9"/>
      <c r="AP9" s="9"/>
      <c r="AQ9" s="9"/>
      <c r="AR9" s="9"/>
      <c r="AS9" s="9"/>
      <c r="AT9" s="9"/>
      <c r="AU9" s="9"/>
      <c r="AV9" s="9"/>
      <c r="AW9" s="13"/>
      <c r="AX9" s="9"/>
    </row>
    <row r="10" spans="1:50" ht="15" customHeight="1" x14ac:dyDescent="0.45">
      <c r="B10" s="11"/>
      <c r="C10" s="11"/>
      <c r="D10" s="29"/>
      <c r="E10" s="60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12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 spans="1:50" ht="16" customHeight="1" x14ac:dyDescent="0.45">
      <c r="B11" s="14" t="s">
        <v>285</v>
      </c>
      <c r="C11" s="14" t="s">
        <v>286</v>
      </c>
      <c r="D11" s="61"/>
      <c r="E11" s="23">
        <v>127271.13217</v>
      </c>
      <c r="F11" s="63"/>
      <c r="G11" s="15">
        <v>124421.72553</v>
      </c>
      <c r="H11" s="15">
        <v>0</v>
      </c>
      <c r="I11" s="15">
        <v>0</v>
      </c>
      <c r="J11" s="15">
        <v>0</v>
      </c>
      <c r="K11" s="15">
        <v>0</v>
      </c>
      <c r="L11" s="15"/>
      <c r="M11" s="15">
        <v>0</v>
      </c>
      <c r="N11" s="15">
        <v>0</v>
      </c>
      <c r="O11" s="15">
        <v>0</v>
      </c>
      <c r="P11" s="15"/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/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/>
      <c r="AE11" s="15"/>
      <c r="AF11" s="15">
        <v>0</v>
      </c>
      <c r="AG11" s="15">
        <v>0</v>
      </c>
      <c r="AH11" s="15">
        <v>2849.4066400000002</v>
      </c>
      <c r="AI11" s="15">
        <v>0</v>
      </c>
      <c r="AJ11" s="15">
        <v>0</v>
      </c>
      <c r="AK11" s="15"/>
      <c r="AL11" s="15">
        <v>0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 spans="1:50" ht="16" customHeight="1" x14ac:dyDescent="0.45">
      <c r="B12" s="14" t="s">
        <v>287</v>
      </c>
      <c r="C12" s="14" t="s">
        <v>288</v>
      </c>
      <c r="D12" s="61"/>
      <c r="E12" s="23"/>
      <c r="F12" s="63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 spans="1:50" ht="16" customHeight="1" x14ac:dyDescent="0.45">
      <c r="B13" s="14" t="s">
        <v>1268</v>
      </c>
      <c r="C13" s="14" t="s">
        <v>1269</v>
      </c>
      <c r="D13" s="61"/>
      <c r="E13" s="23"/>
      <c r="F13" s="63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 spans="1:50" ht="16" customHeight="1" x14ac:dyDescent="0.45">
      <c r="B14" s="14" t="s">
        <v>1270</v>
      </c>
      <c r="C14" s="14" t="s">
        <v>1271</v>
      </c>
      <c r="D14" s="61"/>
      <c r="E14" s="23"/>
      <c r="F14" s="63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 spans="1:50" ht="16" customHeight="1" x14ac:dyDescent="0.45">
      <c r="B15" s="14" t="s">
        <v>291</v>
      </c>
      <c r="C15" s="14" t="s">
        <v>292</v>
      </c>
      <c r="D15" s="61"/>
      <c r="E15" s="23"/>
      <c r="F15" s="63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 spans="1:50" ht="16" customHeight="1" x14ac:dyDescent="0.45">
      <c r="B16" s="14" t="s">
        <v>1272</v>
      </c>
      <c r="C16" s="14" t="s">
        <v>1273</v>
      </c>
      <c r="D16" s="61"/>
      <c r="E16" s="23"/>
      <c r="F16" s="63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 spans="2:50" ht="16" customHeight="1" x14ac:dyDescent="0.45">
      <c r="B17" s="14" t="s">
        <v>1274</v>
      </c>
      <c r="C17" s="14" t="s">
        <v>1275</v>
      </c>
      <c r="D17" s="61"/>
      <c r="E17" s="23"/>
      <c r="F17" s="63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 spans="2:50" ht="16" customHeight="1" x14ac:dyDescent="0.45">
      <c r="B18" s="14" t="s">
        <v>1276</v>
      </c>
      <c r="C18" s="14" t="s">
        <v>1277</v>
      </c>
      <c r="D18" s="61"/>
      <c r="E18" s="23">
        <v>2138.56378</v>
      </c>
      <c r="F18" s="63"/>
      <c r="G18" s="15"/>
      <c r="H18" s="15"/>
      <c r="I18" s="15"/>
      <c r="J18" s="15">
        <v>566.58399999999995</v>
      </c>
      <c r="K18" s="15"/>
      <c r="L18" s="15"/>
      <c r="M18" s="15"/>
      <c r="N18" s="15"/>
      <c r="O18" s="15"/>
      <c r="P18" s="15"/>
      <c r="Q18" s="15"/>
      <c r="R18" s="15">
        <v>134.97927999999999</v>
      </c>
      <c r="S18" s="15"/>
      <c r="T18" s="15"/>
      <c r="U18" s="15"/>
      <c r="V18" s="15"/>
      <c r="W18" s="15"/>
      <c r="X18" s="15"/>
      <c r="Y18" s="15"/>
      <c r="Z18" s="15"/>
      <c r="AA18" s="15">
        <v>155.03100000000001</v>
      </c>
      <c r="AB18" s="15"/>
      <c r="AC18" s="15"/>
      <c r="AD18" s="15"/>
      <c r="AE18" s="15"/>
      <c r="AF18" s="15">
        <v>1256.9694999999999</v>
      </c>
      <c r="AG18" s="15"/>
      <c r="AH18" s="15">
        <v>25</v>
      </c>
      <c r="AI18" s="15"/>
      <c r="AJ18" s="15"/>
      <c r="AK18" s="15"/>
      <c r="AL18" s="15">
        <v>0</v>
      </c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 spans="2:50" ht="16" customHeight="1" x14ac:dyDescent="0.45">
      <c r="B19" s="14" t="s">
        <v>1278</v>
      </c>
      <c r="C19" s="14" t="s">
        <v>1279</v>
      </c>
      <c r="D19" s="61"/>
      <c r="E19" s="23"/>
      <c r="F19" s="63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 spans="2:50" ht="16" customHeight="1" x14ac:dyDescent="0.45">
      <c r="B20" s="14" t="s">
        <v>298</v>
      </c>
      <c r="C20" s="14" t="s">
        <v>299</v>
      </c>
      <c r="D20" s="61"/>
      <c r="E20" s="23">
        <v>30900</v>
      </c>
      <c r="F20" s="63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>
        <v>30900</v>
      </c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spans="2:50" ht="16" customHeight="1" x14ac:dyDescent="0.45">
      <c r="B21" s="14" t="s">
        <v>304</v>
      </c>
      <c r="C21" s="14" t="s">
        <v>1280</v>
      </c>
      <c r="D21" s="61"/>
      <c r="E21" s="23"/>
      <c r="F21" s="63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spans="2:50" ht="16" customHeight="1" x14ac:dyDescent="0.45">
      <c r="B22" s="14" t="s">
        <v>306</v>
      </c>
      <c r="C22" s="14" t="s">
        <v>1281</v>
      </c>
      <c r="D22" s="61"/>
      <c r="E22" s="23"/>
      <c r="F22" s="63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spans="2:50" ht="16" customHeight="1" x14ac:dyDescent="0.45">
      <c r="B23" s="14" t="s">
        <v>311</v>
      </c>
      <c r="C23" s="14" t="s">
        <v>312</v>
      </c>
      <c r="D23" s="61"/>
      <c r="E23" s="23">
        <v>6233.8064999999997</v>
      </c>
      <c r="F23" s="63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>
        <v>6233.8064999999997</v>
      </c>
      <c r="AI23" s="15"/>
      <c r="AJ23" s="15"/>
      <c r="AK23" s="15"/>
      <c r="AL23" s="15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spans="2:50" ht="16" customHeight="1" x14ac:dyDescent="0.45">
      <c r="B24" s="14" t="s">
        <v>314</v>
      </c>
      <c r="C24" s="14" t="s">
        <v>1282</v>
      </c>
      <c r="D24" s="61"/>
      <c r="E24" s="23">
        <v>6071.7302300000001</v>
      </c>
      <c r="F24" s="63"/>
      <c r="G24" s="15"/>
      <c r="H24" s="15"/>
      <c r="I24" s="15">
        <v>720.41758000000004</v>
      </c>
      <c r="J24" s="15">
        <v>972.78225999999995</v>
      </c>
      <c r="K24" s="15"/>
      <c r="L24" s="15"/>
      <c r="M24" s="15"/>
      <c r="N24" s="15"/>
      <c r="O24" s="15"/>
      <c r="P24" s="15"/>
      <c r="Q24" s="15"/>
      <c r="R24" s="15">
        <v>4.4059999999999997</v>
      </c>
      <c r="S24" s="15">
        <v>234.08817999999999</v>
      </c>
      <c r="T24" s="15"/>
      <c r="U24" s="15"/>
      <c r="V24" s="15"/>
      <c r="W24" s="15">
        <v>217.95138</v>
      </c>
      <c r="X24" s="15"/>
      <c r="Y24" s="15"/>
      <c r="Z24" s="15"/>
      <c r="AA24" s="15"/>
      <c r="AB24" s="15">
        <v>0</v>
      </c>
      <c r="AC24" s="15"/>
      <c r="AD24" s="15"/>
      <c r="AE24" s="15"/>
      <c r="AF24" s="15">
        <v>-4.4059999999999997</v>
      </c>
      <c r="AG24" s="15">
        <v>0</v>
      </c>
      <c r="AH24" s="15">
        <v>0</v>
      </c>
      <c r="AI24" s="15">
        <v>0</v>
      </c>
      <c r="AJ24" s="15">
        <v>3926.4908300000002</v>
      </c>
      <c r="AK24" s="15"/>
      <c r="AL24" s="15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spans="2:50" ht="16" customHeight="1" x14ac:dyDescent="0.45">
      <c r="B25" s="14" t="s">
        <v>316</v>
      </c>
      <c r="C25" s="14" t="s">
        <v>1283</v>
      </c>
      <c r="D25" s="61"/>
      <c r="E25" s="23">
        <v>0</v>
      </c>
      <c r="F25" s="63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>
        <v>0</v>
      </c>
      <c r="AJ25" s="15">
        <v>0</v>
      </c>
      <c r="AK25" s="15"/>
      <c r="AL25" s="15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spans="2:50" ht="16" customHeight="1" x14ac:dyDescent="0.45">
      <c r="B26" s="14" t="s">
        <v>320</v>
      </c>
      <c r="C26" s="14" t="s">
        <v>1284</v>
      </c>
      <c r="D26" s="61"/>
      <c r="E26" s="23"/>
      <c r="F26" s="63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spans="2:50" ht="16" customHeight="1" x14ac:dyDescent="0.45">
      <c r="B27" s="14" t="s">
        <v>322</v>
      </c>
      <c r="C27" s="14" t="s">
        <v>1285</v>
      </c>
      <c r="D27" s="61"/>
      <c r="E27" s="23">
        <v>-8754.4739100000006</v>
      </c>
      <c r="F27" s="63"/>
      <c r="G27" s="15"/>
      <c r="H27" s="15">
        <v>-376.82161000000002</v>
      </c>
      <c r="I27" s="15">
        <v>-448.01763</v>
      </c>
      <c r="J27" s="15">
        <v>-599.47144000000003</v>
      </c>
      <c r="K27" s="15">
        <v>0</v>
      </c>
      <c r="L27" s="15"/>
      <c r="M27" s="15">
        <v>-10.870990000000001</v>
      </c>
      <c r="N27" s="15">
        <v>-92.66968</v>
      </c>
      <c r="O27" s="15">
        <v>-5.1471</v>
      </c>
      <c r="P27" s="15"/>
      <c r="Q27" s="15"/>
      <c r="R27" s="15">
        <v>-3267.7010300000002</v>
      </c>
      <c r="S27" s="15">
        <v>-73.942660000000004</v>
      </c>
      <c r="T27" s="15">
        <v>-642.26991999999996</v>
      </c>
      <c r="U27" s="15">
        <v>-83.353589999999997</v>
      </c>
      <c r="V27" s="15"/>
      <c r="W27" s="15"/>
      <c r="X27" s="15"/>
      <c r="Y27" s="15">
        <v>-22.00123</v>
      </c>
      <c r="Z27" s="15">
        <v>-1.87317</v>
      </c>
      <c r="AA27" s="15">
        <v>-191.85418999999999</v>
      </c>
      <c r="AB27" s="15">
        <v>-4.54983</v>
      </c>
      <c r="AC27" s="15">
        <v>0</v>
      </c>
      <c r="AD27" s="15"/>
      <c r="AE27" s="15"/>
      <c r="AF27" s="15">
        <v>-1222.99722</v>
      </c>
      <c r="AG27" s="15">
        <v>-786.13250000000005</v>
      </c>
      <c r="AH27" s="15">
        <v>0</v>
      </c>
      <c r="AI27" s="15">
        <v>0</v>
      </c>
      <c r="AJ27" s="15">
        <v>0</v>
      </c>
      <c r="AK27" s="15"/>
      <c r="AL27" s="15">
        <v>-924.80011999999999</v>
      </c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spans="2:50" ht="16" customHeight="1" x14ac:dyDescent="0.45">
      <c r="B28" s="14" t="s">
        <v>318</v>
      </c>
      <c r="C28" s="14" t="s">
        <v>1286</v>
      </c>
      <c r="D28" s="61"/>
      <c r="E28" s="23">
        <v>814128.64280000003</v>
      </c>
      <c r="F28" s="63"/>
      <c r="G28" s="15">
        <v>445603.95319999999</v>
      </c>
      <c r="H28" s="15">
        <v>3288.5619000000002</v>
      </c>
      <c r="I28" s="15">
        <v>71057.986610000007</v>
      </c>
      <c r="J28" s="15">
        <v>30765.032159999999</v>
      </c>
      <c r="K28" s="15">
        <v>0</v>
      </c>
      <c r="L28" s="15"/>
      <c r="M28" s="15">
        <v>-2.3130299999999999</v>
      </c>
      <c r="N28" s="15">
        <v>-9.6079699999999999</v>
      </c>
      <c r="O28" s="15">
        <v>-1.458</v>
      </c>
      <c r="P28" s="15">
        <v>0</v>
      </c>
      <c r="Q28" s="15"/>
      <c r="R28" s="15">
        <v>74629.753639999995</v>
      </c>
      <c r="S28" s="15">
        <v>18456.29247</v>
      </c>
      <c r="T28" s="15">
        <v>55181.828269999998</v>
      </c>
      <c r="U28" s="15">
        <v>323.67205000000001</v>
      </c>
      <c r="V28" s="15"/>
      <c r="W28" s="15">
        <v>0</v>
      </c>
      <c r="X28" s="15">
        <v>381.50515999999999</v>
      </c>
      <c r="Y28" s="15">
        <v>2541.31113</v>
      </c>
      <c r="Z28" s="15">
        <v>278.90048000000002</v>
      </c>
      <c r="AA28" s="15">
        <v>25000.218260000001</v>
      </c>
      <c r="AB28" s="15">
        <v>506.95107000000002</v>
      </c>
      <c r="AC28" s="15">
        <v>0</v>
      </c>
      <c r="AD28" s="15"/>
      <c r="AE28" s="15">
        <v>0</v>
      </c>
      <c r="AF28" s="15">
        <v>43234.738369999999</v>
      </c>
      <c r="AG28" s="15">
        <v>31208.51107</v>
      </c>
      <c r="AH28" s="15">
        <v>-89.821340000000006</v>
      </c>
      <c r="AI28" s="15">
        <v>1106.6977199999999</v>
      </c>
      <c r="AJ28" s="15">
        <v>191.31806</v>
      </c>
      <c r="AK28" s="15"/>
      <c r="AL28" s="15">
        <v>10474.61152</v>
      </c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spans="2:50" ht="16" customHeight="1" x14ac:dyDescent="0.45">
      <c r="B29" s="14" t="s">
        <v>324</v>
      </c>
      <c r="C29" s="14" t="s">
        <v>325</v>
      </c>
      <c r="D29" s="61"/>
      <c r="E29" s="23">
        <v>319.45107999999999</v>
      </c>
      <c r="F29" s="63"/>
      <c r="G29" s="15"/>
      <c r="H29" s="15">
        <v>0.10628</v>
      </c>
      <c r="I29" s="15">
        <v>12.884840000000001</v>
      </c>
      <c r="J29" s="15">
        <v>1.83572</v>
      </c>
      <c r="K29" s="15"/>
      <c r="L29" s="15"/>
      <c r="M29" s="15">
        <v>0.34475</v>
      </c>
      <c r="N29" s="15">
        <v>1.2259</v>
      </c>
      <c r="O29" s="15"/>
      <c r="P29" s="15"/>
      <c r="Q29" s="15">
        <v>7.2730000000000003E-2</v>
      </c>
      <c r="R29" s="15">
        <v>3.0541700000000001</v>
      </c>
      <c r="S29" s="15">
        <v>0.19078999999999999</v>
      </c>
      <c r="T29" s="15">
        <v>41.998109999999997</v>
      </c>
      <c r="U29" s="15">
        <v>0.68274999999999997</v>
      </c>
      <c r="V29" s="15"/>
      <c r="W29" s="15">
        <v>14.77956</v>
      </c>
      <c r="X29" s="15"/>
      <c r="Y29" s="15">
        <v>42.760420000000003</v>
      </c>
      <c r="Z29" s="15"/>
      <c r="AA29" s="15">
        <v>0.4173</v>
      </c>
      <c r="AB29" s="15"/>
      <c r="AC29" s="15">
        <v>0</v>
      </c>
      <c r="AD29" s="15"/>
      <c r="AE29" s="15"/>
      <c r="AF29" s="15">
        <v>-2.0000000000000002E-5</v>
      </c>
      <c r="AG29" s="15">
        <v>13.629289999999999</v>
      </c>
      <c r="AH29" s="15">
        <v>1E-3</v>
      </c>
      <c r="AI29" s="15">
        <v>181.49350000000001</v>
      </c>
      <c r="AJ29" s="15">
        <v>0</v>
      </c>
      <c r="AK29" s="15"/>
      <c r="AL29" s="15">
        <v>3.9739900000000001</v>
      </c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spans="2:50" ht="16" customHeight="1" x14ac:dyDescent="0.45">
      <c r="B30" s="14" t="s">
        <v>329</v>
      </c>
      <c r="C30" s="14" t="s">
        <v>330</v>
      </c>
      <c r="D30" s="61"/>
      <c r="E30" s="23">
        <v>889170.90420999995</v>
      </c>
      <c r="F30" s="63"/>
      <c r="G30" s="15">
        <v>847588.36976999999</v>
      </c>
      <c r="H30" s="15">
        <v>0</v>
      </c>
      <c r="I30" s="15">
        <v>0</v>
      </c>
      <c r="J30" s="15">
        <v>1386.02477</v>
      </c>
      <c r="K30" s="15"/>
      <c r="L30" s="15"/>
      <c r="M30" s="15"/>
      <c r="N30" s="15">
        <v>0</v>
      </c>
      <c r="O30" s="15">
        <v>0</v>
      </c>
      <c r="P30" s="15"/>
      <c r="Q30" s="15"/>
      <c r="R30" s="15">
        <v>12085.4218</v>
      </c>
      <c r="S30" s="15">
        <v>815.43728999999996</v>
      </c>
      <c r="T30" s="15">
        <v>9128.3207299999995</v>
      </c>
      <c r="U30" s="15">
        <v>0</v>
      </c>
      <c r="V30" s="15"/>
      <c r="W30" s="15">
        <v>0</v>
      </c>
      <c r="X30" s="15"/>
      <c r="Y30" s="15">
        <v>306.63900000000001</v>
      </c>
      <c r="Z30" s="15"/>
      <c r="AA30" s="15">
        <v>2398.0236100000002</v>
      </c>
      <c r="AB30" s="15">
        <v>669.02183000000002</v>
      </c>
      <c r="AC30" s="15">
        <v>563.15224000000001</v>
      </c>
      <c r="AD30" s="15"/>
      <c r="AE30" s="15">
        <v>0</v>
      </c>
      <c r="AF30" s="15">
        <v>5727.6814700000004</v>
      </c>
      <c r="AG30" s="15">
        <v>5832.7885100000003</v>
      </c>
      <c r="AH30" s="15"/>
      <c r="AI30" s="15">
        <v>0</v>
      </c>
      <c r="AJ30" s="15"/>
      <c r="AK30" s="15"/>
      <c r="AL30" s="15">
        <v>2670.0231899999999</v>
      </c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spans="2:50" ht="16" customHeight="1" x14ac:dyDescent="0.45">
      <c r="B31" s="14" t="s">
        <v>333</v>
      </c>
      <c r="C31" s="14" t="s">
        <v>334</v>
      </c>
      <c r="D31" s="61"/>
      <c r="E31" s="23">
        <v>616078.45626000001</v>
      </c>
      <c r="F31" s="63"/>
      <c r="G31" s="15">
        <v>403300.98209</v>
      </c>
      <c r="H31" s="15">
        <v>2945.7749100000001</v>
      </c>
      <c r="I31" s="15">
        <v>31170.823939999998</v>
      </c>
      <c r="J31" s="15">
        <v>12432.64975</v>
      </c>
      <c r="K31" s="15"/>
      <c r="L31" s="15">
        <v>0</v>
      </c>
      <c r="M31" s="15">
        <v>4180.9702200000002</v>
      </c>
      <c r="N31" s="15">
        <v>11079.181420000001</v>
      </c>
      <c r="O31" s="15">
        <v>1085.7504100000001</v>
      </c>
      <c r="P31" s="15"/>
      <c r="Q31" s="15"/>
      <c r="R31" s="15">
        <v>45835.972650000003</v>
      </c>
      <c r="S31" s="15">
        <v>9155.43102</v>
      </c>
      <c r="T31" s="15">
        <v>14639.94544</v>
      </c>
      <c r="U31" s="15">
        <v>0</v>
      </c>
      <c r="V31" s="15"/>
      <c r="W31" s="15">
        <v>10707.884760000001</v>
      </c>
      <c r="X31" s="15">
        <v>0</v>
      </c>
      <c r="Y31" s="15">
        <v>7385.5381900000002</v>
      </c>
      <c r="Z31" s="15"/>
      <c r="AA31" s="15">
        <v>19171.807229999999</v>
      </c>
      <c r="AB31" s="15">
        <v>180.75404</v>
      </c>
      <c r="AC31" s="15">
        <v>376.76657</v>
      </c>
      <c r="AD31" s="15"/>
      <c r="AE31" s="15">
        <v>0</v>
      </c>
      <c r="AF31" s="15">
        <v>25368.41518</v>
      </c>
      <c r="AG31" s="15">
        <v>10347.681119999999</v>
      </c>
      <c r="AH31" s="15">
        <v>0</v>
      </c>
      <c r="AI31" s="15">
        <v>1395.4509499999999</v>
      </c>
      <c r="AJ31" s="15">
        <v>5309.1391100000001</v>
      </c>
      <c r="AK31" s="15"/>
      <c r="AL31" s="15">
        <v>7.5372599999999998</v>
      </c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spans="2:50" ht="16" customHeight="1" x14ac:dyDescent="0.45">
      <c r="B32" s="14" t="s">
        <v>331</v>
      </c>
      <c r="C32" s="14" t="s">
        <v>332</v>
      </c>
      <c r="D32" s="61"/>
      <c r="E32" s="23"/>
      <c r="F32" s="63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spans="2:50" ht="16" customHeight="1" x14ac:dyDescent="0.45">
      <c r="B33" s="14" t="s">
        <v>335</v>
      </c>
      <c r="C33" s="14" t="s">
        <v>336</v>
      </c>
      <c r="D33" s="61"/>
      <c r="E33" s="23">
        <v>724.85217999999998</v>
      </c>
      <c r="F33" s="63"/>
      <c r="G33" s="15">
        <v>724.14925000000005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>
        <v>0</v>
      </c>
      <c r="S33" s="15"/>
      <c r="T33" s="15">
        <v>0</v>
      </c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>
        <v>0.70293000000000005</v>
      </c>
      <c r="AH33" s="15"/>
      <c r="AI33" s="15">
        <v>0</v>
      </c>
      <c r="AJ33" s="15">
        <v>0</v>
      </c>
      <c r="AK33" s="15"/>
      <c r="AL33" s="15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spans="2:50" ht="16" customHeight="1" x14ac:dyDescent="0.45">
      <c r="B34" s="14" t="s">
        <v>337</v>
      </c>
      <c r="C34" s="14" t="s">
        <v>338</v>
      </c>
      <c r="D34" s="61"/>
      <c r="E34" s="23">
        <v>426655.89814</v>
      </c>
      <c r="F34" s="63"/>
      <c r="G34" s="15">
        <v>411867.09422999999</v>
      </c>
      <c r="H34" s="15">
        <v>48.933340000000001</v>
      </c>
      <c r="I34" s="15">
        <v>542.94047999999998</v>
      </c>
      <c r="J34" s="15">
        <v>2416.1755600000001</v>
      </c>
      <c r="K34" s="15"/>
      <c r="L34" s="15"/>
      <c r="M34" s="15">
        <v>26.32377</v>
      </c>
      <c r="N34" s="15">
        <v>267.69835999999998</v>
      </c>
      <c r="O34" s="15">
        <v>50.910080000000001</v>
      </c>
      <c r="P34" s="15"/>
      <c r="Q34" s="15"/>
      <c r="R34" s="15">
        <v>1611.7830200000001</v>
      </c>
      <c r="S34" s="15">
        <v>607.79321000000004</v>
      </c>
      <c r="T34" s="15">
        <v>784.20885999999996</v>
      </c>
      <c r="U34" s="15">
        <v>17.71378</v>
      </c>
      <c r="V34" s="15"/>
      <c r="W34" s="15">
        <v>884.14607000000001</v>
      </c>
      <c r="X34" s="15"/>
      <c r="Y34" s="15">
        <v>668.55748000000006</v>
      </c>
      <c r="Z34" s="15">
        <v>0</v>
      </c>
      <c r="AA34" s="15">
        <v>548.60793000000001</v>
      </c>
      <c r="AB34" s="15"/>
      <c r="AC34" s="15">
        <v>119.10063</v>
      </c>
      <c r="AD34" s="15"/>
      <c r="AE34" s="15">
        <v>0</v>
      </c>
      <c r="AF34" s="15">
        <v>1195.0571500000001</v>
      </c>
      <c r="AG34" s="15">
        <v>2705.2459600000002</v>
      </c>
      <c r="AH34" s="15"/>
      <c r="AI34" s="15">
        <v>89.081190000000007</v>
      </c>
      <c r="AJ34" s="15">
        <v>1975.0299299999999</v>
      </c>
      <c r="AK34" s="15"/>
      <c r="AL34" s="15">
        <v>229.49710999999999</v>
      </c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spans="2:50" ht="16" customHeight="1" x14ac:dyDescent="0.45">
      <c r="B35" s="14" t="s">
        <v>339</v>
      </c>
      <c r="C35" s="14" t="s">
        <v>340</v>
      </c>
      <c r="D35" s="61"/>
      <c r="E35" s="23">
        <v>12.2</v>
      </c>
      <c r="F35" s="63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>
        <v>12.2</v>
      </c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>
        <v>0</v>
      </c>
      <c r="AL35" s="15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spans="2:50" ht="16" customHeight="1" x14ac:dyDescent="0.45">
      <c r="B36" s="14" t="s">
        <v>343</v>
      </c>
      <c r="C36" s="14" t="s">
        <v>1287</v>
      </c>
      <c r="D36" s="61"/>
      <c r="E36" s="23">
        <v>4538.9576800000004</v>
      </c>
      <c r="F36" s="63"/>
      <c r="G36" s="15"/>
      <c r="H36" s="15">
        <v>6.50596</v>
      </c>
      <c r="I36" s="15">
        <v>292.6429</v>
      </c>
      <c r="J36" s="15">
        <v>10.39772</v>
      </c>
      <c r="K36" s="15">
        <v>152.54074</v>
      </c>
      <c r="L36" s="15">
        <v>3.3761000000000001</v>
      </c>
      <c r="M36" s="15"/>
      <c r="N36" s="15">
        <v>2.4730599999999998</v>
      </c>
      <c r="O36" s="15"/>
      <c r="P36" s="15"/>
      <c r="Q36" s="15"/>
      <c r="R36" s="15">
        <v>37.967599999999997</v>
      </c>
      <c r="S36" s="15">
        <v>11.60406</v>
      </c>
      <c r="T36" s="15">
        <v>242.26741999999999</v>
      </c>
      <c r="U36" s="15"/>
      <c r="V36" s="15"/>
      <c r="W36" s="15"/>
      <c r="X36" s="15"/>
      <c r="Y36" s="15">
        <v>108.41786</v>
      </c>
      <c r="Z36" s="15"/>
      <c r="AA36" s="15">
        <v>110.11157</v>
      </c>
      <c r="AB36" s="15">
        <v>0.39834999999999998</v>
      </c>
      <c r="AC36" s="15">
        <v>0</v>
      </c>
      <c r="AD36" s="15"/>
      <c r="AE36" s="15"/>
      <c r="AF36" s="15">
        <v>588.37580000000003</v>
      </c>
      <c r="AG36" s="15">
        <v>284.57605999999998</v>
      </c>
      <c r="AH36" s="15">
        <v>2469.9357500000001</v>
      </c>
      <c r="AI36" s="15">
        <v>1E-4</v>
      </c>
      <c r="AJ36" s="15">
        <v>97.254739999999998</v>
      </c>
      <c r="AK36" s="15"/>
      <c r="AL36" s="15">
        <v>120.11189</v>
      </c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spans="2:50" ht="16" customHeight="1" x14ac:dyDescent="0.45">
      <c r="B37" s="14" t="s">
        <v>345</v>
      </c>
      <c r="C37" s="14" t="s">
        <v>1288</v>
      </c>
      <c r="D37" s="61"/>
      <c r="E37" s="23"/>
      <c r="F37" s="63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spans="2:50" ht="16" customHeight="1" x14ac:dyDescent="0.45">
      <c r="B38" s="14" t="s">
        <v>347</v>
      </c>
      <c r="C38" s="14" t="s">
        <v>1289</v>
      </c>
      <c r="D38" s="61"/>
      <c r="E38" s="23">
        <v>92560.607139999993</v>
      </c>
      <c r="F38" s="63"/>
      <c r="G38" s="15">
        <v>91602.209170000002</v>
      </c>
      <c r="H38" s="15">
        <v>0.64019999999999999</v>
      </c>
      <c r="I38" s="15">
        <v>-4.6829099999999997</v>
      </c>
      <c r="J38" s="15">
        <v>-1.1335</v>
      </c>
      <c r="K38" s="15">
        <v>0</v>
      </c>
      <c r="L38" s="15"/>
      <c r="M38" s="15">
        <v>35.999929999999999</v>
      </c>
      <c r="N38" s="15">
        <v>155.32369</v>
      </c>
      <c r="O38" s="15">
        <v>-1.1E-4</v>
      </c>
      <c r="P38" s="15">
        <v>0</v>
      </c>
      <c r="Q38" s="15"/>
      <c r="R38" s="15">
        <v>-355.71249</v>
      </c>
      <c r="S38" s="15">
        <v>-2.4096700000000002</v>
      </c>
      <c r="T38" s="15">
        <v>-6.8546100000000001</v>
      </c>
      <c r="U38" s="15">
        <v>0</v>
      </c>
      <c r="V38" s="15"/>
      <c r="W38" s="15">
        <v>-1.7354499999999999</v>
      </c>
      <c r="X38" s="15"/>
      <c r="Y38" s="15">
        <v>-0.5</v>
      </c>
      <c r="Z38" s="15">
        <v>4.2070000000000003E-2</v>
      </c>
      <c r="AA38" s="15">
        <v>233.60971000000001</v>
      </c>
      <c r="AB38" s="15">
        <v>-7.4485799999999998</v>
      </c>
      <c r="AC38" s="15">
        <v>15.1648</v>
      </c>
      <c r="AD38" s="15"/>
      <c r="AE38" s="15">
        <v>0</v>
      </c>
      <c r="AF38" s="15">
        <v>181.89476999999999</v>
      </c>
      <c r="AG38" s="15">
        <v>4.0550600000000001</v>
      </c>
      <c r="AH38" s="15">
        <v>715.21384999999998</v>
      </c>
      <c r="AI38" s="15">
        <v>0</v>
      </c>
      <c r="AJ38" s="15">
        <v>0</v>
      </c>
      <c r="AK38" s="15"/>
      <c r="AL38" s="15">
        <v>-3.0687899999999999</v>
      </c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spans="2:50" ht="16" customHeight="1" x14ac:dyDescent="0.45">
      <c r="B39" s="14" t="s">
        <v>349</v>
      </c>
      <c r="C39" s="14" t="s">
        <v>1290</v>
      </c>
      <c r="D39" s="61"/>
      <c r="E39" s="23"/>
      <c r="F39" s="63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spans="2:50" ht="16" customHeight="1" x14ac:dyDescent="0.45">
      <c r="B40" s="14" t="s">
        <v>351</v>
      </c>
      <c r="C40" s="14" t="s">
        <v>1291</v>
      </c>
      <c r="D40" s="61"/>
      <c r="E40" s="23">
        <v>0</v>
      </c>
      <c r="F40" s="63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spans="2:50" ht="16" customHeight="1" x14ac:dyDescent="0.45">
      <c r="B41" s="14" t="s">
        <v>1292</v>
      </c>
      <c r="C41" s="14" t="s">
        <v>1293</v>
      </c>
      <c r="D41" s="61"/>
      <c r="E41" s="23"/>
      <c r="F41" s="63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spans="2:50" ht="16" customHeight="1" x14ac:dyDescent="0.45">
      <c r="B42" s="14" t="s">
        <v>1294</v>
      </c>
      <c r="C42" s="14" t="s">
        <v>1295</v>
      </c>
      <c r="D42" s="61"/>
      <c r="E42" s="23"/>
      <c r="F42" s="63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spans="2:50" ht="16" customHeight="1" x14ac:dyDescent="0.45">
      <c r="B43" s="14" t="s">
        <v>1296</v>
      </c>
      <c r="C43" s="14" t="s">
        <v>1297</v>
      </c>
      <c r="D43" s="61"/>
      <c r="E43" s="23"/>
      <c r="F43" s="63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spans="2:50" ht="16" customHeight="1" x14ac:dyDescent="0.45">
      <c r="B44" s="14" t="s">
        <v>1298</v>
      </c>
      <c r="C44" s="14" t="s">
        <v>1299</v>
      </c>
      <c r="D44" s="61"/>
      <c r="E44" s="23"/>
      <c r="F44" s="63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spans="2:50" ht="16" customHeight="1" x14ac:dyDescent="0.45">
      <c r="B45" s="14" t="s">
        <v>1300</v>
      </c>
      <c r="C45" s="14" t="s">
        <v>1301</v>
      </c>
      <c r="D45" s="61"/>
      <c r="E45" s="23"/>
      <c r="F45" s="63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spans="2:50" ht="16" customHeight="1" x14ac:dyDescent="0.45">
      <c r="B46" s="14" t="s">
        <v>1302</v>
      </c>
      <c r="C46" s="14" t="s">
        <v>1303</v>
      </c>
      <c r="D46" s="61"/>
      <c r="E46" s="23">
        <v>0</v>
      </c>
      <c r="F46" s="63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>
        <v>0</v>
      </c>
      <c r="S46" s="15"/>
      <c r="T46" s="15">
        <v>0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spans="2:50" ht="16" customHeight="1" x14ac:dyDescent="0.45">
      <c r="B47" s="14" t="s">
        <v>359</v>
      </c>
      <c r="C47" s="14" t="s">
        <v>360</v>
      </c>
      <c r="D47" s="61"/>
      <c r="E47" s="23">
        <v>203409.44198</v>
      </c>
      <c r="F47" s="63"/>
      <c r="G47" s="15">
        <v>187499.00633999999</v>
      </c>
      <c r="H47" s="15">
        <v>0</v>
      </c>
      <c r="I47" s="15">
        <v>217.53924000000001</v>
      </c>
      <c r="J47" s="15">
        <v>-5.47281</v>
      </c>
      <c r="K47" s="15">
        <v>0</v>
      </c>
      <c r="L47" s="15"/>
      <c r="M47" s="15">
        <v>0</v>
      </c>
      <c r="N47" s="15">
        <v>-6.0299999999999998E-3</v>
      </c>
      <c r="O47" s="15"/>
      <c r="P47" s="15"/>
      <c r="Q47" s="15">
        <v>0</v>
      </c>
      <c r="R47" s="15">
        <v>7996.3530799999999</v>
      </c>
      <c r="S47" s="15">
        <v>382.58649000000003</v>
      </c>
      <c r="T47" s="15">
        <v>671.58960999999999</v>
      </c>
      <c r="U47" s="15">
        <v>0</v>
      </c>
      <c r="V47" s="15">
        <v>0</v>
      </c>
      <c r="W47" s="15">
        <v>509.51335</v>
      </c>
      <c r="X47" s="15">
        <v>-63.584209999999999</v>
      </c>
      <c r="Y47" s="15">
        <v>272.45083</v>
      </c>
      <c r="Z47" s="15">
        <v>8.5823699999999992</v>
      </c>
      <c r="AA47" s="15">
        <v>979.27407000000005</v>
      </c>
      <c r="AB47" s="15"/>
      <c r="AC47" s="15">
        <v>74.26352</v>
      </c>
      <c r="AD47" s="15"/>
      <c r="AE47" s="15"/>
      <c r="AF47" s="15">
        <v>1224.9402600000001</v>
      </c>
      <c r="AG47" s="15">
        <v>517.18195000000003</v>
      </c>
      <c r="AH47" s="15">
        <v>2788.9312799999998</v>
      </c>
      <c r="AI47" s="15">
        <v>0</v>
      </c>
      <c r="AJ47" s="15">
        <v>0</v>
      </c>
      <c r="AK47" s="15"/>
      <c r="AL47" s="15">
        <v>336.29264000000001</v>
      </c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spans="2:50" ht="16" customHeight="1" x14ac:dyDescent="0.45">
      <c r="B48" s="14" t="s">
        <v>1304</v>
      </c>
      <c r="C48" s="14" t="s">
        <v>1305</v>
      </c>
      <c r="D48" s="61"/>
      <c r="E48" s="23"/>
      <c r="F48" s="63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spans="2:50" ht="16" customHeight="1" x14ac:dyDescent="0.45">
      <c r="B49" s="14" t="s">
        <v>1306</v>
      </c>
      <c r="C49" s="14" t="s">
        <v>1307</v>
      </c>
      <c r="D49" s="61"/>
      <c r="E49" s="23"/>
      <c r="F49" s="63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spans="2:50" ht="16" customHeight="1" x14ac:dyDescent="0.45">
      <c r="B50" s="14" t="s">
        <v>1308</v>
      </c>
      <c r="C50" s="14" t="s">
        <v>1309</v>
      </c>
      <c r="D50" s="61"/>
      <c r="E50" s="23"/>
      <c r="F50" s="63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spans="2:50" ht="16" customHeight="1" x14ac:dyDescent="0.45">
      <c r="B51" s="14" t="s">
        <v>1310</v>
      </c>
      <c r="C51" s="14" t="s">
        <v>1311</v>
      </c>
      <c r="D51" s="61"/>
      <c r="E51" s="23"/>
      <c r="F51" s="63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spans="2:50" ht="16" customHeight="1" x14ac:dyDescent="0.45">
      <c r="B52" s="14" t="s">
        <v>1312</v>
      </c>
      <c r="C52" s="14" t="s">
        <v>1313</v>
      </c>
      <c r="D52" s="61"/>
      <c r="E52" s="23"/>
      <c r="F52" s="63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spans="2:50" ht="16" customHeight="1" x14ac:dyDescent="0.45">
      <c r="B53" s="14" t="s">
        <v>1314</v>
      </c>
      <c r="C53" s="14" t="s">
        <v>1315</v>
      </c>
      <c r="D53" s="61"/>
      <c r="E53" s="23"/>
      <c r="F53" s="63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spans="2:50" ht="16" customHeight="1" x14ac:dyDescent="0.45">
      <c r="B54" s="14" t="s">
        <v>1316</v>
      </c>
      <c r="C54" s="14" t="s">
        <v>1317</v>
      </c>
      <c r="D54" s="61"/>
      <c r="E54" s="23"/>
      <c r="F54" s="63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spans="2:50" ht="16" customHeight="1" x14ac:dyDescent="0.45">
      <c r="B55" s="14" t="s">
        <v>361</v>
      </c>
      <c r="C55" s="14" t="s">
        <v>1318</v>
      </c>
      <c r="D55" s="61"/>
      <c r="E55" s="23">
        <v>245.958</v>
      </c>
      <c r="F55" s="63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>
        <v>245.958</v>
      </c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>
        <v>0</v>
      </c>
      <c r="AI55" s="15">
        <v>0</v>
      </c>
      <c r="AJ55" s="15">
        <v>0</v>
      </c>
      <c r="AK55" s="15"/>
      <c r="AL55" s="15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spans="2:50" ht="16" customHeight="1" x14ac:dyDescent="0.45">
      <c r="B56" s="14" t="s">
        <v>363</v>
      </c>
      <c r="C56" s="14" t="s">
        <v>364</v>
      </c>
      <c r="D56" s="61"/>
      <c r="E56" s="23">
        <v>13845.00405</v>
      </c>
      <c r="F56" s="63"/>
      <c r="G56" s="15"/>
      <c r="H56" s="15"/>
      <c r="I56" s="15">
        <v>0</v>
      </c>
      <c r="J56" s="15">
        <v>0</v>
      </c>
      <c r="K56" s="15"/>
      <c r="L56" s="15"/>
      <c r="M56" s="15">
        <v>0</v>
      </c>
      <c r="N56" s="15">
        <v>0</v>
      </c>
      <c r="O56" s="15">
        <v>0</v>
      </c>
      <c r="P56" s="15"/>
      <c r="Q56" s="15"/>
      <c r="R56" s="15"/>
      <c r="S56" s="15">
        <v>5532.4673300000004</v>
      </c>
      <c r="T56" s="15">
        <v>5195.0723200000002</v>
      </c>
      <c r="U56" s="15"/>
      <c r="V56" s="15"/>
      <c r="W56" s="15"/>
      <c r="X56" s="15">
        <v>0</v>
      </c>
      <c r="Y56" s="15">
        <v>0</v>
      </c>
      <c r="Z56" s="15"/>
      <c r="AA56" s="15">
        <v>1.0000000000000001E-5</v>
      </c>
      <c r="AB56" s="15"/>
      <c r="AC56" s="15"/>
      <c r="AD56" s="15"/>
      <c r="AE56" s="15">
        <v>0</v>
      </c>
      <c r="AF56" s="15">
        <v>2211.3174899999999</v>
      </c>
      <c r="AG56" s="15">
        <v>906.14689999999996</v>
      </c>
      <c r="AH56" s="15">
        <v>0</v>
      </c>
      <c r="AI56" s="15"/>
      <c r="AJ56" s="15"/>
      <c r="AK56" s="15">
        <v>0</v>
      </c>
      <c r="AL56" s="15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spans="2:50" ht="16" customHeight="1" x14ac:dyDescent="0.45">
      <c r="B57" s="14" t="s">
        <v>368</v>
      </c>
      <c r="C57" s="14" t="s">
        <v>369</v>
      </c>
      <c r="D57" s="61"/>
      <c r="E57" s="23">
        <v>0</v>
      </c>
      <c r="F57" s="63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>
        <v>0</v>
      </c>
      <c r="S57" s="15">
        <v>0</v>
      </c>
      <c r="T57" s="15">
        <v>0</v>
      </c>
      <c r="U57" s="15"/>
      <c r="V57" s="15"/>
      <c r="W57" s="15"/>
      <c r="X57" s="15"/>
      <c r="Y57" s="15"/>
      <c r="Z57" s="15"/>
      <c r="AA57" s="15">
        <v>0</v>
      </c>
      <c r="AB57" s="15"/>
      <c r="AC57" s="15"/>
      <c r="AD57" s="15"/>
      <c r="AE57" s="15"/>
      <c r="AF57" s="15">
        <v>0</v>
      </c>
      <c r="AG57" s="15"/>
      <c r="AH57" s="15">
        <v>0</v>
      </c>
      <c r="AI57" s="15"/>
      <c r="AJ57" s="15"/>
      <c r="AK57" s="15"/>
      <c r="AL57" s="15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spans="2:50" ht="16" customHeight="1" x14ac:dyDescent="0.45">
      <c r="B58" s="14" t="s">
        <v>391</v>
      </c>
      <c r="C58" s="14" t="s">
        <v>392</v>
      </c>
      <c r="D58" s="61"/>
      <c r="E58" s="23">
        <v>0</v>
      </c>
      <c r="F58" s="63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>
        <v>0</v>
      </c>
      <c r="AL58" s="15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spans="2:50" ht="16" customHeight="1" x14ac:dyDescent="0.45">
      <c r="B59" s="14" t="s">
        <v>393</v>
      </c>
      <c r="C59" s="14" t="s">
        <v>394</v>
      </c>
      <c r="D59" s="61"/>
      <c r="E59" s="23"/>
      <c r="F59" s="63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spans="2:50" ht="16" customHeight="1" x14ac:dyDescent="0.45">
      <c r="B60" s="14" t="s">
        <v>397</v>
      </c>
      <c r="C60" s="14" t="s">
        <v>1319</v>
      </c>
      <c r="D60" s="61"/>
      <c r="E60" s="23">
        <v>1595.63356</v>
      </c>
      <c r="F60" s="63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>
        <v>1595.63356</v>
      </c>
      <c r="AI60" s="15"/>
      <c r="AJ60" s="15"/>
      <c r="AK60" s="15"/>
      <c r="AL60" s="15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spans="2:50" ht="16" customHeight="1" x14ac:dyDescent="0.45">
      <c r="B61" s="14" t="s">
        <v>1320</v>
      </c>
      <c r="C61" s="14" t="s">
        <v>375</v>
      </c>
      <c r="D61" s="61"/>
      <c r="E61" s="23">
        <v>2488790.3207100001</v>
      </c>
      <c r="F61" s="63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>
        <v>-1.0000000000000001E-5</v>
      </c>
      <c r="U61" s="15"/>
      <c r="V61" s="15"/>
      <c r="W61" s="15"/>
      <c r="X61" s="15"/>
      <c r="Y61" s="15"/>
      <c r="Z61" s="15"/>
      <c r="AA61" s="15">
        <v>183432.04165999999</v>
      </c>
      <c r="AB61" s="15"/>
      <c r="AC61" s="15"/>
      <c r="AD61" s="15"/>
      <c r="AE61" s="15"/>
      <c r="AF61" s="15"/>
      <c r="AG61" s="15"/>
      <c r="AH61" s="15">
        <v>2305358.2787199998</v>
      </c>
      <c r="AI61" s="15"/>
      <c r="AJ61" s="15"/>
      <c r="AK61" s="15"/>
      <c r="AL61" s="15">
        <v>3.4000000000000002E-4</v>
      </c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spans="2:50" ht="16" customHeight="1" x14ac:dyDescent="0.45">
      <c r="B62" s="14" t="s">
        <v>1321</v>
      </c>
      <c r="C62" s="14" t="s">
        <v>1322</v>
      </c>
      <c r="D62" s="61"/>
      <c r="E62" s="23"/>
      <c r="F62" s="63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spans="2:50" ht="16" customHeight="1" x14ac:dyDescent="0.45">
      <c r="B63" s="14" t="s">
        <v>1323</v>
      </c>
      <c r="C63" s="14" t="s">
        <v>1324</v>
      </c>
      <c r="D63" s="61"/>
      <c r="E63" s="23"/>
      <c r="F63" s="63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spans="2:50" ht="16" customHeight="1" x14ac:dyDescent="0.45">
      <c r="B64" s="14" t="s">
        <v>1325</v>
      </c>
      <c r="C64" s="14" t="s">
        <v>1326</v>
      </c>
      <c r="D64" s="61"/>
      <c r="E64" s="23"/>
      <c r="F64" s="63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spans="2:50" ht="16" customHeight="1" x14ac:dyDescent="0.45">
      <c r="B65" s="14" t="s">
        <v>1327</v>
      </c>
      <c r="C65" s="14" t="s">
        <v>1328</v>
      </c>
      <c r="D65" s="61"/>
      <c r="E65" s="23">
        <v>0</v>
      </c>
      <c r="F65" s="63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>
        <v>0</v>
      </c>
      <c r="AI65" s="15"/>
      <c r="AJ65" s="15"/>
      <c r="AK65" s="15"/>
      <c r="AL65" s="15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spans="2:50" ht="16" customHeight="1" x14ac:dyDescent="0.45">
      <c r="B66" s="14" t="s">
        <v>1329</v>
      </c>
      <c r="C66" s="14" t="s">
        <v>1330</v>
      </c>
      <c r="D66" s="61"/>
      <c r="E66" s="23"/>
      <c r="F66" s="63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spans="2:50" ht="16" customHeight="1" x14ac:dyDescent="0.45">
      <c r="B67" s="14" t="s">
        <v>1331</v>
      </c>
      <c r="C67" s="14" t="s">
        <v>1332</v>
      </c>
      <c r="D67" s="61"/>
      <c r="E67" s="23"/>
      <c r="F67" s="63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spans="2:50" ht="16" customHeight="1" x14ac:dyDescent="0.45">
      <c r="B68" s="14" t="s">
        <v>1333</v>
      </c>
      <c r="C68" s="14" t="s">
        <v>1334</v>
      </c>
      <c r="D68" s="61"/>
      <c r="E68" s="23"/>
      <c r="F68" s="63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spans="2:50" ht="16" customHeight="1" x14ac:dyDescent="0.45">
      <c r="B69" s="14" t="s">
        <v>1335</v>
      </c>
      <c r="C69" s="14" t="s">
        <v>1336</v>
      </c>
      <c r="D69" s="61"/>
      <c r="E69" s="23"/>
      <c r="F69" s="63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spans="2:50" ht="16" customHeight="1" x14ac:dyDescent="0.45">
      <c r="B70" s="14" t="s">
        <v>1337</v>
      </c>
      <c r="C70" s="14" t="s">
        <v>1338</v>
      </c>
      <c r="D70" s="61"/>
      <c r="E70" s="23">
        <v>0</v>
      </c>
      <c r="F70" s="63"/>
      <c r="G70" s="15"/>
      <c r="H70" s="15"/>
      <c r="I70" s="15">
        <v>0</v>
      </c>
      <c r="J70" s="15"/>
      <c r="K70" s="15"/>
      <c r="L70" s="15"/>
      <c r="M70" s="15"/>
      <c r="N70" s="15"/>
      <c r="O70" s="15"/>
      <c r="P70" s="15"/>
      <c r="Q70" s="15"/>
      <c r="R70" s="15">
        <v>0</v>
      </c>
      <c r="S70" s="15"/>
      <c r="T70" s="15">
        <v>0</v>
      </c>
      <c r="U70" s="15"/>
      <c r="V70" s="15"/>
      <c r="W70" s="15"/>
      <c r="X70" s="15"/>
      <c r="Y70" s="15"/>
      <c r="Z70" s="15"/>
      <c r="AA70" s="15">
        <v>0</v>
      </c>
      <c r="AB70" s="15"/>
      <c r="AC70" s="15"/>
      <c r="AD70" s="15"/>
      <c r="AE70" s="15"/>
      <c r="AF70" s="15">
        <v>0</v>
      </c>
      <c r="AG70" s="15"/>
      <c r="AH70" s="15">
        <v>0</v>
      </c>
      <c r="AI70" s="15"/>
      <c r="AJ70" s="15"/>
      <c r="AK70" s="15"/>
      <c r="AL70" s="15">
        <v>0</v>
      </c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2:50" ht="16" customHeight="1" x14ac:dyDescent="0.45">
      <c r="B71" s="14" t="s">
        <v>1339</v>
      </c>
      <c r="C71" s="14" t="s">
        <v>1340</v>
      </c>
      <c r="D71" s="61"/>
      <c r="E71" s="23"/>
      <c r="F71" s="63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spans="2:50" ht="16" customHeight="1" x14ac:dyDescent="0.45">
      <c r="B72" s="14" t="s">
        <v>1341</v>
      </c>
      <c r="C72" s="14" t="s">
        <v>1342</v>
      </c>
      <c r="D72" s="61"/>
      <c r="E72" s="23"/>
      <c r="F72" s="63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spans="2:50" ht="16" customHeight="1" x14ac:dyDescent="0.45">
      <c r="B73" s="14" t="s">
        <v>378</v>
      </c>
      <c r="C73" s="14" t="s">
        <v>379</v>
      </c>
      <c r="D73" s="61"/>
      <c r="E73" s="23">
        <v>686360.02263999998</v>
      </c>
      <c r="F73" s="63"/>
      <c r="G73" s="15"/>
      <c r="H73" s="15">
        <v>17.759219999999999</v>
      </c>
      <c r="I73" s="15">
        <v>-587.48761000000002</v>
      </c>
      <c r="J73" s="15">
        <v>1200.6072999999999</v>
      </c>
      <c r="K73" s="15">
        <v>3041.0909299999998</v>
      </c>
      <c r="L73" s="15"/>
      <c r="M73" s="15"/>
      <c r="N73" s="15">
        <v>1E-4</v>
      </c>
      <c r="O73" s="15"/>
      <c r="P73" s="15"/>
      <c r="Q73" s="15"/>
      <c r="R73" s="15">
        <v>107.42847</v>
      </c>
      <c r="S73" s="15">
        <v>173.31431000000001</v>
      </c>
      <c r="T73" s="15">
        <v>29886.340080000002</v>
      </c>
      <c r="U73" s="15">
        <v>1.8149999999999999E-2</v>
      </c>
      <c r="V73" s="15"/>
      <c r="W73" s="15">
        <v>-5.2952700000000004</v>
      </c>
      <c r="X73" s="15"/>
      <c r="Y73" s="15"/>
      <c r="Z73" s="15"/>
      <c r="AA73" s="15">
        <v>18389.87069</v>
      </c>
      <c r="AB73" s="15">
        <v>45604.098599999998</v>
      </c>
      <c r="AC73" s="15">
        <v>98.585310000000007</v>
      </c>
      <c r="AD73" s="15"/>
      <c r="AE73" s="15"/>
      <c r="AF73" s="15">
        <v>14542.20082</v>
      </c>
      <c r="AG73" s="15">
        <v>6574.1249699999998</v>
      </c>
      <c r="AH73" s="15">
        <v>230210.88159</v>
      </c>
      <c r="AI73" s="15">
        <v>61550.360970000002</v>
      </c>
      <c r="AJ73" s="15">
        <v>275475.63660999999</v>
      </c>
      <c r="AK73" s="15"/>
      <c r="AL73" s="15">
        <v>80.487399999999994</v>
      </c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spans="2:50" ht="16" customHeight="1" x14ac:dyDescent="0.45">
      <c r="B74" s="14" t="s">
        <v>384</v>
      </c>
      <c r="C74" s="14" t="s">
        <v>385</v>
      </c>
      <c r="D74" s="61"/>
      <c r="E74" s="23">
        <v>0</v>
      </c>
      <c r="F74" s="63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>
        <v>0</v>
      </c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spans="2:50" ht="16" customHeight="1" x14ac:dyDescent="0.45">
      <c r="B75" s="14" t="s">
        <v>386</v>
      </c>
      <c r="C75" s="14" t="s">
        <v>387</v>
      </c>
      <c r="D75" s="61"/>
      <c r="E75" s="23">
        <v>32861.885130000002</v>
      </c>
      <c r="F75" s="63"/>
      <c r="G75" s="15"/>
      <c r="H75" s="15">
        <v>88.671999999999997</v>
      </c>
      <c r="I75" s="15">
        <v>224.62056000000001</v>
      </c>
      <c r="J75" s="15">
        <v>11982.18981</v>
      </c>
      <c r="K75" s="15"/>
      <c r="L75" s="15"/>
      <c r="M75" s="15">
        <v>100</v>
      </c>
      <c r="N75" s="15">
        <v>516.00557000000003</v>
      </c>
      <c r="O75" s="15"/>
      <c r="P75" s="15">
        <v>0</v>
      </c>
      <c r="Q75" s="15"/>
      <c r="R75" s="15">
        <v>233.85348999999999</v>
      </c>
      <c r="S75" s="15"/>
      <c r="T75" s="15">
        <v>4347.2178100000001</v>
      </c>
      <c r="U75" s="15"/>
      <c r="V75" s="15"/>
      <c r="W75" s="15"/>
      <c r="X75" s="15"/>
      <c r="Y75" s="15">
        <v>254.33427</v>
      </c>
      <c r="Z75" s="15"/>
      <c r="AA75" s="15">
        <v>13033.683360000001</v>
      </c>
      <c r="AB75" s="15"/>
      <c r="AC75" s="15"/>
      <c r="AD75" s="15"/>
      <c r="AE75" s="15"/>
      <c r="AF75" s="15">
        <v>1764.7780600000001</v>
      </c>
      <c r="AG75" s="15">
        <v>156.53020000000001</v>
      </c>
      <c r="AH75" s="15">
        <v>160</v>
      </c>
      <c r="AI75" s="15"/>
      <c r="AJ75" s="15">
        <v>0</v>
      </c>
      <c r="AK75" s="15"/>
      <c r="AL75" s="15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spans="2:50" ht="16" customHeight="1" x14ac:dyDescent="0.45">
      <c r="B76" s="14" t="s">
        <v>400</v>
      </c>
      <c r="C76" s="14" t="s">
        <v>401</v>
      </c>
      <c r="D76" s="61"/>
      <c r="E76" s="23">
        <v>2883947.5254799998</v>
      </c>
      <c r="F76" s="63"/>
      <c r="G76" s="15">
        <v>702374.55625000002</v>
      </c>
      <c r="H76" s="15">
        <v>16536.982960000001</v>
      </c>
      <c r="I76" s="15">
        <v>25486.06134</v>
      </c>
      <c r="J76" s="15">
        <v>35861.826609999996</v>
      </c>
      <c r="K76" s="15">
        <v>0</v>
      </c>
      <c r="L76" s="15">
        <v>26.9985</v>
      </c>
      <c r="M76" s="15">
        <v>27173.082709999999</v>
      </c>
      <c r="N76" s="15">
        <v>49129.774219999999</v>
      </c>
      <c r="O76" s="15">
        <v>3798.4955199999999</v>
      </c>
      <c r="P76" s="15">
        <v>429164.73164999997</v>
      </c>
      <c r="Q76" s="15"/>
      <c r="R76" s="15">
        <v>374209.90506999998</v>
      </c>
      <c r="S76" s="15">
        <v>37827.804499999998</v>
      </c>
      <c r="T76" s="15">
        <v>237355.86486</v>
      </c>
      <c r="U76" s="15">
        <v>7426.0683600000002</v>
      </c>
      <c r="V76" s="15">
        <v>24151.248589999999</v>
      </c>
      <c r="W76" s="15">
        <v>2589.8045699999998</v>
      </c>
      <c r="X76" s="15"/>
      <c r="Y76" s="15">
        <v>186424.13819</v>
      </c>
      <c r="Z76" s="15">
        <v>11</v>
      </c>
      <c r="AA76" s="15">
        <v>208514.69894999999</v>
      </c>
      <c r="AB76" s="15"/>
      <c r="AC76" s="15">
        <v>6372.9312900000004</v>
      </c>
      <c r="AD76" s="15"/>
      <c r="AE76" s="15">
        <v>0</v>
      </c>
      <c r="AF76" s="15">
        <v>228634.21440999999</v>
      </c>
      <c r="AG76" s="15">
        <v>251804.24072</v>
      </c>
      <c r="AH76" s="15">
        <v>0</v>
      </c>
      <c r="AI76" s="15">
        <v>3321.3804100000002</v>
      </c>
      <c r="AJ76" s="15">
        <v>16034.58273</v>
      </c>
      <c r="AK76" s="15">
        <v>0</v>
      </c>
      <c r="AL76" s="15">
        <v>9717.1330699999999</v>
      </c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spans="2:50" ht="16" customHeight="1" x14ac:dyDescent="0.45">
      <c r="B77" s="14" t="s">
        <v>402</v>
      </c>
      <c r="C77" s="14" t="s">
        <v>1343</v>
      </c>
      <c r="D77" s="61"/>
      <c r="E77" s="23">
        <v>-857618.05755000003</v>
      </c>
      <c r="F77" s="63"/>
      <c r="G77" s="15">
        <v>-28098.840479999999</v>
      </c>
      <c r="H77" s="15">
        <v>-192.39993000000001</v>
      </c>
      <c r="I77" s="15">
        <v>-13168.59259</v>
      </c>
      <c r="J77" s="15">
        <v>-9731.4560999999994</v>
      </c>
      <c r="K77" s="15">
        <v>0</v>
      </c>
      <c r="L77" s="15">
        <v>-5.7164999999999999</v>
      </c>
      <c r="M77" s="15">
        <v>-10489.397870000001</v>
      </c>
      <c r="N77" s="15">
        <v>-17154.032930000001</v>
      </c>
      <c r="O77" s="15">
        <v>-3617.7484300000001</v>
      </c>
      <c r="P77" s="15">
        <v>-212770.41617000001</v>
      </c>
      <c r="Q77" s="15"/>
      <c r="R77" s="15">
        <v>-21536.384699999999</v>
      </c>
      <c r="S77" s="15">
        <v>-11684.430340000001</v>
      </c>
      <c r="T77" s="15">
        <v>-95413.87298</v>
      </c>
      <c r="U77" s="15">
        <v>-3650.1912699999998</v>
      </c>
      <c r="V77" s="15">
        <v>-13063.264370000001</v>
      </c>
      <c r="W77" s="15">
        <v>-1375.36429</v>
      </c>
      <c r="X77" s="15"/>
      <c r="Y77" s="15">
        <v>-77078.556549999994</v>
      </c>
      <c r="Z77" s="15"/>
      <c r="AA77" s="15">
        <v>-174821.37049</v>
      </c>
      <c r="AB77" s="15"/>
      <c r="AC77" s="15">
        <v>-810.00374999999997</v>
      </c>
      <c r="AD77" s="15"/>
      <c r="AE77" s="15">
        <v>0</v>
      </c>
      <c r="AF77" s="15">
        <v>-79844.598299999998</v>
      </c>
      <c r="AG77" s="15">
        <v>-77763.13665</v>
      </c>
      <c r="AH77" s="15">
        <v>0</v>
      </c>
      <c r="AI77" s="15">
        <v>457.23523999999998</v>
      </c>
      <c r="AJ77" s="15">
        <v>-4188.2548999999999</v>
      </c>
      <c r="AK77" s="15">
        <v>0</v>
      </c>
      <c r="AL77" s="15">
        <v>-1617.2632000000001</v>
      </c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spans="2:50" ht="16" customHeight="1" x14ac:dyDescent="0.45">
      <c r="B78" s="14" t="s">
        <v>438</v>
      </c>
      <c r="C78" s="14" t="s">
        <v>1344</v>
      </c>
      <c r="D78" s="61"/>
      <c r="E78" s="23">
        <v>303.52346999999997</v>
      </c>
      <c r="F78" s="63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>
        <v>303.52346999999997</v>
      </c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>
        <v>0</v>
      </c>
      <c r="AG78" s="15">
        <v>0</v>
      </c>
      <c r="AH78" s="15"/>
      <c r="AI78" s="15"/>
      <c r="AJ78" s="15"/>
      <c r="AK78" s="15">
        <v>0</v>
      </c>
      <c r="AL78" s="15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spans="2:50" ht="16" customHeight="1" x14ac:dyDescent="0.45">
      <c r="B79" s="14" t="s">
        <v>544</v>
      </c>
      <c r="C79" s="14" t="s">
        <v>1345</v>
      </c>
      <c r="D79" s="61"/>
      <c r="E79" s="23">
        <v>15293.701590000001</v>
      </c>
      <c r="F79" s="63"/>
      <c r="G79" s="15"/>
      <c r="H79" s="15"/>
      <c r="I79" s="15">
        <v>490.87203</v>
      </c>
      <c r="J79" s="15">
        <v>198.54132000000001</v>
      </c>
      <c r="K79" s="15"/>
      <c r="L79" s="15"/>
      <c r="M79" s="15"/>
      <c r="N79" s="15"/>
      <c r="O79" s="15"/>
      <c r="P79" s="15"/>
      <c r="Q79" s="15"/>
      <c r="R79" s="15">
        <v>1786.59618</v>
      </c>
      <c r="S79" s="15"/>
      <c r="T79" s="15">
        <v>4371.3083399999996</v>
      </c>
      <c r="U79" s="15"/>
      <c r="V79" s="15"/>
      <c r="W79" s="15"/>
      <c r="X79" s="15">
        <v>810.86066000000005</v>
      </c>
      <c r="Y79" s="15"/>
      <c r="Z79" s="15"/>
      <c r="AA79" s="15">
        <v>5450.9927600000001</v>
      </c>
      <c r="AB79" s="15"/>
      <c r="AC79" s="15"/>
      <c r="AD79" s="15"/>
      <c r="AE79" s="15"/>
      <c r="AF79" s="15">
        <v>1202.60799</v>
      </c>
      <c r="AG79" s="15">
        <v>163.08633</v>
      </c>
      <c r="AH79" s="15"/>
      <c r="AI79" s="15"/>
      <c r="AJ79" s="15"/>
      <c r="AK79" s="15">
        <v>0</v>
      </c>
      <c r="AL79" s="15">
        <v>818.83597999999995</v>
      </c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spans="2:50" ht="16" customHeight="1" x14ac:dyDescent="0.45">
      <c r="B80" s="14" t="s">
        <v>440</v>
      </c>
      <c r="C80" s="14" t="s">
        <v>1346</v>
      </c>
      <c r="D80" s="61"/>
      <c r="E80" s="23">
        <v>-303.52346999999997</v>
      </c>
      <c r="F80" s="63"/>
      <c r="G80" s="15"/>
      <c r="H80" s="15"/>
      <c r="I80" s="15">
        <v>0</v>
      </c>
      <c r="J80" s="15">
        <v>0</v>
      </c>
      <c r="K80" s="15"/>
      <c r="L80" s="15"/>
      <c r="M80" s="15"/>
      <c r="N80" s="15"/>
      <c r="O80" s="15"/>
      <c r="P80" s="15"/>
      <c r="Q80" s="15"/>
      <c r="R80" s="15"/>
      <c r="S80" s="15"/>
      <c r="T80" s="15">
        <v>-303.52346999999997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>
        <v>0</v>
      </c>
      <c r="AG80" s="15">
        <v>0</v>
      </c>
      <c r="AH80" s="15"/>
      <c r="AI80" s="15"/>
      <c r="AJ80" s="15"/>
      <c r="AK80" s="15">
        <v>0</v>
      </c>
      <c r="AL80" s="15">
        <v>0</v>
      </c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spans="2:50" ht="16" customHeight="1" x14ac:dyDescent="0.45">
      <c r="B81" s="14" t="s">
        <v>406</v>
      </c>
      <c r="C81" s="14" t="s">
        <v>407</v>
      </c>
      <c r="D81" s="61"/>
      <c r="E81" s="23">
        <v>276649.46948999999</v>
      </c>
      <c r="F81" s="63"/>
      <c r="G81" s="15">
        <v>78022.858399999997</v>
      </c>
      <c r="H81" s="15">
        <v>303.94538</v>
      </c>
      <c r="I81" s="15">
        <v>15602.970160000001</v>
      </c>
      <c r="J81" s="15">
        <v>13437.80668</v>
      </c>
      <c r="K81" s="15">
        <v>19.024999999999999</v>
      </c>
      <c r="L81" s="15">
        <v>1422.0535</v>
      </c>
      <c r="M81" s="15">
        <v>1713.1723199999999</v>
      </c>
      <c r="N81" s="15">
        <v>2842.6151399999999</v>
      </c>
      <c r="O81" s="15">
        <v>1234.41617</v>
      </c>
      <c r="P81" s="15">
        <v>0</v>
      </c>
      <c r="Q81" s="15"/>
      <c r="R81" s="15">
        <v>21201.341400000001</v>
      </c>
      <c r="S81" s="15">
        <v>8587.5873300000003</v>
      </c>
      <c r="T81" s="15">
        <v>26355.614030000001</v>
      </c>
      <c r="U81" s="15">
        <v>6007.1181100000003</v>
      </c>
      <c r="V81" s="15"/>
      <c r="W81" s="15">
        <v>10299.29321</v>
      </c>
      <c r="X81" s="15"/>
      <c r="Y81" s="15">
        <v>2596.1559000000002</v>
      </c>
      <c r="Z81" s="15">
        <v>41.302050000000001</v>
      </c>
      <c r="AA81" s="15">
        <v>12995.1108</v>
      </c>
      <c r="AB81" s="15"/>
      <c r="AC81" s="15">
        <v>2632.5017899999998</v>
      </c>
      <c r="AD81" s="15"/>
      <c r="AE81" s="15">
        <v>0</v>
      </c>
      <c r="AF81" s="15">
        <v>27714.41907</v>
      </c>
      <c r="AG81" s="15">
        <v>29023.977129999999</v>
      </c>
      <c r="AH81" s="15">
        <v>1.0000000000000001E-5</v>
      </c>
      <c r="AI81" s="15">
        <v>128.161</v>
      </c>
      <c r="AJ81" s="15">
        <v>7416.0913899999996</v>
      </c>
      <c r="AK81" s="15"/>
      <c r="AL81" s="15">
        <v>7051.9335199999996</v>
      </c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spans="2:50" ht="16" customHeight="1" x14ac:dyDescent="0.45">
      <c r="B82" s="14" t="s">
        <v>408</v>
      </c>
      <c r="C82" s="14" t="s">
        <v>409</v>
      </c>
      <c r="D82" s="61"/>
      <c r="E82" s="23">
        <v>-143709.78804000001</v>
      </c>
      <c r="F82" s="63"/>
      <c r="G82" s="15">
        <v>-31488.899590000001</v>
      </c>
      <c r="H82" s="15">
        <v>-79.771379999999994</v>
      </c>
      <c r="I82" s="15">
        <v>-8304.6051599999992</v>
      </c>
      <c r="J82" s="15">
        <v>-6490.5886799999998</v>
      </c>
      <c r="K82" s="15">
        <v>-19.024999999999999</v>
      </c>
      <c r="L82" s="15">
        <v>-597.25649999999996</v>
      </c>
      <c r="M82" s="15">
        <v>-1402.3953200000001</v>
      </c>
      <c r="N82" s="15">
        <v>-1698.9821400000001</v>
      </c>
      <c r="O82" s="15">
        <v>-1162.0151699999999</v>
      </c>
      <c r="P82" s="15"/>
      <c r="Q82" s="15"/>
      <c r="R82" s="15">
        <v>-6933.23686</v>
      </c>
      <c r="S82" s="15">
        <v>-5626.2323200000001</v>
      </c>
      <c r="T82" s="15">
        <v>-18253.404030000002</v>
      </c>
      <c r="U82" s="15">
        <v>-5167.7661099999996</v>
      </c>
      <c r="V82" s="15"/>
      <c r="W82" s="15">
        <v>-4624.8642099999997</v>
      </c>
      <c r="X82" s="15"/>
      <c r="Y82" s="15">
        <v>-1259.5669</v>
      </c>
      <c r="Z82" s="15">
        <v>-41.302050000000001</v>
      </c>
      <c r="AA82" s="15">
        <v>-10185.9048</v>
      </c>
      <c r="AB82" s="15"/>
      <c r="AC82" s="15">
        <v>-1781.7387900000001</v>
      </c>
      <c r="AD82" s="15"/>
      <c r="AE82" s="15">
        <v>0</v>
      </c>
      <c r="AF82" s="15">
        <v>-14093.09302</v>
      </c>
      <c r="AG82" s="15">
        <v>-14267.61011</v>
      </c>
      <c r="AH82" s="15">
        <v>-1.0000000000000001E-5</v>
      </c>
      <c r="AI82" s="15">
        <v>-106.687</v>
      </c>
      <c r="AJ82" s="15">
        <v>-5791.0893900000001</v>
      </c>
      <c r="AK82" s="15">
        <v>0</v>
      </c>
      <c r="AL82" s="15">
        <v>-4333.7534999999998</v>
      </c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spans="2:50" ht="16" customHeight="1" x14ac:dyDescent="0.45">
      <c r="B83" s="14" t="s">
        <v>444</v>
      </c>
      <c r="C83" s="14" t="s">
        <v>1347</v>
      </c>
      <c r="D83" s="61"/>
      <c r="E83" s="23">
        <v>0</v>
      </c>
      <c r="F83" s="63"/>
      <c r="G83" s="15"/>
      <c r="H83" s="15">
        <v>0</v>
      </c>
      <c r="I83" s="15">
        <v>0</v>
      </c>
      <c r="J83" s="15">
        <v>0</v>
      </c>
      <c r="K83" s="15"/>
      <c r="L83" s="15"/>
      <c r="M83" s="15"/>
      <c r="N83" s="15"/>
      <c r="O83" s="15"/>
      <c r="P83" s="15"/>
      <c r="Q83" s="15"/>
      <c r="R83" s="15">
        <v>0</v>
      </c>
      <c r="S83" s="15">
        <v>0</v>
      </c>
      <c r="T83" s="15">
        <v>0</v>
      </c>
      <c r="U83" s="15"/>
      <c r="V83" s="15"/>
      <c r="W83" s="15"/>
      <c r="X83" s="15"/>
      <c r="Y83" s="15"/>
      <c r="Z83" s="15"/>
      <c r="AA83" s="15">
        <v>0</v>
      </c>
      <c r="AB83" s="15"/>
      <c r="AC83" s="15"/>
      <c r="AD83" s="15"/>
      <c r="AE83" s="15"/>
      <c r="AF83" s="15">
        <v>0</v>
      </c>
      <c r="AG83" s="15">
        <v>0</v>
      </c>
      <c r="AH83" s="15"/>
      <c r="AI83" s="15"/>
      <c r="AJ83" s="15"/>
      <c r="AK83" s="15">
        <v>0</v>
      </c>
      <c r="AL83" s="15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spans="2:50" ht="16" customHeight="1" x14ac:dyDescent="0.45">
      <c r="B84" s="14" t="s">
        <v>546</v>
      </c>
      <c r="C84" s="14" t="s">
        <v>1348</v>
      </c>
      <c r="D84" s="61"/>
      <c r="E84" s="23">
        <v>19311.3024</v>
      </c>
      <c r="F84" s="63"/>
      <c r="G84" s="15"/>
      <c r="H84" s="15">
        <v>236.43779000000001</v>
      </c>
      <c r="I84" s="15">
        <v>136.23178999999999</v>
      </c>
      <c r="J84" s="15">
        <v>996.52075000000002</v>
      </c>
      <c r="K84" s="15"/>
      <c r="L84" s="15">
        <v>0</v>
      </c>
      <c r="M84" s="15">
        <v>0</v>
      </c>
      <c r="N84" s="15">
        <v>0</v>
      </c>
      <c r="O84" s="15">
        <v>0</v>
      </c>
      <c r="P84" s="15"/>
      <c r="Q84" s="15"/>
      <c r="R84" s="15">
        <v>5207.0664900000002</v>
      </c>
      <c r="S84" s="15">
        <v>323.91417999999999</v>
      </c>
      <c r="T84" s="15">
        <v>2696.1090800000002</v>
      </c>
      <c r="U84" s="15">
        <v>0</v>
      </c>
      <c r="V84" s="15"/>
      <c r="W84" s="15">
        <v>0</v>
      </c>
      <c r="X84" s="15">
        <v>1505.8841500000001</v>
      </c>
      <c r="Y84" s="15">
        <v>0</v>
      </c>
      <c r="Z84" s="15"/>
      <c r="AA84" s="15">
        <v>2467.3232200000002</v>
      </c>
      <c r="AB84" s="15"/>
      <c r="AC84" s="15">
        <v>0</v>
      </c>
      <c r="AD84" s="15"/>
      <c r="AE84" s="15"/>
      <c r="AF84" s="15">
        <v>3041.7606599999999</v>
      </c>
      <c r="AG84" s="15">
        <v>2589.1792599999999</v>
      </c>
      <c r="AH84" s="15">
        <v>0</v>
      </c>
      <c r="AI84" s="15"/>
      <c r="AJ84" s="15">
        <v>0</v>
      </c>
      <c r="AK84" s="15">
        <v>0</v>
      </c>
      <c r="AL84" s="15">
        <v>110.87503</v>
      </c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spans="2:50" ht="16" customHeight="1" x14ac:dyDescent="0.45">
      <c r="B85" s="14" t="s">
        <v>446</v>
      </c>
      <c r="C85" s="14" t="s">
        <v>1349</v>
      </c>
      <c r="D85" s="61"/>
      <c r="E85" s="23">
        <v>0</v>
      </c>
      <c r="F85" s="63"/>
      <c r="G85" s="15"/>
      <c r="H85" s="15">
        <v>0</v>
      </c>
      <c r="I85" s="15">
        <v>0</v>
      </c>
      <c r="J85" s="15">
        <v>0</v>
      </c>
      <c r="K85" s="15"/>
      <c r="L85" s="15"/>
      <c r="M85" s="15"/>
      <c r="N85" s="15"/>
      <c r="O85" s="15"/>
      <c r="P85" s="15"/>
      <c r="Q85" s="15"/>
      <c r="R85" s="15">
        <v>0</v>
      </c>
      <c r="S85" s="15">
        <v>0</v>
      </c>
      <c r="T85" s="15">
        <v>0</v>
      </c>
      <c r="U85" s="15"/>
      <c r="V85" s="15"/>
      <c r="W85" s="15"/>
      <c r="X85" s="15"/>
      <c r="Y85" s="15"/>
      <c r="Z85" s="15"/>
      <c r="AA85" s="15">
        <v>0</v>
      </c>
      <c r="AB85" s="15"/>
      <c r="AC85" s="15"/>
      <c r="AD85" s="15"/>
      <c r="AE85" s="15"/>
      <c r="AF85" s="15">
        <v>0</v>
      </c>
      <c r="AG85" s="15">
        <v>0</v>
      </c>
      <c r="AH85" s="15"/>
      <c r="AI85" s="15"/>
      <c r="AJ85" s="15"/>
      <c r="AK85" s="15">
        <v>0</v>
      </c>
      <c r="AL85" s="15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spans="2:50" ht="16" customHeight="1" x14ac:dyDescent="0.45">
      <c r="B86" s="14" t="s">
        <v>412</v>
      </c>
      <c r="C86" s="14" t="s">
        <v>413</v>
      </c>
      <c r="D86" s="61"/>
      <c r="E86" s="23">
        <v>3769686.00403</v>
      </c>
      <c r="F86" s="63"/>
      <c r="G86" s="15">
        <v>2670553.1378199998</v>
      </c>
      <c r="H86" s="15">
        <v>10140.301289999999</v>
      </c>
      <c r="I86" s="15">
        <v>71086.646429999993</v>
      </c>
      <c r="J86" s="15">
        <v>67797.772540000005</v>
      </c>
      <c r="K86" s="15">
        <v>611.15579000000002</v>
      </c>
      <c r="L86" s="15">
        <v>799.91474000000005</v>
      </c>
      <c r="M86" s="15">
        <v>16206.27072</v>
      </c>
      <c r="N86" s="15">
        <v>74977.573420000001</v>
      </c>
      <c r="O86" s="15">
        <v>8267.2538800000002</v>
      </c>
      <c r="P86" s="15">
        <v>0</v>
      </c>
      <c r="Q86" s="15"/>
      <c r="R86" s="15">
        <v>123885.08876</v>
      </c>
      <c r="S86" s="15">
        <v>66951.486680000002</v>
      </c>
      <c r="T86" s="15">
        <v>102028.4371</v>
      </c>
      <c r="U86" s="15">
        <v>2173.5019900000002</v>
      </c>
      <c r="V86" s="15">
        <v>0</v>
      </c>
      <c r="W86" s="15">
        <v>26617.440999999999</v>
      </c>
      <c r="X86" s="15">
        <v>1.0000000000000001E-5</v>
      </c>
      <c r="Y86" s="15">
        <v>36197.058149999997</v>
      </c>
      <c r="Z86" s="15">
        <v>0</v>
      </c>
      <c r="AA86" s="15">
        <v>114044.98484999999</v>
      </c>
      <c r="AB86" s="15">
        <v>2.5999999999999998E-4</v>
      </c>
      <c r="AC86" s="15">
        <v>5498.1197899999997</v>
      </c>
      <c r="AD86" s="15"/>
      <c r="AE86" s="15">
        <v>0</v>
      </c>
      <c r="AF86" s="15">
        <v>171205.48123</v>
      </c>
      <c r="AG86" s="15">
        <v>132875.78688</v>
      </c>
      <c r="AH86" s="15">
        <v>1253.2732599999999</v>
      </c>
      <c r="AI86" s="15">
        <v>10070.767900000001</v>
      </c>
      <c r="AJ86" s="15">
        <v>38743.711589999999</v>
      </c>
      <c r="AK86" s="15"/>
      <c r="AL86" s="15">
        <v>17700.837950000001</v>
      </c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spans="2:50" ht="16" customHeight="1" x14ac:dyDescent="0.45">
      <c r="B87" s="14" t="s">
        <v>414</v>
      </c>
      <c r="C87" s="14" t="s">
        <v>415</v>
      </c>
      <c r="D87" s="61"/>
      <c r="E87" s="23">
        <v>-1867094.53189</v>
      </c>
      <c r="F87" s="63"/>
      <c r="G87" s="15">
        <v>-1114381.4321699999</v>
      </c>
      <c r="H87" s="15">
        <v>-4990.3942900000002</v>
      </c>
      <c r="I87" s="15">
        <v>-54431.638429999999</v>
      </c>
      <c r="J87" s="15">
        <v>-48181.717539999998</v>
      </c>
      <c r="K87" s="15">
        <v>-611.15579000000002</v>
      </c>
      <c r="L87" s="15">
        <v>-712.77773999999999</v>
      </c>
      <c r="M87" s="15">
        <v>-12679.48372</v>
      </c>
      <c r="N87" s="15">
        <v>-56946.40842</v>
      </c>
      <c r="O87" s="15">
        <v>-5669.0348800000002</v>
      </c>
      <c r="P87" s="15"/>
      <c r="Q87" s="15"/>
      <c r="R87" s="15">
        <v>-58934.502130000001</v>
      </c>
      <c r="S87" s="15">
        <v>-45582.452680000002</v>
      </c>
      <c r="T87" s="15">
        <v>-65090.570959999997</v>
      </c>
      <c r="U87" s="15">
        <v>-2166.7719900000002</v>
      </c>
      <c r="V87" s="15"/>
      <c r="W87" s="15">
        <v>-18420.857</v>
      </c>
      <c r="X87" s="15">
        <v>-1.0000000000000001E-5</v>
      </c>
      <c r="Y87" s="15">
        <v>-23899.45708</v>
      </c>
      <c r="Z87" s="15"/>
      <c r="AA87" s="15">
        <v>-77812.291849999994</v>
      </c>
      <c r="AB87" s="15">
        <v>0</v>
      </c>
      <c r="AC87" s="15">
        <v>-4811.24179</v>
      </c>
      <c r="AD87" s="15"/>
      <c r="AE87" s="15">
        <v>0</v>
      </c>
      <c r="AF87" s="15">
        <v>-133644.76022</v>
      </c>
      <c r="AG87" s="15">
        <v>-86152.602880000006</v>
      </c>
      <c r="AH87" s="15">
        <v>-313.23412000000002</v>
      </c>
      <c r="AI87" s="15">
        <v>-7387.5499</v>
      </c>
      <c r="AJ87" s="15">
        <v>-29761.653590000002</v>
      </c>
      <c r="AK87" s="15"/>
      <c r="AL87" s="15">
        <v>-14512.54271</v>
      </c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spans="2:50" ht="16" customHeight="1" x14ac:dyDescent="0.45">
      <c r="B88" s="14" t="s">
        <v>450</v>
      </c>
      <c r="C88" s="14" t="s">
        <v>1350</v>
      </c>
      <c r="D88" s="61"/>
      <c r="E88" s="23">
        <v>27542.168170000001</v>
      </c>
      <c r="F88" s="63"/>
      <c r="G88" s="15"/>
      <c r="H88" s="15"/>
      <c r="I88" s="15">
        <v>6546.1128799999997</v>
      </c>
      <c r="J88" s="15">
        <v>277.29942999999997</v>
      </c>
      <c r="K88" s="15"/>
      <c r="L88" s="15"/>
      <c r="M88" s="15">
        <v>39.37368</v>
      </c>
      <c r="N88" s="15">
        <v>905.39912000000004</v>
      </c>
      <c r="O88" s="15">
        <v>326.69821000000002</v>
      </c>
      <c r="P88" s="15"/>
      <c r="Q88" s="15"/>
      <c r="R88" s="15">
        <v>8189.6115399999999</v>
      </c>
      <c r="S88" s="15">
        <v>3665.2921000000001</v>
      </c>
      <c r="T88" s="15">
        <v>1706.4894400000001</v>
      </c>
      <c r="U88" s="15">
        <v>1033.8299400000001</v>
      </c>
      <c r="V88" s="15"/>
      <c r="W88" s="15">
        <v>0</v>
      </c>
      <c r="X88" s="15"/>
      <c r="Y88" s="15">
        <v>20.696999999999999</v>
      </c>
      <c r="Z88" s="15"/>
      <c r="AA88" s="15">
        <v>2477.5206600000001</v>
      </c>
      <c r="AB88" s="15"/>
      <c r="AC88" s="15"/>
      <c r="AD88" s="15"/>
      <c r="AE88" s="15"/>
      <c r="AF88" s="15">
        <v>485.59701999999999</v>
      </c>
      <c r="AG88" s="15">
        <v>867.38606000000004</v>
      </c>
      <c r="AH88" s="15">
        <v>0</v>
      </c>
      <c r="AI88" s="15">
        <v>0</v>
      </c>
      <c r="AJ88" s="15">
        <v>686.11838</v>
      </c>
      <c r="AK88" s="15">
        <v>0</v>
      </c>
      <c r="AL88" s="15">
        <v>314.74270999999999</v>
      </c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spans="2:50" ht="16" customHeight="1" x14ac:dyDescent="0.45">
      <c r="B89" s="14" t="s">
        <v>548</v>
      </c>
      <c r="C89" s="14" t="s">
        <v>1351</v>
      </c>
      <c r="D89" s="61"/>
      <c r="E89" s="23">
        <v>9301.5444700000007</v>
      </c>
      <c r="F89" s="63"/>
      <c r="G89" s="15"/>
      <c r="H89" s="15"/>
      <c r="I89" s="15">
        <v>3964.51449</v>
      </c>
      <c r="J89" s="15">
        <v>0</v>
      </c>
      <c r="K89" s="15"/>
      <c r="L89" s="15"/>
      <c r="M89" s="15"/>
      <c r="N89" s="15">
        <v>679.37972000000002</v>
      </c>
      <c r="O89" s="15">
        <v>273.08730000000003</v>
      </c>
      <c r="P89" s="15"/>
      <c r="Q89" s="15"/>
      <c r="R89" s="15">
        <v>1008.76609</v>
      </c>
      <c r="S89" s="15">
        <v>23.982669999999999</v>
      </c>
      <c r="T89" s="15">
        <v>218.31501</v>
      </c>
      <c r="U89" s="15"/>
      <c r="V89" s="15"/>
      <c r="W89" s="15"/>
      <c r="X89" s="15"/>
      <c r="Y89" s="15">
        <v>321.01229999999998</v>
      </c>
      <c r="Z89" s="15"/>
      <c r="AA89" s="15">
        <v>2812.4868900000001</v>
      </c>
      <c r="AB89" s="15"/>
      <c r="AC89" s="15">
        <v>0</v>
      </c>
      <c r="AD89" s="15"/>
      <c r="AE89" s="15"/>
      <c r="AF89" s="15"/>
      <c r="AG89" s="15"/>
      <c r="AH89" s="15"/>
      <c r="AI89" s="15"/>
      <c r="AJ89" s="15"/>
      <c r="AK89" s="15">
        <v>0</v>
      </c>
      <c r="AL89" s="15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spans="2:50" ht="16" customHeight="1" x14ac:dyDescent="0.45">
      <c r="B90" s="14" t="s">
        <v>452</v>
      </c>
      <c r="C90" s="14" t="s">
        <v>1352</v>
      </c>
      <c r="D90" s="61"/>
      <c r="E90" s="23">
        <v>-13718.570040000001</v>
      </c>
      <c r="F90" s="63"/>
      <c r="G90" s="15"/>
      <c r="H90" s="15"/>
      <c r="I90" s="15">
        <v>-2009.63654</v>
      </c>
      <c r="J90" s="15">
        <v>-214.15710000000001</v>
      </c>
      <c r="K90" s="15"/>
      <c r="L90" s="15"/>
      <c r="M90" s="15">
        <v>-39.37368</v>
      </c>
      <c r="N90" s="15">
        <v>-905.39912000000004</v>
      </c>
      <c r="O90" s="15">
        <v>-94.305040000000005</v>
      </c>
      <c r="P90" s="15"/>
      <c r="Q90" s="15"/>
      <c r="R90" s="15">
        <v>-3912.3201399999998</v>
      </c>
      <c r="S90" s="15">
        <v>-2703.1098499999998</v>
      </c>
      <c r="T90" s="15">
        <v>-369.50153</v>
      </c>
      <c r="U90" s="15">
        <v>-1033.8299400000001</v>
      </c>
      <c r="V90" s="15"/>
      <c r="W90" s="15">
        <v>0</v>
      </c>
      <c r="X90" s="15"/>
      <c r="Y90" s="15">
        <v>-20.696999999999999</v>
      </c>
      <c r="Z90" s="15"/>
      <c r="AA90" s="15">
        <v>-894.63341000000003</v>
      </c>
      <c r="AB90" s="15"/>
      <c r="AC90" s="15">
        <v>0</v>
      </c>
      <c r="AD90" s="15"/>
      <c r="AE90" s="15"/>
      <c r="AF90" s="15">
        <v>-485.59701999999999</v>
      </c>
      <c r="AG90" s="15">
        <v>-463.37126000000001</v>
      </c>
      <c r="AH90" s="15"/>
      <c r="AI90" s="15">
        <v>0</v>
      </c>
      <c r="AJ90" s="15">
        <v>-458.10052000000002</v>
      </c>
      <c r="AK90" s="15">
        <v>0</v>
      </c>
      <c r="AL90" s="15">
        <v>-114.53789</v>
      </c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spans="2:50" ht="16" customHeight="1" x14ac:dyDescent="0.45">
      <c r="B91" s="14" t="s">
        <v>418</v>
      </c>
      <c r="C91" s="14" t="s">
        <v>419</v>
      </c>
      <c r="D91" s="61"/>
      <c r="E91" s="23">
        <v>1710114.7408199999</v>
      </c>
      <c r="F91" s="63"/>
      <c r="G91" s="15">
        <v>1327402.2423400001</v>
      </c>
      <c r="H91" s="15">
        <v>5357.2151100000001</v>
      </c>
      <c r="I91" s="15">
        <v>24850.283729999999</v>
      </c>
      <c r="J91" s="15">
        <v>13234.888929999999</v>
      </c>
      <c r="K91" s="15">
        <v>856.10239000000001</v>
      </c>
      <c r="L91" s="15"/>
      <c r="M91" s="15">
        <v>11752.838320000001</v>
      </c>
      <c r="N91" s="15">
        <v>8644.8076600000004</v>
      </c>
      <c r="O91" s="15">
        <v>2616.4511000000002</v>
      </c>
      <c r="P91" s="15">
        <v>0</v>
      </c>
      <c r="Q91" s="15"/>
      <c r="R91" s="15">
        <v>44982.234550000001</v>
      </c>
      <c r="S91" s="15">
        <v>36354.243349999997</v>
      </c>
      <c r="T91" s="15">
        <v>63479.765319999999</v>
      </c>
      <c r="U91" s="15">
        <v>758.60866999999996</v>
      </c>
      <c r="V91" s="15"/>
      <c r="W91" s="15">
        <v>5514.45604</v>
      </c>
      <c r="X91" s="15"/>
      <c r="Y91" s="15">
        <v>13962.96544</v>
      </c>
      <c r="Z91" s="15">
        <v>1033.39671</v>
      </c>
      <c r="AA91" s="15">
        <v>41772.576560000001</v>
      </c>
      <c r="AB91" s="15">
        <v>14.59515</v>
      </c>
      <c r="AC91" s="15">
        <v>2270.94488</v>
      </c>
      <c r="AD91" s="15"/>
      <c r="AE91" s="15">
        <v>1896.3638900000001</v>
      </c>
      <c r="AF91" s="15">
        <v>58377.41865</v>
      </c>
      <c r="AG91" s="15">
        <v>26486.04566</v>
      </c>
      <c r="AH91" s="15">
        <v>1170.89966</v>
      </c>
      <c r="AI91" s="15">
        <v>1526.60473</v>
      </c>
      <c r="AJ91" s="15">
        <v>4776.67497</v>
      </c>
      <c r="AK91" s="15"/>
      <c r="AL91" s="15">
        <v>11022.11701</v>
      </c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spans="2:50" ht="16" customHeight="1" x14ac:dyDescent="0.45">
      <c r="B92" s="14" t="s">
        <v>420</v>
      </c>
      <c r="C92" s="14" t="s">
        <v>421</v>
      </c>
      <c r="D92" s="61"/>
      <c r="E92" s="23">
        <v>-1023584.89034</v>
      </c>
      <c r="F92" s="63"/>
      <c r="G92" s="15">
        <v>-725535.82762999996</v>
      </c>
      <c r="H92" s="15">
        <v>-3328.20111</v>
      </c>
      <c r="I92" s="15">
        <v>-20505.82473</v>
      </c>
      <c r="J92" s="15">
        <v>-10401.47393</v>
      </c>
      <c r="K92" s="15">
        <v>-856.10239000000001</v>
      </c>
      <c r="L92" s="15"/>
      <c r="M92" s="15">
        <v>-9774.2223200000008</v>
      </c>
      <c r="N92" s="15">
        <v>-5945.6536599999999</v>
      </c>
      <c r="O92" s="15">
        <v>-2517.7280999999998</v>
      </c>
      <c r="P92" s="15">
        <v>0</v>
      </c>
      <c r="Q92" s="15"/>
      <c r="R92" s="15">
        <v>-21838.510709999999</v>
      </c>
      <c r="S92" s="15">
        <v>-32666.023509999999</v>
      </c>
      <c r="T92" s="15">
        <v>-43880.039709999997</v>
      </c>
      <c r="U92" s="15">
        <v>-668.55466999999999</v>
      </c>
      <c r="V92" s="15"/>
      <c r="W92" s="15">
        <v>-4532.6620400000002</v>
      </c>
      <c r="X92" s="15"/>
      <c r="Y92" s="15">
        <v>-12351.880429999999</v>
      </c>
      <c r="Z92" s="15">
        <v>-997.11870999999996</v>
      </c>
      <c r="AA92" s="15">
        <v>-37051.976309999998</v>
      </c>
      <c r="AB92" s="15">
        <v>-10.460610000000001</v>
      </c>
      <c r="AC92" s="15">
        <v>-2257.91788</v>
      </c>
      <c r="AD92" s="15"/>
      <c r="AE92" s="15">
        <v>-1896.3638900000001</v>
      </c>
      <c r="AF92" s="15">
        <v>-48333.482759999999</v>
      </c>
      <c r="AG92" s="15">
        <v>-22712.89287</v>
      </c>
      <c r="AH92" s="15">
        <v>-909.05265999999995</v>
      </c>
      <c r="AI92" s="15">
        <v>-1017.95473</v>
      </c>
      <c r="AJ92" s="15">
        <v>-4350.3879699999998</v>
      </c>
      <c r="AK92" s="15"/>
      <c r="AL92" s="15">
        <v>-9244.5770100000009</v>
      </c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spans="2:50" ht="16" customHeight="1" x14ac:dyDescent="0.45">
      <c r="B93" s="14" t="s">
        <v>456</v>
      </c>
      <c r="C93" s="14" t="s">
        <v>1353</v>
      </c>
      <c r="D93" s="61"/>
      <c r="E93" s="23">
        <v>152947.77473999999</v>
      </c>
      <c r="F93" s="63"/>
      <c r="G93" s="15"/>
      <c r="H93" s="15">
        <v>862.39296000000002</v>
      </c>
      <c r="I93" s="15">
        <v>6553.2987800000001</v>
      </c>
      <c r="J93" s="15">
        <v>3486.9792699999998</v>
      </c>
      <c r="K93" s="15"/>
      <c r="L93" s="15"/>
      <c r="M93" s="15">
        <v>641.74552000000006</v>
      </c>
      <c r="N93" s="15">
        <v>3568.3745199999998</v>
      </c>
      <c r="O93" s="15">
        <v>399.67579999999998</v>
      </c>
      <c r="P93" s="15"/>
      <c r="Q93" s="15"/>
      <c r="R93" s="15">
        <v>39621.191859999999</v>
      </c>
      <c r="S93" s="15">
        <v>10707.561799999999</v>
      </c>
      <c r="T93" s="15">
        <v>35652.256569999998</v>
      </c>
      <c r="U93" s="15">
        <v>798.83375000000001</v>
      </c>
      <c r="V93" s="15"/>
      <c r="W93" s="15">
        <v>5514.7781800000002</v>
      </c>
      <c r="X93" s="15"/>
      <c r="Y93" s="15">
        <v>2630.2143999999998</v>
      </c>
      <c r="Z93" s="15"/>
      <c r="AA93" s="15">
        <v>8399.8556900000003</v>
      </c>
      <c r="AB93" s="15"/>
      <c r="AC93" s="15">
        <v>1516.57169</v>
      </c>
      <c r="AD93" s="15"/>
      <c r="AE93" s="15"/>
      <c r="AF93" s="15">
        <v>19745.742740000002</v>
      </c>
      <c r="AG93" s="15">
        <v>5876.9782400000004</v>
      </c>
      <c r="AH93" s="15">
        <v>1041.8528100000001</v>
      </c>
      <c r="AI93" s="15">
        <v>398.84296999999998</v>
      </c>
      <c r="AJ93" s="15">
        <v>2632.0400100000002</v>
      </c>
      <c r="AK93" s="15">
        <v>0</v>
      </c>
      <c r="AL93" s="15">
        <v>2898.58718</v>
      </c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spans="2:50" ht="16" customHeight="1" x14ac:dyDescent="0.45">
      <c r="B94" s="14" t="s">
        <v>550</v>
      </c>
      <c r="C94" s="14" t="s">
        <v>1354</v>
      </c>
      <c r="D94" s="61"/>
      <c r="E94" s="23">
        <v>75332.441860000006</v>
      </c>
      <c r="F94" s="63"/>
      <c r="G94" s="15"/>
      <c r="H94" s="15">
        <v>757.66950999999995</v>
      </c>
      <c r="I94" s="15">
        <v>1878.87689</v>
      </c>
      <c r="J94" s="15">
        <v>3879.97255</v>
      </c>
      <c r="K94" s="15"/>
      <c r="L94" s="15">
        <v>846.58434</v>
      </c>
      <c r="M94" s="15">
        <v>327.46469999999999</v>
      </c>
      <c r="N94" s="15">
        <v>6804.0466699999997</v>
      </c>
      <c r="O94" s="15">
        <v>263.61872</v>
      </c>
      <c r="P94" s="15"/>
      <c r="Q94" s="15"/>
      <c r="R94" s="15">
        <v>20438.712759999999</v>
      </c>
      <c r="S94" s="15">
        <v>8048.9446099999996</v>
      </c>
      <c r="T94" s="15">
        <v>9111.7855299999992</v>
      </c>
      <c r="U94" s="15">
        <v>27.990500000000001</v>
      </c>
      <c r="V94" s="15"/>
      <c r="W94" s="15">
        <v>7080.8373600000004</v>
      </c>
      <c r="X94" s="15"/>
      <c r="Y94" s="15">
        <v>2616.05555</v>
      </c>
      <c r="Z94" s="15"/>
      <c r="AA94" s="15">
        <v>3227.1112400000002</v>
      </c>
      <c r="AB94" s="15"/>
      <c r="AC94" s="15">
        <v>1.77942</v>
      </c>
      <c r="AD94" s="15"/>
      <c r="AE94" s="15"/>
      <c r="AF94" s="15">
        <v>3010.0974000000001</v>
      </c>
      <c r="AG94" s="15">
        <v>2615.5801299999998</v>
      </c>
      <c r="AH94" s="15">
        <v>51.093730000000001</v>
      </c>
      <c r="AI94" s="15"/>
      <c r="AJ94" s="15">
        <v>3716.5398100000002</v>
      </c>
      <c r="AK94" s="15">
        <v>0</v>
      </c>
      <c r="AL94" s="15">
        <v>627.68043999999998</v>
      </c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spans="2:50" ht="16" customHeight="1" x14ac:dyDescent="0.45">
      <c r="B95" s="14" t="s">
        <v>458</v>
      </c>
      <c r="C95" s="14" t="s">
        <v>1355</v>
      </c>
      <c r="D95" s="61"/>
      <c r="E95" s="23">
        <v>-51737.152040000001</v>
      </c>
      <c r="F95" s="63"/>
      <c r="G95" s="15"/>
      <c r="H95" s="15">
        <v>-320.77132999999998</v>
      </c>
      <c r="I95" s="15">
        <v>-4597.6908000000003</v>
      </c>
      <c r="J95" s="15">
        <v>-1689.17427</v>
      </c>
      <c r="K95" s="15"/>
      <c r="L95" s="15">
        <v>0</v>
      </c>
      <c r="M95" s="15">
        <v>-112.23524999999999</v>
      </c>
      <c r="N95" s="15">
        <v>-1434.0473400000001</v>
      </c>
      <c r="O95" s="15">
        <v>-168.60879</v>
      </c>
      <c r="P95" s="15"/>
      <c r="Q95" s="15"/>
      <c r="R95" s="15">
        <v>-11668.85219</v>
      </c>
      <c r="S95" s="15">
        <v>-3614.3079299999999</v>
      </c>
      <c r="T95" s="15">
        <v>-11179.090920000001</v>
      </c>
      <c r="U95" s="15">
        <v>-798.83375000000001</v>
      </c>
      <c r="V95" s="15"/>
      <c r="W95" s="15">
        <v>-1333.23162</v>
      </c>
      <c r="X95" s="15"/>
      <c r="Y95" s="15">
        <v>-848.26395000000002</v>
      </c>
      <c r="Z95" s="15"/>
      <c r="AA95" s="15">
        <v>-3459.8089599999998</v>
      </c>
      <c r="AB95" s="15"/>
      <c r="AC95" s="15">
        <v>-470.20819999999998</v>
      </c>
      <c r="AD95" s="15"/>
      <c r="AE95" s="15"/>
      <c r="AF95" s="15">
        <v>-5191.9049199999999</v>
      </c>
      <c r="AG95" s="15">
        <v>-2573.20424</v>
      </c>
      <c r="AH95" s="15">
        <v>-298.12056000000001</v>
      </c>
      <c r="AI95" s="15">
        <v>-114.21141</v>
      </c>
      <c r="AJ95" s="15">
        <v>-970.61267999999995</v>
      </c>
      <c r="AK95" s="15">
        <v>0</v>
      </c>
      <c r="AL95" s="15">
        <v>-893.97293000000002</v>
      </c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spans="2:50" ht="16" customHeight="1" x14ac:dyDescent="0.45">
      <c r="B96" s="14" t="s">
        <v>424</v>
      </c>
      <c r="C96" s="14" t="s">
        <v>1356</v>
      </c>
      <c r="D96" s="61"/>
      <c r="E96" s="23">
        <v>85060.051130000007</v>
      </c>
      <c r="F96" s="63"/>
      <c r="G96" s="15">
        <v>2279.9862800000001</v>
      </c>
      <c r="H96" s="15">
        <v>135.72103000000001</v>
      </c>
      <c r="I96" s="15">
        <v>7283.77016</v>
      </c>
      <c r="J96" s="15">
        <v>1516.68022</v>
      </c>
      <c r="K96" s="15">
        <v>0</v>
      </c>
      <c r="L96" s="15"/>
      <c r="M96" s="15">
        <v>1486.1638600000001</v>
      </c>
      <c r="N96" s="15">
        <v>6404.8614500000003</v>
      </c>
      <c r="O96" s="15">
        <v>38.474890000000002</v>
      </c>
      <c r="P96" s="15"/>
      <c r="Q96" s="15"/>
      <c r="R96" s="15">
        <v>19619.23342</v>
      </c>
      <c r="S96" s="15">
        <v>1023.23308</v>
      </c>
      <c r="T96" s="15">
        <v>5276.38573</v>
      </c>
      <c r="U96" s="15">
        <v>1093.6795500000001</v>
      </c>
      <c r="V96" s="15"/>
      <c r="W96" s="15">
        <v>780.11180999999999</v>
      </c>
      <c r="X96" s="15"/>
      <c r="Y96" s="15">
        <v>327.21780000000001</v>
      </c>
      <c r="Z96" s="15"/>
      <c r="AA96" s="15">
        <v>2127.84159</v>
      </c>
      <c r="AB96" s="15"/>
      <c r="AC96" s="15"/>
      <c r="AD96" s="15"/>
      <c r="AE96" s="15"/>
      <c r="AF96" s="15">
        <v>28206.64114</v>
      </c>
      <c r="AG96" s="15">
        <v>4647.7592400000003</v>
      </c>
      <c r="AH96" s="15">
        <v>0</v>
      </c>
      <c r="AI96" s="15">
        <v>106.99133999999999</v>
      </c>
      <c r="AJ96" s="15">
        <v>2705.2985399999998</v>
      </c>
      <c r="AK96" s="15"/>
      <c r="AL96" s="15">
        <v>0</v>
      </c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spans="2:50" ht="16" customHeight="1" x14ac:dyDescent="0.45">
      <c r="B97" s="14" t="s">
        <v>426</v>
      </c>
      <c r="C97" s="14" t="s">
        <v>1357</v>
      </c>
      <c r="D97" s="61"/>
      <c r="E97" s="23"/>
      <c r="F97" s="63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spans="2:50" ht="16" customHeight="1" x14ac:dyDescent="0.45">
      <c r="B98" s="14" t="s">
        <v>462</v>
      </c>
      <c r="C98" s="14" t="s">
        <v>1358</v>
      </c>
      <c r="D98" s="61"/>
      <c r="E98" s="23"/>
      <c r="F98" s="63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spans="2:50" ht="16" customHeight="1" x14ac:dyDescent="0.45">
      <c r="B99" s="14" t="s">
        <v>464</v>
      </c>
      <c r="C99" s="14" t="s">
        <v>1359</v>
      </c>
      <c r="D99" s="61"/>
      <c r="E99" s="23"/>
      <c r="F99" s="63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spans="2:50" ht="16" customHeight="1" x14ac:dyDescent="0.45">
      <c r="B100" s="14" t="s">
        <v>533</v>
      </c>
      <c r="C100" s="14" t="s">
        <v>1360</v>
      </c>
      <c r="D100" s="61"/>
      <c r="E100" s="23">
        <v>365626.63205999997</v>
      </c>
      <c r="F100" s="63"/>
      <c r="G100" s="15">
        <v>0</v>
      </c>
      <c r="H100" s="15">
        <v>57676.586230000001</v>
      </c>
      <c r="I100" s="15">
        <v>125</v>
      </c>
      <c r="J100" s="15">
        <v>0</v>
      </c>
      <c r="K100" s="15">
        <v>19154.206910000001</v>
      </c>
      <c r="L100" s="15"/>
      <c r="M100" s="15">
        <v>0</v>
      </c>
      <c r="N100" s="15">
        <v>0</v>
      </c>
      <c r="O100" s="15">
        <v>0</v>
      </c>
      <c r="P100" s="15"/>
      <c r="Q100" s="15"/>
      <c r="R100" s="15">
        <v>111907.25765</v>
      </c>
      <c r="S100" s="15">
        <v>0</v>
      </c>
      <c r="T100" s="15">
        <v>48400.014049999998</v>
      </c>
      <c r="U100" s="15"/>
      <c r="V100" s="15"/>
      <c r="W100" s="15">
        <v>0</v>
      </c>
      <c r="X100" s="15"/>
      <c r="Y100" s="15">
        <v>0</v>
      </c>
      <c r="Z100" s="15"/>
      <c r="AA100" s="15">
        <v>438.43894</v>
      </c>
      <c r="AB100" s="15"/>
      <c r="AC100" s="15">
        <v>0</v>
      </c>
      <c r="AD100" s="15"/>
      <c r="AE100" s="15"/>
      <c r="AF100" s="15">
        <v>25574.136279999999</v>
      </c>
      <c r="AG100" s="15">
        <v>0</v>
      </c>
      <c r="AH100" s="15">
        <v>92259.823080000002</v>
      </c>
      <c r="AI100" s="15"/>
      <c r="AJ100" s="15"/>
      <c r="AK100" s="15">
        <v>0</v>
      </c>
      <c r="AL100" s="15">
        <v>10091.16892</v>
      </c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spans="2:50" ht="16" customHeight="1" x14ac:dyDescent="0.45">
      <c r="B101" s="14" t="s">
        <v>537</v>
      </c>
      <c r="C101" s="14" t="s">
        <v>1361</v>
      </c>
      <c r="D101" s="61"/>
      <c r="E101" s="23">
        <v>1630087</v>
      </c>
      <c r="F101" s="63"/>
      <c r="G101" s="15">
        <v>0</v>
      </c>
      <c r="H101" s="15"/>
      <c r="I101" s="15"/>
      <c r="J101" s="15"/>
      <c r="K101" s="15">
        <v>423164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>
        <v>1206923</v>
      </c>
      <c r="AI101" s="15"/>
      <c r="AJ101" s="15"/>
      <c r="AK101" s="15">
        <v>0</v>
      </c>
      <c r="AL101" s="15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spans="2:50" ht="16" customHeight="1" x14ac:dyDescent="0.45">
      <c r="B102" s="14" t="s">
        <v>535</v>
      </c>
      <c r="C102" s="14" t="s">
        <v>1362</v>
      </c>
      <c r="D102" s="61"/>
      <c r="E102" s="23">
        <v>-19154.206880000002</v>
      </c>
      <c r="F102" s="63"/>
      <c r="G102" s="15"/>
      <c r="H102" s="15"/>
      <c r="I102" s="15"/>
      <c r="J102" s="15">
        <v>3.0000000000000001E-5</v>
      </c>
      <c r="K102" s="15">
        <v>-19154.206910000001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spans="2:50" ht="16" customHeight="1" x14ac:dyDescent="0.45">
      <c r="B103" s="14" t="s">
        <v>539</v>
      </c>
      <c r="C103" s="14" t="s">
        <v>1363</v>
      </c>
      <c r="D103" s="61"/>
      <c r="E103" s="23"/>
      <c r="F103" s="63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spans="2:50" ht="16" customHeight="1" x14ac:dyDescent="0.45">
      <c r="B104" s="14" t="s">
        <v>519</v>
      </c>
      <c r="C104" s="14" t="s">
        <v>1364</v>
      </c>
      <c r="D104" s="61"/>
      <c r="E104" s="23"/>
      <c r="F104" s="63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spans="2:50" ht="16" customHeight="1" x14ac:dyDescent="0.45">
      <c r="B105" s="14" t="s">
        <v>521</v>
      </c>
      <c r="C105" s="14" t="s">
        <v>1365</v>
      </c>
      <c r="D105" s="61"/>
      <c r="E105" s="23"/>
      <c r="F105" s="63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spans="2:50" ht="16" customHeight="1" x14ac:dyDescent="0.45">
      <c r="B106" s="14" t="s">
        <v>483</v>
      </c>
      <c r="C106" s="14" t="s">
        <v>1366</v>
      </c>
      <c r="D106" s="61"/>
      <c r="E106" s="23">
        <v>499100</v>
      </c>
      <c r="F106" s="63"/>
      <c r="G106" s="15">
        <v>496000</v>
      </c>
      <c r="H106" s="15">
        <v>1550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>
        <v>0</v>
      </c>
      <c r="S106" s="15"/>
      <c r="T106" s="15">
        <v>1550</v>
      </c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spans="2:50" ht="16" customHeight="1" x14ac:dyDescent="0.45">
      <c r="B107" s="14" t="s">
        <v>485</v>
      </c>
      <c r="C107" s="14" t="s">
        <v>1367</v>
      </c>
      <c r="D107" s="61"/>
      <c r="E107" s="23">
        <v>-1084.808</v>
      </c>
      <c r="F107" s="63"/>
      <c r="G107" s="15"/>
      <c r="H107" s="15">
        <v>-542.404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>
        <v>0</v>
      </c>
      <c r="S107" s="15"/>
      <c r="T107" s="15">
        <v>-542.404</v>
      </c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spans="2:50" ht="16" customHeight="1" x14ac:dyDescent="0.45">
      <c r="B108" s="14" t="s">
        <v>489</v>
      </c>
      <c r="C108" s="14" t="s">
        <v>1368</v>
      </c>
      <c r="D108" s="61"/>
      <c r="E108" s="23">
        <v>163609.36256000001</v>
      </c>
      <c r="F108" s="63"/>
      <c r="G108" s="15"/>
      <c r="H108" s="15">
        <v>68245.652969999996</v>
      </c>
      <c r="I108" s="15">
        <v>14494.27874</v>
      </c>
      <c r="J108" s="15"/>
      <c r="K108" s="15"/>
      <c r="L108" s="15"/>
      <c r="M108" s="15">
        <v>261.67989999999998</v>
      </c>
      <c r="N108" s="15">
        <v>7294.3337499999998</v>
      </c>
      <c r="O108" s="15">
        <v>3609.6853099999998</v>
      </c>
      <c r="P108" s="15"/>
      <c r="Q108" s="15"/>
      <c r="R108" s="15"/>
      <c r="S108" s="15"/>
      <c r="T108" s="15">
        <v>36154.346879999997</v>
      </c>
      <c r="U108" s="15"/>
      <c r="V108" s="15"/>
      <c r="W108" s="15">
        <v>33549.385009999998</v>
      </c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spans="2:50" ht="16" customHeight="1" x14ac:dyDescent="0.45">
      <c r="B109" s="14" t="s">
        <v>491</v>
      </c>
      <c r="C109" s="14" t="s">
        <v>1369</v>
      </c>
      <c r="D109" s="61"/>
      <c r="E109" s="23">
        <v>-41067.070899999999</v>
      </c>
      <c r="F109" s="63"/>
      <c r="G109" s="15"/>
      <c r="H109" s="15">
        <v>-2994.5419700000002</v>
      </c>
      <c r="I109" s="15">
        <v>-14219.84908</v>
      </c>
      <c r="J109" s="15"/>
      <c r="K109" s="15"/>
      <c r="L109" s="15"/>
      <c r="M109" s="15">
        <v>-261.67989999999998</v>
      </c>
      <c r="N109" s="15">
        <v>-2308.0007500000002</v>
      </c>
      <c r="O109" s="15">
        <v>-3609.6853099999998</v>
      </c>
      <c r="P109" s="15"/>
      <c r="Q109" s="15"/>
      <c r="R109" s="15"/>
      <c r="S109" s="15"/>
      <c r="T109" s="15">
        <v>-1425.2208800000001</v>
      </c>
      <c r="U109" s="15"/>
      <c r="V109" s="15"/>
      <c r="W109" s="15">
        <v>-16248.093010000001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spans="2:50" ht="16" customHeight="1" x14ac:dyDescent="0.45">
      <c r="B110" s="14" t="s">
        <v>495</v>
      </c>
      <c r="C110" s="14" t="s">
        <v>1370</v>
      </c>
      <c r="D110" s="61"/>
      <c r="E110" s="23">
        <v>2925.9769099999999</v>
      </c>
      <c r="F110" s="63"/>
      <c r="G110" s="15"/>
      <c r="H110" s="15">
        <v>1.0000000000000001E-5</v>
      </c>
      <c r="I110" s="15">
        <v>1.0000000000000001E-5</v>
      </c>
      <c r="J110" s="15">
        <v>1.0000000000000001E-5</v>
      </c>
      <c r="K110" s="15">
        <v>1.0000000000000001E-5</v>
      </c>
      <c r="L110" s="15"/>
      <c r="M110" s="15"/>
      <c r="N110" s="15">
        <v>1.0000000000000001E-5</v>
      </c>
      <c r="O110" s="15"/>
      <c r="P110" s="15"/>
      <c r="Q110" s="15"/>
      <c r="R110" s="15">
        <v>0</v>
      </c>
      <c r="S110" s="15">
        <v>4.0000000000000003E-5</v>
      </c>
      <c r="T110" s="15">
        <v>412.97744999999998</v>
      </c>
      <c r="U110" s="15">
        <v>1.0000000000000001E-5</v>
      </c>
      <c r="V110" s="15"/>
      <c r="W110" s="15">
        <v>1.0000000000000001E-5</v>
      </c>
      <c r="X110" s="15"/>
      <c r="Y110" s="15">
        <v>20.013680000000001</v>
      </c>
      <c r="Z110" s="15"/>
      <c r="AA110" s="15">
        <v>677.43749000000003</v>
      </c>
      <c r="AB110" s="15"/>
      <c r="AC110" s="15"/>
      <c r="AD110" s="15"/>
      <c r="AE110" s="15">
        <v>0</v>
      </c>
      <c r="AF110" s="15">
        <v>159.40758</v>
      </c>
      <c r="AG110" s="15">
        <v>5.0000000000000002E-5</v>
      </c>
      <c r="AH110" s="15">
        <v>1656.1405400000001</v>
      </c>
      <c r="AI110" s="15"/>
      <c r="AJ110" s="15"/>
      <c r="AK110" s="15"/>
      <c r="AL110" s="15">
        <v>1.0000000000000001E-5</v>
      </c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spans="2:50" ht="16" customHeight="1" x14ac:dyDescent="0.45">
      <c r="B111" s="14" t="s">
        <v>497</v>
      </c>
      <c r="C111" s="14" t="s">
        <v>1371</v>
      </c>
      <c r="D111" s="61"/>
      <c r="E111" s="23">
        <v>-2768.2368999999999</v>
      </c>
      <c r="F111" s="63"/>
      <c r="G111" s="15"/>
      <c r="H111" s="15">
        <v>-1.0000000000000001E-5</v>
      </c>
      <c r="I111" s="15">
        <v>-1.0000000000000001E-5</v>
      </c>
      <c r="J111" s="15">
        <v>-1.0000000000000001E-5</v>
      </c>
      <c r="K111" s="15">
        <v>-1.0000000000000001E-5</v>
      </c>
      <c r="L111" s="15"/>
      <c r="M111" s="15"/>
      <c r="N111" s="15">
        <v>-1.0000000000000001E-5</v>
      </c>
      <c r="O111" s="15"/>
      <c r="P111" s="15"/>
      <c r="Q111" s="15"/>
      <c r="R111" s="15">
        <v>0</v>
      </c>
      <c r="S111" s="15">
        <v>-4.0000000000000003E-5</v>
      </c>
      <c r="T111" s="15">
        <v>-273.18945000000002</v>
      </c>
      <c r="U111" s="15">
        <v>-1.0000000000000001E-5</v>
      </c>
      <c r="V111" s="15"/>
      <c r="W111" s="15">
        <v>-1.0000000000000001E-5</v>
      </c>
      <c r="X111" s="15"/>
      <c r="Y111" s="15">
        <v>-20.013680000000001</v>
      </c>
      <c r="Z111" s="15"/>
      <c r="AA111" s="15">
        <v>-659.48549000000003</v>
      </c>
      <c r="AB111" s="15"/>
      <c r="AC111" s="15"/>
      <c r="AD111" s="15"/>
      <c r="AE111" s="15">
        <v>0</v>
      </c>
      <c r="AF111" s="15">
        <v>-159.40756999999999</v>
      </c>
      <c r="AG111" s="15">
        <v>-5.0000000000000002E-5</v>
      </c>
      <c r="AH111" s="15">
        <v>-1656.1405400000001</v>
      </c>
      <c r="AI111" s="15"/>
      <c r="AJ111" s="15"/>
      <c r="AK111" s="15"/>
      <c r="AL111" s="15">
        <v>-1.0000000000000001E-5</v>
      </c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spans="2:50" ht="16" customHeight="1" x14ac:dyDescent="0.45">
      <c r="B112" s="14" t="s">
        <v>501</v>
      </c>
      <c r="C112" s="14" t="s">
        <v>1372</v>
      </c>
      <c r="D112" s="61"/>
      <c r="E112" s="23"/>
      <c r="F112" s="63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spans="2:50" ht="16" customHeight="1" x14ac:dyDescent="0.45">
      <c r="B113" s="14" t="s">
        <v>503</v>
      </c>
      <c r="C113" s="14" t="s">
        <v>1373</v>
      </c>
      <c r="D113" s="61"/>
      <c r="E113" s="23"/>
      <c r="F113" s="63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spans="2:50" ht="16" customHeight="1" x14ac:dyDescent="0.45">
      <c r="B114" s="14" t="s">
        <v>507</v>
      </c>
      <c r="C114" s="14" t="s">
        <v>1374</v>
      </c>
      <c r="D114" s="61"/>
      <c r="E114" s="23">
        <v>4000</v>
      </c>
      <c r="F114" s="63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>
        <v>4000</v>
      </c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spans="2:50" ht="16" customHeight="1" x14ac:dyDescent="0.45">
      <c r="B115" s="14" t="s">
        <v>509</v>
      </c>
      <c r="C115" s="14" t="s">
        <v>1375</v>
      </c>
      <c r="D115" s="61"/>
      <c r="E115" s="23"/>
      <c r="F115" s="63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spans="2:50" ht="16" customHeight="1" x14ac:dyDescent="0.45">
      <c r="B116" s="14" t="s">
        <v>513</v>
      </c>
      <c r="C116" s="14" t="s">
        <v>1376</v>
      </c>
      <c r="D116" s="61"/>
      <c r="E116" s="23">
        <v>46401.963900000002</v>
      </c>
      <c r="F116" s="63"/>
      <c r="G116" s="15">
        <v>0</v>
      </c>
      <c r="H116" s="15">
        <v>1.4999999999999999E-4</v>
      </c>
      <c r="I116" s="15">
        <v>0</v>
      </c>
      <c r="J116" s="15">
        <v>0</v>
      </c>
      <c r="K116" s="15">
        <v>4437.9771499999997</v>
      </c>
      <c r="L116" s="15"/>
      <c r="M116" s="15"/>
      <c r="N116" s="15">
        <v>432</v>
      </c>
      <c r="O116" s="15"/>
      <c r="P116" s="15"/>
      <c r="Q116" s="15"/>
      <c r="R116" s="15">
        <v>32385.04247</v>
      </c>
      <c r="S116" s="15">
        <v>0</v>
      </c>
      <c r="T116" s="15">
        <v>73.740070000000003</v>
      </c>
      <c r="U116" s="15"/>
      <c r="V116" s="15"/>
      <c r="W116" s="15"/>
      <c r="X116" s="15"/>
      <c r="Y116" s="15">
        <v>0</v>
      </c>
      <c r="Z116" s="15"/>
      <c r="AA116" s="15">
        <v>8762.8826599999993</v>
      </c>
      <c r="AB116" s="15"/>
      <c r="AC116" s="15">
        <v>0</v>
      </c>
      <c r="AD116" s="15"/>
      <c r="AE116" s="15"/>
      <c r="AF116" s="15">
        <v>209.32139000000001</v>
      </c>
      <c r="AG116" s="15">
        <v>101</v>
      </c>
      <c r="AH116" s="15">
        <v>0</v>
      </c>
      <c r="AI116" s="15"/>
      <c r="AJ116" s="15"/>
      <c r="AK116" s="15"/>
      <c r="AL116" s="15">
        <v>1.0000000000000001E-5</v>
      </c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spans="2:50" ht="16" customHeight="1" x14ac:dyDescent="0.45">
      <c r="B117" s="14" t="s">
        <v>515</v>
      </c>
      <c r="C117" s="14" t="s">
        <v>1377</v>
      </c>
      <c r="D117" s="61"/>
      <c r="E117" s="23">
        <v>-32378.150310000001</v>
      </c>
      <c r="F117" s="63"/>
      <c r="G117" s="15"/>
      <c r="H117" s="15">
        <v>-51.823990000000002</v>
      </c>
      <c r="I117" s="15">
        <v>-3.8000000000000002E-4</v>
      </c>
      <c r="J117" s="15">
        <v>0</v>
      </c>
      <c r="K117" s="15">
        <v>-4437.9771499999997</v>
      </c>
      <c r="L117" s="15"/>
      <c r="M117" s="15">
        <v>8.4000000000000003E-4</v>
      </c>
      <c r="N117" s="15">
        <v>-432.00090999999998</v>
      </c>
      <c r="O117" s="15">
        <v>6.9999999999999994E-5</v>
      </c>
      <c r="P117" s="15"/>
      <c r="Q117" s="15"/>
      <c r="R117" s="15">
        <v>-18144.823680000001</v>
      </c>
      <c r="S117" s="15">
        <v>0</v>
      </c>
      <c r="T117" s="15">
        <v>-238.32106999999999</v>
      </c>
      <c r="U117" s="15"/>
      <c r="V117" s="15"/>
      <c r="W117" s="15">
        <v>0</v>
      </c>
      <c r="X117" s="15"/>
      <c r="Y117" s="15">
        <v>1.0000000000000001E-5</v>
      </c>
      <c r="Z117" s="15"/>
      <c r="AA117" s="15">
        <v>-8762.8826599999993</v>
      </c>
      <c r="AB117" s="15"/>
      <c r="AC117" s="15">
        <v>0</v>
      </c>
      <c r="AD117" s="15"/>
      <c r="AE117" s="15"/>
      <c r="AF117" s="15">
        <v>-209.32139000000001</v>
      </c>
      <c r="AG117" s="15">
        <v>-101</v>
      </c>
      <c r="AH117" s="15">
        <v>0</v>
      </c>
      <c r="AI117" s="15"/>
      <c r="AJ117" s="15"/>
      <c r="AK117" s="15"/>
      <c r="AL117" s="15">
        <v>0</v>
      </c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spans="2:50" ht="16" customHeight="1" x14ac:dyDescent="0.45">
      <c r="B118" s="14" t="s">
        <v>554</v>
      </c>
      <c r="C118" s="14" t="s">
        <v>555</v>
      </c>
      <c r="D118" s="61"/>
      <c r="E118" s="23">
        <v>0</v>
      </c>
      <c r="F118" s="63"/>
      <c r="G118" s="15"/>
      <c r="H118" s="15"/>
      <c r="I118" s="15"/>
      <c r="J118" s="15"/>
      <c r="K118" s="15">
        <v>0</v>
      </c>
      <c r="L118" s="15"/>
      <c r="M118" s="15"/>
      <c r="N118" s="15"/>
      <c r="O118" s="15"/>
      <c r="P118" s="15"/>
      <c r="Q118" s="15"/>
      <c r="R118" s="15">
        <v>0</v>
      </c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>
        <v>0</v>
      </c>
      <c r="AI118" s="15">
        <v>0</v>
      </c>
      <c r="AJ118" s="15">
        <v>0</v>
      </c>
      <c r="AK118" s="15"/>
      <c r="AL118" s="15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spans="2:50" ht="16" customHeight="1" x14ac:dyDescent="0.45">
      <c r="B119" s="14" t="s">
        <v>557</v>
      </c>
      <c r="C119" s="14" t="s">
        <v>558</v>
      </c>
      <c r="D119" s="61"/>
      <c r="E119" s="23"/>
      <c r="F119" s="63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spans="2:50" ht="16" customHeight="1" x14ac:dyDescent="0.45">
      <c r="B120" s="34" t="s">
        <v>563</v>
      </c>
      <c r="C120" s="34" t="s">
        <v>1378</v>
      </c>
      <c r="D120" s="69"/>
      <c r="E120" s="77">
        <v>14118181.19105</v>
      </c>
      <c r="F120" s="78"/>
      <c r="G120" s="35">
        <v>5889735.2708000001</v>
      </c>
      <c r="H120" s="35">
        <v>155322.72958000001</v>
      </c>
      <c r="I120" s="35">
        <v>164460.74771</v>
      </c>
      <c r="J120" s="35">
        <v>125107.92200999999</v>
      </c>
      <c r="K120" s="35">
        <v>426357.63166999997</v>
      </c>
      <c r="L120" s="35">
        <v>1783.17644</v>
      </c>
      <c r="M120" s="35">
        <v>29173.459159999999</v>
      </c>
      <c r="N120" s="35">
        <v>86778.264819999997</v>
      </c>
      <c r="O120" s="35">
        <v>5118.7865300000003</v>
      </c>
      <c r="P120" s="35">
        <v>216394.31547999999</v>
      </c>
      <c r="Q120" s="35">
        <v>7.2730000000000003E-2</v>
      </c>
      <c r="R120" s="35">
        <v>835676.93550999998</v>
      </c>
      <c r="S120" s="35">
        <v>106930.34649</v>
      </c>
      <c r="T120" s="35">
        <v>457659.65804000001</v>
      </c>
      <c r="U120" s="35">
        <v>6092.4162800000004</v>
      </c>
      <c r="V120" s="35">
        <v>11087.98422</v>
      </c>
      <c r="W120" s="35">
        <v>57738.279410000003</v>
      </c>
      <c r="X120" s="35">
        <v>2634.6657599999999</v>
      </c>
      <c r="Y120" s="35">
        <v>141194.60078000001</v>
      </c>
      <c r="Z120" s="35">
        <v>332.92975000000001</v>
      </c>
      <c r="AA120" s="35">
        <v>363781.75053999998</v>
      </c>
      <c r="AB120" s="35">
        <v>46953.360280000001</v>
      </c>
      <c r="AC120" s="35">
        <v>9408.7715200000002</v>
      </c>
      <c r="AD120" s="35"/>
      <c r="AE120" s="35">
        <v>0</v>
      </c>
      <c r="AF120" s="35">
        <v>381673.64598999999</v>
      </c>
      <c r="AG120" s="35">
        <v>310782.24316000001</v>
      </c>
      <c r="AH120" s="35">
        <v>3853496.8027499998</v>
      </c>
      <c r="AI120" s="35">
        <v>71706.664980000001</v>
      </c>
      <c r="AJ120" s="35">
        <v>318165.82764999999</v>
      </c>
      <c r="AK120" s="35">
        <v>0</v>
      </c>
      <c r="AL120" s="35">
        <v>42631.93101</v>
      </c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spans="2:50" ht="16" customHeight="1" x14ac:dyDescent="0.45">
      <c r="B121" s="10"/>
      <c r="C121" s="11"/>
      <c r="D121" s="29"/>
      <c r="E121" s="2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spans="2:50" ht="16" customHeight="1" x14ac:dyDescent="0.45">
      <c r="B122" s="14" t="s">
        <v>579</v>
      </c>
      <c r="C122" s="14" t="s">
        <v>1379</v>
      </c>
      <c r="D122" s="61"/>
      <c r="E122" s="23">
        <v>0</v>
      </c>
      <c r="F122" s="63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>
        <v>0</v>
      </c>
      <c r="AJ122" s="15">
        <v>0</v>
      </c>
      <c r="AK122" s="15"/>
      <c r="AL122" s="15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spans="2:50" ht="16" customHeight="1" x14ac:dyDescent="0.45">
      <c r="B123" s="14" t="s">
        <v>581</v>
      </c>
      <c r="C123" s="14" t="s">
        <v>1380</v>
      </c>
      <c r="D123" s="61"/>
      <c r="E123" s="23">
        <v>-8.9480000000000004E-2</v>
      </c>
      <c r="F123" s="63"/>
      <c r="G123" s="15">
        <v>0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>
        <v>0</v>
      </c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>
        <v>-8.9480000000000004E-2</v>
      </c>
      <c r="AI123" s="15"/>
      <c r="AJ123" s="15"/>
      <c r="AK123" s="15"/>
      <c r="AL123" s="15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spans="2:50" ht="16" customHeight="1" x14ac:dyDescent="0.45">
      <c r="B124" s="14" t="s">
        <v>583</v>
      </c>
      <c r="C124" s="14" t="s">
        <v>584</v>
      </c>
      <c r="D124" s="61"/>
      <c r="E124" s="23"/>
      <c r="F124" s="63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spans="2:50" ht="16" customHeight="1" x14ac:dyDescent="0.45">
      <c r="B125" s="14" t="s">
        <v>587</v>
      </c>
      <c r="C125" s="14" t="s">
        <v>1381</v>
      </c>
      <c r="D125" s="61"/>
      <c r="E125" s="23"/>
      <c r="F125" s="63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spans="2:50" ht="16" customHeight="1" x14ac:dyDescent="0.45">
      <c r="B126" s="14" t="s">
        <v>589</v>
      </c>
      <c r="C126" s="14" t="s">
        <v>1382</v>
      </c>
      <c r="D126" s="61"/>
      <c r="E126" s="23"/>
      <c r="F126" s="63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spans="2:50" ht="16" customHeight="1" x14ac:dyDescent="0.45">
      <c r="B127" s="14" t="s">
        <v>591</v>
      </c>
      <c r="C127" s="14" t="s">
        <v>1383</v>
      </c>
      <c r="D127" s="61"/>
      <c r="E127" s="23">
        <v>76246.437300000005</v>
      </c>
      <c r="F127" s="63"/>
      <c r="G127" s="15">
        <v>76237.937300000005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>
        <v>8.5</v>
      </c>
      <c r="S127" s="15"/>
      <c r="T127" s="15"/>
      <c r="U127" s="15"/>
      <c r="V127" s="15"/>
      <c r="W127" s="15"/>
      <c r="X127" s="15"/>
      <c r="Y127" s="15"/>
      <c r="Z127" s="15"/>
      <c r="AA127" s="15">
        <v>0</v>
      </c>
      <c r="AB127" s="15"/>
      <c r="AC127" s="15"/>
      <c r="AD127" s="15"/>
      <c r="AE127" s="15"/>
      <c r="AF127" s="15">
        <v>0</v>
      </c>
      <c r="AG127" s="15"/>
      <c r="AH127" s="15"/>
      <c r="AI127" s="15"/>
      <c r="AJ127" s="15"/>
      <c r="AK127" s="15"/>
      <c r="AL127" s="15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spans="2:50" ht="16" customHeight="1" x14ac:dyDescent="0.45">
      <c r="B128" s="14" t="s">
        <v>593</v>
      </c>
      <c r="C128" s="14" t="s">
        <v>1384</v>
      </c>
      <c r="D128" s="61"/>
      <c r="E128" s="23">
        <v>48906.442170000002</v>
      </c>
      <c r="F128" s="63"/>
      <c r="G128" s="15"/>
      <c r="H128" s="15">
        <v>370.62540999999999</v>
      </c>
      <c r="I128" s="15">
        <v>3405.80161</v>
      </c>
      <c r="J128" s="15">
        <v>981.91710999999998</v>
      </c>
      <c r="K128" s="15"/>
      <c r="L128" s="15"/>
      <c r="M128" s="15">
        <v>138.72336000000001</v>
      </c>
      <c r="N128" s="15">
        <v>1192.42254</v>
      </c>
      <c r="O128" s="15">
        <v>212.91423</v>
      </c>
      <c r="P128" s="15"/>
      <c r="Q128" s="15"/>
      <c r="R128" s="15">
        <v>12343.35514</v>
      </c>
      <c r="S128" s="15">
        <v>2595.2825200000002</v>
      </c>
      <c r="T128" s="15">
        <v>10141.68052</v>
      </c>
      <c r="U128" s="15"/>
      <c r="V128" s="15"/>
      <c r="W128" s="15">
        <v>1649.8566699999999</v>
      </c>
      <c r="X128" s="15"/>
      <c r="Y128" s="15">
        <v>780.10136999999997</v>
      </c>
      <c r="Z128" s="15"/>
      <c r="AA128" s="15">
        <v>3735.1973699999999</v>
      </c>
      <c r="AB128" s="15">
        <v>0</v>
      </c>
      <c r="AC128" s="15">
        <v>590.85859000000005</v>
      </c>
      <c r="AD128" s="15"/>
      <c r="AE128" s="15"/>
      <c r="AF128" s="15">
        <v>5971.9434600000004</v>
      </c>
      <c r="AG128" s="15">
        <v>1703.86419</v>
      </c>
      <c r="AH128" s="15">
        <v>225.84544</v>
      </c>
      <c r="AI128" s="15">
        <v>149.67410000000001</v>
      </c>
      <c r="AJ128" s="15">
        <v>1440.4069199999999</v>
      </c>
      <c r="AK128" s="15">
        <v>0</v>
      </c>
      <c r="AL128" s="15">
        <v>1275.97162</v>
      </c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spans="2:50" ht="16" customHeight="1" x14ac:dyDescent="0.45">
      <c r="B129" s="14" t="s">
        <v>577</v>
      </c>
      <c r="C129" s="14" t="s">
        <v>1385</v>
      </c>
      <c r="D129" s="61"/>
      <c r="E129" s="23">
        <v>734069.21542999998</v>
      </c>
      <c r="F129" s="63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>
        <v>734069.21542999998</v>
      </c>
      <c r="AI129" s="15"/>
      <c r="AJ129" s="15"/>
      <c r="AK129" s="15"/>
      <c r="AL129" s="15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spans="2:50" ht="16" customHeight="1" x14ac:dyDescent="0.45">
      <c r="B130" s="14" t="s">
        <v>585</v>
      </c>
      <c r="C130" s="14" t="s">
        <v>1386</v>
      </c>
      <c r="D130" s="61"/>
      <c r="E130" s="23">
        <v>146489.6594</v>
      </c>
      <c r="F130" s="63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>
        <v>146489.6594</v>
      </c>
      <c r="AI130" s="15"/>
      <c r="AJ130" s="15"/>
      <c r="AK130" s="15"/>
      <c r="AL130" s="15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spans="2:50" ht="16" customHeight="1" x14ac:dyDescent="0.45">
      <c r="B131" s="14" t="s">
        <v>595</v>
      </c>
      <c r="C131" s="14" t="s">
        <v>1387</v>
      </c>
      <c r="D131" s="61"/>
      <c r="E131" s="23"/>
      <c r="F131" s="63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spans="2:50" ht="16" customHeight="1" x14ac:dyDescent="0.45">
      <c r="B132" s="14" t="s">
        <v>599</v>
      </c>
      <c r="C132" s="14" t="s">
        <v>1388</v>
      </c>
      <c r="D132" s="61"/>
      <c r="E132" s="23">
        <v>163.11313999999999</v>
      </c>
      <c r="F132" s="63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>
        <v>163.11313999999999</v>
      </c>
      <c r="AI132" s="15"/>
      <c r="AJ132" s="15"/>
      <c r="AK132" s="15"/>
      <c r="AL132" s="15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spans="2:50" ht="16" customHeight="1" x14ac:dyDescent="0.45">
      <c r="B133" s="14" t="s">
        <v>566</v>
      </c>
      <c r="C133" s="14" t="s">
        <v>1389</v>
      </c>
      <c r="D133" s="61"/>
      <c r="E133" s="23">
        <v>84404.563880000002</v>
      </c>
      <c r="F133" s="63"/>
      <c r="G133" s="15">
        <v>59489.741000000002</v>
      </c>
      <c r="H133" s="15"/>
      <c r="I133" s="15"/>
      <c r="J133" s="15">
        <v>3555.8848699999999</v>
      </c>
      <c r="K133" s="15"/>
      <c r="L133" s="15"/>
      <c r="M133" s="15"/>
      <c r="N133" s="15">
        <v>6.3177399999999997</v>
      </c>
      <c r="O133" s="15"/>
      <c r="P133" s="15"/>
      <c r="Q133" s="15"/>
      <c r="R133" s="15">
        <v>6905.69254</v>
      </c>
      <c r="S133" s="15">
        <v>0</v>
      </c>
      <c r="T133" s="15">
        <v>6027.8991999999998</v>
      </c>
      <c r="U133" s="15"/>
      <c r="V133" s="15"/>
      <c r="W133" s="15"/>
      <c r="X133" s="15"/>
      <c r="Y133" s="15"/>
      <c r="Z133" s="15"/>
      <c r="AA133" s="15">
        <v>3660.96342</v>
      </c>
      <c r="AB133" s="15">
        <v>21.188800000000001</v>
      </c>
      <c r="AC133" s="15">
        <v>435.90194000000002</v>
      </c>
      <c r="AD133" s="15"/>
      <c r="AE133" s="15"/>
      <c r="AF133" s="15">
        <v>2953.5102499999998</v>
      </c>
      <c r="AG133" s="15">
        <v>1190.71532</v>
      </c>
      <c r="AH133" s="15">
        <v>-1361.66732</v>
      </c>
      <c r="AI133" s="15"/>
      <c r="AJ133" s="15">
        <v>855.76273000000003</v>
      </c>
      <c r="AK133" s="15"/>
      <c r="AL133" s="15">
        <v>662.65338999999994</v>
      </c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spans="2:50" ht="16" customHeight="1" x14ac:dyDescent="0.45">
      <c r="B134" s="14" t="s">
        <v>568</v>
      </c>
      <c r="C134" s="14" t="s">
        <v>1390</v>
      </c>
      <c r="D134" s="61"/>
      <c r="E134" s="23"/>
      <c r="F134" s="63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spans="2:50" ht="16" customHeight="1" x14ac:dyDescent="0.45">
      <c r="B135" s="14" t="s">
        <v>572</v>
      </c>
      <c r="C135" s="14" t="s">
        <v>573</v>
      </c>
      <c r="D135" s="61"/>
      <c r="E135" s="23">
        <v>7420.20136</v>
      </c>
      <c r="F135" s="63"/>
      <c r="G135" s="15"/>
      <c r="H135" s="15">
        <v>14.81207</v>
      </c>
      <c r="I135" s="15">
        <v>1318.68317</v>
      </c>
      <c r="J135" s="15">
        <v>181.76634000000001</v>
      </c>
      <c r="K135" s="15"/>
      <c r="L135" s="15"/>
      <c r="M135" s="15"/>
      <c r="N135" s="15"/>
      <c r="O135" s="15"/>
      <c r="P135" s="15"/>
      <c r="Q135" s="15"/>
      <c r="R135" s="15">
        <v>154.024</v>
      </c>
      <c r="S135" s="15">
        <v>1909.98443</v>
      </c>
      <c r="T135" s="15">
        <v>1695.81654</v>
      </c>
      <c r="U135" s="15"/>
      <c r="V135" s="15"/>
      <c r="W135" s="15"/>
      <c r="X135" s="15"/>
      <c r="Y135" s="15">
        <v>341.42500000000001</v>
      </c>
      <c r="Z135" s="15"/>
      <c r="AA135" s="15">
        <v>250.89035999999999</v>
      </c>
      <c r="AB135" s="15">
        <v>0</v>
      </c>
      <c r="AC135" s="15"/>
      <c r="AD135" s="15"/>
      <c r="AE135" s="15"/>
      <c r="AF135" s="15">
        <v>593.99797000000001</v>
      </c>
      <c r="AG135" s="15">
        <v>946.74063000000001</v>
      </c>
      <c r="AH135" s="15"/>
      <c r="AI135" s="15"/>
      <c r="AJ135" s="15"/>
      <c r="AK135" s="15"/>
      <c r="AL135" s="15">
        <v>12.06085</v>
      </c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spans="2:50" ht="16" customHeight="1" x14ac:dyDescent="0.45">
      <c r="B136" s="14" t="s">
        <v>629</v>
      </c>
      <c r="C136" s="14" t="s">
        <v>1391</v>
      </c>
      <c r="D136" s="61"/>
      <c r="E136" s="23"/>
      <c r="F136" s="63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spans="2:50" ht="16" customHeight="1" x14ac:dyDescent="0.45">
      <c r="B137" s="14" t="s">
        <v>570</v>
      </c>
      <c r="C137" s="14" t="s">
        <v>1392</v>
      </c>
      <c r="D137" s="61"/>
      <c r="E137" s="23">
        <v>381751.49342000001</v>
      </c>
      <c r="F137" s="63"/>
      <c r="G137" s="15">
        <v>181198.05910000001</v>
      </c>
      <c r="H137" s="15">
        <v>2624.6877500000001</v>
      </c>
      <c r="I137" s="15">
        <v>18584.50865</v>
      </c>
      <c r="J137" s="15">
        <v>10031.181549999999</v>
      </c>
      <c r="K137" s="15">
        <v>0</v>
      </c>
      <c r="L137" s="15">
        <v>651.31244000000004</v>
      </c>
      <c r="M137" s="15">
        <v>1522.89589</v>
      </c>
      <c r="N137" s="15">
        <v>9663.3740400000006</v>
      </c>
      <c r="O137" s="15">
        <v>576.08595000000003</v>
      </c>
      <c r="P137" s="15">
        <v>0</v>
      </c>
      <c r="Q137" s="15">
        <v>299.75231000000002</v>
      </c>
      <c r="R137" s="15">
        <v>39649.310030000001</v>
      </c>
      <c r="S137" s="15">
        <v>10765.63149</v>
      </c>
      <c r="T137" s="15">
        <v>23259.912850000001</v>
      </c>
      <c r="U137" s="15">
        <v>609.88126</v>
      </c>
      <c r="V137" s="15">
        <v>0</v>
      </c>
      <c r="W137" s="15">
        <v>6417.3418499999998</v>
      </c>
      <c r="X137" s="15">
        <v>0</v>
      </c>
      <c r="Y137" s="15">
        <v>2482.1406000000002</v>
      </c>
      <c r="Z137" s="15">
        <v>80.123379999999997</v>
      </c>
      <c r="AA137" s="15">
        <v>11214.06639</v>
      </c>
      <c r="AB137" s="15">
        <v>370.78224999999998</v>
      </c>
      <c r="AC137" s="15">
        <v>525.40853000000004</v>
      </c>
      <c r="AD137" s="15">
        <v>0</v>
      </c>
      <c r="AE137" s="15">
        <v>0</v>
      </c>
      <c r="AF137" s="15">
        <v>15396.340840000001</v>
      </c>
      <c r="AG137" s="15">
        <v>15249.49206</v>
      </c>
      <c r="AH137" s="15">
        <v>17319.83237</v>
      </c>
      <c r="AI137" s="15">
        <v>703.40093000000002</v>
      </c>
      <c r="AJ137" s="15">
        <v>8560.0309199999992</v>
      </c>
      <c r="AK137" s="15">
        <v>0</v>
      </c>
      <c r="AL137" s="15">
        <v>3995.9399899999999</v>
      </c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spans="2:50" ht="16" customHeight="1" x14ac:dyDescent="0.45">
      <c r="B138" s="14" t="s">
        <v>1393</v>
      </c>
      <c r="C138" s="14" t="s">
        <v>1394</v>
      </c>
      <c r="D138" s="61"/>
      <c r="E138" s="23"/>
      <c r="F138" s="63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spans="2:50" ht="16" customHeight="1" x14ac:dyDescent="0.45">
      <c r="B139" s="14" t="s">
        <v>1395</v>
      </c>
      <c r="C139" s="14" t="s">
        <v>1396</v>
      </c>
      <c r="D139" s="61"/>
      <c r="E139" s="23">
        <v>3583.6652100000001</v>
      </c>
      <c r="F139" s="63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>
        <v>3583.6652100000001</v>
      </c>
      <c r="AI139" s="15"/>
      <c r="AJ139" s="15"/>
      <c r="AK139" s="15"/>
      <c r="AL139" s="15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spans="2:50" ht="16" customHeight="1" x14ac:dyDescent="0.45">
      <c r="B140" s="14" t="s">
        <v>1397</v>
      </c>
      <c r="C140" s="14" t="s">
        <v>1398</v>
      </c>
      <c r="D140" s="61"/>
      <c r="E140" s="23"/>
      <c r="F140" s="63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spans="2:50" ht="16" customHeight="1" x14ac:dyDescent="0.45">
      <c r="B141" s="14" t="s">
        <v>1399</v>
      </c>
      <c r="C141" s="14" t="s">
        <v>1400</v>
      </c>
      <c r="D141" s="61"/>
      <c r="E141" s="23"/>
      <c r="F141" s="63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spans="2:50" ht="16" customHeight="1" x14ac:dyDescent="0.45">
      <c r="B142" s="14" t="s">
        <v>1401</v>
      </c>
      <c r="C142" s="14" t="s">
        <v>1402</v>
      </c>
      <c r="D142" s="61"/>
      <c r="E142" s="23"/>
      <c r="F142" s="63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spans="2:50" ht="16" customHeight="1" x14ac:dyDescent="0.45">
      <c r="B143" s="14" t="s">
        <v>1403</v>
      </c>
      <c r="C143" s="14" t="s">
        <v>1404</v>
      </c>
      <c r="D143" s="61"/>
      <c r="E143" s="23">
        <v>999.19690000000003</v>
      </c>
      <c r="F143" s="63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>
        <v>985.49744999999996</v>
      </c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>
        <v>0</v>
      </c>
      <c r="AG143" s="15"/>
      <c r="AH143" s="15">
        <v>13.699450000000001</v>
      </c>
      <c r="AI143" s="15"/>
      <c r="AJ143" s="15"/>
      <c r="AK143" s="15"/>
      <c r="AL143" s="15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spans="2:50" ht="16" customHeight="1" x14ac:dyDescent="0.45">
      <c r="B144" s="14" t="s">
        <v>621</v>
      </c>
      <c r="C144" s="14" t="s">
        <v>1405</v>
      </c>
      <c r="D144" s="61"/>
      <c r="E144" s="23">
        <v>12494.295260000001</v>
      </c>
      <c r="F144" s="63"/>
      <c r="G144" s="15"/>
      <c r="H144" s="15">
        <v>138.01044999999999</v>
      </c>
      <c r="I144" s="15">
        <v>1141.84366</v>
      </c>
      <c r="J144" s="15">
        <v>1650.5514000000001</v>
      </c>
      <c r="K144" s="15"/>
      <c r="L144" s="15">
        <v>0</v>
      </c>
      <c r="M144" s="15">
        <v>509.17716000000001</v>
      </c>
      <c r="N144" s="15">
        <v>1674.89589</v>
      </c>
      <c r="O144" s="15">
        <v>4.2815099999999999</v>
      </c>
      <c r="P144" s="15"/>
      <c r="Q144" s="15"/>
      <c r="R144" s="15">
        <v>500.01285999999999</v>
      </c>
      <c r="S144" s="15">
        <v>144.89060000000001</v>
      </c>
      <c r="T144" s="15">
        <v>1376.56159</v>
      </c>
      <c r="U144" s="15">
        <v>421.98705000000001</v>
      </c>
      <c r="V144" s="15"/>
      <c r="W144" s="15">
        <v>754.26179000000002</v>
      </c>
      <c r="X144" s="15"/>
      <c r="Y144" s="15">
        <v>235.67431999999999</v>
      </c>
      <c r="Z144" s="15"/>
      <c r="AA144" s="15">
        <v>1295.2792099999999</v>
      </c>
      <c r="AB144" s="15"/>
      <c r="AC144" s="15"/>
      <c r="AD144" s="15"/>
      <c r="AE144" s="15"/>
      <c r="AF144" s="15">
        <v>643.36698999999999</v>
      </c>
      <c r="AG144" s="15">
        <v>1629.5203899999999</v>
      </c>
      <c r="AH144" s="15">
        <v>0</v>
      </c>
      <c r="AI144" s="15">
        <v>120.90021</v>
      </c>
      <c r="AJ144" s="15">
        <v>247.90401</v>
      </c>
      <c r="AK144" s="15"/>
      <c r="AL144" s="15">
        <v>5.1761699999999999</v>
      </c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spans="2:50" ht="16" customHeight="1" x14ac:dyDescent="0.45">
      <c r="B145" s="14" t="s">
        <v>623</v>
      </c>
      <c r="C145" s="14" t="s">
        <v>1406</v>
      </c>
      <c r="D145" s="61"/>
      <c r="E145" s="23">
        <v>0</v>
      </c>
      <c r="F145" s="63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>
        <v>-10300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>
        <v>10300</v>
      </c>
      <c r="AI145" s="15"/>
      <c r="AJ145" s="15"/>
      <c r="AK145" s="15"/>
      <c r="AL145" s="15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spans="2:50" ht="16" customHeight="1" x14ac:dyDescent="0.45">
      <c r="B146" s="14" t="s">
        <v>625</v>
      </c>
      <c r="C146" s="14" t="s">
        <v>1407</v>
      </c>
      <c r="D146" s="61"/>
      <c r="E146" s="23">
        <v>5109.1441500000001</v>
      </c>
      <c r="F146" s="63"/>
      <c r="G146" s="15"/>
      <c r="H146" s="15">
        <v>51.53613</v>
      </c>
      <c r="I146" s="15">
        <v>384.76731999999998</v>
      </c>
      <c r="J146" s="15">
        <v>366.24513999999999</v>
      </c>
      <c r="K146" s="15">
        <v>0</v>
      </c>
      <c r="L146" s="15"/>
      <c r="M146" s="15">
        <v>14.95491</v>
      </c>
      <c r="N146" s="15">
        <v>87.174980000000005</v>
      </c>
      <c r="O146" s="15">
        <v>14.39705</v>
      </c>
      <c r="P146" s="15"/>
      <c r="Q146" s="15"/>
      <c r="R146" s="15">
        <v>174.40325000000001</v>
      </c>
      <c r="S146" s="15">
        <v>283.35768000000002</v>
      </c>
      <c r="T146" s="15">
        <v>1161.5936899999999</v>
      </c>
      <c r="U146" s="15">
        <v>7.5954300000000003</v>
      </c>
      <c r="V146" s="15"/>
      <c r="W146" s="15">
        <v>65.62818</v>
      </c>
      <c r="X146" s="15"/>
      <c r="Y146" s="15">
        <v>54.672510000000003</v>
      </c>
      <c r="Z146" s="15"/>
      <c r="AA146" s="15">
        <v>450.38616000000002</v>
      </c>
      <c r="AB146" s="15">
        <v>34.872340000000001</v>
      </c>
      <c r="AC146" s="15">
        <v>22.41581</v>
      </c>
      <c r="AD146" s="15"/>
      <c r="AE146" s="15"/>
      <c r="AF146" s="15">
        <v>968.92259000000001</v>
      </c>
      <c r="AG146" s="15">
        <v>673.50912000000005</v>
      </c>
      <c r="AH146" s="15">
        <v>114.92974</v>
      </c>
      <c r="AI146" s="15">
        <v>18.59084</v>
      </c>
      <c r="AJ146" s="15">
        <v>43.527209999999997</v>
      </c>
      <c r="AK146" s="15"/>
      <c r="AL146" s="15">
        <v>115.66407</v>
      </c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spans="2:50" ht="16" customHeight="1" x14ac:dyDescent="0.45">
      <c r="B147" s="14" t="s">
        <v>619</v>
      </c>
      <c r="C147" s="14" t="s">
        <v>1408</v>
      </c>
      <c r="D147" s="61"/>
      <c r="E147" s="23">
        <v>594988.77092000004</v>
      </c>
      <c r="F147" s="63"/>
      <c r="G147" s="15">
        <v>540394.45712000004</v>
      </c>
      <c r="H147" s="15">
        <v>615.51305000000002</v>
      </c>
      <c r="I147" s="15">
        <v>1183.5489299999999</v>
      </c>
      <c r="J147" s="15">
        <v>1145.6306099999999</v>
      </c>
      <c r="K147" s="15">
        <v>2.4070800000000001</v>
      </c>
      <c r="L147" s="15">
        <v>10.845969999999999</v>
      </c>
      <c r="M147" s="15">
        <v>757.26912000000004</v>
      </c>
      <c r="N147" s="15">
        <v>2581.8267000000001</v>
      </c>
      <c r="O147" s="15">
        <v>2.3402500000000002</v>
      </c>
      <c r="P147" s="15">
        <v>-3.3</v>
      </c>
      <c r="Q147" s="15"/>
      <c r="R147" s="15">
        <v>12496.84727</v>
      </c>
      <c r="S147" s="15">
        <v>1081.40049</v>
      </c>
      <c r="T147" s="15">
        <v>7147.3412900000003</v>
      </c>
      <c r="U147" s="15">
        <v>-36.380429999999997</v>
      </c>
      <c r="V147" s="15">
        <v>0</v>
      </c>
      <c r="W147" s="15">
        <v>328.89224000000002</v>
      </c>
      <c r="X147" s="15">
        <v>-48.844200000000001</v>
      </c>
      <c r="Y147" s="15">
        <v>1701.4892400000001</v>
      </c>
      <c r="Z147" s="15">
        <v>48.395690000000002</v>
      </c>
      <c r="AA147" s="15">
        <v>3452.5974700000002</v>
      </c>
      <c r="AB147" s="15">
        <v>34.500369999999997</v>
      </c>
      <c r="AC147" s="15">
        <v>122.57279</v>
      </c>
      <c r="AD147" s="15">
        <v>0</v>
      </c>
      <c r="AE147" s="15">
        <v>0</v>
      </c>
      <c r="AF147" s="15">
        <v>4784.94175</v>
      </c>
      <c r="AG147" s="15">
        <v>1804.60357</v>
      </c>
      <c r="AH147" s="15">
        <v>14287.98386</v>
      </c>
      <c r="AI147" s="15">
        <v>62.800280000000001</v>
      </c>
      <c r="AJ147" s="15">
        <v>117.71156000000001</v>
      </c>
      <c r="AK147" s="15">
        <v>0</v>
      </c>
      <c r="AL147" s="15">
        <v>911.37885000000006</v>
      </c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spans="2:50" ht="16" customHeight="1" x14ac:dyDescent="0.45">
      <c r="B148" s="14" t="s">
        <v>615</v>
      </c>
      <c r="C148" s="14" t="s">
        <v>1409</v>
      </c>
      <c r="D148" s="61"/>
      <c r="E148" s="23">
        <v>125862.54063</v>
      </c>
      <c r="F148" s="63"/>
      <c r="G148" s="15">
        <v>108446.39945</v>
      </c>
      <c r="H148" s="15">
        <v>55.320459999999997</v>
      </c>
      <c r="I148" s="15">
        <v>277.29014999999998</v>
      </c>
      <c r="J148" s="15">
        <v>343.50400000000002</v>
      </c>
      <c r="K148" s="15">
        <v>6.7750000000000005E-2</v>
      </c>
      <c r="L148" s="15"/>
      <c r="M148" s="15">
        <v>5.8964600000000003</v>
      </c>
      <c r="N148" s="15">
        <v>66.592860000000002</v>
      </c>
      <c r="O148" s="15">
        <v>22.947990000000001</v>
      </c>
      <c r="P148" s="15"/>
      <c r="Q148" s="15"/>
      <c r="R148" s="15">
        <v>1017.57812</v>
      </c>
      <c r="S148" s="15">
        <v>142.04299</v>
      </c>
      <c r="T148" s="15">
        <v>1739.9007099999999</v>
      </c>
      <c r="U148" s="15">
        <v>3.9838499999999999</v>
      </c>
      <c r="V148" s="15">
        <v>0.45458999999999999</v>
      </c>
      <c r="W148" s="15">
        <v>86.182519999999997</v>
      </c>
      <c r="X148" s="15"/>
      <c r="Y148" s="15">
        <v>29.468769999999999</v>
      </c>
      <c r="Z148" s="15">
        <v>0.63390000000000002</v>
      </c>
      <c r="AA148" s="15">
        <v>392.76364999999998</v>
      </c>
      <c r="AB148" s="15">
        <v>41.913339999999998</v>
      </c>
      <c r="AC148" s="15">
        <v>32.811390000000003</v>
      </c>
      <c r="AD148" s="15"/>
      <c r="AE148" s="15"/>
      <c r="AF148" s="15">
        <v>785.37085000000002</v>
      </c>
      <c r="AG148" s="15">
        <v>216.47632999999999</v>
      </c>
      <c r="AH148" s="15">
        <v>11903.256299999999</v>
      </c>
      <c r="AI148" s="15">
        <v>5.1584199999999996</v>
      </c>
      <c r="AJ148" s="15">
        <v>46.016539999999999</v>
      </c>
      <c r="AK148" s="15"/>
      <c r="AL148" s="15">
        <v>200.50924000000001</v>
      </c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spans="2:50" ht="16" customHeight="1" x14ac:dyDescent="0.45">
      <c r="B149" s="14" t="s">
        <v>617</v>
      </c>
      <c r="C149" s="14" t="s">
        <v>1410</v>
      </c>
      <c r="D149" s="61"/>
      <c r="E149" s="23"/>
      <c r="F149" s="63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spans="2:50" ht="16" customHeight="1" x14ac:dyDescent="0.45">
      <c r="B150" s="14" t="s">
        <v>627</v>
      </c>
      <c r="C150" s="14" t="s">
        <v>1411</v>
      </c>
      <c r="D150" s="61"/>
      <c r="E150" s="23">
        <v>40113.492760000001</v>
      </c>
      <c r="F150" s="63"/>
      <c r="G150" s="15"/>
      <c r="H150" s="15">
        <v>521.49409000000003</v>
      </c>
      <c r="I150" s="15">
        <v>2908.5696899999998</v>
      </c>
      <c r="J150" s="15">
        <v>1554.0501200000001</v>
      </c>
      <c r="K150" s="15"/>
      <c r="L150" s="15">
        <v>619.47766999999999</v>
      </c>
      <c r="M150" s="15">
        <v>105.88638</v>
      </c>
      <c r="N150" s="15">
        <v>3263.2086199999999</v>
      </c>
      <c r="O150" s="15">
        <v>226.65911</v>
      </c>
      <c r="P150" s="15"/>
      <c r="Q150" s="15"/>
      <c r="R150" s="15">
        <v>7477.9506099999999</v>
      </c>
      <c r="S150" s="15">
        <v>3537.9845599999999</v>
      </c>
      <c r="T150" s="15">
        <v>5417.2954900000004</v>
      </c>
      <c r="U150" s="15">
        <v>25.34308</v>
      </c>
      <c r="V150" s="15"/>
      <c r="W150" s="15">
        <v>2598.6851200000001</v>
      </c>
      <c r="X150" s="15">
        <v>661.77509999999995</v>
      </c>
      <c r="Y150" s="15">
        <v>1022.52059</v>
      </c>
      <c r="Z150" s="15"/>
      <c r="AA150" s="15">
        <v>3384.2927399999999</v>
      </c>
      <c r="AB150" s="15"/>
      <c r="AC150" s="15"/>
      <c r="AD150" s="15"/>
      <c r="AE150" s="15"/>
      <c r="AF150" s="15">
        <v>2855.0727099999999</v>
      </c>
      <c r="AG150" s="15">
        <v>1901.12114</v>
      </c>
      <c r="AH150" s="15">
        <v>48.241750000000003</v>
      </c>
      <c r="AI150" s="15"/>
      <c r="AJ150" s="15">
        <v>1129.30747</v>
      </c>
      <c r="AK150" s="15">
        <v>0</v>
      </c>
      <c r="AL150" s="15">
        <v>854.55672000000004</v>
      </c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spans="2:50" ht="16" customHeight="1" x14ac:dyDescent="0.45">
      <c r="B151" s="14" t="s">
        <v>631</v>
      </c>
      <c r="C151" s="14" t="s">
        <v>632</v>
      </c>
      <c r="D151" s="61"/>
      <c r="E151" s="23"/>
      <c r="F151" s="63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spans="2:50" ht="16" customHeight="1" x14ac:dyDescent="0.45">
      <c r="B152" s="14" t="s">
        <v>633</v>
      </c>
      <c r="C152" s="14" t="s">
        <v>634</v>
      </c>
      <c r="D152" s="61"/>
      <c r="E152" s="23"/>
      <c r="F152" s="63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spans="2:50" ht="16" customHeight="1" x14ac:dyDescent="0.45">
      <c r="B153" s="14" t="s">
        <v>635</v>
      </c>
      <c r="C153" s="14" t="s">
        <v>636</v>
      </c>
      <c r="D153" s="61"/>
      <c r="E153" s="23"/>
      <c r="F153" s="63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spans="2:50" ht="16" customHeight="1" x14ac:dyDescent="0.45">
      <c r="B154" s="14" t="s">
        <v>643</v>
      </c>
      <c r="C154" s="14" t="s">
        <v>1412</v>
      </c>
      <c r="D154" s="61"/>
      <c r="E154" s="23"/>
      <c r="F154" s="63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spans="2:50" ht="16" customHeight="1" x14ac:dyDescent="0.45">
      <c r="B155" s="14" t="s">
        <v>1413</v>
      </c>
      <c r="C155" s="14" t="s">
        <v>1414</v>
      </c>
      <c r="D155" s="61"/>
      <c r="E155" s="23"/>
      <c r="F155" s="63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spans="2:50" ht="16" customHeight="1" x14ac:dyDescent="0.45">
      <c r="B156" s="14" t="s">
        <v>1415</v>
      </c>
      <c r="C156" s="14" t="s">
        <v>1416</v>
      </c>
      <c r="D156" s="61"/>
      <c r="E156" s="23">
        <v>83361.394149999993</v>
      </c>
      <c r="F156" s="63"/>
      <c r="G156" s="15">
        <v>52331.977299999999</v>
      </c>
      <c r="H156" s="15"/>
      <c r="I156" s="15">
        <v>0</v>
      </c>
      <c r="J156" s="15">
        <v>3378.7778800000001</v>
      </c>
      <c r="K156" s="15"/>
      <c r="L156" s="15"/>
      <c r="M156" s="15"/>
      <c r="N156" s="15">
        <v>1849.77908</v>
      </c>
      <c r="O156" s="15"/>
      <c r="P156" s="15"/>
      <c r="Q156" s="15"/>
      <c r="R156" s="15">
        <v>1329.0876499999999</v>
      </c>
      <c r="S156" s="15"/>
      <c r="T156" s="15">
        <v>12612.57591</v>
      </c>
      <c r="U156" s="15">
        <v>2662.08959</v>
      </c>
      <c r="V156" s="15"/>
      <c r="W156" s="15"/>
      <c r="X156" s="15"/>
      <c r="Y156" s="15">
        <v>17.455179999999999</v>
      </c>
      <c r="Z156" s="15"/>
      <c r="AA156" s="15">
        <v>3239.9952600000001</v>
      </c>
      <c r="AB156" s="15"/>
      <c r="AC156" s="15">
        <v>0</v>
      </c>
      <c r="AD156" s="15"/>
      <c r="AE156" s="15"/>
      <c r="AF156" s="15">
        <v>308.46292</v>
      </c>
      <c r="AG156" s="15">
        <v>478.91899000000001</v>
      </c>
      <c r="AH156" s="15">
        <v>4391.5409900000004</v>
      </c>
      <c r="AI156" s="15">
        <v>0</v>
      </c>
      <c r="AJ156" s="15">
        <v>247.47443999999999</v>
      </c>
      <c r="AK156" s="15">
        <v>0</v>
      </c>
      <c r="AL156" s="15">
        <v>513.25896</v>
      </c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spans="2:50" ht="16" customHeight="1" x14ac:dyDescent="0.45">
      <c r="B157" s="14" t="s">
        <v>1417</v>
      </c>
      <c r="C157" s="14" t="s">
        <v>1418</v>
      </c>
      <c r="D157" s="61"/>
      <c r="E157" s="23">
        <v>11498.841130000001</v>
      </c>
      <c r="F157" s="63"/>
      <c r="G157" s="15"/>
      <c r="H157" s="15"/>
      <c r="I157" s="15">
        <v>142.19212999999999</v>
      </c>
      <c r="J157" s="15">
        <v>119.74276</v>
      </c>
      <c r="K157" s="15">
        <v>0</v>
      </c>
      <c r="L157" s="15"/>
      <c r="M157" s="15">
        <v>54.966929999999998</v>
      </c>
      <c r="N157" s="15">
        <v>498.488</v>
      </c>
      <c r="O157" s="15">
        <v>9.1667400000000008</v>
      </c>
      <c r="P157" s="15"/>
      <c r="Q157" s="15"/>
      <c r="R157" s="15">
        <v>286.86428000000001</v>
      </c>
      <c r="S157" s="15">
        <v>665.52783999999997</v>
      </c>
      <c r="T157" s="15">
        <v>453.42325</v>
      </c>
      <c r="U157" s="15">
        <v>9.0834600000000005</v>
      </c>
      <c r="V157" s="15"/>
      <c r="W157" s="15">
        <v>40.416739999999997</v>
      </c>
      <c r="X157" s="15"/>
      <c r="Y157" s="15">
        <v>166.38337999999999</v>
      </c>
      <c r="Z157" s="15"/>
      <c r="AA157" s="15">
        <v>77.527789999999996</v>
      </c>
      <c r="AB157" s="15"/>
      <c r="AC157" s="15">
        <v>15.666550000000001</v>
      </c>
      <c r="AD157" s="15"/>
      <c r="AE157" s="15"/>
      <c r="AF157" s="15">
        <v>713.96887000000004</v>
      </c>
      <c r="AG157" s="15">
        <v>387.23514</v>
      </c>
      <c r="AH157" s="15">
        <v>7771</v>
      </c>
      <c r="AI157" s="15"/>
      <c r="AJ157" s="15">
        <v>87.187269999999998</v>
      </c>
      <c r="AK157" s="15"/>
      <c r="AL157" s="15">
        <v>0</v>
      </c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spans="2:50" ht="16" customHeight="1" x14ac:dyDescent="0.45">
      <c r="B158" s="14" t="s">
        <v>1419</v>
      </c>
      <c r="C158" s="14" t="s">
        <v>1420</v>
      </c>
      <c r="D158" s="61"/>
      <c r="E158" s="23">
        <v>11091.47</v>
      </c>
      <c r="F158" s="63"/>
      <c r="G158" s="15"/>
      <c r="H158" s="15"/>
      <c r="I158" s="15">
        <v>1521.47</v>
      </c>
      <c r="J158" s="15">
        <v>0</v>
      </c>
      <c r="K158" s="15">
        <v>0</v>
      </c>
      <c r="L158" s="15"/>
      <c r="M158" s="15"/>
      <c r="N158" s="15"/>
      <c r="O158" s="15"/>
      <c r="P158" s="15"/>
      <c r="Q158" s="15"/>
      <c r="R158" s="15">
        <v>100</v>
      </c>
      <c r="S158" s="15">
        <v>0</v>
      </c>
      <c r="T158" s="15">
        <v>0</v>
      </c>
      <c r="U158" s="15"/>
      <c r="V158" s="15"/>
      <c r="W158" s="15"/>
      <c r="X158" s="15"/>
      <c r="Y158" s="15"/>
      <c r="Z158" s="15"/>
      <c r="AA158" s="15">
        <v>0</v>
      </c>
      <c r="AB158" s="15"/>
      <c r="AC158" s="15"/>
      <c r="AD158" s="15"/>
      <c r="AE158" s="15"/>
      <c r="AF158" s="15">
        <v>20</v>
      </c>
      <c r="AG158" s="15">
        <v>0</v>
      </c>
      <c r="AH158" s="15">
        <v>9450</v>
      </c>
      <c r="AI158" s="15"/>
      <c r="AJ158" s="15"/>
      <c r="AK158" s="15"/>
      <c r="AL158" s="15">
        <v>0</v>
      </c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spans="2:50" ht="16" customHeight="1" x14ac:dyDescent="0.45">
      <c r="B159" s="14" t="s">
        <v>1421</v>
      </c>
      <c r="C159" s="14" t="s">
        <v>1422</v>
      </c>
      <c r="D159" s="61"/>
      <c r="E159" s="23">
        <v>0</v>
      </c>
      <c r="F159" s="63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>
        <v>0</v>
      </c>
      <c r="AI159" s="15"/>
      <c r="AJ159" s="15"/>
      <c r="AK159" s="15"/>
      <c r="AL159" s="15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spans="2:50" ht="16" customHeight="1" x14ac:dyDescent="0.45">
      <c r="B160" s="14" t="s">
        <v>1423</v>
      </c>
      <c r="C160" s="14" t="s">
        <v>1424</v>
      </c>
      <c r="D160" s="61"/>
      <c r="E160" s="23"/>
      <c r="F160" s="63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spans="2:50" ht="16" customHeight="1" x14ac:dyDescent="0.45">
      <c r="B161" s="14" t="s">
        <v>1425</v>
      </c>
      <c r="C161" s="14" t="s">
        <v>1426</v>
      </c>
      <c r="D161" s="61"/>
      <c r="E161" s="23">
        <v>831.72064</v>
      </c>
      <c r="F161" s="63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>
        <v>831.72064</v>
      </c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spans="2:50" ht="16" customHeight="1" x14ac:dyDescent="0.45">
      <c r="B162" s="14" t="s">
        <v>602</v>
      </c>
      <c r="C162" s="14" t="s">
        <v>1427</v>
      </c>
      <c r="D162" s="61"/>
      <c r="E162" s="23">
        <v>121246.78916</v>
      </c>
      <c r="F162" s="63"/>
      <c r="G162" s="15">
        <v>111240.13239</v>
      </c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>
        <v>-4.8999999999999998E-4</v>
      </c>
      <c r="S162" s="15"/>
      <c r="T162" s="15">
        <v>0</v>
      </c>
      <c r="U162" s="15"/>
      <c r="V162" s="15"/>
      <c r="W162" s="15"/>
      <c r="X162" s="15"/>
      <c r="Y162" s="15"/>
      <c r="Z162" s="15"/>
      <c r="AA162" s="15">
        <v>0</v>
      </c>
      <c r="AB162" s="15"/>
      <c r="AC162" s="15"/>
      <c r="AD162" s="15"/>
      <c r="AE162" s="15"/>
      <c r="AF162" s="15">
        <v>0</v>
      </c>
      <c r="AG162" s="15">
        <v>0</v>
      </c>
      <c r="AH162" s="15">
        <v>10006.65726</v>
      </c>
      <c r="AI162" s="15">
        <v>0</v>
      </c>
      <c r="AJ162" s="15">
        <v>0</v>
      </c>
      <c r="AK162" s="15"/>
      <c r="AL162" s="15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spans="2:50" ht="16" customHeight="1" x14ac:dyDescent="0.45">
      <c r="B163" s="14" t="s">
        <v>604</v>
      </c>
      <c r="C163" s="14" t="s">
        <v>1428</v>
      </c>
      <c r="D163" s="61"/>
      <c r="E163" s="23"/>
      <c r="F163" s="63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spans="2:50" ht="16" customHeight="1" x14ac:dyDescent="0.45">
      <c r="B164" s="14" t="s">
        <v>650</v>
      </c>
      <c r="C164" s="14" t="s">
        <v>1429</v>
      </c>
      <c r="D164" s="61"/>
      <c r="E164" s="23"/>
      <c r="F164" s="63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spans="2:50" ht="16" customHeight="1" x14ac:dyDescent="0.45">
      <c r="B165" s="14" t="s">
        <v>652</v>
      </c>
      <c r="C165" s="14" t="s">
        <v>1430</v>
      </c>
      <c r="D165" s="61"/>
      <c r="E165" s="23"/>
      <c r="F165" s="63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spans="2:50" ht="16" customHeight="1" x14ac:dyDescent="0.45">
      <c r="B166" s="14" t="s">
        <v>654</v>
      </c>
      <c r="C166" s="14" t="s">
        <v>1431</v>
      </c>
      <c r="D166" s="61"/>
      <c r="E166" s="23">
        <v>107016.19695</v>
      </c>
      <c r="F166" s="63"/>
      <c r="G166" s="15">
        <v>107016.19695</v>
      </c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>
        <v>0</v>
      </c>
      <c r="S166" s="15"/>
      <c r="T166" s="15"/>
      <c r="U166" s="15"/>
      <c r="V166" s="15"/>
      <c r="W166" s="15"/>
      <c r="X166" s="15"/>
      <c r="Y166" s="15"/>
      <c r="Z166" s="15"/>
      <c r="AA166" s="15">
        <v>0</v>
      </c>
      <c r="AB166" s="15"/>
      <c r="AC166" s="15"/>
      <c r="AD166" s="15"/>
      <c r="AE166" s="15"/>
      <c r="AF166" s="15">
        <v>0</v>
      </c>
      <c r="AG166" s="15"/>
      <c r="AH166" s="15"/>
      <c r="AI166" s="15">
        <v>0</v>
      </c>
      <c r="AJ166" s="15"/>
      <c r="AK166" s="15"/>
      <c r="AL166" s="15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spans="2:50" ht="16" customHeight="1" x14ac:dyDescent="0.45">
      <c r="B167" s="14" t="s">
        <v>656</v>
      </c>
      <c r="C167" s="14" t="s">
        <v>1432</v>
      </c>
      <c r="D167" s="61"/>
      <c r="E167" s="23">
        <v>70754.168900000004</v>
      </c>
      <c r="F167" s="63"/>
      <c r="G167" s="15"/>
      <c r="H167" s="15">
        <v>220.42089999999999</v>
      </c>
      <c r="I167" s="15">
        <v>3614.0197800000001</v>
      </c>
      <c r="J167" s="15">
        <v>1033.2081900000001</v>
      </c>
      <c r="K167" s="15"/>
      <c r="L167" s="15">
        <v>0</v>
      </c>
      <c r="M167" s="15">
        <v>421.53856000000002</v>
      </c>
      <c r="N167" s="15">
        <v>1112.62563</v>
      </c>
      <c r="O167" s="15">
        <v>287.17948000000001</v>
      </c>
      <c r="P167" s="15"/>
      <c r="Q167" s="15"/>
      <c r="R167" s="15">
        <v>20049.206999999999</v>
      </c>
      <c r="S167" s="15">
        <v>5759.3783999999996</v>
      </c>
      <c r="T167" s="15">
        <v>16600.800899999998</v>
      </c>
      <c r="U167" s="15">
        <v>24.387699999999999</v>
      </c>
      <c r="V167" s="15"/>
      <c r="W167" s="15">
        <v>2681.2951699999999</v>
      </c>
      <c r="X167" s="15">
        <v>0</v>
      </c>
      <c r="Y167" s="15">
        <v>1175.01917</v>
      </c>
      <c r="Z167" s="15">
        <v>7.0650000000000004E-2</v>
      </c>
      <c r="AA167" s="15">
        <v>3174.68804</v>
      </c>
      <c r="AB167" s="15">
        <v>0</v>
      </c>
      <c r="AC167" s="15">
        <v>476.57146999999998</v>
      </c>
      <c r="AD167" s="15"/>
      <c r="AE167" s="15"/>
      <c r="AF167" s="15">
        <v>9131.2090900000003</v>
      </c>
      <c r="AG167" s="15">
        <v>2347.8718800000001</v>
      </c>
      <c r="AH167" s="15">
        <v>511.87576999999999</v>
      </c>
      <c r="AI167" s="15">
        <v>163.75792999999999</v>
      </c>
      <c r="AJ167" s="15">
        <v>928.17213000000004</v>
      </c>
      <c r="AK167" s="15">
        <v>0</v>
      </c>
      <c r="AL167" s="15">
        <v>1040.8710599999999</v>
      </c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spans="2:50" ht="16" customHeight="1" x14ac:dyDescent="0.45">
      <c r="B168" s="14" t="s">
        <v>648</v>
      </c>
      <c r="C168" s="14" t="s">
        <v>1433</v>
      </c>
      <c r="D168" s="61"/>
      <c r="E168" s="23">
        <v>743275.55180000002</v>
      </c>
      <c r="F168" s="63"/>
      <c r="G168" s="15"/>
      <c r="H168" s="15">
        <v>130186.70275</v>
      </c>
      <c r="I168" s="15">
        <v>-724966.32622000005</v>
      </c>
      <c r="J168" s="15">
        <v>-293999.47485</v>
      </c>
      <c r="K168" s="15">
        <v>12571.19584</v>
      </c>
      <c r="L168" s="15">
        <v>16495.2556</v>
      </c>
      <c r="M168" s="15">
        <v>84214.526629999993</v>
      </c>
      <c r="N168" s="15">
        <v>422915.33938000002</v>
      </c>
      <c r="O168" s="15">
        <v>38981.614229999999</v>
      </c>
      <c r="P168" s="15">
        <v>34363.15279</v>
      </c>
      <c r="Q168" s="15">
        <v>-13578.333930000001</v>
      </c>
      <c r="R168" s="15">
        <v>74368.333849999995</v>
      </c>
      <c r="S168" s="15">
        <v>807.60159999999996</v>
      </c>
      <c r="T168" s="15">
        <v>-21140.22855</v>
      </c>
      <c r="U168" s="15">
        <v>12582.984640000001</v>
      </c>
      <c r="V168" s="15">
        <v>230.47964999999999</v>
      </c>
      <c r="W168" s="15">
        <v>192005.42551999999</v>
      </c>
      <c r="X168" s="15">
        <v>1721.0190399999999</v>
      </c>
      <c r="Y168" s="15">
        <v>35077.147980000002</v>
      </c>
      <c r="Z168" s="15">
        <v>-734.46762999999999</v>
      </c>
      <c r="AA168" s="15">
        <v>28897.49595</v>
      </c>
      <c r="AB168" s="15">
        <v>17965.056120000001</v>
      </c>
      <c r="AC168" s="15">
        <v>97910.307419999997</v>
      </c>
      <c r="AD168" s="15">
        <v>-671.81884000000002</v>
      </c>
      <c r="AE168" s="15"/>
      <c r="AF168" s="15">
        <v>-189589.34700000001</v>
      </c>
      <c r="AG168" s="15">
        <v>-35474.193529999997</v>
      </c>
      <c r="AH168" s="15">
        <v>412642.02354999998</v>
      </c>
      <c r="AI168" s="15">
        <v>53439.660600000003</v>
      </c>
      <c r="AJ168" s="15">
        <v>294629.85447999998</v>
      </c>
      <c r="AK168" s="15"/>
      <c r="AL168" s="15">
        <v>61424.564729999998</v>
      </c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spans="2:50" ht="16" customHeight="1" x14ac:dyDescent="0.45">
      <c r="B169" s="14" t="s">
        <v>663</v>
      </c>
      <c r="C169" s="14" t="s">
        <v>664</v>
      </c>
      <c r="D169" s="61"/>
      <c r="E169" s="23">
        <v>24.42088</v>
      </c>
      <c r="F169" s="63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>
        <v>24.42088</v>
      </c>
      <c r="AI169" s="15"/>
      <c r="AJ169" s="15"/>
      <c r="AK169" s="15"/>
      <c r="AL169" s="15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spans="2:50" ht="16" customHeight="1" x14ac:dyDescent="0.45">
      <c r="B170" s="14" t="s">
        <v>658</v>
      </c>
      <c r="C170" s="14" t="s">
        <v>659</v>
      </c>
      <c r="D170" s="61"/>
      <c r="E170" s="23"/>
      <c r="F170" s="63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spans="2:50" ht="16" customHeight="1" x14ac:dyDescent="0.45">
      <c r="B171" s="14" t="s">
        <v>1434</v>
      </c>
      <c r="C171" s="14" t="s">
        <v>1435</v>
      </c>
      <c r="D171" s="61"/>
      <c r="E171" s="23">
        <v>327259.74862000003</v>
      </c>
      <c r="F171" s="63"/>
      <c r="G171" s="15">
        <v>185357.84111000001</v>
      </c>
      <c r="H171" s="15">
        <v>8418.1540499999992</v>
      </c>
      <c r="I171" s="15">
        <v>8845.3500100000001</v>
      </c>
      <c r="J171" s="15">
        <v>14514.687260000001</v>
      </c>
      <c r="K171" s="15">
        <v>0</v>
      </c>
      <c r="L171" s="15"/>
      <c r="M171" s="15">
        <v>2165.6581700000002</v>
      </c>
      <c r="N171" s="15">
        <v>4537.0164299999997</v>
      </c>
      <c r="O171" s="15">
        <v>1073.69703</v>
      </c>
      <c r="P171" s="15"/>
      <c r="Q171" s="15"/>
      <c r="R171" s="15">
        <v>8686.2533800000001</v>
      </c>
      <c r="S171" s="15">
        <v>3282.2515100000001</v>
      </c>
      <c r="T171" s="15">
        <v>31247.16245</v>
      </c>
      <c r="U171" s="15">
        <v>6781.2663899999998</v>
      </c>
      <c r="V171" s="15"/>
      <c r="W171" s="15">
        <v>270.86261000000002</v>
      </c>
      <c r="X171" s="15"/>
      <c r="Y171" s="15">
        <v>3200.3870900000002</v>
      </c>
      <c r="Z171" s="15"/>
      <c r="AA171" s="15">
        <v>18023.65754</v>
      </c>
      <c r="AB171" s="15"/>
      <c r="AC171" s="15">
        <v>2659.5593100000001</v>
      </c>
      <c r="AD171" s="15"/>
      <c r="AE171" s="15"/>
      <c r="AF171" s="15">
        <v>10670.916219999999</v>
      </c>
      <c r="AG171" s="15">
        <v>5893.7776199999998</v>
      </c>
      <c r="AH171" s="15">
        <v>3711.38411</v>
      </c>
      <c r="AI171" s="15">
        <v>883.74755000000005</v>
      </c>
      <c r="AJ171" s="15">
        <v>3063.6522399999999</v>
      </c>
      <c r="AK171" s="15">
        <v>0</v>
      </c>
      <c r="AL171" s="15">
        <v>3972.4665399999999</v>
      </c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spans="2:50" ht="16" customHeight="1" x14ac:dyDescent="0.45">
      <c r="B172" s="14" t="s">
        <v>1436</v>
      </c>
      <c r="C172" s="14" t="s">
        <v>1437</v>
      </c>
      <c r="D172" s="61"/>
      <c r="E172" s="23">
        <v>0</v>
      </c>
      <c r="F172" s="63"/>
      <c r="G172" s="15"/>
      <c r="H172" s="15"/>
      <c r="I172" s="15"/>
      <c r="J172" s="15"/>
      <c r="K172" s="15">
        <v>0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>
        <v>0</v>
      </c>
      <c r="AI172" s="15"/>
      <c r="AJ172" s="15"/>
      <c r="AK172" s="15"/>
      <c r="AL172" s="15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spans="2:50" ht="16" customHeight="1" x14ac:dyDescent="0.45">
      <c r="B173" s="14" t="s">
        <v>1438</v>
      </c>
      <c r="C173" s="14" t="s">
        <v>1439</v>
      </c>
      <c r="D173" s="61"/>
      <c r="E173" s="23"/>
      <c r="F173" s="63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spans="2:50" ht="16" customHeight="1" x14ac:dyDescent="0.45">
      <c r="B174" s="14" t="s">
        <v>1440</v>
      </c>
      <c r="C174" s="14" t="s">
        <v>1441</v>
      </c>
      <c r="D174" s="61"/>
      <c r="E174" s="23">
        <v>271.86523</v>
      </c>
      <c r="F174" s="63"/>
      <c r="G174" s="15"/>
      <c r="H174" s="15">
        <v>0</v>
      </c>
      <c r="I174" s="15">
        <v>0</v>
      </c>
      <c r="J174" s="15">
        <v>0</v>
      </c>
      <c r="K174" s="15"/>
      <c r="L174" s="15"/>
      <c r="M174" s="15"/>
      <c r="N174" s="15">
        <v>0</v>
      </c>
      <c r="O174" s="15"/>
      <c r="P174" s="15"/>
      <c r="Q174" s="15"/>
      <c r="R174" s="15">
        <v>0</v>
      </c>
      <c r="S174" s="15">
        <v>115.01383</v>
      </c>
      <c r="T174" s="15">
        <v>6.9878799999999996</v>
      </c>
      <c r="U174" s="15"/>
      <c r="V174" s="15"/>
      <c r="W174" s="15"/>
      <c r="X174" s="15"/>
      <c r="Y174" s="15">
        <v>0</v>
      </c>
      <c r="Z174" s="15"/>
      <c r="AA174" s="15">
        <v>28.752189999999999</v>
      </c>
      <c r="AB174" s="15"/>
      <c r="AC174" s="15">
        <v>0</v>
      </c>
      <c r="AD174" s="15"/>
      <c r="AE174" s="15"/>
      <c r="AF174" s="15">
        <v>121.11133</v>
      </c>
      <c r="AG174" s="15">
        <v>0</v>
      </c>
      <c r="AH174" s="15">
        <v>0</v>
      </c>
      <c r="AI174" s="15"/>
      <c r="AJ174" s="15"/>
      <c r="AK174" s="15"/>
      <c r="AL174" s="15">
        <v>0</v>
      </c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spans="2:50" ht="16" customHeight="1" x14ac:dyDescent="0.45">
      <c r="B175" s="14" t="s">
        <v>1442</v>
      </c>
      <c r="C175" s="14" t="s">
        <v>1443</v>
      </c>
      <c r="D175" s="61"/>
      <c r="E175" s="23">
        <v>23482.328740000001</v>
      </c>
      <c r="F175" s="63"/>
      <c r="G175" s="15"/>
      <c r="H175" s="15">
        <v>135.44936999999999</v>
      </c>
      <c r="I175" s="15">
        <v>386.24867999999998</v>
      </c>
      <c r="J175" s="15">
        <v>249.97856999999999</v>
      </c>
      <c r="K175" s="15">
        <v>50</v>
      </c>
      <c r="L175" s="15">
        <v>585</v>
      </c>
      <c r="M175" s="15">
        <v>59.425960000000003</v>
      </c>
      <c r="N175" s="15">
        <v>417.74691000000001</v>
      </c>
      <c r="O175" s="15">
        <v>71.033619999999999</v>
      </c>
      <c r="P175" s="15"/>
      <c r="Q175" s="15"/>
      <c r="R175" s="15">
        <v>977.71142999999995</v>
      </c>
      <c r="S175" s="15">
        <v>589.11733000000004</v>
      </c>
      <c r="T175" s="15">
        <v>2110.6849299999999</v>
      </c>
      <c r="U175" s="15">
        <v>25.16656</v>
      </c>
      <c r="V175" s="15"/>
      <c r="W175" s="15">
        <v>71.53031</v>
      </c>
      <c r="X175" s="15"/>
      <c r="Y175" s="15">
        <v>222.67778000000001</v>
      </c>
      <c r="Z175" s="15"/>
      <c r="AA175" s="15">
        <v>861.36582999999996</v>
      </c>
      <c r="AB175" s="15"/>
      <c r="AC175" s="15">
        <v>107.09148999999999</v>
      </c>
      <c r="AD175" s="15"/>
      <c r="AE175" s="15"/>
      <c r="AF175" s="15">
        <v>630.4248</v>
      </c>
      <c r="AG175" s="15">
        <v>437.52742999999998</v>
      </c>
      <c r="AH175" s="15">
        <v>14609.301740000001</v>
      </c>
      <c r="AI175" s="15">
        <v>9.3442100000000003</v>
      </c>
      <c r="AJ175" s="15">
        <v>110.69345</v>
      </c>
      <c r="AK175" s="15"/>
      <c r="AL175" s="15">
        <v>764.80834000000004</v>
      </c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spans="2:50" ht="16" customHeight="1" x14ac:dyDescent="0.45">
      <c r="B176" s="14" t="s">
        <v>1444</v>
      </c>
      <c r="C176" s="14" t="s">
        <v>1445</v>
      </c>
      <c r="D176" s="61"/>
      <c r="E176" s="23"/>
      <c r="F176" s="63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spans="2:50" ht="16" customHeight="1" x14ac:dyDescent="0.45">
      <c r="B177" s="14" t="s">
        <v>1446</v>
      </c>
      <c r="C177" s="14" t="s">
        <v>1447</v>
      </c>
      <c r="D177" s="61"/>
      <c r="E177" s="23"/>
      <c r="F177" s="63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spans="2:50" ht="16" customHeight="1" x14ac:dyDescent="0.45">
      <c r="B178" s="14" t="s">
        <v>1448</v>
      </c>
      <c r="C178" s="14" t="s">
        <v>1449</v>
      </c>
      <c r="D178" s="61"/>
      <c r="E178" s="23"/>
      <c r="F178" s="63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spans="2:50" ht="16" customHeight="1" x14ac:dyDescent="0.45">
      <c r="B179" s="14" t="s">
        <v>669</v>
      </c>
      <c r="C179" s="14" t="s">
        <v>670</v>
      </c>
      <c r="D179" s="61"/>
      <c r="E179" s="23">
        <v>421525.28493999998</v>
      </c>
      <c r="F179" s="63"/>
      <c r="G179" s="15">
        <v>161819.12735</v>
      </c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>
        <v>0</v>
      </c>
      <c r="S179" s="15"/>
      <c r="T179" s="15">
        <v>0</v>
      </c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>
        <v>259706.15758999999</v>
      </c>
      <c r="AI179" s="15">
        <v>0</v>
      </c>
      <c r="AJ179" s="15">
        <v>0</v>
      </c>
      <c r="AK179" s="15">
        <v>0</v>
      </c>
      <c r="AL179" s="15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spans="2:50" ht="16" customHeight="1" x14ac:dyDescent="0.45">
      <c r="B180" s="14" t="s">
        <v>1450</v>
      </c>
      <c r="C180" s="14" t="s">
        <v>1451</v>
      </c>
      <c r="D180" s="61"/>
      <c r="E180" s="23">
        <v>0</v>
      </c>
      <c r="F180" s="63"/>
      <c r="G180" s="15"/>
      <c r="H180" s="15"/>
      <c r="I180" s="15">
        <v>0</v>
      </c>
      <c r="J180" s="15">
        <v>0</v>
      </c>
      <c r="K180" s="15">
        <v>0</v>
      </c>
      <c r="L180" s="15"/>
      <c r="M180" s="15"/>
      <c r="N180" s="15"/>
      <c r="O180" s="15"/>
      <c r="P180" s="15"/>
      <c r="Q180" s="15"/>
      <c r="R180" s="15">
        <v>0</v>
      </c>
      <c r="S180" s="15">
        <v>0</v>
      </c>
      <c r="T180" s="15">
        <v>0</v>
      </c>
      <c r="U180" s="15"/>
      <c r="V180" s="15"/>
      <c r="W180" s="15"/>
      <c r="X180" s="15"/>
      <c r="Y180" s="15">
        <v>0</v>
      </c>
      <c r="Z180" s="15"/>
      <c r="AA180" s="15">
        <v>0</v>
      </c>
      <c r="AB180" s="15"/>
      <c r="AC180" s="15"/>
      <c r="AD180" s="15"/>
      <c r="AE180" s="15">
        <v>0</v>
      </c>
      <c r="AF180" s="15">
        <v>0</v>
      </c>
      <c r="AG180" s="15">
        <v>0</v>
      </c>
      <c r="AH180" s="15">
        <v>0</v>
      </c>
      <c r="AI180" s="15"/>
      <c r="AJ180" s="15">
        <v>0</v>
      </c>
      <c r="AK180" s="15"/>
      <c r="AL180" s="15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spans="2:50" ht="16" customHeight="1" x14ac:dyDescent="0.45">
      <c r="B181" s="14" t="s">
        <v>674</v>
      </c>
      <c r="C181" s="14" t="s">
        <v>1452</v>
      </c>
      <c r="D181" s="61"/>
      <c r="E181" s="23">
        <v>81132.670899999997</v>
      </c>
      <c r="F181" s="63"/>
      <c r="G181" s="15"/>
      <c r="H181" s="15">
        <v>490.47507000000002</v>
      </c>
      <c r="I181" s="15">
        <v>3505.5684700000002</v>
      </c>
      <c r="J181" s="15">
        <v>3537.82294</v>
      </c>
      <c r="K181" s="15"/>
      <c r="L181" s="15">
        <v>225.60428999999999</v>
      </c>
      <c r="M181" s="15">
        <v>234.97018</v>
      </c>
      <c r="N181" s="15">
        <v>4355.2322199999999</v>
      </c>
      <c r="O181" s="15">
        <v>334.19650000000001</v>
      </c>
      <c r="P181" s="15"/>
      <c r="Q181" s="15"/>
      <c r="R181" s="15">
        <v>21338.676889999999</v>
      </c>
      <c r="S181" s="15">
        <v>5022.7389400000002</v>
      </c>
      <c r="T181" s="15">
        <v>11461.453729999999</v>
      </c>
      <c r="U181" s="15">
        <v>2.6474199999999999</v>
      </c>
      <c r="V181" s="15"/>
      <c r="W181" s="15">
        <v>4571.2284900000004</v>
      </c>
      <c r="X181" s="15">
        <v>1844.05269</v>
      </c>
      <c r="Y181" s="15">
        <v>1966.5670299999999</v>
      </c>
      <c r="Z181" s="15"/>
      <c r="AA181" s="15">
        <v>10604.09957</v>
      </c>
      <c r="AB181" s="15"/>
      <c r="AC181" s="15">
        <v>-2.4160000000000001E-2</v>
      </c>
      <c r="AD181" s="15"/>
      <c r="AE181" s="15"/>
      <c r="AF181" s="15">
        <v>4583.14761</v>
      </c>
      <c r="AG181" s="15">
        <v>3677.9027999999998</v>
      </c>
      <c r="AH181" s="15">
        <v>2.8519800000000002</v>
      </c>
      <c r="AI181" s="15"/>
      <c r="AJ181" s="15">
        <v>2611.9732600000002</v>
      </c>
      <c r="AK181" s="15">
        <v>0</v>
      </c>
      <c r="AL181" s="15">
        <v>761.48497999999995</v>
      </c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spans="2:50" ht="16" customHeight="1" x14ac:dyDescent="0.45">
      <c r="B182" s="14" t="s">
        <v>677</v>
      </c>
      <c r="C182" s="14" t="s">
        <v>678</v>
      </c>
      <c r="D182" s="61"/>
      <c r="E182" s="23">
        <v>-1.6670000000000001E-2</v>
      </c>
      <c r="F182" s="63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>
        <v>-1.6670000000000001E-2</v>
      </c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spans="2:50" ht="16" customHeight="1" x14ac:dyDescent="0.45">
      <c r="B183" s="14" t="s">
        <v>1453</v>
      </c>
      <c r="C183" s="14" t="s">
        <v>1454</v>
      </c>
      <c r="D183" s="61"/>
      <c r="E183" s="23">
        <v>1648906.52529</v>
      </c>
      <c r="F183" s="63"/>
      <c r="G183" s="15">
        <v>1633099.5997500001</v>
      </c>
      <c r="H183" s="15"/>
      <c r="I183" s="15"/>
      <c r="J183" s="15"/>
      <c r="K183" s="15">
        <v>1.9995400000000001</v>
      </c>
      <c r="L183" s="15"/>
      <c r="M183" s="15"/>
      <c r="N183" s="15"/>
      <c r="O183" s="15"/>
      <c r="P183" s="15"/>
      <c r="Q183" s="15"/>
      <c r="R183" s="15">
        <v>15510.1</v>
      </c>
      <c r="S183" s="15">
        <v>200</v>
      </c>
      <c r="T183" s="15"/>
      <c r="U183" s="15"/>
      <c r="V183" s="15">
        <v>0.1</v>
      </c>
      <c r="W183" s="15">
        <v>5</v>
      </c>
      <c r="X183" s="15"/>
      <c r="Y183" s="15"/>
      <c r="Z183" s="15">
        <v>50</v>
      </c>
      <c r="AA183" s="15">
        <v>30</v>
      </c>
      <c r="AB183" s="15"/>
      <c r="AC183" s="15">
        <v>3.1120000000000001</v>
      </c>
      <c r="AD183" s="15">
        <v>0.01</v>
      </c>
      <c r="AE183" s="15"/>
      <c r="AF183" s="15">
        <v>1</v>
      </c>
      <c r="AG183" s="15">
        <v>3</v>
      </c>
      <c r="AH183" s="15">
        <v>2.5</v>
      </c>
      <c r="AI183" s="15">
        <v>0.104</v>
      </c>
      <c r="AJ183" s="15"/>
      <c r="AK183" s="15"/>
      <c r="AL183" s="15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spans="2:50" ht="16" customHeight="1" x14ac:dyDescent="0.45">
      <c r="B184" s="14" t="s">
        <v>1455</v>
      </c>
      <c r="C184" s="14" t="s">
        <v>1456</v>
      </c>
      <c r="D184" s="61"/>
      <c r="E184" s="23">
        <v>-165.471</v>
      </c>
      <c r="F184" s="63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>
        <v>-0.1</v>
      </c>
      <c r="S184" s="15">
        <v>-130.9</v>
      </c>
      <c r="T184" s="15"/>
      <c r="U184" s="15"/>
      <c r="V184" s="15"/>
      <c r="W184" s="15"/>
      <c r="X184" s="15"/>
      <c r="Y184" s="15"/>
      <c r="Z184" s="15"/>
      <c r="AA184" s="15">
        <v>-29.972000000000001</v>
      </c>
      <c r="AB184" s="15"/>
      <c r="AC184" s="15"/>
      <c r="AD184" s="15">
        <v>-8.9999999999999993E-3</v>
      </c>
      <c r="AE184" s="15"/>
      <c r="AF184" s="15">
        <v>-0.99</v>
      </c>
      <c r="AG184" s="15">
        <v>-2</v>
      </c>
      <c r="AH184" s="15">
        <v>-1.5</v>
      </c>
      <c r="AI184" s="15"/>
      <c r="AJ184" s="15"/>
      <c r="AK184" s="15"/>
      <c r="AL184" s="15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spans="2:50" ht="16" customHeight="1" x14ac:dyDescent="0.45">
      <c r="B185" s="14" t="s">
        <v>688</v>
      </c>
      <c r="C185" s="14" t="s">
        <v>1457</v>
      </c>
      <c r="D185" s="61"/>
      <c r="E185" s="23">
        <v>3685079.8518400001</v>
      </c>
      <c r="F185" s="63"/>
      <c r="G185" s="15"/>
      <c r="H185" s="15"/>
      <c r="I185" s="15"/>
      <c r="J185" s="15"/>
      <c r="K185" s="15">
        <v>680748.45342000003</v>
      </c>
      <c r="L185" s="15"/>
      <c r="M185" s="15">
        <v>-206.40154999999999</v>
      </c>
      <c r="N185" s="15">
        <v>-7660.5259500000002</v>
      </c>
      <c r="O185" s="15"/>
      <c r="P185" s="15">
        <v>1E-3</v>
      </c>
      <c r="Q185" s="15"/>
      <c r="R185" s="15">
        <v>243967.75348000001</v>
      </c>
      <c r="S185" s="15">
        <v>79289.954079999996</v>
      </c>
      <c r="T185" s="15">
        <v>417855.61098</v>
      </c>
      <c r="U185" s="15"/>
      <c r="V185" s="15">
        <v>39845.773249999998</v>
      </c>
      <c r="W185" s="15">
        <v>73596.428159999996</v>
      </c>
      <c r="X185" s="15"/>
      <c r="Y185" s="15">
        <v>177700.28521</v>
      </c>
      <c r="Z185" s="15">
        <v>5681.7564499999999</v>
      </c>
      <c r="AA185" s="15">
        <v>225086.88665</v>
      </c>
      <c r="AB185" s="15"/>
      <c r="AC185" s="15">
        <v>175750.39786999999</v>
      </c>
      <c r="AD185" s="15"/>
      <c r="AE185" s="15"/>
      <c r="AF185" s="15">
        <v>135918.20551999999</v>
      </c>
      <c r="AG185" s="15">
        <v>134862.00886999999</v>
      </c>
      <c r="AH185" s="15">
        <v>1301603.1643999999</v>
      </c>
      <c r="AI185" s="15">
        <v>1040.0999999999999</v>
      </c>
      <c r="AJ185" s="15"/>
      <c r="AK185" s="15"/>
      <c r="AL185" s="15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spans="2:50" ht="16" customHeight="1" x14ac:dyDescent="0.45">
      <c r="B186" s="14" t="s">
        <v>691</v>
      </c>
      <c r="C186" s="14" t="s">
        <v>692</v>
      </c>
      <c r="D186" s="61"/>
      <c r="E186" s="23"/>
      <c r="F186" s="63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spans="2:50" ht="16" customHeight="1" x14ac:dyDescent="0.45">
      <c r="B187" s="14" t="s">
        <v>694</v>
      </c>
      <c r="C187" s="14" t="s">
        <v>695</v>
      </c>
      <c r="D187" s="61"/>
      <c r="E187" s="23">
        <v>371493.56202000001</v>
      </c>
      <c r="F187" s="63"/>
      <c r="G187" s="15">
        <v>370853.10074999998</v>
      </c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>
        <v>3.2918500000000002</v>
      </c>
      <c r="S187" s="15">
        <v>6.7859400000000001</v>
      </c>
      <c r="T187" s="15">
        <v>23.944590000000002</v>
      </c>
      <c r="U187" s="15"/>
      <c r="V187" s="15"/>
      <c r="W187" s="15"/>
      <c r="X187" s="15"/>
      <c r="Y187" s="15">
        <v>19.753830000000001</v>
      </c>
      <c r="Z187" s="15"/>
      <c r="AA187" s="15">
        <v>35.69491</v>
      </c>
      <c r="AB187" s="15"/>
      <c r="AC187" s="15"/>
      <c r="AD187" s="15"/>
      <c r="AE187" s="15"/>
      <c r="AF187" s="15">
        <v>22.42193</v>
      </c>
      <c r="AG187" s="15">
        <v>36.308340000000001</v>
      </c>
      <c r="AH187" s="15">
        <v>492.25988000000001</v>
      </c>
      <c r="AI187" s="15"/>
      <c r="AJ187" s="15"/>
      <c r="AK187" s="15"/>
      <c r="AL187" s="15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spans="2:50" ht="16" customHeight="1" x14ac:dyDescent="0.45">
      <c r="B188" s="14" t="s">
        <v>696</v>
      </c>
      <c r="C188" s="14" t="s">
        <v>1458</v>
      </c>
      <c r="D188" s="61"/>
      <c r="E188" s="23">
        <v>2460177.2947300002</v>
      </c>
      <c r="F188" s="63"/>
      <c r="G188" s="15">
        <v>2160122.8574999999</v>
      </c>
      <c r="H188" s="15">
        <v>-25479.252359999999</v>
      </c>
      <c r="I188" s="15">
        <v>1078764.66582</v>
      </c>
      <c r="J188" s="15">
        <v>467549.79141000001</v>
      </c>
      <c r="K188" s="15">
        <v>-489410.03684000002</v>
      </c>
      <c r="L188" s="15">
        <v>-9655.0861100000002</v>
      </c>
      <c r="M188" s="15">
        <v>-200934.98276000001</v>
      </c>
      <c r="N188" s="15">
        <v>-728792.89606000006</v>
      </c>
      <c r="O188" s="15">
        <v>-165242.87593000001</v>
      </c>
      <c r="P188" s="15">
        <v>-31985.275819999999</v>
      </c>
      <c r="Q188" s="15">
        <v>2120.9905800000001</v>
      </c>
      <c r="R188" s="15">
        <v>341285.42508000002</v>
      </c>
      <c r="S188" s="15">
        <v>-131982.86497</v>
      </c>
      <c r="T188" s="15">
        <v>249153.52374</v>
      </c>
      <c r="U188" s="15">
        <v>-17302.499500000002</v>
      </c>
      <c r="V188" s="15">
        <v>37903.7952</v>
      </c>
      <c r="W188" s="15">
        <v>-230656.89077</v>
      </c>
      <c r="X188" s="15">
        <v>-47447.630409999998</v>
      </c>
      <c r="Y188" s="15">
        <v>-306716.76150999998</v>
      </c>
      <c r="Z188" s="15">
        <v>-9167.1888199999994</v>
      </c>
      <c r="AA188" s="15">
        <v>-89211.174249999996</v>
      </c>
      <c r="AB188" s="15">
        <v>28301.74885</v>
      </c>
      <c r="AC188" s="15">
        <v>-72711.786850000004</v>
      </c>
      <c r="AD188" s="15">
        <v>2657.1550999999999</v>
      </c>
      <c r="AE188" s="15">
        <v>0</v>
      </c>
      <c r="AF188" s="15">
        <v>511606.79212</v>
      </c>
      <c r="AG188" s="15">
        <v>-201121.30851999999</v>
      </c>
      <c r="AH188" s="15">
        <v>326830.37857</v>
      </c>
      <c r="AI188" s="15">
        <v>42184.100350000001</v>
      </c>
      <c r="AJ188" s="15">
        <v>33472.079189999997</v>
      </c>
      <c r="AK188" s="15">
        <v>704</v>
      </c>
      <c r="AL188" s="15">
        <v>-64661.497300000003</v>
      </c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spans="2:50" ht="16" customHeight="1" x14ac:dyDescent="0.45">
      <c r="B189" s="14" t="s">
        <v>698</v>
      </c>
      <c r="C189" s="14" t="s">
        <v>1459</v>
      </c>
      <c r="D189" s="61"/>
      <c r="E189" s="23">
        <v>248658.30802</v>
      </c>
      <c r="F189" s="63"/>
      <c r="G189" s="15">
        <v>276202.84373000002</v>
      </c>
      <c r="H189" s="15">
        <v>3863.3878399999999</v>
      </c>
      <c r="I189" s="15">
        <v>64961.064019999998</v>
      </c>
      <c r="J189" s="15">
        <v>17288.797030000002</v>
      </c>
      <c r="K189" s="15">
        <v>-2419.4300600000001</v>
      </c>
      <c r="L189" s="15">
        <v>-2115.4290099999998</v>
      </c>
      <c r="M189" s="15">
        <v>-7578.74586</v>
      </c>
      <c r="N189" s="15">
        <v>-38366.307789999999</v>
      </c>
      <c r="O189" s="15">
        <v>-9235.3269799999998</v>
      </c>
      <c r="P189" s="15">
        <v>372.07623999999998</v>
      </c>
      <c r="Q189" s="15">
        <v>288.79043999999999</v>
      </c>
      <c r="R189" s="15">
        <v>-24036.962920000002</v>
      </c>
      <c r="S189" s="15">
        <v>2821.2858099999999</v>
      </c>
      <c r="T189" s="15">
        <v>5825.2465700000002</v>
      </c>
      <c r="U189" s="15">
        <v>-2080.8537299999998</v>
      </c>
      <c r="V189" s="15">
        <v>-93.162999999999997</v>
      </c>
      <c r="W189" s="15">
        <v>-14722.18685</v>
      </c>
      <c r="X189" s="15">
        <v>19.176359999999999</v>
      </c>
      <c r="Y189" s="15">
        <v>-6795.4649200000003</v>
      </c>
      <c r="Z189" s="15">
        <v>-84.230019999999996</v>
      </c>
      <c r="AA189" s="15">
        <v>-9811.5166700000009</v>
      </c>
      <c r="AB189" s="15">
        <v>32.761009999999999</v>
      </c>
      <c r="AC189" s="15">
        <v>-6981.6208800000004</v>
      </c>
      <c r="AD189" s="15">
        <v>43.06147</v>
      </c>
      <c r="AE189" s="15"/>
      <c r="AF189" s="15">
        <v>16362.102430000001</v>
      </c>
      <c r="AG189" s="15">
        <v>-273.29336000000001</v>
      </c>
      <c r="AH189" s="15">
        <v>-7951.3607599999996</v>
      </c>
      <c r="AI189" s="15">
        <v>-306.79660999999999</v>
      </c>
      <c r="AJ189" s="15">
        <v>-3283.9355399999999</v>
      </c>
      <c r="AK189" s="15"/>
      <c r="AL189" s="15">
        <v>-3285.6599700000002</v>
      </c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spans="2:50" ht="16" customHeight="1" x14ac:dyDescent="0.45">
      <c r="B190" s="14" t="s">
        <v>700</v>
      </c>
      <c r="C190" s="14" t="s">
        <v>1460</v>
      </c>
      <c r="D190" s="61"/>
      <c r="E190" s="23">
        <v>1624414</v>
      </c>
      <c r="F190" s="63"/>
      <c r="G190" s="15">
        <v>0</v>
      </c>
      <c r="H190" s="15"/>
      <c r="I190" s="15"/>
      <c r="J190" s="15"/>
      <c r="K190" s="15">
        <v>423164</v>
      </c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>
        <v>1201250</v>
      </c>
      <c r="AI190" s="15"/>
      <c r="AJ190" s="15"/>
      <c r="AK190" s="15"/>
      <c r="AL190" s="15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spans="2:50" ht="16" customHeight="1" x14ac:dyDescent="0.45">
      <c r="B191" s="14" t="s">
        <v>702</v>
      </c>
      <c r="C191" s="14" t="s">
        <v>1461</v>
      </c>
      <c r="D191" s="61"/>
      <c r="E191" s="23">
        <v>-134779</v>
      </c>
      <c r="F191" s="63"/>
      <c r="G191" s="15">
        <v>-134075</v>
      </c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>
        <v>-704</v>
      </c>
      <c r="AL191" s="15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spans="2:50" ht="16" customHeight="1" x14ac:dyDescent="0.45">
      <c r="B192" s="14" t="s">
        <v>704</v>
      </c>
      <c r="C192" s="14" t="s">
        <v>705</v>
      </c>
      <c r="D192" s="61"/>
      <c r="E192" s="23"/>
      <c r="F192" s="63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spans="2:50" ht="16" customHeight="1" x14ac:dyDescent="0.45">
      <c r="B193" s="14" t="s">
        <v>706</v>
      </c>
      <c r="C193" s="14" t="s">
        <v>1462</v>
      </c>
      <c r="D193" s="61"/>
      <c r="E193" s="23"/>
      <c r="F193" s="63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spans="2:50" ht="16" customHeight="1" x14ac:dyDescent="0.45">
      <c r="B194" s="14" t="s">
        <v>708</v>
      </c>
      <c r="C194" s="14" t="s">
        <v>709</v>
      </c>
      <c r="D194" s="61"/>
      <c r="E194" s="23"/>
      <c r="F194" s="63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spans="2:50" ht="16" customHeight="1" x14ac:dyDescent="0.45">
      <c r="B195" s="14" t="s">
        <v>710</v>
      </c>
      <c r="C195" s="14" t="s">
        <v>711</v>
      </c>
      <c r="D195" s="61"/>
      <c r="E195" s="23"/>
      <c r="F195" s="63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spans="2:50" ht="16" customHeight="1" x14ac:dyDescent="0.45">
      <c r="B196" s="14" t="s">
        <v>712</v>
      </c>
      <c r="C196" s="14" t="s">
        <v>713</v>
      </c>
      <c r="D196" s="61"/>
      <c r="E196" s="23"/>
      <c r="F196" s="63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spans="2:50" ht="16" customHeight="1" x14ac:dyDescent="0.45">
      <c r="B197" s="14" t="s">
        <v>714</v>
      </c>
      <c r="C197" s="14" t="s">
        <v>1463</v>
      </c>
      <c r="D197" s="61"/>
      <c r="E197" s="23">
        <v>0</v>
      </c>
      <c r="F197" s="63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>
        <v>0</v>
      </c>
      <c r="AL197" s="15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spans="2:50" ht="16" customHeight="1" x14ac:dyDescent="0.45">
      <c r="B198" s="14" t="s">
        <v>716</v>
      </c>
      <c r="C198" s="14" t="s">
        <v>1464</v>
      </c>
      <c r="D198" s="61"/>
      <c r="E198" s="23"/>
      <c r="F198" s="63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spans="2:50" ht="16" customHeight="1" x14ac:dyDescent="0.45">
      <c r="B199" s="14" t="s">
        <v>718</v>
      </c>
      <c r="C199" s="14" t="s">
        <v>1465</v>
      </c>
      <c r="D199" s="61"/>
      <c r="E199" s="23"/>
      <c r="F199" s="63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spans="2:50" ht="16" customHeight="1" x14ac:dyDescent="0.45">
      <c r="B200" s="14" t="s">
        <v>720</v>
      </c>
      <c r="C200" s="14" t="s">
        <v>721</v>
      </c>
      <c r="D200" s="61"/>
      <c r="E200" s="23">
        <v>7641.9060399999998</v>
      </c>
      <c r="F200" s="63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>
        <v>7641.9060399999998</v>
      </c>
      <c r="AI200" s="15"/>
      <c r="AJ200" s="15"/>
      <c r="AK200" s="15"/>
      <c r="AL200" s="15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spans="2:50" ht="16" customHeight="1" x14ac:dyDescent="0.45">
      <c r="B201" s="14" t="s">
        <v>722</v>
      </c>
      <c r="C201" s="14" t="s">
        <v>723</v>
      </c>
      <c r="D201" s="61"/>
      <c r="E201" s="23">
        <v>-1776.82339</v>
      </c>
      <c r="F201" s="63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>
        <v>-1776.82339</v>
      </c>
      <c r="AI201" s="15"/>
      <c r="AJ201" s="15"/>
      <c r="AK201" s="15"/>
      <c r="AL201" s="15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spans="2:50" ht="16" customHeight="1" x14ac:dyDescent="0.45">
      <c r="B202" s="14" t="s">
        <v>724</v>
      </c>
      <c r="C202" s="14" t="s">
        <v>1466</v>
      </c>
      <c r="D202" s="61"/>
      <c r="E202" s="23"/>
      <c r="F202" s="63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spans="2:50" ht="16" customHeight="1" x14ac:dyDescent="0.45">
      <c r="B203" s="14" t="s">
        <v>726</v>
      </c>
      <c r="C203" s="14" t="s">
        <v>727</v>
      </c>
      <c r="D203" s="61"/>
      <c r="E203" s="23"/>
      <c r="F203" s="63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spans="2:50" ht="16" customHeight="1" x14ac:dyDescent="0.45">
      <c r="B204" s="14" t="s">
        <v>728</v>
      </c>
      <c r="C204" s="14" t="s">
        <v>1467</v>
      </c>
      <c r="D204" s="61"/>
      <c r="E204" s="23"/>
      <c r="F204" s="63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spans="2:50" ht="16" customHeight="1" x14ac:dyDescent="0.45">
      <c r="B205" s="14" t="s">
        <v>730</v>
      </c>
      <c r="C205" s="14" t="s">
        <v>1468</v>
      </c>
      <c r="D205" s="61"/>
      <c r="E205" s="23"/>
      <c r="F205" s="63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spans="2:50" ht="16" customHeight="1" x14ac:dyDescent="0.45">
      <c r="B206" s="14" t="s">
        <v>732</v>
      </c>
      <c r="C206" s="14" t="s">
        <v>1469</v>
      </c>
      <c r="D206" s="61"/>
      <c r="E206" s="23">
        <v>-56843.540309999997</v>
      </c>
      <c r="F206" s="63"/>
      <c r="G206" s="15"/>
      <c r="H206" s="15">
        <v>33095.392549999997</v>
      </c>
      <c r="I206" s="15">
        <v>-301518.51815999998</v>
      </c>
      <c r="J206" s="15">
        <v>-108376.14032000001</v>
      </c>
      <c r="K206" s="15">
        <v>-198351.02506000001</v>
      </c>
      <c r="L206" s="15">
        <v>-5033.8044099999997</v>
      </c>
      <c r="M206" s="15">
        <v>147687.69962</v>
      </c>
      <c r="N206" s="15">
        <v>407375.95357999997</v>
      </c>
      <c r="O206" s="15">
        <v>137780.47575000001</v>
      </c>
      <c r="P206" s="15">
        <v>213647.66127000001</v>
      </c>
      <c r="Q206" s="15">
        <v>10868.87333</v>
      </c>
      <c r="R206" s="15">
        <v>59566.402119999999</v>
      </c>
      <c r="S206" s="15">
        <v>120023.88145</v>
      </c>
      <c r="T206" s="15">
        <v>-326519.51354999997</v>
      </c>
      <c r="U206" s="15">
        <v>2355.73351</v>
      </c>
      <c r="V206" s="15">
        <v>-66799.455470000001</v>
      </c>
      <c r="W206" s="15">
        <v>17974.321660000001</v>
      </c>
      <c r="X206" s="15">
        <v>45885.117180000001</v>
      </c>
      <c r="Y206" s="15">
        <v>228513.65815999999</v>
      </c>
      <c r="Z206" s="15">
        <v>4457.8361500000001</v>
      </c>
      <c r="AA206" s="15">
        <v>144937.81296000001</v>
      </c>
      <c r="AB206" s="15">
        <v>150.53720000000001</v>
      </c>
      <c r="AC206" s="15">
        <v>-189550.47175</v>
      </c>
      <c r="AD206" s="15">
        <v>-2028.3987299999999</v>
      </c>
      <c r="AE206" s="15"/>
      <c r="AF206" s="15">
        <v>-153779.24726</v>
      </c>
      <c r="AG206" s="15">
        <v>374212.44475000002</v>
      </c>
      <c r="AH206" s="15">
        <v>-634578.62113999994</v>
      </c>
      <c r="AI206" s="15">
        <v>-26767.877830000001</v>
      </c>
      <c r="AJ206" s="15">
        <v>-26141.99063</v>
      </c>
      <c r="AK206" s="15"/>
      <c r="AL206" s="15">
        <v>34067.722759999997</v>
      </c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spans="2:50" ht="16" customHeight="1" x14ac:dyDescent="0.45">
      <c r="B207" s="14" t="s">
        <v>734</v>
      </c>
      <c r="C207" s="14" t="s">
        <v>1470</v>
      </c>
      <c r="D207" s="61"/>
      <c r="E207" s="23"/>
      <c r="F207" s="63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spans="2:50" ht="16" customHeight="1" x14ac:dyDescent="0.45">
      <c r="B208" s="14" t="s">
        <v>736</v>
      </c>
      <c r="C208" s="14" t="s">
        <v>1471</v>
      </c>
      <c r="D208" s="61"/>
      <c r="E208" s="23"/>
      <c r="F208" s="63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spans="2:50" ht="16" customHeight="1" x14ac:dyDescent="0.45">
      <c r="B209" s="14" t="s">
        <v>1472</v>
      </c>
      <c r="C209" s="14" t="s">
        <v>1473</v>
      </c>
      <c r="D209" s="61"/>
      <c r="E209" s="23"/>
      <c r="F209" s="63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spans="2:50" ht="16" customHeight="1" x14ac:dyDescent="0.45">
      <c r="B210" s="14" t="s">
        <v>1474</v>
      </c>
      <c r="C210" s="14" t="s">
        <v>1475</v>
      </c>
      <c r="D210" s="61"/>
      <c r="E210" s="23"/>
      <c r="F210" s="63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spans="2:50" ht="16" customHeight="1" x14ac:dyDescent="0.45">
      <c r="B211" s="14" t="s">
        <v>1476</v>
      </c>
      <c r="C211" s="14" t="s">
        <v>1477</v>
      </c>
      <c r="D211" s="61"/>
      <c r="E211" s="23"/>
      <c r="F211" s="63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spans="2:50" ht="16" customHeight="1" x14ac:dyDescent="0.45">
      <c r="B212" s="14" t="s">
        <v>1478</v>
      </c>
      <c r="C212" s="14" t="s">
        <v>1479</v>
      </c>
      <c r="D212" s="61"/>
      <c r="E212" s="23"/>
      <c r="F212" s="63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spans="2:50" ht="16" customHeight="1" x14ac:dyDescent="0.45">
      <c r="B213" s="14" t="s">
        <v>1480</v>
      </c>
      <c r="C213" s="14" t="s">
        <v>1481</v>
      </c>
      <c r="D213" s="61"/>
      <c r="E213" s="23"/>
      <c r="F213" s="63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spans="2:50" ht="16" customHeight="1" x14ac:dyDescent="0.45">
      <c r="B214" s="14" t="s">
        <v>1482</v>
      </c>
      <c r="C214" s="14" t="s">
        <v>1483</v>
      </c>
      <c r="D214" s="61"/>
      <c r="E214" s="23"/>
      <c r="F214" s="63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spans="2:50" ht="16" customHeight="1" x14ac:dyDescent="0.45">
      <c r="B215" s="14" t="s">
        <v>1484</v>
      </c>
      <c r="C215" s="14" t="s">
        <v>1485</v>
      </c>
      <c r="D215" s="61"/>
      <c r="E215" s="23"/>
      <c r="F215" s="63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spans="2:50" ht="16" customHeight="1" x14ac:dyDescent="0.45">
      <c r="B216" s="14" t="s">
        <v>1486</v>
      </c>
      <c r="C216" s="14" t="s">
        <v>1487</v>
      </c>
      <c r="D216" s="61"/>
      <c r="E216" s="23"/>
      <c r="F216" s="63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spans="2:50" ht="16" customHeight="1" x14ac:dyDescent="0.45">
      <c r="B217" s="34" t="s">
        <v>746</v>
      </c>
      <c r="C217" s="34" t="s">
        <v>1488</v>
      </c>
      <c r="D217" s="69"/>
      <c r="E217" s="77">
        <v>14118181.191059999</v>
      </c>
      <c r="F217" s="78"/>
      <c r="G217" s="35">
        <v>5889735.2708000001</v>
      </c>
      <c r="H217" s="35">
        <v>155322.72958000001</v>
      </c>
      <c r="I217" s="35">
        <v>164460.74771</v>
      </c>
      <c r="J217" s="35">
        <v>125107.92200999999</v>
      </c>
      <c r="K217" s="35">
        <v>426357.63166999997</v>
      </c>
      <c r="L217" s="35">
        <v>1783.17644</v>
      </c>
      <c r="M217" s="35">
        <v>29173.459159999999</v>
      </c>
      <c r="N217" s="35">
        <v>86778.264800000004</v>
      </c>
      <c r="O217" s="35">
        <v>5118.7865300000003</v>
      </c>
      <c r="P217" s="35">
        <v>216394.31547999999</v>
      </c>
      <c r="Q217" s="35">
        <v>7.2730000000000003E-2</v>
      </c>
      <c r="R217" s="35">
        <v>835676.93550999998</v>
      </c>
      <c r="S217" s="35">
        <v>106930.34652000001</v>
      </c>
      <c r="T217" s="35">
        <v>457659.65804000001</v>
      </c>
      <c r="U217" s="35">
        <v>6092.4162800000004</v>
      </c>
      <c r="V217" s="35">
        <v>11087.98422</v>
      </c>
      <c r="W217" s="35">
        <v>57738.279410000003</v>
      </c>
      <c r="X217" s="35">
        <v>2634.6657599999999</v>
      </c>
      <c r="Y217" s="35">
        <v>141194.60078000001</v>
      </c>
      <c r="Z217" s="35">
        <v>332.92975000000001</v>
      </c>
      <c r="AA217" s="35">
        <v>363781.75053999998</v>
      </c>
      <c r="AB217" s="35">
        <v>46953.360280000001</v>
      </c>
      <c r="AC217" s="35">
        <v>9408.7715200000002</v>
      </c>
      <c r="AD217" s="35">
        <v>0</v>
      </c>
      <c r="AE217" s="35">
        <v>0</v>
      </c>
      <c r="AF217" s="35">
        <v>381673.64598999999</v>
      </c>
      <c r="AG217" s="35">
        <v>310782.24316000001</v>
      </c>
      <c r="AH217" s="35">
        <v>3853496.8027599999</v>
      </c>
      <c r="AI217" s="35">
        <v>71706.664980000001</v>
      </c>
      <c r="AJ217" s="35">
        <v>318165.82764999999</v>
      </c>
      <c r="AK217" s="35">
        <v>0</v>
      </c>
      <c r="AL217" s="35">
        <v>42631.930999999997</v>
      </c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spans="2:50" ht="16" customHeight="1" x14ac:dyDescent="0.45">
      <c r="B218" s="10"/>
      <c r="C218" s="11"/>
      <c r="D218" s="29"/>
      <c r="E218" s="2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spans="2:50" ht="16" customHeight="1" x14ac:dyDescent="0.45">
      <c r="B219" s="42"/>
      <c r="C219" s="14"/>
      <c r="D219" s="61"/>
      <c r="E219" s="23">
        <f>E120-E217</f>
        <v>-9.9986791610717773E-6</v>
      </c>
      <c r="F219" s="63"/>
      <c r="G219" s="15">
        <f t="shared" ref="G219:AL219" si="0">G120-G217</f>
        <v>0</v>
      </c>
      <c r="H219" s="15">
        <f t="shared" si="0"/>
        <v>0</v>
      </c>
      <c r="I219" s="15">
        <f t="shared" si="0"/>
        <v>0</v>
      </c>
      <c r="J219" s="15">
        <f t="shared" si="0"/>
        <v>0</v>
      </c>
      <c r="K219" s="15">
        <f t="shared" si="0"/>
        <v>0</v>
      </c>
      <c r="L219" s="15">
        <f t="shared" si="0"/>
        <v>0</v>
      </c>
      <c r="M219" s="15">
        <f t="shared" si="0"/>
        <v>0</v>
      </c>
      <c r="N219" s="15">
        <f t="shared" si="0"/>
        <v>1.9999992218799889E-5</v>
      </c>
      <c r="O219" s="15">
        <f t="shared" si="0"/>
        <v>0</v>
      </c>
      <c r="P219" s="15">
        <f t="shared" si="0"/>
        <v>0</v>
      </c>
      <c r="Q219" s="15">
        <f t="shared" si="0"/>
        <v>0</v>
      </c>
      <c r="R219" s="15">
        <f t="shared" si="0"/>
        <v>0</v>
      </c>
      <c r="S219" s="15">
        <f t="shared" si="0"/>
        <v>-3.0000010156072676E-5</v>
      </c>
      <c r="T219" s="15">
        <f t="shared" si="0"/>
        <v>0</v>
      </c>
      <c r="U219" s="15">
        <f t="shared" si="0"/>
        <v>0</v>
      </c>
      <c r="V219" s="15">
        <f t="shared" si="0"/>
        <v>0</v>
      </c>
      <c r="W219" s="15">
        <f t="shared" si="0"/>
        <v>0</v>
      </c>
      <c r="X219" s="15">
        <f t="shared" si="0"/>
        <v>0</v>
      </c>
      <c r="Y219" s="15">
        <f t="shared" si="0"/>
        <v>0</v>
      </c>
      <c r="Z219" s="15">
        <f t="shared" si="0"/>
        <v>0</v>
      </c>
      <c r="AA219" s="15">
        <f t="shared" si="0"/>
        <v>0</v>
      </c>
      <c r="AB219" s="15">
        <f t="shared" si="0"/>
        <v>0</v>
      </c>
      <c r="AC219" s="15">
        <f t="shared" si="0"/>
        <v>0</v>
      </c>
      <c r="AD219" s="15">
        <f t="shared" si="0"/>
        <v>0</v>
      </c>
      <c r="AE219" s="15">
        <f t="shared" si="0"/>
        <v>0</v>
      </c>
      <c r="AF219" s="15">
        <f t="shared" si="0"/>
        <v>0</v>
      </c>
      <c r="AG219" s="15">
        <f t="shared" si="0"/>
        <v>0</v>
      </c>
      <c r="AH219" s="15">
        <f t="shared" si="0"/>
        <v>-1.0000076144933701E-5</v>
      </c>
      <c r="AI219" s="15">
        <f t="shared" si="0"/>
        <v>0</v>
      </c>
      <c r="AJ219" s="15">
        <f t="shared" si="0"/>
        <v>0</v>
      </c>
      <c r="AK219" s="15">
        <f t="shared" si="0"/>
        <v>0</v>
      </c>
      <c r="AL219" s="15">
        <f t="shared" si="0"/>
        <v>1.0000003385357559E-5</v>
      </c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spans="2:50" ht="16" customHeight="1" x14ac:dyDescent="0.45">
      <c r="B220" s="13"/>
      <c r="C220" s="9"/>
      <c r="D220" s="9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spans="2:50" ht="16" customHeight="1" x14ac:dyDescent="0.45">
      <c r="B221" s="13"/>
      <c r="C221" s="9"/>
      <c r="D221" s="9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spans="2:50" ht="16" customHeight="1" x14ac:dyDescent="0.45">
      <c r="B222" s="13"/>
      <c r="C222" s="9"/>
      <c r="D222" s="9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spans="2:50" ht="16" customHeight="1" x14ac:dyDescent="0.45">
      <c r="B223" s="13"/>
      <c r="C223" s="9"/>
      <c r="D223" s="9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spans="2:50" ht="16" customHeight="1" x14ac:dyDescent="0.45">
      <c r="B224" s="13"/>
      <c r="C224" s="9"/>
      <c r="D224" s="9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spans="2:19" ht="16" customHeight="1" x14ac:dyDescent="0.45">
      <c r="B225" s="13"/>
      <c r="C225" s="9"/>
      <c r="D225" s="9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spans="2:19" ht="16" customHeight="1" x14ac:dyDescent="0.45">
      <c r="B226" s="13"/>
      <c r="C226" s="9"/>
      <c r="D226" s="9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spans="2:19" ht="16" customHeight="1" x14ac:dyDescent="0.45">
      <c r="B227" s="13"/>
      <c r="C227" s="9"/>
      <c r="D227" s="9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spans="2:19" ht="16" customHeight="1" x14ac:dyDescent="0.45">
      <c r="B228" s="13"/>
      <c r="C228" s="9"/>
      <c r="D228" s="9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spans="2:19" ht="16" customHeight="1" x14ac:dyDescent="0.45">
      <c r="B229" s="13"/>
      <c r="C229" s="9"/>
      <c r="D229" s="9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spans="2:19" ht="16" customHeight="1" x14ac:dyDescent="0.45">
      <c r="B230" s="13"/>
      <c r="C230" s="9"/>
      <c r="D230" s="9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spans="2:19" ht="16" customHeight="1" x14ac:dyDescent="0.45">
      <c r="B231" s="13"/>
      <c r="C231" s="9"/>
      <c r="D231" s="9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spans="2:19" ht="16" customHeight="1" x14ac:dyDescent="0.45">
      <c r="B232" s="13"/>
      <c r="C232" s="9"/>
      <c r="D232" s="9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spans="2:19" ht="16" customHeight="1" x14ac:dyDescent="0.45">
      <c r="B233" s="13"/>
      <c r="C233" s="9"/>
      <c r="D233" s="9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spans="2:19" ht="16" customHeight="1" x14ac:dyDescent="0.45">
      <c r="B234" s="13"/>
      <c r="C234" s="9"/>
      <c r="D234" s="9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spans="2:19" ht="16" customHeight="1" x14ac:dyDescent="0.45">
      <c r="B235" s="13"/>
      <c r="C235" s="9"/>
      <c r="D235" s="9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spans="2:19" ht="16" customHeight="1" x14ac:dyDescent="0.45">
      <c r="B236" s="13"/>
      <c r="C236" s="9"/>
      <c r="D236" s="9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spans="2:19" ht="16" customHeight="1" x14ac:dyDescent="0.45">
      <c r="B237" s="13"/>
      <c r="C237" s="9"/>
      <c r="D237" s="9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spans="2:19" ht="16" customHeight="1" x14ac:dyDescent="0.45">
      <c r="B238" s="13"/>
      <c r="C238" s="9"/>
      <c r="D238" s="9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spans="2:19" ht="16" customHeight="1" x14ac:dyDescent="0.45">
      <c r="B239" s="13"/>
      <c r="C239" s="9"/>
      <c r="D239" s="9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spans="2:19" ht="16" customHeight="1" x14ac:dyDescent="0.45">
      <c r="B240" s="13"/>
      <c r="C240" s="9"/>
      <c r="D240" s="9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spans="2:19" ht="16" customHeight="1" x14ac:dyDescent="0.45">
      <c r="B241" s="13"/>
      <c r="C241" s="9"/>
      <c r="D241" s="9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spans="2:19" ht="16" customHeight="1" x14ac:dyDescent="0.45">
      <c r="B242" s="13"/>
      <c r="C242" s="9"/>
      <c r="D242" s="9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spans="2:19" ht="16" customHeight="1" x14ac:dyDescent="0.45">
      <c r="B243" s="13"/>
      <c r="C243" s="9"/>
      <c r="D243" s="9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spans="2:19" ht="16" customHeight="1" x14ac:dyDescent="0.45">
      <c r="B244" s="13"/>
      <c r="C244" s="9"/>
      <c r="D244" s="9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spans="2:19" ht="16" customHeight="1" x14ac:dyDescent="0.45">
      <c r="B245" s="13"/>
      <c r="C245" s="9"/>
      <c r="D245" s="9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spans="2:19" ht="16" customHeight="1" x14ac:dyDescent="0.45">
      <c r="B246" s="13"/>
      <c r="C246" s="9"/>
      <c r="D246" s="9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spans="2:19" ht="16" customHeight="1" x14ac:dyDescent="0.45">
      <c r="B247" s="13"/>
      <c r="C247" s="9"/>
      <c r="D247" s="9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spans="2:19" ht="16" customHeight="1" x14ac:dyDescent="0.45">
      <c r="B248" s="13"/>
      <c r="C248" s="9"/>
      <c r="D248" s="9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spans="2:19" ht="16" customHeight="1" x14ac:dyDescent="0.45">
      <c r="B249" s="13"/>
      <c r="C249" s="9"/>
      <c r="D249" s="9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spans="2:19" ht="16" customHeight="1" x14ac:dyDescent="0.45">
      <c r="B250" s="13"/>
      <c r="C250" s="9"/>
      <c r="D250" s="9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spans="2:19" ht="16" customHeight="1" x14ac:dyDescent="0.45">
      <c r="B251" s="13"/>
      <c r="C251" s="9"/>
      <c r="D251" s="9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spans="2:19" ht="16" customHeight="1" x14ac:dyDescent="0.45">
      <c r="B252" s="13"/>
      <c r="C252" s="9"/>
      <c r="D252" s="9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spans="2:19" ht="16" customHeight="1" x14ac:dyDescent="0.45">
      <c r="B253" s="13"/>
      <c r="C253" s="9"/>
      <c r="D253" s="9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spans="2:19" ht="16" customHeight="1" x14ac:dyDescent="0.45">
      <c r="B254" s="13"/>
      <c r="C254" s="9"/>
      <c r="D254" s="9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spans="2:19" ht="16" customHeight="1" x14ac:dyDescent="0.45">
      <c r="B255" s="13"/>
      <c r="C255" s="9"/>
      <c r="D255" s="9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spans="2:19" ht="16" customHeight="1" x14ac:dyDescent="0.45">
      <c r="B256" s="13"/>
      <c r="C256" s="9"/>
      <c r="D256" s="9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spans="2:19" ht="16" customHeight="1" x14ac:dyDescent="0.45">
      <c r="B257" s="13"/>
      <c r="C257" s="9"/>
      <c r="D257" s="9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spans="2:19" ht="16" customHeight="1" x14ac:dyDescent="0.45">
      <c r="B258" s="13"/>
      <c r="C258" s="9"/>
      <c r="D258" s="9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spans="2:19" ht="16" customHeight="1" x14ac:dyDescent="0.45">
      <c r="B259" s="13"/>
      <c r="C259" s="9"/>
      <c r="D259" s="9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spans="2:19" ht="16" customHeight="1" x14ac:dyDescent="0.45">
      <c r="B260" s="13"/>
      <c r="C260" s="9"/>
      <c r="D260" s="9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spans="2:19" ht="16" customHeight="1" x14ac:dyDescent="0.45">
      <c r="B261" s="13"/>
      <c r="C261" s="9"/>
      <c r="D261" s="9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spans="2:19" ht="16" customHeight="1" x14ac:dyDescent="0.45">
      <c r="B262" s="13"/>
      <c r="C262" s="9"/>
      <c r="D262" s="9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spans="2:19" ht="16" customHeight="1" x14ac:dyDescent="0.45">
      <c r="B263" s="13"/>
      <c r="C263" s="9"/>
      <c r="D263" s="9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spans="2:19" ht="16" customHeight="1" x14ac:dyDescent="0.45">
      <c r="B264" s="13"/>
      <c r="C264" s="9"/>
      <c r="D264" s="9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spans="2:19" ht="16" customHeight="1" x14ac:dyDescent="0.45">
      <c r="B265" s="13"/>
      <c r="C265" s="9"/>
      <c r="D265" s="9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spans="2:19" ht="16" customHeight="1" x14ac:dyDescent="0.45">
      <c r="B266" s="13"/>
      <c r="C266" s="9"/>
      <c r="D266" s="9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spans="2:19" ht="16" customHeight="1" x14ac:dyDescent="0.45">
      <c r="B267" s="13"/>
      <c r="C267" s="9"/>
      <c r="D267" s="9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spans="2:19" ht="16" customHeight="1" x14ac:dyDescent="0.45">
      <c r="B268" s="13"/>
      <c r="C268" s="9"/>
      <c r="D268" s="9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spans="2:19" ht="16" customHeight="1" x14ac:dyDescent="0.45">
      <c r="B269" s="13"/>
      <c r="C269" s="9"/>
      <c r="D269" s="9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spans="2:19" ht="16" customHeight="1" x14ac:dyDescent="0.45">
      <c r="B270" s="13"/>
      <c r="C270" s="9"/>
      <c r="D270" s="9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spans="2:19" ht="16" customHeight="1" x14ac:dyDescent="0.45">
      <c r="B271" s="13"/>
      <c r="C271" s="9"/>
      <c r="D271" s="9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spans="2:19" ht="16" customHeight="1" x14ac:dyDescent="0.45">
      <c r="B272" s="13"/>
      <c r="C272" s="9"/>
      <c r="D272" s="9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spans="2:19" ht="16" customHeight="1" x14ac:dyDescent="0.45">
      <c r="B273" s="13"/>
      <c r="C273" s="9"/>
      <c r="D273" s="9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spans="2:19" ht="16" customHeight="1" x14ac:dyDescent="0.45">
      <c r="B274" s="13"/>
      <c r="C274" s="9"/>
      <c r="D274" s="9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spans="2:19" ht="16" customHeight="1" x14ac:dyDescent="0.45">
      <c r="B275" s="13"/>
      <c r="C275" s="9"/>
      <c r="D275" s="9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spans="2:19" ht="16" customHeight="1" x14ac:dyDescent="0.45">
      <c r="B276" s="13"/>
      <c r="C276" s="9"/>
      <c r="D276" s="9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spans="2:19" ht="16" customHeight="1" x14ac:dyDescent="0.45">
      <c r="B277" s="13"/>
      <c r="C277" s="9"/>
      <c r="D277" s="9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spans="2:19" ht="16" customHeight="1" x14ac:dyDescent="0.45">
      <c r="B278" s="13"/>
      <c r="C278" s="9"/>
      <c r="D278" s="9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spans="2:19" ht="16" customHeight="1" x14ac:dyDescent="0.45">
      <c r="B279" s="13"/>
      <c r="C279" s="9"/>
      <c r="D279" s="9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spans="2:19" ht="16" customHeight="1" x14ac:dyDescent="0.45">
      <c r="B280" s="13"/>
      <c r="C280" s="9"/>
      <c r="D280" s="9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spans="2:19" ht="16" customHeight="1" x14ac:dyDescent="0.45">
      <c r="B281" s="13"/>
      <c r="C281" s="9"/>
      <c r="D281" s="9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spans="2:19" ht="16" customHeight="1" x14ac:dyDescent="0.45">
      <c r="B282" s="13"/>
      <c r="C282" s="9"/>
      <c r="D282" s="9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spans="2:19" ht="16" customHeight="1" x14ac:dyDescent="0.45">
      <c r="B283" s="13"/>
      <c r="C283" s="9"/>
      <c r="D283" s="9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spans="2:19" ht="16" customHeight="1" x14ac:dyDescent="0.45">
      <c r="B284" s="13"/>
      <c r="C284" s="9"/>
      <c r="D284" s="9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spans="2:19" ht="16" customHeight="1" x14ac:dyDescent="0.45">
      <c r="B285" s="13"/>
      <c r="C285" s="9"/>
      <c r="D285" s="9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spans="2:19" ht="16" customHeight="1" x14ac:dyDescent="0.45">
      <c r="B286" s="13"/>
      <c r="C286" s="9"/>
      <c r="D286" s="9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spans="2:19" ht="16" customHeight="1" x14ac:dyDescent="0.45">
      <c r="B287" s="13"/>
      <c r="C287" s="9"/>
      <c r="D287" s="9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spans="2:19" ht="16" customHeight="1" x14ac:dyDescent="0.45">
      <c r="B288" s="13"/>
      <c r="C288" s="9"/>
      <c r="D288" s="9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spans="2:19" ht="16" customHeight="1" x14ac:dyDescent="0.45">
      <c r="B289" s="13"/>
      <c r="C289" s="9"/>
      <c r="D289" s="9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spans="2:19" ht="16" customHeight="1" x14ac:dyDescent="0.45">
      <c r="B290" s="13"/>
      <c r="C290" s="9"/>
      <c r="D290" s="9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spans="2:19" ht="16" customHeight="1" x14ac:dyDescent="0.45">
      <c r="B291" s="13"/>
      <c r="C291" s="9"/>
      <c r="D291" s="9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spans="2:19" ht="16" customHeight="1" x14ac:dyDescent="0.45">
      <c r="B292" s="13"/>
      <c r="C292" s="9"/>
      <c r="D292" s="9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spans="2:19" ht="16" customHeight="1" x14ac:dyDescent="0.45">
      <c r="B293" s="13"/>
      <c r="C293" s="9"/>
      <c r="D293" s="9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spans="2:19" ht="16" customHeight="1" x14ac:dyDescent="0.45">
      <c r="B294" s="13"/>
      <c r="C294" s="9"/>
      <c r="D294" s="9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spans="2:19" ht="16" customHeight="1" x14ac:dyDescent="0.45">
      <c r="B295" s="13"/>
      <c r="C295" s="9"/>
      <c r="D295" s="9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spans="2:19" ht="16" customHeight="1" x14ac:dyDescent="0.45">
      <c r="B296" s="13"/>
      <c r="C296" s="9"/>
      <c r="D296" s="9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spans="2:19" ht="16" customHeight="1" x14ac:dyDescent="0.45">
      <c r="B297" s="13"/>
      <c r="C297" s="9"/>
      <c r="D297" s="9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spans="2:19" ht="16" customHeight="1" x14ac:dyDescent="0.45">
      <c r="B298" s="13"/>
      <c r="C298" s="9"/>
      <c r="D298" s="9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spans="2:19" ht="16" customHeight="1" x14ac:dyDescent="0.45">
      <c r="B299" s="13"/>
      <c r="C299" s="9"/>
      <c r="D299" s="9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spans="2:19" ht="16" customHeight="1" x14ac:dyDescent="0.45">
      <c r="B300" s="13"/>
      <c r="C300" s="9"/>
      <c r="D300" s="9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spans="2:19" ht="16" customHeight="1" x14ac:dyDescent="0.45">
      <c r="B301" s="13"/>
      <c r="C301" s="9"/>
      <c r="D301" s="9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spans="2:19" ht="16" customHeight="1" x14ac:dyDescent="0.45">
      <c r="B302" s="13"/>
      <c r="C302" s="9"/>
      <c r="D302" s="9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spans="2:19" ht="16" customHeight="1" x14ac:dyDescent="0.45">
      <c r="B303" s="13"/>
      <c r="C303" s="9"/>
      <c r="D303" s="9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spans="2:19" ht="16" customHeight="1" x14ac:dyDescent="0.45">
      <c r="B304" s="13"/>
      <c r="C304" s="9"/>
      <c r="D304" s="9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spans="2:19" ht="16" customHeight="1" x14ac:dyDescent="0.45">
      <c r="B305" s="13"/>
      <c r="C305" s="9"/>
      <c r="D305" s="9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spans="2:19" ht="16" customHeight="1" x14ac:dyDescent="0.45">
      <c r="B306" s="13"/>
      <c r="C306" s="9"/>
      <c r="D306" s="9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spans="2:19" ht="16" customHeight="1" x14ac:dyDescent="0.45">
      <c r="B307" s="13"/>
      <c r="C307" s="9"/>
      <c r="D307" s="9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spans="2:19" ht="16" customHeight="1" x14ac:dyDescent="0.45">
      <c r="B308" s="13"/>
      <c r="C308" s="9"/>
      <c r="D308" s="9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spans="2:19" ht="16" customHeight="1" x14ac:dyDescent="0.45">
      <c r="B309" s="13"/>
      <c r="C309" s="9"/>
      <c r="D309" s="9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spans="2:19" ht="16" customHeight="1" x14ac:dyDescent="0.45">
      <c r="B310" s="13"/>
      <c r="C310" s="9"/>
      <c r="D310" s="9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spans="2:19" ht="16" customHeight="1" x14ac:dyDescent="0.45">
      <c r="B311" s="13"/>
      <c r="C311" s="9"/>
      <c r="D311" s="9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spans="2:19" ht="16" customHeight="1" x14ac:dyDescent="0.45">
      <c r="B312" s="13"/>
      <c r="C312" s="9"/>
      <c r="D312" s="9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spans="2:19" ht="16" customHeight="1" x14ac:dyDescent="0.45">
      <c r="B313" s="13"/>
      <c r="C313" s="9"/>
      <c r="D313" s="9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spans="2:19" ht="16" customHeight="1" x14ac:dyDescent="0.45">
      <c r="B314" s="13"/>
      <c r="C314" s="9"/>
      <c r="D314" s="9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spans="2:19" ht="16" customHeight="1" x14ac:dyDescent="0.45">
      <c r="B315" s="13"/>
      <c r="C315" s="9"/>
      <c r="D315" s="9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spans="2:19" ht="16" customHeight="1" x14ac:dyDescent="0.45">
      <c r="B316" s="13"/>
      <c r="C316" s="9"/>
      <c r="D316" s="9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spans="2:19" ht="16" customHeight="1" x14ac:dyDescent="0.45">
      <c r="B317" s="13"/>
      <c r="C317" s="9"/>
      <c r="D317" s="9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spans="2:19" ht="16" customHeight="1" x14ac:dyDescent="0.45">
      <c r="B318" s="13"/>
      <c r="C318" s="9"/>
      <c r="D318" s="9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spans="2:19" ht="16" customHeight="1" x14ac:dyDescent="0.45">
      <c r="B319" s="13"/>
      <c r="C319" s="9"/>
      <c r="D319" s="9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spans="2:19" ht="16" customHeight="1" x14ac:dyDescent="0.45">
      <c r="B320" s="13"/>
      <c r="C320" s="9"/>
      <c r="D320" s="9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spans="2:19" ht="16" customHeight="1" x14ac:dyDescent="0.45">
      <c r="B321" s="13"/>
      <c r="C321" s="9"/>
      <c r="D321" s="9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spans="2:19" ht="16" customHeight="1" x14ac:dyDescent="0.45">
      <c r="B322" s="13"/>
      <c r="C322" s="9"/>
      <c r="D322" s="9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spans="2:19" ht="16" customHeight="1" x14ac:dyDescent="0.45">
      <c r="B323" s="13"/>
      <c r="C323" s="9"/>
      <c r="D323" s="9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spans="2:19" ht="16" customHeight="1" x14ac:dyDescent="0.45">
      <c r="B324" s="13"/>
      <c r="C324" s="9"/>
      <c r="D324" s="9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spans="2:19" ht="16" customHeight="1" x14ac:dyDescent="0.45">
      <c r="B325" s="13"/>
      <c r="C325" s="9"/>
      <c r="D325" s="9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spans="2:19" ht="16" customHeight="1" x14ac:dyDescent="0.45">
      <c r="B326" s="13"/>
      <c r="C326" s="9"/>
      <c r="D326" s="9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spans="2:19" ht="16" customHeight="1" x14ac:dyDescent="0.45">
      <c r="B327" s="13"/>
      <c r="C327" s="9"/>
      <c r="D327" s="9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spans="2:19" ht="16" customHeight="1" x14ac:dyDescent="0.45">
      <c r="B328" s="13"/>
      <c r="C328" s="9"/>
      <c r="D328" s="9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spans="2:19" ht="16" customHeight="1" x14ac:dyDescent="0.45">
      <c r="B329" s="13"/>
      <c r="C329" s="9"/>
      <c r="D329" s="9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spans="2:19" ht="16" customHeight="1" x14ac:dyDescent="0.45">
      <c r="B330" s="13"/>
      <c r="C330" s="9"/>
      <c r="D330" s="9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spans="2:19" ht="16" customHeight="1" x14ac:dyDescent="0.45">
      <c r="B331" s="13"/>
      <c r="C331" s="9"/>
      <c r="D331" s="9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spans="2:19" ht="16" customHeight="1" x14ac:dyDescent="0.45">
      <c r="B332" s="13"/>
      <c r="C332" s="9"/>
      <c r="D332" s="9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spans="2:19" ht="16" customHeight="1" x14ac:dyDescent="0.45">
      <c r="B333" s="13"/>
      <c r="C333" s="9"/>
      <c r="D333" s="9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spans="2:19" ht="16" customHeight="1" x14ac:dyDescent="0.45">
      <c r="B334" s="13"/>
      <c r="C334" s="9"/>
      <c r="D334" s="9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spans="2:19" ht="16" customHeight="1" x14ac:dyDescent="0.45">
      <c r="B335" s="13"/>
      <c r="C335" s="9"/>
      <c r="D335" s="9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spans="2:19" ht="16" customHeight="1" x14ac:dyDescent="0.45">
      <c r="B336" s="13"/>
      <c r="C336" s="9"/>
      <c r="D336" s="9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spans="2:19" ht="16" customHeight="1" x14ac:dyDescent="0.45">
      <c r="B337" s="13"/>
      <c r="C337" s="9"/>
      <c r="D337" s="9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spans="2:19" ht="16" customHeight="1" x14ac:dyDescent="0.45">
      <c r="B338" s="13"/>
      <c r="C338" s="9"/>
      <c r="D338" s="9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spans="2:19" ht="16" customHeight="1" x14ac:dyDescent="0.45">
      <c r="B339" s="13"/>
      <c r="C339" s="9"/>
      <c r="D339" s="9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spans="2:19" ht="16" customHeight="1" x14ac:dyDescent="0.45">
      <c r="B340" s="13"/>
      <c r="C340" s="9"/>
      <c r="D340" s="9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spans="2:19" ht="16" customHeight="1" x14ac:dyDescent="0.45">
      <c r="B341" s="13"/>
      <c r="C341" s="9"/>
      <c r="D341" s="9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spans="2:19" ht="16" customHeight="1" x14ac:dyDescent="0.45">
      <c r="B342" s="13"/>
      <c r="C342" s="9"/>
      <c r="D342" s="9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spans="2:19" ht="16" customHeight="1" x14ac:dyDescent="0.45">
      <c r="B343" s="13"/>
      <c r="C343" s="9"/>
      <c r="D343" s="9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spans="2:19" ht="16" customHeight="1" x14ac:dyDescent="0.45">
      <c r="B344" s="13"/>
      <c r="C344" s="9"/>
      <c r="D344" s="9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spans="2:19" ht="16" customHeight="1" x14ac:dyDescent="0.45">
      <c r="B345" s="13"/>
      <c r="C345" s="9"/>
      <c r="D345" s="9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spans="2:19" ht="16" customHeight="1" x14ac:dyDescent="0.45">
      <c r="B346" s="13"/>
      <c r="C346" s="9"/>
      <c r="D346" s="9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spans="2:19" ht="16" customHeight="1" x14ac:dyDescent="0.45">
      <c r="B347" s="13"/>
      <c r="C347" s="9"/>
      <c r="D347" s="9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spans="2:19" ht="16" customHeight="1" x14ac:dyDescent="0.45">
      <c r="B348" s="13"/>
      <c r="C348" s="9"/>
      <c r="D348" s="9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spans="2:19" ht="16" customHeight="1" x14ac:dyDescent="0.45">
      <c r="B349" s="13"/>
      <c r="C349" s="9"/>
      <c r="D349" s="9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spans="2:19" ht="16" customHeight="1" x14ac:dyDescent="0.45">
      <c r="B350" s="13"/>
      <c r="C350" s="9"/>
      <c r="D350" s="9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spans="2:19" ht="16" customHeight="1" x14ac:dyDescent="0.45">
      <c r="B351" s="13"/>
      <c r="C351" s="9"/>
      <c r="D351" s="9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spans="2:19" ht="16" customHeight="1" x14ac:dyDescent="0.45">
      <c r="B352" s="13"/>
      <c r="C352" s="9"/>
      <c r="D352" s="9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</sheetData>
  <mergeCells count="2">
    <mergeCell ref="B4:C4"/>
    <mergeCell ref="B7:C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59D6-9CF7-4085-8CC4-26EF5D4C81B9}">
  <dimension ref="A3:L151"/>
  <sheetViews>
    <sheetView showGridLines="0" workbookViewId="0">
      <pane ySplit="9" topLeftCell="A10" activePane="bottomLeft" state="frozen"/>
      <selection pane="bottomLeft" activeCell="B4" sqref="B4:C4"/>
    </sheetView>
  </sheetViews>
  <sheetFormatPr defaultColWidth="9.1796875" defaultRowHeight="16" customHeight="1" x14ac:dyDescent="0.35"/>
  <cols>
    <col min="1" max="1" width="2.7265625" style="1" customWidth="1"/>
    <col min="2" max="2" width="10.7265625" style="1" customWidth="1"/>
    <col min="3" max="3" width="60.7265625" style="1" customWidth="1"/>
    <col min="4" max="4" width="1.54296875" style="1" customWidth="1"/>
    <col min="5" max="6" width="15.7265625" style="1" customWidth="1"/>
    <col min="7" max="7" width="1.54296875" style="1" customWidth="1"/>
    <col min="8" max="9" width="15.7265625" style="1" customWidth="1"/>
    <col min="10" max="10" width="1.54296875" style="1" customWidth="1"/>
    <col min="11" max="12" width="15.7265625" style="1" customWidth="1"/>
    <col min="13" max="16384" width="9.1796875" style="1"/>
  </cols>
  <sheetData>
    <row r="3" spans="1:12" ht="16" customHeight="1" x14ac:dyDescent="0.35">
      <c r="B3" s="2" t="s">
        <v>1489</v>
      </c>
    </row>
    <row r="4" spans="1:12" ht="16" customHeight="1" x14ac:dyDescent="0.35">
      <c r="B4" s="33" t="s">
        <v>270</v>
      </c>
      <c r="C4" s="33"/>
    </row>
    <row r="5" spans="1:12" ht="16" customHeight="1" x14ac:dyDescent="0.35">
      <c r="B5" s="4" t="s">
        <v>1490</v>
      </c>
    </row>
    <row r="6" spans="1:12" ht="16" customHeight="1" x14ac:dyDescent="0.35">
      <c r="A6" s="79"/>
      <c r="B6" s="56">
        <v>46194.595165497682</v>
      </c>
      <c r="C6" s="56"/>
    </row>
    <row r="7" spans="1:12" ht="16" customHeight="1" x14ac:dyDescent="0.35">
      <c r="A7" s="79"/>
    </row>
    <row r="8" spans="1:12" ht="16" customHeight="1" x14ac:dyDescent="0.35">
      <c r="E8" s="80" t="s">
        <v>1491</v>
      </c>
      <c r="F8" s="81"/>
      <c r="G8" s="81"/>
      <c r="H8" s="80" t="s">
        <v>1492</v>
      </c>
      <c r="I8" s="81"/>
      <c r="J8" s="81"/>
      <c r="K8" s="81"/>
      <c r="L8" s="81"/>
    </row>
    <row r="9" spans="1:12" ht="16" customHeight="1" thickBot="1" x14ac:dyDescent="0.4">
      <c r="E9" s="82" t="s">
        <v>1493</v>
      </c>
      <c r="F9" s="83" t="s">
        <v>1494</v>
      </c>
      <c r="G9" s="81"/>
      <c r="H9" s="82" t="s">
        <v>1495</v>
      </c>
      <c r="I9" s="83" t="s">
        <v>1494</v>
      </c>
      <c r="J9" s="81"/>
      <c r="K9" s="83" t="s">
        <v>1496</v>
      </c>
      <c r="L9" s="83" t="s">
        <v>1497</v>
      </c>
    </row>
    <row r="10" spans="1:12" ht="16" customHeight="1" x14ac:dyDescent="0.35">
      <c r="B10" s="14" t="s">
        <v>13</v>
      </c>
      <c r="C10" s="14" t="s">
        <v>14</v>
      </c>
      <c r="D10" s="61"/>
      <c r="E10" s="30">
        <v>6182.1798399999998</v>
      </c>
      <c r="F10" s="45">
        <f>IFERROR(E10/E13, 0)</f>
        <v>6.789155103208505E-3</v>
      </c>
      <c r="G10" s="63"/>
      <c r="H10" s="30">
        <v>8148.2706600000001</v>
      </c>
      <c r="I10" s="45">
        <f>IFERROR(H10/H13, 0)</f>
        <v>9.7682774338843769E-3</v>
      </c>
      <c r="J10" s="63"/>
      <c r="K10" s="15">
        <f>E10-H10</f>
        <v>-1966.0908200000003</v>
      </c>
      <c r="L10" s="45">
        <f>IF(ROUND(K10, 2)=0, 0, IFERROR(K10/ABS(H10), IF(K10&lt;0, -1, 1)))</f>
        <v>-0.24128933635594282</v>
      </c>
    </row>
    <row r="11" spans="1:12" ht="16" customHeight="1" x14ac:dyDescent="0.35">
      <c r="B11" s="14" t="s">
        <v>15</v>
      </c>
      <c r="C11" s="14" t="s">
        <v>16</v>
      </c>
      <c r="D11" s="61"/>
      <c r="E11" s="30"/>
      <c r="F11" s="45">
        <f>IFERROR(E11/E13, 0)</f>
        <v>0</v>
      </c>
      <c r="G11" s="63"/>
      <c r="H11" s="15"/>
      <c r="I11" s="45">
        <f>IFERROR(H11/H13, 0)</f>
        <v>0</v>
      </c>
      <c r="J11" s="63"/>
      <c r="K11" s="15">
        <f>E11-H11</f>
        <v>0</v>
      </c>
      <c r="L11" s="45">
        <f>IF(ROUND(K11, 2)=0, 0, IFERROR(K11/ABS(H11), IF(K11&lt;0, -1, 1)))</f>
        <v>0</v>
      </c>
    </row>
    <row r="12" spans="1:12" ht="16" customHeight="1" x14ac:dyDescent="0.35">
      <c r="B12" s="14" t="s">
        <v>17</v>
      </c>
      <c r="C12" s="14" t="s">
        <v>18</v>
      </c>
      <c r="D12" s="61"/>
      <c r="E12" s="15">
        <v>904414.16772000003</v>
      </c>
      <c r="F12" s="45">
        <f>IFERROR(E12/E13, 0)</f>
        <v>0.99321084489679146</v>
      </c>
      <c r="G12" s="63"/>
      <c r="H12" s="15">
        <v>826008.08036000002</v>
      </c>
      <c r="I12" s="45">
        <f>IFERROR(H12/H13, 0)</f>
        <v>0.99023172256611569</v>
      </c>
      <c r="J12" s="63"/>
      <c r="K12" s="15">
        <f>E12-H12</f>
        <v>78406.087360000005</v>
      </c>
      <c r="L12" s="45">
        <f>IF(ROUND(K12, 2)=0, 0, IFERROR(K12/ABS(H12), IF(K12&lt;0, -1, 1)))</f>
        <v>9.4921695349309651E-2</v>
      </c>
    </row>
    <row r="13" spans="1:12" ht="16" customHeight="1" x14ac:dyDescent="0.35">
      <c r="B13" s="16" t="s">
        <v>19</v>
      </c>
      <c r="C13" s="16" t="s">
        <v>20</v>
      </c>
      <c r="D13" s="64"/>
      <c r="E13" s="17">
        <v>910596.34756000002</v>
      </c>
      <c r="F13" s="84">
        <f>IFERROR(E13/E13, 0)</f>
        <v>1</v>
      </c>
      <c r="G13" s="65"/>
      <c r="H13" s="17">
        <v>834156.35101999994</v>
      </c>
      <c r="I13" s="84">
        <f>IFERROR(H13/H13, 0)</f>
        <v>1</v>
      </c>
      <c r="J13" s="65"/>
      <c r="K13" s="17">
        <f>E13-H13</f>
        <v>76439.99654000008</v>
      </c>
      <c r="L13" s="84">
        <f>IF(ROUND(K13, 2)=0, 0, IFERROR(K13/ABS(H13), IF(K13&lt;0, -1, 1)))</f>
        <v>9.163749271528035E-2</v>
      </c>
    </row>
    <row r="14" spans="1:12" ht="16" customHeight="1" x14ac:dyDescent="0.35">
      <c r="B14" s="11" t="s">
        <v>21</v>
      </c>
      <c r="C14" s="11" t="s">
        <v>22</v>
      </c>
      <c r="D14" s="29"/>
      <c r="E14" s="12"/>
      <c r="F14" s="85"/>
      <c r="G14" s="12"/>
      <c r="H14" s="12"/>
      <c r="I14" s="85"/>
      <c r="J14" s="12"/>
      <c r="K14" s="12"/>
      <c r="L14" s="85"/>
    </row>
    <row r="15" spans="1:12" ht="16" customHeight="1" x14ac:dyDescent="0.35">
      <c r="B15" s="14" t="s">
        <v>23</v>
      </c>
      <c r="C15" s="14" t="s">
        <v>24</v>
      </c>
      <c r="D15" s="61"/>
      <c r="E15" s="15">
        <v>-104774.26089999999</v>
      </c>
      <c r="F15" s="45">
        <f>IFERROR(E15/E13, 0)</f>
        <v>-0.11506114776404407</v>
      </c>
      <c r="G15" s="63"/>
      <c r="H15" s="15">
        <v>-80885.407319999998</v>
      </c>
      <c r="I15" s="45">
        <f>IFERROR(H15/H13, 0)</f>
        <v>-9.696672239094499E-2</v>
      </c>
      <c r="J15" s="63"/>
      <c r="K15" s="15">
        <f t="shared" ref="K15:K22" si="0">E15-H15</f>
        <v>-23888.853579999995</v>
      </c>
      <c r="L15" s="45">
        <f t="shared" ref="L15:L22" si="1">IF(ROUND(K15, 2)=0, 0, IFERROR(K15/ABS(H15), IF(K15&lt;0, -1, 1)))</f>
        <v>-0.29534194574171546</v>
      </c>
    </row>
    <row r="16" spans="1:12" ht="16" customHeight="1" x14ac:dyDescent="0.35">
      <c r="B16" s="14" t="s">
        <v>25</v>
      </c>
      <c r="C16" s="14" t="s">
        <v>26</v>
      </c>
      <c r="D16" s="61"/>
      <c r="E16" s="15">
        <v>-7.16106</v>
      </c>
      <c r="F16" s="45">
        <f>IFERROR(E16/E13, 0)</f>
        <v>-7.8641431180659887E-6</v>
      </c>
      <c r="G16" s="63"/>
      <c r="H16" s="15"/>
      <c r="I16" s="45">
        <f>IFERROR(H16/H13, 0)</f>
        <v>0</v>
      </c>
      <c r="J16" s="63"/>
      <c r="K16" s="15">
        <f t="shared" si="0"/>
        <v>-7.16106</v>
      </c>
      <c r="L16" s="45">
        <f t="shared" si="1"/>
        <v>-1</v>
      </c>
    </row>
    <row r="17" spans="2:12" ht="16" customHeight="1" x14ac:dyDescent="0.35">
      <c r="B17" s="14" t="s">
        <v>27</v>
      </c>
      <c r="C17" s="14" t="s">
        <v>28</v>
      </c>
      <c r="D17" s="61"/>
      <c r="E17" s="15">
        <v>-64426.889560000003</v>
      </c>
      <c r="F17" s="45">
        <f>IFERROR(E17/E13, 0)</f>
        <v>-7.0752413769982592E-2</v>
      </c>
      <c r="G17" s="63"/>
      <c r="H17" s="15">
        <v>-60424.749329999999</v>
      </c>
      <c r="I17" s="45">
        <f>IFERROR(H17/H13, 0)</f>
        <v>-7.2438157733994452E-2</v>
      </c>
      <c r="J17" s="63"/>
      <c r="K17" s="15">
        <f t="shared" si="0"/>
        <v>-4002.1402300000045</v>
      </c>
      <c r="L17" s="45">
        <f t="shared" si="1"/>
        <v>-6.623346020258955E-2</v>
      </c>
    </row>
    <row r="18" spans="2:12" ht="16" customHeight="1" x14ac:dyDescent="0.35">
      <c r="B18" s="14" t="s">
        <v>29</v>
      </c>
      <c r="C18" s="14" t="s">
        <v>30</v>
      </c>
      <c r="D18" s="61"/>
      <c r="E18" s="15">
        <v>-9894.1890700000004</v>
      </c>
      <c r="F18" s="45">
        <f>IFERROR(E18/E13, 0)</f>
        <v>-1.0865614711185807E-2</v>
      </c>
      <c r="G18" s="63"/>
      <c r="H18" s="15">
        <v>-8295.5253499999999</v>
      </c>
      <c r="I18" s="45">
        <f>IFERROR(H18/H13, 0)</f>
        <v>-9.944808715843613E-3</v>
      </c>
      <c r="J18" s="63"/>
      <c r="K18" s="15">
        <f t="shared" si="0"/>
        <v>-1598.6637200000005</v>
      </c>
      <c r="L18" s="45">
        <f t="shared" si="1"/>
        <v>-0.19271398164071676</v>
      </c>
    </row>
    <row r="19" spans="2:12" ht="16" customHeight="1" x14ac:dyDescent="0.35">
      <c r="B19" s="14" t="s">
        <v>31</v>
      </c>
      <c r="C19" s="14" t="s">
        <v>32</v>
      </c>
      <c r="D19" s="61"/>
      <c r="E19" s="15">
        <v>-46273.43477</v>
      </c>
      <c r="F19" s="45">
        <f>IFERROR(E19/E13, 0)</f>
        <v>-5.0816626811641147E-2</v>
      </c>
      <c r="G19" s="63"/>
      <c r="H19" s="15">
        <v>-31874.923190000001</v>
      </c>
      <c r="I19" s="45">
        <f>IFERROR(H19/H13, 0)</f>
        <v>-3.8212168679197363E-2</v>
      </c>
      <c r="J19" s="63"/>
      <c r="K19" s="15">
        <f t="shared" si="0"/>
        <v>-14398.511579999999</v>
      </c>
      <c r="L19" s="45">
        <f t="shared" si="1"/>
        <v>-0.45171909887196809</v>
      </c>
    </row>
    <row r="20" spans="2:12" ht="16" customHeight="1" x14ac:dyDescent="0.35">
      <c r="B20" s="14" t="s">
        <v>33</v>
      </c>
      <c r="C20" s="14" t="s">
        <v>34</v>
      </c>
      <c r="D20" s="61"/>
      <c r="E20" s="15"/>
      <c r="F20" s="45">
        <f>IFERROR(E20/E13, 0)</f>
        <v>0</v>
      </c>
      <c r="G20" s="63"/>
      <c r="H20" s="15"/>
      <c r="I20" s="45">
        <f>IFERROR(H20/H13, 0)</f>
        <v>0</v>
      </c>
      <c r="J20" s="63"/>
      <c r="K20" s="15">
        <f t="shared" si="0"/>
        <v>0</v>
      </c>
      <c r="L20" s="45">
        <f t="shared" si="1"/>
        <v>0</v>
      </c>
    </row>
    <row r="21" spans="2:12" ht="16" customHeight="1" x14ac:dyDescent="0.35">
      <c r="B21" s="14" t="s">
        <v>35</v>
      </c>
      <c r="C21" s="14" t="s">
        <v>36</v>
      </c>
      <c r="D21" s="61"/>
      <c r="E21" s="15">
        <v>285.94369</v>
      </c>
      <c r="F21" s="45">
        <f>IFERROR(E21/E13, 0)</f>
        <v>3.1401805066120028E-4</v>
      </c>
      <c r="G21" s="63"/>
      <c r="H21" s="15">
        <v>803.94281000000001</v>
      </c>
      <c r="I21" s="45">
        <f>IFERROR(H21/H13, 0)</f>
        <v>9.6377952288793933E-4</v>
      </c>
      <c r="J21" s="63"/>
      <c r="K21" s="15">
        <f t="shared" si="0"/>
        <v>-517.99911999999995</v>
      </c>
      <c r="L21" s="45">
        <f t="shared" si="1"/>
        <v>-0.64432334434336191</v>
      </c>
    </row>
    <row r="22" spans="2:12" ht="16" customHeight="1" x14ac:dyDescent="0.35">
      <c r="B22" s="16" t="s">
        <v>39</v>
      </c>
      <c r="C22" s="16" t="s">
        <v>40</v>
      </c>
      <c r="D22" s="64"/>
      <c r="E22" s="17">
        <v>-225089.99166999999</v>
      </c>
      <c r="F22" s="84">
        <f>IFERROR(E22/E13, 0)</f>
        <v>-0.24718964914931049</v>
      </c>
      <c r="G22" s="65"/>
      <c r="H22" s="17">
        <v>-180676.66237999999</v>
      </c>
      <c r="I22" s="84">
        <f>IFERROR(H22/H13, 0)</f>
        <v>-0.21659807799709246</v>
      </c>
      <c r="J22" s="65"/>
      <c r="K22" s="17">
        <f t="shared" si="0"/>
        <v>-44413.329289999994</v>
      </c>
      <c r="L22" s="84">
        <f t="shared" si="1"/>
        <v>-0.24581663566813999</v>
      </c>
    </row>
    <row r="23" spans="2:12" ht="16" customHeight="1" x14ac:dyDescent="0.35">
      <c r="B23" s="11" t="s">
        <v>41</v>
      </c>
      <c r="C23" s="11" t="s">
        <v>22</v>
      </c>
      <c r="D23" s="29"/>
      <c r="E23" s="12"/>
      <c r="F23" s="85"/>
      <c r="G23" s="12"/>
      <c r="H23" s="12"/>
      <c r="I23" s="85"/>
      <c r="J23" s="12"/>
      <c r="K23" s="12"/>
      <c r="L23" s="85"/>
    </row>
    <row r="24" spans="2:12" ht="16" customHeight="1" x14ac:dyDescent="0.35">
      <c r="B24" s="14" t="s">
        <v>42</v>
      </c>
      <c r="C24" s="14" t="s">
        <v>43</v>
      </c>
      <c r="D24" s="61"/>
      <c r="E24" s="15">
        <v>-3574.8331199999998</v>
      </c>
      <c r="F24" s="45">
        <f>IFERROR(E24/E13, 0)</f>
        <v>-3.9258153512025272E-3</v>
      </c>
      <c r="G24" s="63"/>
      <c r="H24" s="15">
        <v>-4182.4518799999996</v>
      </c>
      <c r="I24" s="45">
        <f>IFERROR(H24/H13, 0)</f>
        <v>-5.0139903327304641E-3</v>
      </c>
      <c r="J24" s="63"/>
      <c r="K24" s="15">
        <f t="shared" ref="K24:K38" si="2">E24-H24</f>
        <v>607.61875999999984</v>
      </c>
      <c r="L24" s="45">
        <f t="shared" ref="L24:L38" si="3">IF(ROUND(K24, 2)=0, 0, IFERROR(K24/ABS(H24), IF(K24&lt;0, -1, 1)))</f>
        <v>0.14527812331937692</v>
      </c>
    </row>
    <row r="25" spans="2:12" ht="16" customHeight="1" x14ac:dyDescent="0.35">
      <c r="B25" s="14" t="s">
        <v>44</v>
      </c>
      <c r="C25" s="14" t="s">
        <v>45</v>
      </c>
      <c r="D25" s="61"/>
      <c r="E25" s="15">
        <v>-324001.46051</v>
      </c>
      <c r="F25" s="45">
        <f>IFERROR(E25/E13, 0)</f>
        <v>-0.35581238753942096</v>
      </c>
      <c r="G25" s="63"/>
      <c r="H25" s="15">
        <v>-320034.33464999998</v>
      </c>
      <c r="I25" s="45">
        <f>IFERROR(H25/H13, 0)</f>
        <v>-0.38366228856096879</v>
      </c>
      <c r="J25" s="63"/>
      <c r="K25" s="15">
        <f t="shared" si="2"/>
        <v>-3967.1258600000292</v>
      </c>
      <c r="L25" s="45">
        <f t="shared" si="3"/>
        <v>-1.2395938280617946E-2</v>
      </c>
    </row>
    <row r="26" spans="2:12" ht="16" customHeight="1" x14ac:dyDescent="0.35">
      <c r="B26" s="14" t="s">
        <v>46</v>
      </c>
      <c r="C26" s="14" t="s">
        <v>47</v>
      </c>
      <c r="D26" s="61"/>
      <c r="E26" s="15">
        <v>-14510.7989</v>
      </c>
      <c r="F26" s="45">
        <f>IFERROR(E26/E13, 0)</f>
        <v>-1.5935489900527927E-2</v>
      </c>
      <c r="G26" s="63"/>
      <c r="H26" s="15">
        <v>-12382.346369999999</v>
      </c>
      <c r="I26" s="45">
        <f>IFERROR(H26/H13, 0)</f>
        <v>-1.4844155241231409E-2</v>
      </c>
      <c r="J26" s="63"/>
      <c r="K26" s="15">
        <f t="shared" si="2"/>
        <v>-2128.4525300000005</v>
      </c>
      <c r="L26" s="45">
        <f t="shared" si="3"/>
        <v>-0.17189411977335928</v>
      </c>
    </row>
    <row r="27" spans="2:12" ht="16" customHeight="1" x14ac:dyDescent="0.35">
      <c r="B27" s="14" t="s">
        <v>48</v>
      </c>
      <c r="C27" s="14" t="s">
        <v>49</v>
      </c>
      <c r="D27" s="61"/>
      <c r="E27" s="15"/>
      <c r="F27" s="45">
        <f>IFERROR(E27/E13, 0)</f>
        <v>0</v>
      </c>
      <c r="G27" s="63"/>
      <c r="H27" s="15"/>
      <c r="I27" s="45">
        <f>IFERROR(H27/H13, 0)</f>
        <v>0</v>
      </c>
      <c r="J27" s="63"/>
      <c r="K27" s="15">
        <f t="shared" si="2"/>
        <v>0</v>
      </c>
      <c r="L27" s="45">
        <f t="shared" si="3"/>
        <v>0</v>
      </c>
    </row>
    <row r="28" spans="2:12" ht="16" customHeight="1" x14ac:dyDescent="0.35">
      <c r="B28" s="14" t="s">
        <v>50</v>
      </c>
      <c r="C28" s="14" t="s">
        <v>51</v>
      </c>
      <c r="D28" s="61"/>
      <c r="E28" s="15">
        <v>-13888.88961</v>
      </c>
      <c r="F28" s="45">
        <f>IFERROR(E28/E13, 0)</f>
        <v>-1.5252520666501849E-2</v>
      </c>
      <c r="G28" s="63"/>
      <c r="H28" s="15">
        <v>-13018.39762</v>
      </c>
      <c r="I28" s="45">
        <f>IFERROR(H28/H13, 0)</f>
        <v>-1.5606663671721978E-2</v>
      </c>
      <c r="J28" s="63"/>
      <c r="K28" s="15">
        <f t="shared" si="2"/>
        <v>-870.49199000000044</v>
      </c>
      <c r="L28" s="45">
        <f t="shared" si="3"/>
        <v>-6.686629302692941E-2</v>
      </c>
    </row>
    <row r="29" spans="2:12" ht="16" customHeight="1" x14ac:dyDescent="0.35">
      <c r="B29" s="14" t="s">
        <v>52</v>
      </c>
      <c r="C29" s="14" t="s">
        <v>53</v>
      </c>
      <c r="D29" s="61"/>
      <c r="E29" s="15">
        <v>-131763.94818000001</v>
      </c>
      <c r="F29" s="45">
        <f>IFERROR(E29/E13, 0)</f>
        <v>-0.14470072116264221</v>
      </c>
      <c r="G29" s="63"/>
      <c r="H29" s="15">
        <v>-118637.46415</v>
      </c>
      <c r="I29" s="45">
        <f>IFERROR(H29/H13, 0)</f>
        <v>-0.14222449305208912</v>
      </c>
      <c r="J29" s="63"/>
      <c r="K29" s="15">
        <f t="shared" si="2"/>
        <v>-13126.484030000007</v>
      </c>
      <c r="L29" s="45">
        <f t="shared" si="3"/>
        <v>-0.11064366660268005</v>
      </c>
    </row>
    <row r="30" spans="2:12" ht="16" customHeight="1" x14ac:dyDescent="0.35">
      <c r="B30" s="14" t="s">
        <v>54</v>
      </c>
      <c r="C30" s="14" t="s">
        <v>55</v>
      </c>
      <c r="D30" s="61"/>
      <c r="E30" s="15">
        <v>-65327.998970000001</v>
      </c>
      <c r="F30" s="45">
        <f>IFERROR(E30/E13, 0)</f>
        <v>-7.1741995391317426E-2</v>
      </c>
      <c r="G30" s="63"/>
      <c r="H30" s="15">
        <v>-66574.154569999999</v>
      </c>
      <c r="I30" s="45">
        <f>IFERROR(H30/H13, 0)</f>
        <v>-7.9810163272860821E-2</v>
      </c>
      <c r="J30" s="63"/>
      <c r="K30" s="15">
        <f t="shared" si="2"/>
        <v>1246.1555999999982</v>
      </c>
      <c r="L30" s="45">
        <f t="shared" si="3"/>
        <v>1.8718309050244367E-2</v>
      </c>
    </row>
    <row r="31" spans="2:12" ht="16" customHeight="1" x14ac:dyDescent="0.35">
      <c r="B31" s="14" t="s">
        <v>56</v>
      </c>
      <c r="C31" s="14" t="s">
        <v>57</v>
      </c>
      <c r="D31" s="61"/>
      <c r="E31" s="15">
        <v>-91352.464430000007</v>
      </c>
      <c r="F31" s="45">
        <f>IFERROR(E31/E13, 0)</f>
        <v>-0.10032158011042397</v>
      </c>
      <c r="G31" s="63"/>
      <c r="H31" s="15">
        <v>-57352.870710000003</v>
      </c>
      <c r="I31" s="45">
        <f>IFERROR(H31/H13, 0)</f>
        <v>-6.8755540421012631E-2</v>
      </c>
      <c r="J31" s="63"/>
      <c r="K31" s="15">
        <f t="shared" si="2"/>
        <v>-33999.593720000004</v>
      </c>
      <c r="L31" s="45">
        <f t="shared" si="3"/>
        <v>-0.59281415732293696</v>
      </c>
    </row>
    <row r="32" spans="2:12" ht="16" customHeight="1" x14ac:dyDescent="0.35">
      <c r="B32" s="14" t="s">
        <v>58</v>
      </c>
      <c r="C32" s="14" t="s">
        <v>59</v>
      </c>
      <c r="D32" s="61"/>
      <c r="E32" s="15">
        <v>11126.2104</v>
      </c>
      <c r="F32" s="45">
        <f>IFERROR(E32/E13, 0)</f>
        <v>1.2218597658351451E-2</v>
      </c>
      <c r="G32" s="63"/>
      <c r="H32" s="15">
        <v>2346.5427100000002</v>
      </c>
      <c r="I32" s="45">
        <f>IFERROR(H32/H13, 0)</f>
        <v>2.8130730013991574E-3</v>
      </c>
      <c r="J32" s="63"/>
      <c r="K32" s="15">
        <f t="shared" si="2"/>
        <v>8779.6676900000002</v>
      </c>
      <c r="L32" s="45">
        <f t="shared" si="3"/>
        <v>3.7415333002824398</v>
      </c>
    </row>
    <row r="33" spans="2:12" ht="16" customHeight="1" x14ac:dyDescent="0.35">
      <c r="B33" s="14" t="s">
        <v>60</v>
      </c>
      <c r="C33" s="14" t="s">
        <v>61</v>
      </c>
      <c r="D33" s="61"/>
      <c r="E33" s="15"/>
      <c r="F33" s="45">
        <f>IFERROR(E33/E13, 0)</f>
        <v>0</v>
      </c>
      <c r="G33" s="63"/>
      <c r="H33" s="15"/>
      <c r="I33" s="45">
        <f>IFERROR(H33/H13, 0)</f>
        <v>0</v>
      </c>
      <c r="J33" s="63"/>
      <c r="K33" s="15">
        <f t="shared" si="2"/>
        <v>0</v>
      </c>
      <c r="L33" s="45">
        <f t="shared" si="3"/>
        <v>0</v>
      </c>
    </row>
    <row r="34" spans="2:12" ht="16" customHeight="1" x14ac:dyDescent="0.35">
      <c r="B34" s="14" t="s">
        <v>62</v>
      </c>
      <c r="C34" s="14" t="s">
        <v>36</v>
      </c>
      <c r="D34" s="61"/>
      <c r="E34" s="15">
        <v>2160.0612500000002</v>
      </c>
      <c r="F34" s="45">
        <f>IFERROR(E34/E13, 0)</f>
        <v>2.372139154509042E-3</v>
      </c>
      <c r="G34" s="63"/>
      <c r="H34" s="15">
        <v>1756.23297</v>
      </c>
      <c r="I34" s="45">
        <f>IFERROR(H34/H13, 0)</f>
        <v>2.1054002260517371E-3</v>
      </c>
      <c r="J34" s="63"/>
      <c r="K34" s="15">
        <f t="shared" si="2"/>
        <v>403.82828000000018</v>
      </c>
      <c r="L34" s="45">
        <f t="shared" si="3"/>
        <v>0.22994004035808538</v>
      </c>
    </row>
    <row r="35" spans="2:12" ht="16" customHeight="1" x14ac:dyDescent="0.35">
      <c r="B35" s="14" t="s">
        <v>63</v>
      </c>
      <c r="C35" s="14" t="s">
        <v>64</v>
      </c>
      <c r="D35" s="61"/>
      <c r="E35" s="15">
        <v>-154.20959999999999</v>
      </c>
      <c r="F35" s="45">
        <f>IFERROR(E35/E13, 0)</f>
        <v>-1.6935011919739661E-4</v>
      </c>
      <c r="G35" s="63"/>
      <c r="H35" s="15">
        <v>7.80253</v>
      </c>
      <c r="I35" s="45">
        <f>IFERROR(H35/H13, 0)</f>
        <v>9.3537979905794957E-6</v>
      </c>
      <c r="J35" s="63"/>
      <c r="K35" s="15">
        <f t="shared" si="2"/>
        <v>-162.01212999999998</v>
      </c>
      <c r="L35" s="45">
        <f t="shared" si="3"/>
        <v>-20.764050891185292</v>
      </c>
    </row>
    <row r="36" spans="2:12" ht="16" customHeight="1" x14ac:dyDescent="0.35">
      <c r="B36" s="14" t="s">
        <v>65</v>
      </c>
      <c r="C36" s="14" t="s">
        <v>66</v>
      </c>
      <c r="D36" s="61"/>
      <c r="E36" s="15"/>
      <c r="F36" s="45">
        <f>IFERROR(E36/E13, 0)</f>
        <v>0</v>
      </c>
      <c r="G36" s="63"/>
      <c r="H36" s="15"/>
      <c r="I36" s="45">
        <f>IFERROR(H36/H13, 0)</f>
        <v>0</v>
      </c>
      <c r="J36" s="63"/>
      <c r="K36" s="15">
        <f t="shared" si="2"/>
        <v>0</v>
      </c>
      <c r="L36" s="45">
        <f t="shared" si="3"/>
        <v>0</v>
      </c>
    </row>
    <row r="37" spans="2:12" ht="16" customHeight="1" x14ac:dyDescent="0.35">
      <c r="B37" s="14" t="s">
        <v>67</v>
      </c>
      <c r="C37" s="14" t="s">
        <v>68</v>
      </c>
      <c r="D37" s="61"/>
      <c r="E37" s="15">
        <v>87595.273000000001</v>
      </c>
      <c r="F37" s="45">
        <f>IFERROR(E37/E13, 0)</f>
        <v>9.6195502249396256E-2</v>
      </c>
      <c r="G37" s="63"/>
      <c r="H37" s="15">
        <v>84008.165999999997</v>
      </c>
      <c r="I37" s="45">
        <f>IFERROR(H37/H13, 0)</f>
        <v>0.10071033553514933</v>
      </c>
      <c r="J37" s="63"/>
      <c r="K37" s="15">
        <f t="shared" si="2"/>
        <v>3587.1070000000036</v>
      </c>
      <c r="L37" s="45">
        <f t="shared" si="3"/>
        <v>4.2699503760146411E-2</v>
      </c>
    </row>
    <row r="38" spans="2:12" ht="16" customHeight="1" x14ac:dyDescent="0.35">
      <c r="B38" s="16" t="s">
        <v>69</v>
      </c>
      <c r="C38" s="16" t="s">
        <v>70</v>
      </c>
      <c r="D38" s="64"/>
      <c r="E38" s="17">
        <v>-543693.05867000006</v>
      </c>
      <c r="F38" s="84">
        <f>IFERROR(E38/E13, 0)</f>
        <v>-0.59707362117897755</v>
      </c>
      <c r="G38" s="65"/>
      <c r="H38" s="17">
        <v>-504063.27574000001</v>
      </c>
      <c r="I38" s="84">
        <f>IFERROR(H38/H13, 0)</f>
        <v>-0.60427913199202443</v>
      </c>
      <c r="J38" s="65"/>
      <c r="K38" s="17">
        <f t="shared" si="2"/>
        <v>-39629.782930000045</v>
      </c>
      <c r="L38" s="84">
        <f t="shared" si="3"/>
        <v>-7.8620651091513782E-2</v>
      </c>
    </row>
    <row r="39" spans="2:12" ht="16" customHeight="1" x14ac:dyDescent="0.35">
      <c r="B39" s="11" t="s">
        <v>71</v>
      </c>
      <c r="C39" s="11" t="s">
        <v>22</v>
      </c>
      <c r="D39" s="29"/>
      <c r="E39" s="12"/>
      <c r="F39" s="85"/>
      <c r="G39" s="12"/>
      <c r="H39" s="12"/>
      <c r="I39" s="85"/>
      <c r="J39" s="12"/>
      <c r="K39" s="12"/>
      <c r="L39" s="85"/>
    </row>
    <row r="40" spans="2:12" ht="16" customHeight="1" x14ac:dyDescent="0.35">
      <c r="B40" s="16" t="s">
        <v>72</v>
      </c>
      <c r="C40" s="16" t="s">
        <v>73</v>
      </c>
      <c r="D40" s="64"/>
      <c r="E40" s="17">
        <v>-768783.05033999996</v>
      </c>
      <c r="F40" s="84">
        <f>IFERROR(E40/E13, 0)</f>
        <v>-0.84426327032828796</v>
      </c>
      <c r="G40" s="65"/>
      <c r="H40" s="17">
        <v>-684739.93811999995</v>
      </c>
      <c r="I40" s="84">
        <f>IFERROR(H40/H13, 0)</f>
        <v>-0.82087720998911684</v>
      </c>
      <c r="J40" s="65"/>
      <c r="K40" s="17">
        <f>E40-H40</f>
        <v>-84043.11222000001</v>
      </c>
      <c r="L40" s="84">
        <f>IF(ROUND(K40, 2)=0, 0, IFERROR(K40/ABS(H40), IF(K40&lt;0, -1, 1)))</f>
        <v>-0.12273727227120136</v>
      </c>
    </row>
    <row r="41" spans="2:12" ht="16" customHeight="1" thickBot="1" x14ac:dyDescent="0.4">
      <c r="B41" s="11" t="s">
        <v>74</v>
      </c>
      <c r="C41" s="11" t="s">
        <v>22</v>
      </c>
      <c r="D41" s="29"/>
      <c r="E41" s="12"/>
      <c r="F41" s="85"/>
      <c r="G41" s="12"/>
      <c r="H41" s="12"/>
      <c r="I41" s="85"/>
      <c r="J41" s="12"/>
      <c r="K41" s="12"/>
      <c r="L41" s="85"/>
    </row>
    <row r="42" spans="2:12" ht="16" customHeight="1" thickBot="1" x14ac:dyDescent="0.4">
      <c r="B42" s="18" t="s">
        <v>75</v>
      </c>
      <c r="C42" s="18" t="s">
        <v>76</v>
      </c>
      <c r="D42" s="66"/>
      <c r="E42" s="19">
        <v>141813.29722000001</v>
      </c>
      <c r="F42" s="86">
        <f>IFERROR(E42/E13, 0)</f>
        <v>0.15573672967171198</v>
      </c>
      <c r="G42" s="68"/>
      <c r="H42" s="19">
        <v>149416.4129</v>
      </c>
      <c r="I42" s="86">
        <f>IFERROR(H42/H13, 0)</f>
        <v>0.17912279001088316</v>
      </c>
      <c r="J42" s="68"/>
      <c r="K42" s="19">
        <f>E42-H42</f>
        <v>-7603.1156799999881</v>
      </c>
      <c r="L42" s="86">
        <f>IF(ROUND(K42, 2)=0, 0, IFERROR(K42/ABS(H42), IF(K42&lt;0, -1, 1)))</f>
        <v>-5.0885411665507786E-2</v>
      </c>
    </row>
    <row r="43" spans="2:12" ht="16" customHeight="1" x14ac:dyDescent="0.35">
      <c r="B43" s="11" t="s">
        <v>77</v>
      </c>
      <c r="C43" s="11" t="s">
        <v>22</v>
      </c>
      <c r="D43" s="29"/>
      <c r="E43" s="12"/>
      <c r="F43" s="85"/>
      <c r="G43" s="12"/>
      <c r="H43" s="12"/>
      <c r="I43" s="85"/>
      <c r="J43" s="12"/>
      <c r="K43" s="12"/>
      <c r="L43" s="85"/>
    </row>
    <row r="44" spans="2:12" ht="16" customHeight="1" x14ac:dyDescent="0.35">
      <c r="B44" s="14" t="s">
        <v>78</v>
      </c>
      <c r="C44" s="14" t="s">
        <v>28</v>
      </c>
      <c r="D44" s="61"/>
      <c r="E44" s="15">
        <v>-13187.210580000001</v>
      </c>
      <c r="F44" s="45">
        <f>IFERROR(E44/E13, 0)</f>
        <v>-1.448194978525442E-2</v>
      </c>
      <c r="G44" s="63"/>
      <c r="H44" s="15">
        <v>-12766.117490000001</v>
      </c>
      <c r="I44" s="45">
        <f>IFERROR(H44/H13, 0)</f>
        <v>-1.5304226209378722E-2</v>
      </c>
      <c r="J44" s="63"/>
      <c r="K44" s="15">
        <f t="shared" ref="K44:K50" si="4">E44-H44</f>
        <v>-421.0930900000003</v>
      </c>
      <c r="L44" s="45">
        <f t="shared" ref="L44:L50" si="5">IF(ROUND(K44, 2)=0, 0, IFERROR(K44/ABS(H44), IF(K44&lt;0, -1, 1)))</f>
        <v>-3.298521185707811E-2</v>
      </c>
    </row>
    <row r="45" spans="2:12" ht="16" customHeight="1" x14ac:dyDescent="0.35">
      <c r="B45" s="14" t="s">
        <v>79</v>
      </c>
      <c r="C45" s="14" t="s">
        <v>80</v>
      </c>
      <c r="D45" s="61"/>
      <c r="E45" s="15">
        <v>-483.78607</v>
      </c>
      <c r="F45" s="45">
        <f>IFERROR(E45/E13, 0)</f>
        <v>-5.3128487863622024E-4</v>
      </c>
      <c r="G45" s="63"/>
      <c r="H45" s="15">
        <v>-771.31548999999995</v>
      </c>
      <c r="I45" s="45">
        <f>IFERROR(H45/H13, 0)</f>
        <v>-9.2466536885661937E-4</v>
      </c>
      <c r="J45" s="63"/>
      <c r="K45" s="15">
        <f t="shared" si="4"/>
        <v>287.52941999999996</v>
      </c>
      <c r="L45" s="45">
        <f t="shared" si="5"/>
        <v>0.3727779666398246</v>
      </c>
    </row>
    <row r="46" spans="2:12" ht="16" customHeight="1" x14ac:dyDescent="0.35">
      <c r="B46" s="14" t="s">
        <v>81</v>
      </c>
      <c r="C46" s="14" t="s">
        <v>82</v>
      </c>
      <c r="D46" s="61"/>
      <c r="E46" s="15">
        <v>-1332.93453</v>
      </c>
      <c r="F46" s="45">
        <f>IFERROR(E46/E13, 0)</f>
        <v>-1.4638039495454616E-3</v>
      </c>
      <c r="G46" s="63"/>
      <c r="H46" s="15">
        <v>-792.67594999999994</v>
      </c>
      <c r="I46" s="45">
        <f>IFERROR(H46/H13, 0)</f>
        <v>-9.5027263058145147E-4</v>
      </c>
      <c r="J46" s="63"/>
      <c r="K46" s="15">
        <f t="shared" si="4"/>
        <v>-540.25858000000005</v>
      </c>
      <c r="L46" s="45">
        <f t="shared" si="5"/>
        <v>-0.68156297664890686</v>
      </c>
    </row>
    <row r="47" spans="2:12" ht="16" customHeight="1" x14ac:dyDescent="0.35">
      <c r="B47" s="14" t="s">
        <v>83</v>
      </c>
      <c r="C47" s="14" t="s">
        <v>84</v>
      </c>
      <c r="D47" s="61"/>
      <c r="E47" s="15">
        <v>-2447.6442999999999</v>
      </c>
      <c r="F47" s="45">
        <f>IFERROR(E47/E13, 0)</f>
        <v>-2.6879575198809178E-3</v>
      </c>
      <c r="G47" s="63"/>
      <c r="H47" s="15">
        <v>-1908.61959</v>
      </c>
      <c r="I47" s="45">
        <f>IFERROR(H47/H13, 0)</f>
        <v>-2.2880837479282569E-3</v>
      </c>
      <c r="J47" s="63"/>
      <c r="K47" s="15">
        <f t="shared" si="4"/>
        <v>-539.02470999999991</v>
      </c>
      <c r="L47" s="45">
        <f t="shared" si="5"/>
        <v>-0.28241599993218131</v>
      </c>
    </row>
    <row r="48" spans="2:12" ht="16" customHeight="1" x14ac:dyDescent="0.35">
      <c r="B48" s="14" t="s">
        <v>85</v>
      </c>
      <c r="C48" s="14" t="s">
        <v>86</v>
      </c>
      <c r="D48" s="61"/>
      <c r="E48" s="15"/>
      <c r="F48" s="45">
        <f>IFERROR(E48/E13, 0)</f>
        <v>0</v>
      </c>
      <c r="G48" s="63"/>
      <c r="H48" s="15"/>
      <c r="I48" s="45">
        <f>IFERROR(H48/H13, 0)</f>
        <v>0</v>
      </c>
      <c r="J48" s="63"/>
      <c r="K48" s="15">
        <f t="shared" si="4"/>
        <v>0</v>
      </c>
      <c r="L48" s="45">
        <f t="shared" si="5"/>
        <v>0</v>
      </c>
    </row>
    <row r="49" spans="2:12" ht="16" customHeight="1" x14ac:dyDescent="0.35">
      <c r="B49" s="14" t="s">
        <v>87</v>
      </c>
      <c r="C49" s="14" t="s">
        <v>88</v>
      </c>
      <c r="D49" s="61"/>
      <c r="E49" s="15"/>
      <c r="F49" s="45">
        <f>IFERROR(E49/E13, 0)</f>
        <v>0</v>
      </c>
      <c r="G49" s="63"/>
      <c r="H49" s="15">
        <v>2.1779999999999999</v>
      </c>
      <c r="I49" s="45">
        <f>IFERROR(H49/H13, 0)</f>
        <v>2.6110212999478556E-6</v>
      </c>
      <c r="J49" s="63"/>
      <c r="K49" s="15">
        <f t="shared" si="4"/>
        <v>-2.1779999999999999</v>
      </c>
      <c r="L49" s="45">
        <f t="shared" si="5"/>
        <v>-1</v>
      </c>
    </row>
    <row r="50" spans="2:12" ht="16" customHeight="1" x14ac:dyDescent="0.35">
      <c r="B50" s="16" t="s">
        <v>91</v>
      </c>
      <c r="C50" s="16" t="s">
        <v>92</v>
      </c>
      <c r="D50" s="64"/>
      <c r="E50" s="17">
        <v>-17451.57548</v>
      </c>
      <c r="F50" s="84">
        <f>IFERROR(E50/E13, 0)</f>
        <v>-1.9164996133317017E-2</v>
      </c>
      <c r="G50" s="65"/>
      <c r="H50" s="17">
        <v>-16236.550520000001</v>
      </c>
      <c r="I50" s="84">
        <f>IFERROR(H50/H13, 0)</f>
        <v>-1.9464636935445104E-2</v>
      </c>
      <c r="J50" s="65"/>
      <c r="K50" s="17">
        <f t="shared" si="4"/>
        <v>-1215.0249599999988</v>
      </c>
      <c r="L50" s="84">
        <f t="shared" si="5"/>
        <v>-7.4832702827078004E-2</v>
      </c>
    </row>
    <row r="51" spans="2:12" ht="16" customHeight="1" x14ac:dyDescent="0.35">
      <c r="B51" s="11" t="s">
        <v>93</v>
      </c>
      <c r="C51" s="11" t="s">
        <v>22</v>
      </c>
      <c r="D51" s="29"/>
      <c r="E51" s="12"/>
      <c r="F51" s="85"/>
      <c r="G51" s="12"/>
      <c r="H51" s="12"/>
      <c r="I51" s="85"/>
      <c r="J51" s="12"/>
      <c r="K51" s="12"/>
      <c r="L51" s="85"/>
    </row>
    <row r="52" spans="2:12" ht="16" customHeight="1" x14ac:dyDescent="0.35">
      <c r="B52" s="14" t="s">
        <v>94</v>
      </c>
      <c r="C52" s="14" t="s">
        <v>28</v>
      </c>
      <c r="D52" s="61"/>
      <c r="E52" s="15">
        <v>-21719.43046</v>
      </c>
      <c r="F52" s="45">
        <f>IFERROR(E52/E13, 0)</f>
        <v>-2.385187522242822E-2</v>
      </c>
      <c r="G52" s="63"/>
      <c r="H52" s="15">
        <v>-14454.002909999999</v>
      </c>
      <c r="I52" s="45">
        <f>IFERROR(H52/H13, 0)</f>
        <v>-1.7327690297299487E-2</v>
      </c>
      <c r="J52" s="63"/>
      <c r="K52" s="15">
        <f t="shared" ref="K52:K57" si="6">E52-H52</f>
        <v>-7265.4275500000003</v>
      </c>
      <c r="L52" s="45">
        <f t="shared" ref="L52:L57" si="7">IF(ROUND(K52, 2)=0, 0, IFERROR(K52/ABS(H52), IF(K52&lt;0, -1, 1)))</f>
        <v>-0.50265850887392693</v>
      </c>
    </row>
    <row r="53" spans="2:12" ht="16" customHeight="1" x14ac:dyDescent="0.35">
      <c r="B53" s="14" t="s">
        <v>95</v>
      </c>
      <c r="C53" s="14" t="s">
        <v>80</v>
      </c>
      <c r="D53" s="61"/>
      <c r="E53" s="15">
        <v>-2449.4548100000002</v>
      </c>
      <c r="F53" s="45">
        <f>IFERROR(E53/E13, 0)</f>
        <v>-2.6899457883435046E-3</v>
      </c>
      <c r="G53" s="63"/>
      <c r="H53" s="15">
        <v>-2548.48918</v>
      </c>
      <c r="I53" s="45">
        <f>IFERROR(H53/H13, 0)</f>
        <v>-3.0551696655953375E-3</v>
      </c>
      <c r="J53" s="63"/>
      <c r="K53" s="15">
        <f t="shared" si="6"/>
        <v>99.034369999999853</v>
      </c>
      <c r="L53" s="45">
        <f t="shared" si="7"/>
        <v>3.8860031573687059E-2</v>
      </c>
    </row>
    <row r="54" spans="2:12" ht="16" customHeight="1" x14ac:dyDescent="0.35">
      <c r="B54" s="14" t="s">
        <v>96</v>
      </c>
      <c r="C54" s="14" t="s">
        <v>97</v>
      </c>
      <c r="D54" s="61"/>
      <c r="E54" s="15">
        <v>-17879.99927</v>
      </c>
      <c r="F54" s="45">
        <f>IFERROR(E54/E13, 0)</f>
        <v>-1.9635483184081048E-2</v>
      </c>
      <c r="G54" s="63"/>
      <c r="H54" s="15">
        <v>-17814.323980000001</v>
      </c>
      <c r="I54" s="45">
        <f>IFERROR(H54/H13, 0)</f>
        <v>-2.1356097041300211E-2</v>
      </c>
      <c r="J54" s="63"/>
      <c r="K54" s="15">
        <f t="shared" si="6"/>
        <v>-65.675289999999222</v>
      </c>
      <c r="L54" s="45">
        <f t="shared" si="7"/>
        <v>-3.6866563150940975E-3</v>
      </c>
    </row>
    <row r="55" spans="2:12" ht="16" customHeight="1" x14ac:dyDescent="0.35">
      <c r="B55" s="14" t="s">
        <v>98</v>
      </c>
      <c r="C55" s="14" t="s">
        <v>99</v>
      </c>
      <c r="D55" s="61"/>
      <c r="E55" s="15"/>
      <c r="F55" s="45">
        <f>IFERROR(E55/E13, 0)</f>
        <v>0</v>
      </c>
      <c r="G55" s="63"/>
      <c r="H55" s="15"/>
      <c r="I55" s="45">
        <f>IFERROR(H55/H13, 0)</f>
        <v>0</v>
      </c>
      <c r="J55" s="63"/>
      <c r="K55" s="15">
        <f t="shared" si="6"/>
        <v>0</v>
      </c>
      <c r="L55" s="45">
        <f t="shared" si="7"/>
        <v>0</v>
      </c>
    </row>
    <row r="56" spans="2:12" ht="16" customHeight="1" x14ac:dyDescent="0.35">
      <c r="B56" s="14" t="s">
        <v>100</v>
      </c>
      <c r="C56" s="14" t="s">
        <v>88</v>
      </c>
      <c r="D56" s="61"/>
      <c r="E56" s="15">
        <v>-95.397540000000006</v>
      </c>
      <c r="F56" s="45">
        <f>IFERROR(E56/E13, 0)</f>
        <v>-1.0476380698827059E-4</v>
      </c>
      <c r="G56" s="63"/>
      <c r="H56" s="15">
        <v>2.8747500000000001</v>
      </c>
      <c r="I56" s="45">
        <f>IFERROR(H56/H13, 0)</f>
        <v>3.4462963645661609E-6</v>
      </c>
      <c r="J56" s="63"/>
      <c r="K56" s="15">
        <f t="shared" si="6"/>
        <v>-98.272290000000012</v>
      </c>
      <c r="L56" s="45">
        <f t="shared" si="7"/>
        <v>-34.184638664231677</v>
      </c>
    </row>
    <row r="57" spans="2:12" ht="16" customHeight="1" x14ac:dyDescent="0.35">
      <c r="B57" s="16" t="s">
        <v>103</v>
      </c>
      <c r="C57" s="16" t="s">
        <v>104</v>
      </c>
      <c r="D57" s="64"/>
      <c r="E57" s="17">
        <v>-42144.282079999997</v>
      </c>
      <c r="F57" s="84">
        <f>IFERROR(E57/E13, 0)</f>
        <v>-4.6282068001841037E-2</v>
      </c>
      <c r="G57" s="65"/>
      <c r="H57" s="17">
        <v>-34813.941319999998</v>
      </c>
      <c r="I57" s="84">
        <f>IFERROR(H57/H13, 0)</f>
        <v>-4.1735510707830471E-2</v>
      </c>
      <c r="J57" s="65"/>
      <c r="K57" s="17">
        <f t="shared" si="6"/>
        <v>-7330.3407599999991</v>
      </c>
      <c r="L57" s="84">
        <f t="shared" si="7"/>
        <v>-0.21055762381574553</v>
      </c>
    </row>
    <row r="58" spans="2:12" ht="16" customHeight="1" thickBot="1" x14ac:dyDescent="0.4">
      <c r="B58" s="11" t="s">
        <v>105</v>
      </c>
      <c r="C58" s="11" t="s">
        <v>22</v>
      </c>
      <c r="D58" s="29"/>
      <c r="E58" s="12"/>
      <c r="F58" s="85"/>
      <c r="G58" s="12"/>
      <c r="H58" s="12"/>
      <c r="I58" s="85"/>
      <c r="J58" s="12"/>
      <c r="K58" s="12"/>
      <c r="L58" s="85"/>
    </row>
    <row r="59" spans="2:12" ht="16" customHeight="1" thickBot="1" x14ac:dyDescent="0.4">
      <c r="B59" s="18" t="s">
        <v>106</v>
      </c>
      <c r="C59" s="18" t="s">
        <v>107</v>
      </c>
      <c r="D59" s="66"/>
      <c r="E59" s="19">
        <v>-59595.857559999997</v>
      </c>
      <c r="F59" s="86">
        <f>IFERROR(E59/E13, 0)</f>
        <v>-6.5447064135158051E-2</v>
      </c>
      <c r="G59" s="68"/>
      <c r="H59" s="19">
        <v>-51050.491840000002</v>
      </c>
      <c r="I59" s="86">
        <f>IFERROR(H59/H13, 0)</f>
        <v>-6.1200147643275575E-2</v>
      </c>
      <c r="J59" s="68"/>
      <c r="K59" s="19">
        <f>E59-H59</f>
        <v>-8545.3657199999943</v>
      </c>
      <c r="L59" s="86">
        <f>IF(ROUND(K59, 2)=0, 0, IFERROR(K59/ABS(H59), IF(K59&lt;0, -1, 1)))</f>
        <v>-0.16739046798574378</v>
      </c>
    </row>
    <row r="60" spans="2:12" ht="16" customHeight="1" x14ac:dyDescent="0.35">
      <c r="B60" s="11" t="s">
        <v>108</v>
      </c>
      <c r="C60" s="11" t="s">
        <v>22</v>
      </c>
      <c r="D60" s="29"/>
      <c r="E60" s="12"/>
      <c r="F60" s="85"/>
      <c r="G60" s="12"/>
      <c r="H60" s="12"/>
      <c r="I60" s="85"/>
      <c r="J60" s="12"/>
      <c r="K60" s="12"/>
      <c r="L60" s="85"/>
    </row>
    <row r="61" spans="2:12" ht="16" customHeight="1" x14ac:dyDescent="0.35">
      <c r="B61" s="14" t="s">
        <v>109</v>
      </c>
      <c r="C61" s="14" t="s">
        <v>110</v>
      </c>
      <c r="D61" s="61"/>
      <c r="E61" s="15"/>
      <c r="F61" s="45">
        <f>IFERROR(E61/E13, 0)</f>
        <v>0</v>
      </c>
      <c r="G61" s="63"/>
      <c r="H61" s="15"/>
      <c r="I61" s="45">
        <f>IFERROR(H61/H13, 0)</f>
        <v>0</v>
      </c>
      <c r="J61" s="63"/>
      <c r="K61" s="15">
        <f>E61-H61</f>
        <v>0</v>
      </c>
      <c r="L61" s="45">
        <f>IF(ROUND(K61, 2)=0, 0, IFERROR(K61/ABS(H61), IF(K61&lt;0, -1, 1)))</f>
        <v>0</v>
      </c>
    </row>
    <row r="62" spans="2:12" ht="16" customHeight="1" x14ac:dyDescent="0.35">
      <c r="B62" s="14" t="s">
        <v>111</v>
      </c>
      <c r="C62" s="14" t="s">
        <v>112</v>
      </c>
      <c r="D62" s="61"/>
      <c r="E62" s="15"/>
      <c r="F62" s="45">
        <f>IFERROR(E62/E13, 0)</f>
        <v>0</v>
      </c>
      <c r="G62" s="63"/>
      <c r="H62" s="15"/>
      <c r="I62" s="45">
        <f>IFERROR(H62/H13, 0)</f>
        <v>0</v>
      </c>
      <c r="J62" s="63"/>
      <c r="K62" s="15">
        <f>E62-H62</f>
        <v>0</v>
      </c>
      <c r="L62" s="45">
        <f>IF(ROUND(K62, 2)=0, 0, IFERROR(K62/ABS(H62), IF(K62&lt;0, -1, 1)))</f>
        <v>0</v>
      </c>
    </row>
    <row r="63" spans="2:12" ht="16" customHeight="1" x14ac:dyDescent="0.35">
      <c r="B63" s="16" t="s">
        <v>113</v>
      </c>
      <c r="C63" s="16" t="s">
        <v>114</v>
      </c>
      <c r="D63" s="64"/>
      <c r="E63" s="17"/>
      <c r="F63" s="84">
        <f>IFERROR(E63/E13, 0)</f>
        <v>0</v>
      </c>
      <c r="G63" s="65"/>
      <c r="H63" s="17"/>
      <c r="I63" s="84">
        <f>IFERROR(H63/H13, 0)</f>
        <v>0</v>
      </c>
      <c r="J63" s="65"/>
      <c r="K63" s="17">
        <f>E63-H63</f>
        <v>0</v>
      </c>
      <c r="L63" s="84">
        <f>IF(ROUND(K63, 2)=0, 0, IFERROR(K63/ABS(H63), IF(K63&lt;0, -1, 1)))</f>
        <v>0</v>
      </c>
    </row>
    <row r="64" spans="2:12" ht="16" customHeight="1" thickBot="1" x14ac:dyDescent="0.4">
      <c r="B64" s="11" t="s">
        <v>115</v>
      </c>
      <c r="C64" s="11" t="s">
        <v>22</v>
      </c>
      <c r="D64" s="29"/>
      <c r="E64" s="12"/>
      <c r="F64" s="85"/>
      <c r="G64" s="12"/>
      <c r="H64" s="12"/>
      <c r="I64" s="85"/>
      <c r="J64" s="12"/>
      <c r="K64" s="12"/>
      <c r="L64" s="85"/>
    </row>
    <row r="65" spans="2:12" ht="16" customHeight="1" thickBot="1" x14ac:dyDescent="0.4">
      <c r="B65" s="18" t="s">
        <v>116</v>
      </c>
      <c r="C65" s="18" t="s">
        <v>117</v>
      </c>
      <c r="D65" s="66"/>
      <c r="E65" s="19">
        <v>82217.439660000004</v>
      </c>
      <c r="F65" s="86">
        <f>IFERROR(E65/E13, 0)</f>
        <v>9.0289665536553917E-2</v>
      </c>
      <c r="G65" s="68"/>
      <c r="H65" s="19">
        <v>98365.921059999993</v>
      </c>
      <c r="I65" s="86">
        <f>IFERROR(H65/H13, 0)</f>
        <v>0.11792264236760759</v>
      </c>
      <c r="J65" s="68"/>
      <c r="K65" s="19">
        <f>E65-H65</f>
        <v>-16148.48139999999</v>
      </c>
      <c r="L65" s="86">
        <f>IF(ROUND(K65, 2)=0, 0, IFERROR(K65/ABS(H65), IF(K65&lt;0, -1, 1)))</f>
        <v>-0.16416743955612376</v>
      </c>
    </row>
    <row r="66" spans="2:12" ht="16" customHeight="1" x14ac:dyDescent="0.35">
      <c r="B66" s="11" t="s">
        <v>118</v>
      </c>
      <c r="C66" s="11" t="s">
        <v>22</v>
      </c>
      <c r="D66" s="29"/>
      <c r="E66" s="12"/>
      <c r="F66" s="85"/>
      <c r="G66" s="12"/>
      <c r="H66" s="12"/>
      <c r="I66" s="85"/>
      <c r="J66" s="12"/>
      <c r="K66" s="12"/>
      <c r="L66" s="85"/>
    </row>
    <row r="67" spans="2:12" ht="16" customHeight="1" x14ac:dyDescent="0.35">
      <c r="B67" s="14" t="s">
        <v>119</v>
      </c>
      <c r="C67" s="14" t="s">
        <v>120</v>
      </c>
      <c r="D67" s="61"/>
      <c r="E67" s="15">
        <v>-22084.158899999999</v>
      </c>
      <c r="F67" s="45">
        <f>IFERROR(E67/E13, 0)</f>
        <v>-2.4252413222583074E-2</v>
      </c>
      <c r="G67" s="63"/>
      <c r="H67" s="15">
        <v>-34525.533929999998</v>
      </c>
      <c r="I67" s="45">
        <f>IFERROR(H67/H13, 0)</f>
        <v>-4.1389763307301375E-2</v>
      </c>
      <c r="J67" s="63"/>
      <c r="K67" s="15">
        <f>E67-H67</f>
        <v>12441.375029999999</v>
      </c>
      <c r="L67" s="45">
        <f>IF(ROUND(K67, 2)=0, 0, IFERROR(K67/ABS(H67), IF(K67&lt;0, -1, 1)))</f>
        <v>0.3603528639187652</v>
      </c>
    </row>
    <row r="68" spans="2:12" ht="16" customHeight="1" x14ac:dyDescent="0.35">
      <c r="B68" s="14" t="s">
        <v>121</v>
      </c>
      <c r="C68" s="14" t="s">
        <v>64</v>
      </c>
      <c r="D68" s="61"/>
      <c r="E68" s="15"/>
      <c r="F68" s="45">
        <f>IFERROR(E68/E13, 0)</f>
        <v>0</v>
      </c>
      <c r="G68" s="63"/>
      <c r="H68" s="15"/>
      <c r="I68" s="45">
        <f>IFERROR(H68/H13, 0)</f>
        <v>0</v>
      </c>
      <c r="J68" s="63"/>
      <c r="K68" s="15">
        <f>E68-H68</f>
        <v>0</v>
      </c>
      <c r="L68" s="45">
        <f>IF(ROUND(K68, 2)=0, 0, IFERROR(K68/ABS(H68), IF(K68&lt;0, -1, 1)))</f>
        <v>0</v>
      </c>
    </row>
    <row r="69" spans="2:12" ht="16" customHeight="1" x14ac:dyDescent="0.35">
      <c r="B69" s="14" t="s">
        <v>122</v>
      </c>
      <c r="C69" s="14" t="s">
        <v>123</v>
      </c>
      <c r="D69" s="61"/>
      <c r="E69" s="15"/>
      <c r="F69" s="45">
        <f>IFERROR(E69/E13, 0)</f>
        <v>0</v>
      </c>
      <c r="G69" s="63"/>
      <c r="H69" s="15"/>
      <c r="I69" s="45">
        <f>IFERROR(H69/H13, 0)</f>
        <v>0</v>
      </c>
      <c r="J69" s="63"/>
      <c r="K69" s="15">
        <f>E69-H69</f>
        <v>0</v>
      </c>
      <c r="L69" s="45">
        <f>IF(ROUND(K69, 2)=0, 0, IFERROR(K69/ABS(H69), IF(K69&lt;0, -1, 1)))</f>
        <v>0</v>
      </c>
    </row>
    <row r="70" spans="2:12" ht="16" customHeight="1" thickBot="1" x14ac:dyDescent="0.4">
      <c r="B70" s="11" t="s">
        <v>124</v>
      </c>
      <c r="C70" s="11" t="s">
        <v>22</v>
      </c>
      <c r="D70" s="29"/>
      <c r="E70" s="12"/>
      <c r="F70" s="85"/>
      <c r="G70" s="12"/>
      <c r="H70" s="12"/>
      <c r="I70" s="85"/>
      <c r="J70" s="12"/>
      <c r="K70" s="12"/>
      <c r="L70" s="85"/>
    </row>
    <row r="71" spans="2:12" ht="16" customHeight="1" thickBot="1" x14ac:dyDescent="0.4">
      <c r="B71" s="18" t="s">
        <v>125</v>
      </c>
      <c r="C71" s="18" t="s">
        <v>126</v>
      </c>
      <c r="D71" s="66"/>
      <c r="E71" s="19">
        <v>60133.280760000001</v>
      </c>
      <c r="F71" s="86">
        <f>IFERROR(E71/E13, 0)</f>
        <v>6.603725231397084E-2</v>
      </c>
      <c r="G71" s="68"/>
      <c r="H71" s="19">
        <v>63840.387130000003</v>
      </c>
      <c r="I71" s="86">
        <f>IFERROR(H71/H13, 0)</f>
        <v>7.653287906030623E-2</v>
      </c>
      <c r="J71" s="68"/>
      <c r="K71" s="19">
        <f>E71-H71</f>
        <v>-3707.1063700000013</v>
      </c>
      <c r="L71" s="86">
        <f>IF(ROUND(K71, 2)=0, 0, IFERROR(K71/ABS(H71), IF(K71&lt;0, -1, 1)))</f>
        <v>-5.806835667288663E-2</v>
      </c>
    </row>
    <row r="72" spans="2:12" ht="16" customHeight="1" x14ac:dyDescent="0.35">
      <c r="B72" s="11" t="s">
        <v>127</v>
      </c>
      <c r="C72" s="11" t="s">
        <v>22</v>
      </c>
      <c r="D72" s="29"/>
      <c r="E72" s="12"/>
      <c r="F72" s="85"/>
      <c r="G72" s="12"/>
      <c r="H72" s="12"/>
      <c r="I72" s="85"/>
      <c r="J72" s="12"/>
      <c r="K72" s="12"/>
      <c r="L72" s="85"/>
    </row>
    <row r="73" spans="2:12" ht="16" customHeight="1" x14ac:dyDescent="0.35">
      <c r="B73" s="14" t="s">
        <v>128</v>
      </c>
      <c r="C73" s="14" t="s">
        <v>129</v>
      </c>
      <c r="D73" s="61"/>
      <c r="E73" s="15">
        <v>-54721.094689999998</v>
      </c>
      <c r="F73" s="45">
        <f>IFERROR(E73/E13, 0)</f>
        <v>-6.0093690070939336E-2</v>
      </c>
      <c r="G73" s="63"/>
      <c r="H73" s="15">
        <v>-42219.915549999998</v>
      </c>
      <c r="I73" s="45">
        <f>IFERROR(H73/H13, 0)</f>
        <v>-5.0613911286983324E-2</v>
      </c>
      <c r="J73" s="63"/>
      <c r="K73" s="15">
        <f>E73-H73</f>
        <v>-12501.17914</v>
      </c>
      <c r="L73" s="45">
        <f>IF(ROUND(K73, 2)=0, 0, IFERROR(K73/ABS(H73), IF(K73&lt;0, -1, 1)))</f>
        <v>-0.2960967348500535</v>
      </c>
    </row>
    <row r="74" spans="2:12" ht="16" customHeight="1" x14ac:dyDescent="0.35">
      <c r="B74" s="14" t="s">
        <v>130</v>
      </c>
      <c r="C74" s="14" t="s">
        <v>131</v>
      </c>
      <c r="D74" s="61"/>
      <c r="E74" s="15">
        <v>-1463.2139999999999</v>
      </c>
      <c r="F74" s="45">
        <f>IFERROR(E74/E13, 0)</f>
        <v>-1.606874444336147E-3</v>
      </c>
      <c r="G74" s="63"/>
      <c r="H74" s="15">
        <v>-1514.5016700000001</v>
      </c>
      <c r="I74" s="45">
        <f>IFERROR(H74/H13, 0)</f>
        <v>-1.815608870145362E-3</v>
      </c>
      <c r="J74" s="63"/>
      <c r="K74" s="15">
        <f>E74-H74</f>
        <v>51.287670000000162</v>
      </c>
      <c r="L74" s="45">
        <f>IF(ROUND(K74, 2)=0, 0, IFERROR(K74/ABS(H74), IF(K74&lt;0, -1, 1)))</f>
        <v>3.3864386560894424E-2</v>
      </c>
    </row>
    <row r="75" spans="2:12" ht="16" customHeight="1" x14ac:dyDescent="0.35">
      <c r="B75" s="14" t="s">
        <v>132</v>
      </c>
      <c r="C75" s="14" t="s">
        <v>133</v>
      </c>
      <c r="D75" s="61"/>
      <c r="E75" s="15">
        <v>-3218.6956500000001</v>
      </c>
      <c r="F75" s="45">
        <f>IFERROR(E75/E13, 0)</f>
        <v>-3.5347117947756948E-3</v>
      </c>
      <c r="G75" s="63"/>
      <c r="H75" s="15"/>
      <c r="I75" s="45">
        <f>IFERROR(H75/H13, 0)</f>
        <v>0</v>
      </c>
      <c r="J75" s="63"/>
      <c r="K75" s="15">
        <f>E75-H75</f>
        <v>-3218.6956500000001</v>
      </c>
      <c r="L75" s="45">
        <f>IF(ROUND(K75, 2)=0, 0, IFERROR(K75/ABS(H75), IF(K75&lt;0, -1, 1)))</f>
        <v>-1</v>
      </c>
    </row>
    <row r="76" spans="2:12" ht="16" customHeight="1" x14ac:dyDescent="0.35">
      <c r="B76" s="14" t="s">
        <v>134</v>
      </c>
      <c r="C76" s="14" t="s">
        <v>135</v>
      </c>
      <c r="D76" s="61"/>
      <c r="E76" s="15"/>
      <c r="F76" s="45">
        <f>IFERROR(E76/E13, 0)</f>
        <v>0</v>
      </c>
      <c r="G76" s="63"/>
      <c r="H76" s="15"/>
      <c r="I76" s="45">
        <f>IFERROR(H76/H13, 0)</f>
        <v>0</v>
      </c>
      <c r="J76" s="63"/>
      <c r="K76" s="15">
        <f>E76-H76</f>
        <v>0</v>
      </c>
      <c r="L76" s="45">
        <f>IF(ROUND(K76, 2)=0, 0, IFERROR(K76/ABS(H76), IF(K76&lt;0, -1, 1)))</f>
        <v>0</v>
      </c>
    </row>
    <row r="77" spans="2:12" ht="16" customHeight="1" thickBot="1" x14ac:dyDescent="0.4">
      <c r="B77" s="11" t="s">
        <v>136</v>
      </c>
      <c r="C77" s="11" t="s">
        <v>22</v>
      </c>
      <c r="D77" s="29"/>
      <c r="E77" s="12"/>
      <c r="F77" s="85"/>
      <c r="G77" s="12"/>
      <c r="H77" s="12"/>
      <c r="I77" s="85"/>
      <c r="J77" s="12"/>
      <c r="K77" s="12"/>
      <c r="L77" s="85"/>
    </row>
    <row r="78" spans="2:12" ht="16" customHeight="1" thickBot="1" x14ac:dyDescent="0.4">
      <c r="B78" s="18" t="s">
        <v>137</v>
      </c>
      <c r="C78" s="18" t="s">
        <v>138</v>
      </c>
      <c r="D78" s="66"/>
      <c r="E78" s="19">
        <v>730.27642000000003</v>
      </c>
      <c r="F78" s="86">
        <f>IFERROR(E78/E13, 0)</f>
        <v>8.0197600391965272E-4</v>
      </c>
      <c r="G78" s="68"/>
      <c r="H78" s="19">
        <v>20105.96991</v>
      </c>
      <c r="I78" s="86">
        <f>IFERROR(H78/H13, 0)</f>
        <v>2.4103358903177535E-2</v>
      </c>
      <c r="J78" s="68"/>
      <c r="K78" s="19">
        <f>E78-H78</f>
        <v>-19375.693490000001</v>
      </c>
      <c r="L78" s="86">
        <f>IF(ROUND(K78, 2)=0, 0, IFERROR(K78/ABS(H78), IF(K78&lt;0, -1, 1)))</f>
        <v>-0.96367862762806655</v>
      </c>
    </row>
    <row r="79" spans="2:12" ht="16" customHeight="1" x14ac:dyDescent="0.35">
      <c r="B79" s="11" t="s">
        <v>139</v>
      </c>
      <c r="C79" s="11" t="s">
        <v>22</v>
      </c>
      <c r="D79" s="29"/>
      <c r="E79" s="12"/>
      <c r="F79" s="85"/>
      <c r="G79" s="12"/>
      <c r="H79" s="12"/>
      <c r="I79" s="85"/>
      <c r="J79" s="12"/>
      <c r="K79" s="12"/>
      <c r="L79" s="85"/>
    </row>
    <row r="80" spans="2:12" ht="16" customHeight="1" x14ac:dyDescent="0.35">
      <c r="B80" s="14" t="s">
        <v>140</v>
      </c>
      <c r="C80" s="14" t="s">
        <v>141</v>
      </c>
      <c r="D80" s="61"/>
      <c r="E80" s="15">
        <v>-2531.78622</v>
      </c>
      <c r="F80" s="45">
        <f>IFERROR(E80/E13, 0)</f>
        <v>-2.7803606139911279E-3</v>
      </c>
      <c r="G80" s="63"/>
      <c r="H80" s="15"/>
      <c r="I80" s="45">
        <f>IFERROR(H80/H13, 0)</f>
        <v>0</v>
      </c>
      <c r="J80" s="63"/>
      <c r="K80" s="15">
        <f t="shared" ref="K80:K85" si="8">E80-H80</f>
        <v>-2531.78622</v>
      </c>
      <c r="L80" s="45">
        <f t="shared" ref="L80:L85" si="9">IF(ROUND(K80, 2)=0, 0, IFERROR(K80/ABS(H80), IF(K80&lt;0, -1, 1)))</f>
        <v>-1</v>
      </c>
    </row>
    <row r="81" spans="2:12" ht="16" customHeight="1" x14ac:dyDescent="0.35">
      <c r="B81" s="14" t="s">
        <v>142</v>
      </c>
      <c r="C81" s="14" t="s">
        <v>143</v>
      </c>
      <c r="D81" s="61"/>
      <c r="E81" s="15">
        <v>-2304.8542200000002</v>
      </c>
      <c r="F81" s="45">
        <f>IFERROR(E81/E13, 0)</f>
        <v>-2.5311481054981185E-3</v>
      </c>
      <c r="G81" s="63"/>
      <c r="H81" s="15">
        <v>-691.62864000000002</v>
      </c>
      <c r="I81" s="45">
        <f>IFERROR(H81/H13, 0)</f>
        <v>-8.2913549618639465E-4</v>
      </c>
      <c r="J81" s="63"/>
      <c r="K81" s="15">
        <f t="shared" si="8"/>
        <v>-1613.2255800000003</v>
      </c>
      <c r="L81" s="45">
        <f t="shared" si="9"/>
        <v>-2.3325025695870552</v>
      </c>
    </row>
    <row r="82" spans="2:12" ht="16" customHeight="1" x14ac:dyDescent="0.35">
      <c r="B82" s="14" t="s">
        <v>144</v>
      </c>
      <c r="C82" s="14" t="s">
        <v>145</v>
      </c>
      <c r="D82" s="61"/>
      <c r="E82" s="15"/>
      <c r="F82" s="45">
        <f>IFERROR(E82/E13, 0)</f>
        <v>0</v>
      </c>
      <c r="G82" s="63"/>
      <c r="H82" s="15">
        <v>-960.85621000000003</v>
      </c>
      <c r="I82" s="45">
        <f>IFERROR(H82/H13, 0)</f>
        <v>-1.1518898211649081E-3</v>
      </c>
      <c r="J82" s="63"/>
      <c r="K82" s="15">
        <f t="shared" si="8"/>
        <v>960.85621000000003</v>
      </c>
      <c r="L82" s="45">
        <f t="shared" si="9"/>
        <v>1</v>
      </c>
    </row>
    <row r="83" spans="2:12" ht="16" customHeight="1" x14ac:dyDescent="0.35">
      <c r="B83" s="14" t="s">
        <v>146</v>
      </c>
      <c r="C83" s="14" t="s">
        <v>147</v>
      </c>
      <c r="D83" s="61"/>
      <c r="E83" s="15">
        <v>-3453.2849099999999</v>
      </c>
      <c r="F83" s="45">
        <f>IFERROR(E83/E13, 0)</f>
        <v>-3.7923333640128179E-3</v>
      </c>
      <c r="G83" s="63"/>
      <c r="H83" s="15"/>
      <c r="I83" s="45">
        <f>IFERROR(H83/H13, 0)</f>
        <v>0</v>
      </c>
      <c r="J83" s="63"/>
      <c r="K83" s="15">
        <f t="shared" si="8"/>
        <v>-3453.2849099999999</v>
      </c>
      <c r="L83" s="45">
        <f t="shared" si="9"/>
        <v>-1</v>
      </c>
    </row>
    <row r="84" spans="2:12" ht="16" customHeight="1" x14ac:dyDescent="0.35">
      <c r="B84" s="14" t="s">
        <v>148</v>
      </c>
      <c r="C84" s="14" t="s">
        <v>149</v>
      </c>
      <c r="D84" s="61"/>
      <c r="E84" s="15"/>
      <c r="F84" s="45">
        <f>IFERROR(E84/E13, 0)</f>
        <v>0</v>
      </c>
      <c r="G84" s="63"/>
      <c r="H84" s="15"/>
      <c r="I84" s="45">
        <f>IFERROR(H84/H13, 0)</f>
        <v>0</v>
      </c>
      <c r="J84" s="63"/>
      <c r="K84" s="15">
        <f t="shared" si="8"/>
        <v>0</v>
      </c>
      <c r="L84" s="45">
        <f t="shared" si="9"/>
        <v>0</v>
      </c>
    </row>
    <row r="85" spans="2:12" ht="16" customHeight="1" x14ac:dyDescent="0.35">
      <c r="B85" s="16" t="s">
        <v>150</v>
      </c>
      <c r="C85" s="16" t="s">
        <v>151</v>
      </c>
      <c r="D85" s="64"/>
      <c r="E85" s="17">
        <v>-8289.9253499999995</v>
      </c>
      <c r="F85" s="84">
        <f>IFERROR(E85/E13, 0)</f>
        <v>-9.1038420835020638E-3</v>
      </c>
      <c r="G85" s="65"/>
      <c r="H85" s="17">
        <v>-1652.4848500000001</v>
      </c>
      <c r="I85" s="84">
        <f>IFERROR(H85/H13, 0)</f>
        <v>-1.9810253173513028E-3</v>
      </c>
      <c r="J85" s="65"/>
      <c r="K85" s="17">
        <f t="shared" si="8"/>
        <v>-6637.4404999999997</v>
      </c>
      <c r="L85" s="84">
        <f t="shared" si="9"/>
        <v>-4.0166422705781537</v>
      </c>
    </row>
    <row r="86" spans="2:12" ht="16" customHeight="1" x14ac:dyDescent="0.35">
      <c r="B86" s="11" t="s">
        <v>152</v>
      </c>
      <c r="C86" s="11" t="s">
        <v>22</v>
      </c>
      <c r="D86" s="29"/>
      <c r="E86" s="12"/>
      <c r="F86" s="85"/>
      <c r="G86" s="12"/>
      <c r="H86" s="12"/>
      <c r="I86" s="85"/>
      <c r="J86" s="12"/>
      <c r="K86" s="12"/>
      <c r="L86" s="85"/>
    </row>
    <row r="87" spans="2:12" ht="16" customHeight="1" x14ac:dyDescent="0.35">
      <c r="B87" s="14" t="s">
        <v>153</v>
      </c>
      <c r="C87" s="14" t="s">
        <v>154</v>
      </c>
      <c r="D87" s="61"/>
      <c r="E87" s="15"/>
      <c r="F87" s="45">
        <f>IFERROR(E87/E13, 0)</f>
        <v>0</v>
      </c>
      <c r="G87" s="63"/>
      <c r="H87" s="15"/>
      <c r="I87" s="45">
        <f>IFERROR(H87/H13, 0)</f>
        <v>0</v>
      </c>
      <c r="J87" s="63"/>
      <c r="K87" s="15">
        <f t="shared" ref="K87:K92" si="10">E87-H87</f>
        <v>0</v>
      </c>
      <c r="L87" s="45">
        <f t="shared" ref="L87:L92" si="11">IF(ROUND(K87, 2)=0, 0, IFERROR(K87/ABS(H87), IF(K87&lt;0, -1, 1)))</f>
        <v>0</v>
      </c>
    </row>
    <row r="88" spans="2:12" ht="16" customHeight="1" x14ac:dyDescent="0.35">
      <c r="B88" s="14" t="s">
        <v>155</v>
      </c>
      <c r="C88" s="14" t="s">
        <v>156</v>
      </c>
      <c r="D88" s="61"/>
      <c r="E88" s="15"/>
      <c r="F88" s="45">
        <f>IFERROR(E88/E13, 0)</f>
        <v>0</v>
      </c>
      <c r="G88" s="63"/>
      <c r="H88" s="15"/>
      <c r="I88" s="45">
        <f>IFERROR(H88/H13, 0)</f>
        <v>0</v>
      </c>
      <c r="J88" s="63"/>
      <c r="K88" s="15">
        <f t="shared" si="10"/>
        <v>0</v>
      </c>
      <c r="L88" s="45">
        <f t="shared" si="11"/>
        <v>0</v>
      </c>
    </row>
    <row r="89" spans="2:12" ht="16" customHeight="1" x14ac:dyDescent="0.35">
      <c r="B89" s="14" t="s">
        <v>157</v>
      </c>
      <c r="C89" s="14" t="s">
        <v>158</v>
      </c>
      <c r="D89" s="61"/>
      <c r="E89" s="15"/>
      <c r="F89" s="45">
        <f>IFERROR(E89/E13, 0)</f>
        <v>0</v>
      </c>
      <c r="G89" s="63"/>
      <c r="H89" s="15"/>
      <c r="I89" s="45">
        <f>IFERROR(H89/H13, 0)</f>
        <v>0</v>
      </c>
      <c r="J89" s="63"/>
      <c r="K89" s="15">
        <f t="shared" si="10"/>
        <v>0</v>
      </c>
      <c r="L89" s="45">
        <f t="shared" si="11"/>
        <v>0</v>
      </c>
    </row>
    <row r="90" spans="2:12" ht="16" customHeight="1" x14ac:dyDescent="0.35">
      <c r="B90" s="14" t="s">
        <v>159</v>
      </c>
      <c r="C90" s="14" t="s">
        <v>160</v>
      </c>
      <c r="D90" s="61"/>
      <c r="E90" s="15"/>
      <c r="F90" s="45">
        <f>IFERROR(E90/E13, 0)</f>
        <v>0</v>
      </c>
      <c r="G90" s="63"/>
      <c r="H90" s="15"/>
      <c r="I90" s="45">
        <f>IFERROR(H90/H13, 0)</f>
        <v>0</v>
      </c>
      <c r="J90" s="63"/>
      <c r="K90" s="15">
        <f t="shared" si="10"/>
        <v>0</v>
      </c>
      <c r="L90" s="45">
        <f t="shared" si="11"/>
        <v>0</v>
      </c>
    </row>
    <row r="91" spans="2:12" ht="16" customHeight="1" x14ac:dyDescent="0.35">
      <c r="B91" s="14" t="s">
        <v>161</v>
      </c>
      <c r="C91" s="14" t="s">
        <v>162</v>
      </c>
      <c r="D91" s="61"/>
      <c r="E91" s="15"/>
      <c r="F91" s="45">
        <f>IFERROR(E91/E13, 0)</f>
        <v>0</v>
      </c>
      <c r="G91" s="63"/>
      <c r="H91" s="15"/>
      <c r="I91" s="45">
        <f>IFERROR(H91/H13, 0)</f>
        <v>0</v>
      </c>
      <c r="J91" s="63"/>
      <c r="K91" s="15">
        <f t="shared" si="10"/>
        <v>0</v>
      </c>
      <c r="L91" s="45">
        <f t="shared" si="11"/>
        <v>0</v>
      </c>
    </row>
    <row r="92" spans="2:12" ht="16" customHeight="1" x14ac:dyDescent="0.35">
      <c r="B92" s="16" t="s">
        <v>163</v>
      </c>
      <c r="C92" s="16" t="s">
        <v>164</v>
      </c>
      <c r="D92" s="64"/>
      <c r="E92" s="17"/>
      <c r="F92" s="84">
        <f>IFERROR(E92/E13, 0)</f>
        <v>0</v>
      </c>
      <c r="G92" s="65"/>
      <c r="H92" s="17"/>
      <c r="I92" s="84">
        <f>IFERROR(H92/H13, 0)</f>
        <v>0</v>
      </c>
      <c r="J92" s="65"/>
      <c r="K92" s="17">
        <f t="shared" si="10"/>
        <v>0</v>
      </c>
      <c r="L92" s="84">
        <f t="shared" si="11"/>
        <v>0</v>
      </c>
    </row>
    <row r="93" spans="2:12" ht="16" customHeight="1" x14ac:dyDescent="0.35">
      <c r="B93" s="11" t="s">
        <v>165</v>
      </c>
      <c r="C93" s="11" t="s">
        <v>22</v>
      </c>
      <c r="D93" s="29"/>
      <c r="E93" s="12"/>
      <c r="F93" s="85"/>
      <c r="G93" s="12"/>
      <c r="H93" s="12"/>
      <c r="I93" s="85"/>
      <c r="J93" s="12"/>
      <c r="K93" s="12"/>
      <c r="L93" s="85"/>
    </row>
    <row r="94" spans="2:12" ht="16" customHeight="1" thickBot="1" x14ac:dyDescent="0.4">
      <c r="B94" s="14" t="s">
        <v>166</v>
      </c>
      <c r="C94" s="14" t="s">
        <v>167</v>
      </c>
      <c r="D94" s="61"/>
      <c r="E94" s="15"/>
      <c r="F94" s="45">
        <f>IFERROR(E94/E13, 0)</f>
        <v>0</v>
      </c>
      <c r="G94" s="63"/>
      <c r="H94" s="15"/>
      <c r="I94" s="45">
        <f>IFERROR(H94/H13, 0)</f>
        <v>0</v>
      </c>
      <c r="J94" s="63"/>
      <c r="K94" s="15">
        <f>E94-H94</f>
        <v>0</v>
      </c>
      <c r="L94" s="45">
        <f>IF(ROUND(K94, 2)=0, 0, IFERROR(K94/ABS(H94), IF(K94&lt;0, -1, 1)))</f>
        <v>0</v>
      </c>
    </row>
    <row r="95" spans="2:12" ht="16" customHeight="1" thickBot="1" x14ac:dyDescent="0.4">
      <c r="B95" s="18" t="s">
        <v>169</v>
      </c>
      <c r="C95" s="18" t="s">
        <v>170</v>
      </c>
      <c r="D95" s="66"/>
      <c r="E95" s="19">
        <v>-7559.6489300000003</v>
      </c>
      <c r="F95" s="86">
        <f>IFERROR(E95/E13, 0)</f>
        <v>-8.3018660795824116E-3</v>
      </c>
      <c r="G95" s="68"/>
      <c r="H95" s="19">
        <v>18453.485059999999</v>
      </c>
      <c r="I95" s="86">
        <f>IFERROR(H95/H13, 0)</f>
        <v>2.2122333585826229E-2</v>
      </c>
      <c r="J95" s="68"/>
      <c r="K95" s="19">
        <f>E95-H95</f>
        <v>-26013.133989999998</v>
      </c>
      <c r="L95" s="86">
        <f>IF(ROUND(K95, 2)=0, 0, IFERROR(K95/ABS(H95), IF(K95&lt;0, -1, 1)))</f>
        <v>-1.4096596878812007</v>
      </c>
    </row>
    <row r="96" spans="2:12" ht="16" customHeight="1" x14ac:dyDescent="0.35">
      <c r="B96" s="11" t="s">
        <v>171</v>
      </c>
      <c r="C96" s="11" t="s">
        <v>22</v>
      </c>
      <c r="D96" s="29"/>
      <c r="E96" s="12"/>
      <c r="F96" s="85"/>
      <c r="G96" s="12"/>
      <c r="H96" s="12"/>
      <c r="I96" s="85"/>
      <c r="J96" s="12"/>
      <c r="K96" s="12"/>
      <c r="L96" s="85"/>
    </row>
    <row r="97" spans="2:12" ht="16" customHeight="1" x14ac:dyDescent="0.35">
      <c r="B97" s="14" t="s">
        <v>172</v>
      </c>
      <c r="C97" s="14" t="s">
        <v>173</v>
      </c>
      <c r="D97" s="61"/>
      <c r="E97" s="15"/>
      <c r="F97" s="45">
        <f>IFERROR(E97/E13, 0)</f>
        <v>0</v>
      </c>
      <c r="G97" s="63"/>
      <c r="H97" s="15"/>
      <c r="I97" s="45">
        <f>IFERROR(H97/H13, 0)</f>
        <v>0</v>
      </c>
      <c r="J97" s="63"/>
      <c r="K97" s="15">
        <f>E97-H97</f>
        <v>0</v>
      </c>
      <c r="L97" s="45">
        <f>IF(ROUND(K97, 2)=0, 0, IFERROR(K97/ABS(H97), IF(K97&lt;0, -1, 1)))</f>
        <v>0</v>
      </c>
    </row>
    <row r="98" spans="2:12" ht="16" customHeight="1" x14ac:dyDescent="0.35">
      <c r="B98" s="14" t="s">
        <v>174</v>
      </c>
      <c r="C98" s="14" t="s">
        <v>175</v>
      </c>
      <c r="D98" s="61"/>
      <c r="E98" s="15"/>
      <c r="F98" s="45">
        <f>IFERROR(E98/E13, 0)</f>
        <v>0</v>
      </c>
      <c r="G98" s="63"/>
      <c r="H98" s="15"/>
      <c r="I98" s="45">
        <f>IFERROR(H98/H13, 0)</f>
        <v>0</v>
      </c>
      <c r="J98" s="63"/>
      <c r="K98" s="15">
        <f>E98-H98</f>
        <v>0</v>
      </c>
      <c r="L98" s="45">
        <f>IF(ROUND(K98, 2)=0, 0, IFERROR(K98/ABS(H98), IF(K98&lt;0, -1, 1)))</f>
        <v>0</v>
      </c>
    </row>
    <row r="99" spans="2:12" ht="16" customHeight="1" x14ac:dyDescent="0.35">
      <c r="B99" s="14" t="s">
        <v>176</v>
      </c>
      <c r="C99" s="14" t="s">
        <v>177</v>
      </c>
      <c r="D99" s="61"/>
      <c r="E99" s="15"/>
      <c r="F99" s="45">
        <f>IFERROR(E99/E13, 0)</f>
        <v>0</v>
      </c>
      <c r="G99" s="63"/>
      <c r="H99" s="15"/>
      <c r="I99" s="45">
        <f>IFERROR(H99/H13, 0)</f>
        <v>0</v>
      </c>
      <c r="J99" s="63"/>
      <c r="K99" s="15">
        <f>E99-H99</f>
        <v>0</v>
      </c>
      <c r="L99" s="45">
        <f>IF(ROUND(K99, 2)=0, 0, IFERROR(K99/ABS(H99), IF(K99&lt;0, -1, 1)))</f>
        <v>0</v>
      </c>
    </row>
    <row r="100" spans="2:12" ht="16" customHeight="1" x14ac:dyDescent="0.35">
      <c r="B100" s="14" t="s">
        <v>178</v>
      </c>
      <c r="C100" s="14" t="s">
        <v>179</v>
      </c>
      <c r="D100" s="61"/>
      <c r="E100" s="15"/>
      <c r="F100" s="45">
        <f>IFERROR(E100/E13, 0)</f>
        <v>0</v>
      </c>
      <c r="G100" s="63"/>
      <c r="H100" s="15"/>
      <c r="I100" s="45">
        <f>IFERROR(H100/H13, 0)</f>
        <v>0</v>
      </c>
      <c r="J100" s="63"/>
      <c r="K100" s="15">
        <f>E100-H100</f>
        <v>0</v>
      </c>
      <c r="L100" s="45">
        <f>IF(ROUND(K100, 2)=0, 0, IFERROR(K100/ABS(H100), IF(K100&lt;0, -1, 1)))</f>
        <v>0</v>
      </c>
    </row>
    <row r="101" spans="2:12" ht="16" customHeight="1" x14ac:dyDescent="0.35">
      <c r="B101" s="16" t="s">
        <v>180</v>
      </c>
      <c r="C101" s="16" t="s">
        <v>181</v>
      </c>
      <c r="D101" s="64"/>
      <c r="E101" s="17"/>
      <c r="F101" s="84">
        <f>IFERROR(E101/E13, 0)</f>
        <v>0</v>
      </c>
      <c r="G101" s="65"/>
      <c r="H101" s="17"/>
      <c r="I101" s="84">
        <f>IFERROR(H101/H13, 0)</f>
        <v>0</v>
      </c>
      <c r="J101" s="65"/>
      <c r="K101" s="17">
        <f>E101-H101</f>
        <v>0</v>
      </c>
      <c r="L101" s="84">
        <f>IF(ROUND(K101, 2)=0, 0, IFERROR(K101/ABS(H101), IF(K101&lt;0, -1, 1)))</f>
        <v>0</v>
      </c>
    </row>
    <row r="102" spans="2:12" ht="16" customHeight="1" x14ac:dyDescent="0.35">
      <c r="B102" s="11" t="s">
        <v>182</v>
      </c>
      <c r="C102" s="11" t="s">
        <v>22</v>
      </c>
      <c r="D102" s="29"/>
      <c r="E102" s="12"/>
      <c r="F102" s="85"/>
      <c r="G102" s="12"/>
      <c r="H102" s="12"/>
      <c r="I102" s="85"/>
      <c r="J102" s="12"/>
      <c r="K102" s="12"/>
      <c r="L102" s="85"/>
    </row>
    <row r="103" spans="2:12" ht="16" customHeight="1" x14ac:dyDescent="0.35">
      <c r="B103" s="14" t="s">
        <v>183</v>
      </c>
      <c r="C103" s="14" t="s">
        <v>184</v>
      </c>
      <c r="D103" s="61"/>
      <c r="E103" s="15"/>
      <c r="F103" s="45">
        <f>IFERROR(E103/E13, 0)</f>
        <v>0</v>
      </c>
      <c r="G103" s="63"/>
      <c r="H103" s="15"/>
      <c r="I103" s="45">
        <f>IFERROR(H103/H13, 0)</f>
        <v>0</v>
      </c>
      <c r="J103" s="63"/>
      <c r="K103" s="15">
        <f>E103-H103</f>
        <v>0</v>
      </c>
      <c r="L103" s="45">
        <f>IF(ROUND(K103, 2)=0, 0, IFERROR(K103/ABS(H103), IF(K103&lt;0, -1, 1)))</f>
        <v>0</v>
      </c>
    </row>
    <row r="104" spans="2:12" ht="16" customHeight="1" x14ac:dyDescent="0.35">
      <c r="B104" s="14" t="s">
        <v>185</v>
      </c>
      <c r="C104" s="14" t="s">
        <v>186</v>
      </c>
      <c r="D104" s="61"/>
      <c r="E104" s="15"/>
      <c r="F104" s="45">
        <f>IFERROR(E104/E13, 0)</f>
        <v>0</v>
      </c>
      <c r="G104" s="63"/>
      <c r="H104" s="15"/>
      <c r="I104" s="45">
        <f>IFERROR(H104/H13, 0)</f>
        <v>0</v>
      </c>
      <c r="J104" s="63"/>
      <c r="K104" s="15">
        <f>E104-H104</f>
        <v>0</v>
      </c>
      <c r="L104" s="45">
        <f>IF(ROUND(K104, 2)=0, 0, IFERROR(K104/ABS(H104), IF(K104&lt;0, -1, 1)))</f>
        <v>0</v>
      </c>
    </row>
    <row r="105" spans="2:12" ht="16" customHeight="1" x14ac:dyDescent="0.35">
      <c r="B105" s="14" t="s">
        <v>187</v>
      </c>
      <c r="C105" s="14" t="s">
        <v>188</v>
      </c>
      <c r="D105" s="61"/>
      <c r="E105" s="15">
        <v>3.88246</v>
      </c>
      <c r="F105" s="45">
        <f>IFERROR(E105/E13, 0)</f>
        <v>4.2636454784859336E-6</v>
      </c>
      <c r="G105" s="63"/>
      <c r="H105" s="15">
        <v>0.36046</v>
      </c>
      <c r="I105" s="45">
        <f>IFERROR(H105/H13, 0)</f>
        <v>4.3212522395739396E-7</v>
      </c>
      <c r="J105" s="63"/>
      <c r="K105" s="15">
        <f>E105-H105</f>
        <v>3.5220000000000002</v>
      </c>
      <c r="L105" s="45">
        <f>IF(ROUND(K105, 2)=0, 0, IFERROR(K105/ABS(H105), IF(K105&lt;0, -1, 1)))</f>
        <v>9.7708483604283423</v>
      </c>
    </row>
    <row r="106" spans="2:12" ht="16" customHeight="1" x14ac:dyDescent="0.35">
      <c r="B106" s="14" t="s">
        <v>189</v>
      </c>
      <c r="C106" s="14" t="s">
        <v>190</v>
      </c>
      <c r="D106" s="61"/>
      <c r="E106" s="15"/>
      <c r="F106" s="45">
        <f>IFERROR(E106/E13, 0)</f>
        <v>0</v>
      </c>
      <c r="G106" s="63"/>
      <c r="H106" s="15"/>
      <c r="I106" s="45">
        <f>IFERROR(H106/H13, 0)</f>
        <v>0</v>
      </c>
      <c r="J106" s="63"/>
      <c r="K106" s="15">
        <f>E106-H106</f>
        <v>0</v>
      </c>
      <c r="L106" s="45">
        <f>IF(ROUND(K106, 2)=0, 0, IFERROR(K106/ABS(H106), IF(K106&lt;0, -1, 1)))</f>
        <v>0</v>
      </c>
    </row>
    <row r="107" spans="2:12" ht="16" customHeight="1" x14ac:dyDescent="0.35">
      <c r="B107" s="16" t="s">
        <v>191</v>
      </c>
      <c r="C107" s="16" t="s">
        <v>192</v>
      </c>
      <c r="D107" s="64"/>
      <c r="E107" s="17">
        <v>3.88246</v>
      </c>
      <c r="F107" s="84">
        <f>IFERROR(E107/E13, 0)</f>
        <v>4.2636454784859336E-6</v>
      </c>
      <c r="G107" s="65"/>
      <c r="H107" s="17">
        <v>0.36046</v>
      </c>
      <c r="I107" s="84">
        <f>IFERROR(H107/H13, 0)</f>
        <v>4.3212522395739396E-7</v>
      </c>
      <c r="J107" s="65"/>
      <c r="K107" s="17">
        <f>E107-H107</f>
        <v>3.5220000000000002</v>
      </c>
      <c r="L107" s="84">
        <f>IF(ROUND(K107, 2)=0, 0, IFERROR(K107/ABS(H107), IF(K107&lt;0, -1, 1)))</f>
        <v>9.7708483604283423</v>
      </c>
    </row>
    <row r="108" spans="2:12" ht="16" customHeight="1" x14ac:dyDescent="0.35">
      <c r="B108" s="11" t="s">
        <v>193</v>
      </c>
      <c r="C108" s="11" t="s">
        <v>22</v>
      </c>
      <c r="D108" s="29"/>
      <c r="E108" s="12"/>
      <c r="F108" s="85"/>
      <c r="G108" s="12"/>
      <c r="H108" s="12"/>
      <c r="I108" s="85"/>
      <c r="J108" s="12"/>
      <c r="K108" s="12"/>
      <c r="L108" s="85"/>
    </row>
    <row r="109" spans="2:12" ht="16" customHeight="1" x14ac:dyDescent="0.35">
      <c r="B109" s="14" t="s">
        <v>194</v>
      </c>
      <c r="C109" s="14" t="s">
        <v>195</v>
      </c>
      <c r="D109" s="61"/>
      <c r="E109" s="15">
        <v>-7948.6327700000002</v>
      </c>
      <c r="F109" s="45">
        <f>IFERROR(E109/E13, 0)</f>
        <v>-8.7290409096180323E-3</v>
      </c>
      <c r="G109" s="63"/>
      <c r="H109" s="15">
        <v>-9486.2685799999999</v>
      </c>
      <c r="I109" s="45">
        <f>IFERROR(H109/H13, 0)</f>
        <v>-1.1372290780259916E-2</v>
      </c>
      <c r="J109" s="63"/>
      <c r="K109" s="15">
        <f t="shared" ref="K109:K114" si="12">E109-H109</f>
        <v>1537.6358099999998</v>
      </c>
      <c r="L109" s="45">
        <f t="shared" ref="L109:L114" si="13">IF(ROUND(K109, 2)=0, 0, IFERROR(K109/ABS(H109), IF(K109&lt;0, -1, 1)))</f>
        <v>0.1620906889819474</v>
      </c>
    </row>
    <row r="110" spans="2:12" ht="16" customHeight="1" x14ac:dyDescent="0.35">
      <c r="B110" s="14" t="s">
        <v>196</v>
      </c>
      <c r="C110" s="14" t="s">
        <v>197</v>
      </c>
      <c r="D110" s="61"/>
      <c r="E110" s="15"/>
      <c r="F110" s="45">
        <f>IFERROR(E110/E13, 0)</f>
        <v>0</v>
      </c>
      <c r="G110" s="63"/>
      <c r="H110" s="15"/>
      <c r="I110" s="45">
        <f>IFERROR(H110/H13, 0)</f>
        <v>0</v>
      </c>
      <c r="J110" s="63"/>
      <c r="K110" s="15">
        <f t="shared" si="12"/>
        <v>0</v>
      </c>
      <c r="L110" s="45">
        <f t="shared" si="13"/>
        <v>0</v>
      </c>
    </row>
    <row r="111" spans="2:12" ht="16" customHeight="1" x14ac:dyDescent="0.35">
      <c r="B111" s="14" t="s">
        <v>198</v>
      </c>
      <c r="C111" s="14" t="s">
        <v>199</v>
      </c>
      <c r="D111" s="61"/>
      <c r="E111" s="15">
        <v>-5721.3490599999996</v>
      </c>
      <c r="F111" s="45">
        <f>IFERROR(E111/E13, 0)</f>
        <v>-6.283079297792829E-3</v>
      </c>
      <c r="G111" s="63"/>
      <c r="H111" s="15">
        <v>-12257.82395</v>
      </c>
      <c r="I111" s="45">
        <f>IFERROR(H111/H13, 0)</f>
        <v>-1.4694875768806685E-2</v>
      </c>
      <c r="J111" s="63"/>
      <c r="K111" s="15">
        <f t="shared" si="12"/>
        <v>6536.4748900000004</v>
      </c>
      <c r="L111" s="45">
        <f t="shared" si="13"/>
        <v>0.5332492061121501</v>
      </c>
    </row>
    <row r="112" spans="2:12" ht="16" customHeight="1" x14ac:dyDescent="0.35">
      <c r="B112" s="14" t="s">
        <v>200</v>
      </c>
      <c r="C112" s="14" t="s">
        <v>201</v>
      </c>
      <c r="D112" s="61"/>
      <c r="E112" s="15"/>
      <c r="F112" s="45">
        <f>IFERROR(E112/E13, 0)</f>
        <v>0</v>
      </c>
      <c r="G112" s="63"/>
      <c r="H112" s="15"/>
      <c r="I112" s="45">
        <f>IFERROR(H112/H13, 0)</f>
        <v>0</v>
      </c>
      <c r="J112" s="63"/>
      <c r="K112" s="15">
        <f t="shared" si="12"/>
        <v>0</v>
      </c>
      <c r="L112" s="45">
        <f t="shared" si="13"/>
        <v>0</v>
      </c>
    </row>
    <row r="113" spans="2:12" ht="16" customHeight="1" x14ac:dyDescent="0.35">
      <c r="B113" s="14" t="s">
        <v>202</v>
      </c>
      <c r="C113" s="14" t="s">
        <v>203</v>
      </c>
      <c r="D113" s="61"/>
      <c r="E113" s="15">
        <v>-57.556350000000002</v>
      </c>
      <c r="F113" s="45">
        <f>IFERROR(E113/E13, 0)</f>
        <v>-6.3207314804442002E-5</v>
      </c>
      <c r="G113" s="63"/>
      <c r="H113" s="15">
        <v>4.4643199999999998</v>
      </c>
      <c r="I113" s="45">
        <f>IFERROR(H113/H13, 0)</f>
        <v>5.3518983515992699E-6</v>
      </c>
      <c r="J113" s="63"/>
      <c r="K113" s="15">
        <f t="shared" si="12"/>
        <v>-62.020670000000003</v>
      </c>
      <c r="L113" s="45">
        <f t="shared" si="13"/>
        <v>-13.8925233854204</v>
      </c>
    </row>
    <row r="114" spans="2:12" ht="16" customHeight="1" x14ac:dyDescent="0.35">
      <c r="B114" s="16" t="s">
        <v>204</v>
      </c>
      <c r="C114" s="16" t="s">
        <v>205</v>
      </c>
      <c r="D114" s="64"/>
      <c r="E114" s="17">
        <v>-13727.53818</v>
      </c>
      <c r="F114" s="84">
        <f>IFERROR(E114/E13, 0)</f>
        <v>-1.5075327522215302E-2</v>
      </c>
      <c r="G114" s="65"/>
      <c r="H114" s="17">
        <v>-21739.628209999999</v>
      </c>
      <c r="I114" s="84">
        <f>IFERROR(H114/H13, 0)</f>
        <v>-2.6061814650715002E-2</v>
      </c>
      <c r="J114" s="65"/>
      <c r="K114" s="17">
        <f t="shared" si="12"/>
        <v>8012.0900299999994</v>
      </c>
      <c r="L114" s="84">
        <f t="shared" si="13"/>
        <v>0.36854770250001434</v>
      </c>
    </row>
    <row r="115" spans="2:12" ht="16" customHeight="1" thickBot="1" x14ac:dyDescent="0.4">
      <c r="B115" s="11" t="s">
        <v>206</v>
      </c>
      <c r="C115" s="11" t="s">
        <v>22</v>
      </c>
      <c r="D115" s="29"/>
      <c r="E115" s="12"/>
      <c r="F115" s="85"/>
      <c r="G115" s="12"/>
      <c r="H115" s="12"/>
      <c r="I115" s="85"/>
      <c r="J115" s="12"/>
      <c r="K115" s="12"/>
      <c r="L115" s="85"/>
    </row>
    <row r="116" spans="2:12" ht="16" customHeight="1" thickBot="1" x14ac:dyDescent="0.4">
      <c r="B116" s="18" t="s">
        <v>207</v>
      </c>
      <c r="C116" s="18" t="s">
        <v>208</v>
      </c>
      <c r="D116" s="66"/>
      <c r="E116" s="19">
        <v>-13723.655720000001</v>
      </c>
      <c r="F116" s="86">
        <f>IFERROR(E116/E13, 0)</f>
        <v>-1.5071063876736818E-2</v>
      </c>
      <c r="G116" s="68"/>
      <c r="H116" s="19">
        <v>-21739.267749999999</v>
      </c>
      <c r="I116" s="86">
        <f>IFERROR(H116/H13, 0)</f>
        <v>-2.6061382525491044E-2</v>
      </c>
      <c r="J116" s="68"/>
      <c r="K116" s="19">
        <f>E116-H116</f>
        <v>8015.6120299999984</v>
      </c>
      <c r="L116" s="86">
        <f>IF(ROUND(K116, 2)=0, 0, IFERROR(K116/ABS(H116), IF(K116&lt;0, -1, 1)))</f>
        <v>0.36871582438649519</v>
      </c>
    </row>
    <row r="117" spans="2:12" ht="16" customHeight="1" x14ac:dyDescent="0.35">
      <c r="B117" s="11" t="s">
        <v>209</v>
      </c>
      <c r="C117" s="11" t="s">
        <v>22</v>
      </c>
      <c r="D117" s="29"/>
      <c r="E117" s="12"/>
      <c r="F117" s="85"/>
      <c r="G117" s="12"/>
      <c r="H117" s="12"/>
      <c r="I117" s="85"/>
      <c r="J117" s="12"/>
      <c r="K117" s="12"/>
      <c r="L117" s="85"/>
    </row>
    <row r="118" spans="2:12" ht="16" customHeight="1" x14ac:dyDescent="0.35">
      <c r="B118" s="14" t="s">
        <v>210</v>
      </c>
      <c r="C118" s="14" t="s">
        <v>211</v>
      </c>
      <c r="D118" s="61"/>
      <c r="E118" s="15">
        <v>-24809.41908</v>
      </c>
      <c r="F118" s="45">
        <f>IFERROR(E118/E13, 0)</f>
        <v>-2.7245243346822545E-2</v>
      </c>
      <c r="G118" s="63"/>
      <c r="H118" s="15">
        <v>-31423.382389999999</v>
      </c>
      <c r="I118" s="45">
        <f>IFERROR(H118/H13, 0)</f>
        <v>-3.7670854332734781E-2</v>
      </c>
      <c r="J118" s="63"/>
      <c r="K118" s="15">
        <f t="shared" ref="K118:K126" si="14">E118-H118</f>
        <v>6613.9633099999992</v>
      </c>
      <c r="L118" s="45">
        <f t="shared" ref="L118:L126" si="15">IF(ROUND(K118, 2)=0, 0, IFERROR(K118/ABS(H118), IF(K118&lt;0, -1, 1)))</f>
        <v>0.21047903844064825</v>
      </c>
    </row>
    <row r="119" spans="2:12" ht="16" customHeight="1" x14ac:dyDescent="0.35">
      <c r="B119" s="14" t="s">
        <v>212</v>
      </c>
      <c r="C119" s="14" t="s">
        <v>213</v>
      </c>
      <c r="D119" s="61"/>
      <c r="E119" s="15"/>
      <c r="F119" s="45">
        <f>IFERROR(E119/E13, 0)</f>
        <v>0</v>
      </c>
      <c r="G119" s="63"/>
      <c r="H119" s="15"/>
      <c r="I119" s="45">
        <f>IFERROR(H119/H13, 0)</f>
        <v>0</v>
      </c>
      <c r="J119" s="63"/>
      <c r="K119" s="15">
        <f t="shared" si="14"/>
        <v>0</v>
      </c>
      <c r="L119" s="45">
        <f t="shared" si="15"/>
        <v>0</v>
      </c>
    </row>
    <row r="120" spans="2:12" ht="16" customHeight="1" x14ac:dyDescent="0.35">
      <c r="B120" s="14" t="s">
        <v>214</v>
      </c>
      <c r="C120" s="14" t="s">
        <v>215</v>
      </c>
      <c r="D120" s="61"/>
      <c r="E120" s="15"/>
      <c r="F120" s="45">
        <f>IFERROR(E120/E13, 0)</f>
        <v>0</v>
      </c>
      <c r="G120" s="63"/>
      <c r="H120" s="15"/>
      <c r="I120" s="45">
        <f>IFERROR(H120/H13, 0)</f>
        <v>0</v>
      </c>
      <c r="J120" s="63"/>
      <c r="K120" s="15">
        <f t="shared" si="14"/>
        <v>0</v>
      </c>
      <c r="L120" s="45">
        <f t="shared" si="15"/>
        <v>0</v>
      </c>
    </row>
    <row r="121" spans="2:12" ht="16" customHeight="1" x14ac:dyDescent="0.35">
      <c r="B121" s="14" t="s">
        <v>216</v>
      </c>
      <c r="C121" s="14" t="s">
        <v>217</v>
      </c>
      <c r="D121" s="61"/>
      <c r="E121" s="15"/>
      <c r="F121" s="45">
        <f>IFERROR(E121/E13, 0)</f>
        <v>0</v>
      </c>
      <c r="G121" s="63"/>
      <c r="H121" s="15"/>
      <c r="I121" s="45">
        <f>IFERROR(H121/H13, 0)</f>
        <v>0</v>
      </c>
      <c r="J121" s="63"/>
      <c r="K121" s="15">
        <f t="shared" si="14"/>
        <v>0</v>
      </c>
      <c r="L121" s="45">
        <f t="shared" si="15"/>
        <v>0</v>
      </c>
    </row>
    <row r="122" spans="2:12" ht="16" customHeight="1" x14ac:dyDescent="0.35">
      <c r="B122" s="14" t="s">
        <v>218</v>
      </c>
      <c r="C122" s="14" t="s">
        <v>219</v>
      </c>
      <c r="D122" s="61"/>
      <c r="E122" s="15"/>
      <c r="F122" s="45">
        <f>IFERROR(E122/E13, 0)</f>
        <v>0</v>
      </c>
      <c r="G122" s="63"/>
      <c r="H122" s="15"/>
      <c r="I122" s="45">
        <f>IFERROR(H122/H13, 0)</f>
        <v>0</v>
      </c>
      <c r="J122" s="63"/>
      <c r="K122" s="15">
        <f t="shared" si="14"/>
        <v>0</v>
      </c>
      <c r="L122" s="45">
        <f t="shared" si="15"/>
        <v>0</v>
      </c>
    </row>
    <row r="123" spans="2:12" ht="16" customHeight="1" x14ac:dyDescent="0.35">
      <c r="B123" s="14" t="s">
        <v>220</v>
      </c>
      <c r="C123" s="14" t="s">
        <v>221</v>
      </c>
      <c r="D123" s="61"/>
      <c r="E123" s="15"/>
      <c r="F123" s="45">
        <f>IFERROR(E123/E13, 0)</f>
        <v>0</v>
      </c>
      <c r="G123" s="63"/>
      <c r="H123" s="15"/>
      <c r="I123" s="45">
        <f>IFERROR(H123/H13, 0)</f>
        <v>0</v>
      </c>
      <c r="J123" s="63"/>
      <c r="K123" s="15">
        <f t="shared" si="14"/>
        <v>0</v>
      </c>
      <c r="L123" s="45">
        <f t="shared" si="15"/>
        <v>0</v>
      </c>
    </row>
    <row r="124" spans="2:12" ht="16" customHeight="1" x14ac:dyDescent="0.35">
      <c r="B124" s="14" t="s">
        <v>222</v>
      </c>
      <c r="C124" s="14" t="s">
        <v>223</v>
      </c>
      <c r="D124" s="61"/>
      <c r="E124" s="15">
        <v>0</v>
      </c>
      <c r="F124" s="45">
        <f>IFERROR(E124/E13, 0)</f>
        <v>0</v>
      </c>
      <c r="G124" s="63"/>
      <c r="H124" s="15">
        <v>0</v>
      </c>
      <c r="I124" s="45">
        <f>IFERROR(H124/H13, 0)</f>
        <v>0</v>
      </c>
      <c r="J124" s="63"/>
      <c r="K124" s="15">
        <f t="shared" si="14"/>
        <v>0</v>
      </c>
      <c r="L124" s="45">
        <f t="shared" si="15"/>
        <v>0</v>
      </c>
    </row>
    <row r="125" spans="2:12" ht="16" customHeight="1" x14ac:dyDescent="0.35">
      <c r="B125" s="14" t="s">
        <v>224</v>
      </c>
      <c r="C125" s="14" t="s">
        <v>225</v>
      </c>
      <c r="D125" s="61"/>
      <c r="E125" s="15">
        <v>0</v>
      </c>
      <c r="F125" s="45">
        <f>IFERROR(E125/E13, 0)</f>
        <v>0</v>
      </c>
      <c r="G125" s="63"/>
      <c r="H125" s="15">
        <v>0</v>
      </c>
      <c r="I125" s="45">
        <f>IFERROR(H125/H13, 0)</f>
        <v>0</v>
      </c>
      <c r="J125" s="63"/>
      <c r="K125" s="15">
        <f t="shared" si="14"/>
        <v>0</v>
      </c>
      <c r="L125" s="45">
        <f t="shared" si="15"/>
        <v>0</v>
      </c>
    </row>
    <row r="126" spans="2:12" ht="16" customHeight="1" x14ac:dyDescent="0.35">
      <c r="B126" s="16" t="s">
        <v>226</v>
      </c>
      <c r="C126" s="16" t="s">
        <v>227</v>
      </c>
      <c r="D126" s="64"/>
      <c r="E126" s="17">
        <v>-24809.41908</v>
      </c>
      <c r="F126" s="84">
        <f>IFERROR(E126/E13, 0)</f>
        <v>-2.7245243346822545E-2</v>
      </c>
      <c r="G126" s="65"/>
      <c r="H126" s="17">
        <v>-31423.382389999999</v>
      </c>
      <c r="I126" s="84">
        <f>IFERROR(H126/H13, 0)</f>
        <v>-3.7670854332734781E-2</v>
      </c>
      <c r="J126" s="65"/>
      <c r="K126" s="17">
        <f t="shared" si="14"/>
        <v>6613.9633099999992</v>
      </c>
      <c r="L126" s="84">
        <f t="shared" si="15"/>
        <v>0.21047903844064825</v>
      </c>
    </row>
    <row r="127" spans="2:12" ht="16" customHeight="1" thickBot="1" x14ac:dyDescent="0.4">
      <c r="B127" s="11" t="s">
        <v>228</v>
      </c>
      <c r="C127" s="11" t="s">
        <v>22</v>
      </c>
      <c r="D127" s="29"/>
      <c r="E127" s="12"/>
      <c r="F127" s="85"/>
      <c r="G127" s="12"/>
      <c r="H127" s="12"/>
      <c r="I127" s="85"/>
      <c r="J127" s="12"/>
      <c r="K127" s="12"/>
      <c r="L127" s="85"/>
    </row>
    <row r="128" spans="2:12" ht="16" customHeight="1" thickBot="1" x14ac:dyDescent="0.4">
      <c r="B128" s="18" t="s">
        <v>229</v>
      </c>
      <c r="C128" s="18" t="s">
        <v>230</v>
      </c>
      <c r="D128" s="66"/>
      <c r="E128" s="19">
        <v>-38533.074800000002</v>
      </c>
      <c r="F128" s="86">
        <f>IFERROR(E128/E13, 0)</f>
        <v>-4.2316307223559363E-2</v>
      </c>
      <c r="G128" s="68"/>
      <c r="H128" s="19">
        <v>-53162.650139999998</v>
      </c>
      <c r="I128" s="86">
        <f>IFERROR(H128/H13, 0)</f>
        <v>-6.3732236858225821E-2</v>
      </c>
      <c r="J128" s="68"/>
      <c r="K128" s="19">
        <f>E128-H128</f>
        <v>14629.575339999996</v>
      </c>
      <c r="L128" s="86">
        <f>IF(ROUND(K128, 2)=0, 0, IFERROR(K128/ABS(H128), IF(K128&lt;0, -1, 1)))</f>
        <v>0.27518521558789988</v>
      </c>
    </row>
    <row r="129" spans="2:12" ht="16" customHeight="1" thickBot="1" x14ac:dyDescent="0.4">
      <c r="B129" s="11" t="s">
        <v>231</v>
      </c>
      <c r="C129" s="11" t="s">
        <v>22</v>
      </c>
      <c r="D129" s="29"/>
      <c r="E129" s="12"/>
      <c r="F129" s="85"/>
      <c r="G129" s="12"/>
      <c r="H129" s="12"/>
      <c r="I129" s="85"/>
      <c r="J129" s="12"/>
      <c r="K129" s="12"/>
      <c r="L129" s="85"/>
    </row>
    <row r="130" spans="2:12" ht="16" customHeight="1" thickBot="1" x14ac:dyDescent="0.4">
      <c r="B130" s="18" t="s">
        <v>232</v>
      </c>
      <c r="C130" s="18" t="s">
        <v>233</v>
      </c>
      <c r="D130" s="66"/>
      <c r="E130" s="19">
        <v>-46092.723729999998</v>
      </c>
      <c r="F130" s="86">
        <f>IFERROR(E130/E13, 0)</f>
        <v>-5.0618173303141771E-2</v>
      </c>
      <c r="G130" s="68"/>
      <c r="H130" s="19">
        <v>-34709.165079999999</v>
      </c>
      <c r="I130" s="86">
        <f>IFERROR(H130/H13, 0)</f>
        <v>-4.1609903272399593E-2</v>
      </c>
      <c r="J130" s="68"/>
      <c r="K130" s="19">
        <f>E130-H130</f>
        <v>-11383.558649999999</v>
      </c>
      <c r="L130" s="86">
        <f>IF(ROUND(K130, 2)=0, 0, IFERROR(K130/ABS(H130), IF(K130&lt;0, -1, 1)))</f>
        <v>-0.32796982075951447</v>
      </c>
    </row>
    <row r="131" spans="2:12" ht="16" customHeight="1" x14ac:dyDescent="0.35">
      <c r="B131" s="11" t="s">
        <v>234</v>
      </c>
      <c r="C131" s="11" t="s">
        <v>22</v>
      </c>
      <c r="D131" s="29"/>
      <c r="E131" s="12"/>
      <c r="F131" s="85"/>
      <c r="G131" s="12"/>
      <c r="H131" s="12"/>
      <c r="I131" s="85"/>
      <c r="J131" s="12"/>
      <c r="K131" s="12"/>
      <c r="L131" s="85"/>
    </row>
    <row r="132" spans="2:12" ht="16" customHeight="1" x14ac:dyDescent="0.35">
      <c r="B132" s="14" t="s">
        <v>235</v>
      </c>
      <c r="C132" s="14" t="s">
        <v>236</v>
      </c>
      <c r="D132" s="61"/>
      <c r="E132" s="15"/>
      <c r="F132" s="45">
        <f>IFERROR(E132/E13, 0)</f>
        <v>0</v>
      </c>
      <c r="G132" s="63"/>
      <c r="H132" s="15"/>
      <c r="I132" s="45">
        <f>IFERROR(H132/H13, 0)</f>
        <v>0</v>
      </c>
      <c r="J132" s="63"/>
      <c r="K132" s="15">
        <f>E132-H132</f>
        <v>0</v>
      </c>
      <c r="L132" s="45">
        <f>IF(ROUND(K132, 2)=0, 0, IFERROR(K132/ABS(H132), IF(K132&lt;0, -1, 1)))</f>
        <v>0</v>
      </c>
    </row>
    <row r="133" spans="2:12" ht="16" customHeight="1" x14ac:dyDescent="0.35">
      <c r="B133" s="14" t="s">
        <v>237</v>
      </c>
      <c r="C133" s="14" t="s">
        <v>238</v>
      </c>
      <c r="D133" s="61"/>
      <c r="E133" s="15"/>
      <c r="F133" s="45">
        <f>IFERROR(E133/E13, 0)</f>
        <v>0</v>
      </c>
      <c r="G133" s="63"/>
      <c r="H133" s="15"/>
      <c r="I133" s="45">
        <f>IFERROR(H133/H13, 0)</f>
        <v>0</v>
      </c>
      <c r="J133" s="63"/>
      <c r="K133" s="15">
        <f>E133-H133</f>
        <v>0</v>
      </c>
      <c r="L133" s="45">
        <f>IF(ROUND(K133, 2)=0, 0, IFERROR(K133/ABS(H133), IF(K133&lt;0, -1, 1)))</f>
        <v>0</v>
      </c>
    </row>
    <row r="134" spans="2:12" ht="16" customHeight="1" x14ac:dyDescent="0.35">
      <c r="B134" s="14" t="s">
        <v>239</v>
      </c>
      <c r="C134" s="14" t="s">
        <v>240</v>
      </c>
      <c r="D134" s="61"/>
      <c r="E134" s="15"/>
      <c r="F134" s="45">
        <f>IFERROR(E134/E13, 0)</f>
        <v>0</v>
      </c>
      <c r="G134" s="63"/>
      <c r="H134" s="15">
        <v>-1586.9522300000001</v>
      </c>
      <c r="I134" s="45">
        <f>IFERROR(H134/H13, 0)</f>
        <v>-1.9024637624103528E-3</v>
      </c>
      <c r="J134" s="63"/>
      <c r="K134" s="15">
        <f>E134-H134</f>
        <v>1586.9522300000001</v>
      </c>
      <c r="L134" s="45">
        <f>IF(ROUND(K134, 2)=0, 0, IFERROR(K134/ABS(H134), IF(K134&lt;0, -1, 1)))</f>
        <v>1</v>
      </c>
    </row>
    <row r="135" spans="2:12" ht="16" customHeight="1" x14ac:dyDescent="0.35">
      <c r="B135" s="14" t="s">
        <v>241</v>
      </c>
      <c r="C135" s="14" t="s">
        <v>242</v>
      </c>
      <c r="D135" s="61"/>
      <c r="E135" s="15"/>
      <c r="F135" s="45">
        <f>IFERROR(E135/E13, 0)</f>
        <v>0</v>
      </c>
      <c r="G135" s="63"/>
      <c r="H135" s="15"/>
      <c r="I135" s="45">
        <f>IFERROR(H135/H13, 0)</f>
        <v>0</v>
      </c>
      <c r="J135" s="63"/>
      <c r="K135" s="15">
        <f>E135-H135</f>
        <v>0</v>
      </c>
      <c r="L135" s="45">
        <f>IF(ROUND(K135, 2)=0, 0, IFERROR(K135/ABS(H135), IF(K135&lt;0, -1, 1)))</f>
        <v>0</v>
      </c>
    </row>
    <row r="136" spans="2:12" ht="16" customHeight="1" x14ac:dyDescent="0.35">
      <c r="B136" s="16" t="s">
        <v>243</v>
      </c>
      <c r="C136" s="16" t="s">
        <v>244</v>
      </c>
      <c r="D136" s="64"/>
      <c r="E136" s="17"/>
      <c r="F136" s="84">
        <f>IFERROR(E136/E13, 0)</f>
        <v>0</v>
      </c>
      <c r="G136" s="65"/>
      <c r="H136" s="17">
        <v>-1586.9522300000001</v>
      </c>
      <c r="I136" s="84">
        <f>IFERROR(H136/H13, 0)</f>
        <v>-1.9024637624103528E-3</v>
      </c>
      <c r="J136" s="65"/>
      <c r="K136" s="17">
        <f>E136-H136</f>
        <v>1586.9522300000001</v>
      </c>
      <c r="L136" s="84">
        <f>IF(ROUND(K136, 2)=0, 0, IFERROR(K136/ABS(H136), IF(K136&lt;0, -1, 1)))</f>
        <v>1</v>
      </c>
    </row>
    <row r="137" spans="2:12" ht="16" customHeight="1" thickBot="1" x14ac:dyDescent="0.4">
      <c r="B137" s="11" t="s">
        <v>245</v>
      </c>
      <c r="C137" s="11" t="s">
        <v>22</v>
      </c>
      <c r="D137" s="29"/>
      <c r="E137" s="12"/>
      <c r="F137" s="85"/>
      <c r="G137" s="12"/>
      <c r="H137" s="12"/>
      <c r="I137" s="85"/>
      <c r="J137" s="12"/>
      <c r="K137" s="12"/>
      <c r="L137" s="85"/>
    </row>
    <row r="138" spans="2:12" ht="16" customHeight="1" thickBot="1" x14ac:dyDescent="0.4">
      <c r="B138" s="18" t="s">
        <v>246</v>
      </c>
      <c r="C138" s="18" t="s">
        <v>247</v>
      </c>
      <c r="D138" s="66"/>
      <c r="E138" s="19">
        <v>-46092.723729999998</v>
      </c>
      <c r="F138" s="86">
        <f>IFERROR(E138/E13, 0)</f>
        <v>-5.0618173303141771E-2</v>
      </c>
      <c r="G138" s="68"/>
      <c r="H138" s="19">
        <v>-36296.117310000001</v>
      </c>
      <c r="I138" s="86">
        <f>IFERROR(H138/H13, 0)</f>
        <v>-4.351236703480995E-2</v>
      </c>
      <c r="J138" s="68"/>
      <c r="K138" s="19">
        <f>E138-H138</f>
        <v>-9796.6064199999964</v>
      </c>
      <c r="L138" s="86">
        <f>IF(ROUND(K138, 2)=0, 0, IFERROR(K138/ABS(H138), IF(K138&lt;0, -1, 1)))</f>
        <v>-0.26990783439254856</v>
      </c>
    </row>
    <row r="139" spans="2:12" ht="16" customHeight="1" x14ac:dyDescent="0.35">
      <c r="B139" s="11" t="s">
        <v>248</v>
      </c>
      <c r="C139" s="11" t="s">
        <v>22</v>
      </c>
      <c r="D139" s="29"/>
      <c r="E139" s="12"/>
      <c r="F139" s="85"/>
      <c r="G139" s="12"/>
      <c r="H139" s="12"/>
      <c r="I139" s="85"/>
      <c r="J139" s="12"/>
      <c r="K139" s="12"/>
      <c r="L139" s="85"/>
    </row>
    <row r="140" spans="2:12" ht="16" customHeight="1" x14ac:dyDescent="0.35">
      <c r="B140" s="14" t="s">
        <v>249</v>
      </c>
      <c r="C140" s="14" t="s">
        <v>250</v>
      </c>
      <c r="D140" s="61"/>
      <c r="E140" s="15">
        <v>12848.267669999999</v>
      </c>
      <c r="F140" s="45">
        <f>IFERROR(E140/E13, 0)</f>
        <v>1.4109728975333293E-2</v>
      </c>
      <c r="G140" s="63"/>
      <c r="H140" s="15">
        <v>4992.9994699999997</v>
      </c>
      <c r="I140" s="45">
        <f>IFERROR(H140/H13, 0)</f>
        <v>5.9856877717164155E-3</v>
      </c>
      <c r="J140" s="63"/>
      <c r="K140" s="15">
        <f>E140-H140</f>
        <v>7855.2681999999995</v>
      </c>
      <c r="L140" s="45">
        <f>IF(ROUND(K140, 2)=0, 0, IFERROR(K140/ABS(H140), IF(K140&lt;0, -1, 1)))</f>
        <v>1.5732563656771228</v>
      </c>
    </row>
    <row r="141" spans="2:12" ht="16" customHeight="1" x14ac:dyDescent="0.35">
      <c r="B141" s="14" t="s">
        <v>251</v>
      </c>
      <c r="C141" s="14" t="s">
        <v>252</v>
      </c>
      <c r="D141" s="61"/>
      <c r="E141" s="15">
        <v>8436.5139999999992</v>
      </c>
      <c r="F141" s="45">
        <f>IFERROR(E141/E13, 0)</f>
        <v>9.2648230169231037E-3</v>
      </c>
      <c r="G141" s="63"/>
      <c r="H141" s="15">
        <v>3834.7941900000001</v>
      </c>
      <c r="I141" s="45">
        <f>IFERROR(H141/H13, 0)</f>
        <v>4.5972127231433809E-3</v>
      </c>
      <c r="J141" s="63"/>
      <c r="K141" s="15">
        <f>E141-H141</f>
        <v>4601.7198099999987</v>
      </c>
      <c r="L141" s="45">
        <f>IF(ROUND(K141, 2)=0, 0, IFERROR(K141/ABS(H141), IF(K141&lt;0, -1, 1)))</f>
        <v>1.1999913377359108</v>
      </c>
    </row>
    <row r="142" spans="2:12" ht="16" customHeight="1" x14ac:dyDescent="0.35">
      <c r="B142" s="16" t="s">
        <v>253</v>
      </c>
      <c r="C142" s="16" t="s">
        <v>254</v>
      </c>
      <c r="D142" s="64"/>
      <c r="E142" s="17">
        <v>21284.78167</v>
      </c>
      <c r="F142" s="84">
        <f>IFERROR(E142/E13, 0)</f>
        <v>2.3374551992256399E-2</v>
      </c>
      <c r="G142" s="65"/>
      <c r="H142" s="17">
        <v>8827.7936599999994</v>
      </c>
      <c r="I142" s="84">
        <f>IFERROR(H142/H13, 0)</f>
        <v>1.0582900494859796E-2</v>
      </c>
      <c r="J142" s="65"/>
      <c r="K142" s="17">
        <f>E142-H142</f>
        <v>12456.988010000001</v>
      </c>
      <c r="L142" s="84">
        <f>IF(ROUND(K142, 2)=0, 0, IFERROR(K142/ABS(H142), IF(K142&lt;0, -1, 1)))</f>
        <v>1.4111100111508499</v>
      </c>
    </row>
    <row r="143" spans="2:12" ht="16" customHeight="1" x14ac:dyDescent="0.35">
      <c r="B143" s="11" t="s">
        <v>255</v>
      </c>
      <c r="C143" s="11" t="s">
        <v>22</v>
      </c>
      <c r="D143" s="29"/>
      <c r="E143" s="12"/>
      <c r="F143" s="85"/>
      <c r="G143" s="12"/>
      <c r="H143" s="12"/>
      <c r="I143" s="85"/>
      <c r="J143" s="12"/>
      <c r="K143" s="12"/>
      <c r="L143" s="85"/>
    </row>
    <row r="144" spans="2:12" ht="16" customHeight="1" x14ac:dyDescent="0.35">
      <c r="B144" s="14" t="s">
        <v>256</v>
      </c>
      <c r="C144" s="14" t="s">
        <v>257</v>
      </c>
      <c r="D144" s="61"/>
      <c r="E144" s="15"/>
      <c r="F144" s="45">
        <f>IFERROR(E144/E13, 0)</f>
        <v>0</v>
      </c>
      <c r="G144" s="63"/>
      <c r="H144" s="15"/>
      <c r="I144" s="45">
        <f>IFERROR(H144/H13, 0)</f>
        <v>0</v>
      </c>
      <c r="J144" s="63"/>
      <c r="K144" s="15">
        <f>E144-H144</f>
        <v>0</v>
      </c>
      <c r="L144" s="45">
        <f>IF(ROUND(K144, 2)=0, 0, IFERROR(K144/ABS(H144), IF(K144&lt;0, -1, 1)))</f>
        <v>0</v>
      </c>
    </row>
    <row r="145" spans="2:12" ht="16" customHeight="1" thickBot="1" x14ac:dyDescent="0.4">
      <c r="B145" s="11" t="s">
        <v>258</v>
      </c>
      <c r="C145" s="11" t="s">
        <v>22</v>
      </c>
      <c r="D145" s="29"/>
      <c r="E145" s="12"/>
      <c r="F145" s="85"/>
      <c r="G145" s="12"/>
      <c r="H145" s="12"/>
      <c r="I145" s="85"/>
      <c r="J145" s="12"/>
      <c r="K145" s="12"/>
      <c r="L145" s="85"/>
    </row>
    <row r="146" spans="2:12" ht="16" customHeight="1" thickBot="1" x14ac:dyDescent="0.4">
      <c r="B146" s="18" t="s">
        <v>259</v>
      </c>
      <c r="C146" s="18" t="s">
        <v>260</v>
      </c>
      <c r="D146" s="66"/>
      <c r="E146" s="19">
        <v>-24807.942060000001</v>
      </c>
      <c r="F146" s="86">
        <f>IFERROR(E146/E13, 0)</f>
        <v>-2.7243621310885372E-2</v>
      </c>
      <c r="G146" s="68"/>
      <c r="H146" s="19">
        <v>-27468.323649999998</v>
      </c>
      <c r="I146" s="86">
        <f>IFERROR(H146/H13, 0)</f>
        <v>-3.2929466539950145E-2</v>
      </c>
      <c r="J146" s="68"/>
      <c r="K146" s="19">
        <f>E146-H146</f>
        <v>2660.3815899999972</v>
      </c>
      <c r="L146" s="86">
        <f>IF(ROUND(K146, 2)=0, 0, IFERROR(K146/ABS(H146), IF(K146&lt;0, -1, 1)))</f>
        <v>9.685271019442053E-2</v>
      </c>
    </row>
    <row r="147" spans="2:12" ht="16" customHeight="1" x14ac:dyDescent="0.35">
      <c r="B147" s="11" t="s">
        <v>261</v>
      </c>
      <c r="C147" s="11" t="s">
        <v>22</v>
      </c>
      <c r="D147" s="29"/>
      <c r="E147" s="12"/>
      <c r="F147" s="85"/>
      <c r="G147" s="12"/>
      <c r="H147" s="12"/>
      <c r="I147" s="85"/>
      <c r="J147" s="12"/>
      <c r="K147" s="12"/>
      <c r="L147" s="85"/>
    </row>
    <row r="148" spans="2:12" ht="16" customHeight="1" x14ac:dyDescent="0.35">
      <c r="B148" s="14" t="s">
        <v>262</v>
      </c>
      <c r="C148" s="14" t="s">
        <v>263</v>
      </c>
      <c r="D148" s="61"/>
      <c r="E148" s="15">
        <v>-88.084999999999994</v>
      </c>
      <c r="F148" s="45">
        <f>IFERROR(E148/E13, 0)</f>
        <v>-9.6733311347041163E-5</v>
      </c>
      <c r="G148" s="63"/>
      <c r="H148" s="15">
        <v>-45.423000000000002</v>
      </c>
      <c r="I148" s="45">
        <f>IFERROR(H148/H13, 0)</f>
        <v>-5.4453820251391849E-5</v>
      </c>
      <c r="J148" s="63"/>
      <c r="K148" s="15">
        <f>E148-H148</f>
        <v>-42.661999999999992</v>
      </c>
      <c r="L148" s="45">
        <f>IF(ROUND(K148, 2)=0, 0, IFERROR(K148/ABS(H148), IF(K148&lt;0, -1, 1)))</f>
        <v>-0.93921581577614843</v>
      </c>
    </row>
    <row r="149" spans="2:12" ht="16" customHeight="1" thickBot="1" x14ac:dyDescent="0.4">
      <c r="B149" s="11" t="s">
        <v>264</v>
      </c>
      <c r="C149" s="11" t="s">
        <v>22</v>
      </c>
      <c r="D149" s="29"/>
      <c r="E149" s="12"/>
      <c r="F149" s="85"/>
      <c r="G149" s="12"/>
      <c r="H149" s="12"/>
      <c r="I149" s="85"/>
      <c r="J149" s="12"/>
      <c r="K149" s="12"/>
      <c r="L149" s="85"/>
    </row>
    <row r="150" spans="2:12" ht="16" customHeight="1" thickBot="1" x14ac:dyDescent="0.4">
      <c r="B150" s="18" t="s">
        <v>265</v>
      </c>
      <c r="C150" s="18" t="s">
        <v>266</v>
      </c>
      <c r="D150" s="66"/>
      <c r="E150" s="19">
        <v>-24896.02706</v>
      </c>
      <c r="F150" s="86">
        <f>IFERROR(E150/E13, 0)</f>
        <v>-2.7340354622232416E-2</v>
      </c>
      <c r="G150" s="68"/>
      <c r="H150" s="19">
        <v>-27513.746650000001</v>
      </c>
      <c r="I150" s="86">
        <f>IFERROR(H150/H13, 0)</f>
        <v>-3.2983920360201542E-2</v>
      </c>
      <c r="J150" s="68"/>
      <c r="K150" s="19">
        <f>E150-H150</f>
        <v>2617.7195900000006</v>
      </c>
      <c r="L150" s="86">
        <f>IF(ROUND(K150, 2)=0, 0, IFERROR(K150/ABS(H150), IF(K150&lt;0, -1, 1)))</f>
        <v>9.5142243740911986E-2</v>
      </c>
    </row>
    <row r="151" spans="2:12" ht="16" customHeight="1" x14ac:dyDescent="0.45">
      <c r="B151" s="13"/>
      <c r="C151" s="9"/>
      <c r="D151" s="9"/>
      <c r="E151" s="13"/>
      <c r="F151" s="13"/>
      <c r="G151" s="13"/>
      <c r="H151" s="13"/>
      <c r="I151" s="13"/>
      <c r="J151" s="13"/>
      <c r="K151" s="13"/>
      <c r="L151" s="13"/>
    </row>
  </sheetData>
  <mergeCells count="2">
    <mergeCell ref="B4:C4"/>
    <mergeCell ref="B6:C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0165-4AD4-4EEE-9A50-3A6835C2E5B0}">
  <dimension ref="A3:L150"/>
  <sheetViews>
    <sheetView showGridLines="0" workbookViewId="0">
      <pane ySplit="9" topLeftCell="A10" activePane="bottomLeft" state="frozen"/>
      <selection pane="bottomLeft" activeCell="B4" sqref="B4"/>
    </sheetView>
  </sheetViews>
  <sheetFormatPr defaultColWidth="9.1796875" defaultRowHeight="16" customHeight="1" x14ac:dyDescent="0.35"/>
  <cols>
    <col min="1" max="1" width="1.7265625" style="1" customWidth="1"/>
    <col min="2" max="2" width="10.7265625" style="1" customWidth="1"/>
    <col min="3" max="3" width="60.7265625" style="1" customWidth="1"/>
    <col min="4" max="4" width="1.54296875" style="1" customWidth="1"/>
    <col min="5" max="6" width="15.7265625" style="1" customWidth="1"/>
    <col min="7" max="7" width="1.54296875" style="1" customWidth="1"/>
    <col min="8" max="9" width="15.7265625" style="1" customWidth="1"/>
    <col min="10" max="10" width="1.54296875" style="1" customWidth="1"/>
    <col min="11" max="27" width="15.7265625" style="1" customWidth="1"/>
    <col min="28" max="16384" width="9.1796875" style="1"/>
  </cols>
  <sheetData>
    <row r="3" spans="1:12" ht="16" customHeight="1" x14ac:dyDescent="0.35">
      <c r="B3" s="2" t="s">
        <v>1498</v>
      </c>
    </row>
    <row r="4" spans="1:12" ht="16" customHeight="1" x14ac:dyDescent="0.35">
      <c r="B4" s="4" t="s">
        <v>270</v>
      </c>
    </row>
    <row r="5" spans="1:12" ht="16" customHeight="1" x14ac:dyDescent="0.35">
      <c r="B5" s="4" t="s">
        <v>1490</v>
      </c>
    </row>
    <row r="6" spans="1:12" ht="16" customHeight="1" x14ac:dyDescent="0.35">
      <c r="A6" s="20"/>
      <c r="B6" s="56">
        <v>46194.595165497682</v>
      </c>
      <c r="C6" s="56"/>
    </row>
    <row r="7" spans="1:12" ht="16" customHeight="1" x14ac:dyDescent="0.35">
      <c r="A7" s="20"/>
      <c r="B7" s="87"/>
      <c r="C7" s="87"/>
    </row>
    <row r="8" spans="1:12" ht="16" customHeight="1" x14ac:dyDescent="0.35">
      <c r="E8" s="81" t="s">
        <v>1491</v>
      </c>
      <c r="F8" s="81"/>
      <c r="G8" s="81"/>
      <c r="H8" s="81" t="s">
        <v>1492</v>
      </c>
      <c r="I8" s="81"/>
      <c r="J8" s="81"/>
      <c r="K8" s="81"/>
      <c r="L8" s="81"/>
    </row>
    <row r="9" spans="1:12" ht="16" customHeight="1" thickBot="1" x14ac:dyDescent="0.4">
      <c r="E9" s="83" t="s">
        <v>1493</v>
      </c>
      <c r="F9" s="83" t="s">
        <v>1494</v>
      </c>
      <c r="G9" s="81"/>
      <c r="H9" s="82" t="s">
        <v>1495</v>
      </c>
      <c r="I9" s="83" t="s">
        <v>1494</v>
      </c>
      <c r="J9" s="81"/>
      <c r="K9" s="83" t="s">
        <v>1496</v>
      </c>
      <c r="L9" s="83" t="s">
        <v>1497</v>
      </c>
    </row>
    <row r="10" spans="1:12" ht="16" customHeight="1" x14ac:dyDescent="0.35">
      <c r="B10" s="14" t="s">
        <v>13</v>
      </c>
      <c r="C10" s="14" t="s">
        <v>14</v>
      </c>
      <c r="D10" s="61"/>
      <c r="E10" s="15">
        <v>4116.6109800000004</v>
      </c>
      <c r="F10" s="45">
        <f>IFERROR(E10/E13, 0)</f>
        <v>8.9496374028564737E-3</v>
      </c>
      <c r="G10" s="63"/>
      <c r="H10" s="15">
        <v>5738.1481100000001</v>
      </c>
      <c r="I10" s="45">
        <f>IFERROR(H10/H13, 0)</f>
        <v>1.3554698025249463E-2</v>
      </c>
      <c r="J10" s="63"/>
      <c r="K10" s="15">
        <f>E10-H10</f>
        <v>-1621.5371299999997</v>
      </c>
      <c r="L10" s="45">
        <f>IF(ROUND(K10, 2)=0, 0, IFERROR(K10/ABS(H10), IF(K10&lt;0, -1, 1)))</f>
        <v>-0.28258892920071382</v>
      </c>
    </row>
    <row r="11" spans="1:12" ht="16" customHeight="1" x14ac:dyDescent="0.35">
      <c r="B11" s="14" t="s">
        <v>15</v>
      </c>
      <c r="C11" s="14" t="s">
        <v>16</v>
      </c>
      <c r="D11" s="61"/>
      <c r="E11" s="15"/>
      <c r="F11" s="45">
        <f>IFERROR(E11/E13, 0)</f>
        <v>0</v>
      </c>
      <c r="G11" s="63"/>
      <c r="H11" s="15"/>
      <c r="I11" s="45">
        <f>IFERROR(H11/H13, 0)</f>
        <v>0</v>
      </c>
      <c r="J11" s="63"/>
      <c r="K11" s="15">
        <f>E11-H11</f>
        <v>0</v>
      </c>
      <c r="L11" s="45">
        <f>IF(ROUND(K11, 2)=0, 0, IFERROR(K11/ABS(H11), IF(K11&lt;0, -1, 1)))</f>
        <v>0</v>
      </c>
    </row>
    <row r="12" spans="1:12" ht="16" customHeight="1" x14ac:dyDescent="0.35">
      <c r="B12" s="14" t="s">
        <v>17</v>
      </c>
      <c r="C12" s="14" t="s">
        <v>18</v>
      </c>
      <c r="D12" s="61"/>
      <c r="E12" s="15">
        <v>455858.55836999998</v>
      </c>
      <c r="F12" s="45">
        <f>IFERROR(E12/E13, 0)</f>
        <v>0.99105036259714352</v>
      </c>
      <c r="G12" s="63"/>
      <c r="H12" s="15">
        <v>417594.64022</v>
      </c>
      <c r="I12" s="45">
        <f>IFERROR(H12/H13, 0)</f>
        <v>0.98644530197475055</v>
      </c>
      <c r="J12" s="63"/>
      <c r="K12" s="15">
        <f>E12-H12</f>
        <v>38263.918149999983</v>
      </c>
      <c r="L12" s="45">
        <f>IF(ROUND(K12, 2)=0, 0, IFERROR(K12/ABS(H12), IF(K12&lt;0, -1, 1)))</f>
        <v>9.162933252649394E-2</v>
      </c>
    </row>
    <row r="13" spans="1:12" ht="16" customHeight="1" x14ac:dyDescent="0.35">
      <c r="B13" s="16" t="s">
        <v>19</v>
      </c>
      <c r="C13" s="16" t="s">
        <v>20</v>
      </c>
      <c r="D13" s="64"/>
      <c r="E13" s="17">
        <v>459975.16934999998</v>
      </c>
      <c r="F13" s="84">
        <f>IFERROR(E13/E13, 0)</f>
        <v>1</v>
      </c>
      <c r="G13" s="65"/>
      <c r="H13" s="17">
        <v>423332.78833000001</v>
      </c>
      <c r="I13" s="84">
        <f>IFERROR(H13/H13, 0)</f>
        <v>1</v>
      </c>
      <c r="J13" s="65"/>
      <c r="K13" s="17">
        <f>E13-H13</f>
        <v>36642.381019999972</v>
      </c>
      <c r="L13" s="84">
        <f>IF(ROUND(K13, 2)=0, 0, IFERROR(K13/ABS(H13), IF(K13&lt;0, -1, 1)))</f>
        <v>8.6556916993247843E-2</v>
      </c>
    </row>
    <row r="14" spans="1:12" ht="16" customHeight="1" x14ac:dyDescent="0.35">
      <c r="B14" s="11" t="s">
        <v>21</v>
      </c>
      <c r="C14" s="11" t="s">
        <v>22</v>
      </c>
      <c r="D14" s="29"/>
      <c r="E14" s="12"/>
      <c r="F14" s="85"/>
      <c r="G14" s="12"/>
      <c r="H14" s="12"/>
      <c r="I14" s="85"/>
      <c r="J14" s="12"/>
      <c r="K14" s="12"/>
      <c r="L14" s="85"/>
    </row>
    <row r="15" spans="1:12" ht="16" customHeight="1" x14ac:dyDescent="0.35">
      <c r="B15" s="14" t="s">
        <v>23</v>
      </c>
      <c r="C15" s="14" t="s">
        <v>24</v>
      </c>
      <c r="D15" s="61"/>
      <c r="E15" s="15">
        <v>-53431.936079999999</v>
      </c>
      <c r="F15" s="45">
        <f>IFERROR(E15/E13, 0)</f>
        <v>-0.11616265320474957</v>
      </c>
      <c r="G15" s="63"/>
      <c r="H15" s="15">
        <v>-38965.144379999998</v>
      </c>
      <c r="I15" s="45">
        <f>IFERROR(H15/H13, 0)</f>
        <v>-9.2043766639747157E-2</v>
      </c>
      <c r="J15" s="63"/>
      <c r="K15" s="15">
        <f t="shared" ref="K15:K22" si="0">E15-H15</f>
        <v>-14466.791700000002</v>
      </c>
      <c r="L15" s="45">
        <f t="shared" ref="L15:L22" si="1">IF(ROUND(K15, 2)=0, 0, IFERROR(K15/ABS(H15), IF(K15&lt;0, -1, 1)))</f>
        <v>-0.37127519813388671</v>
      </c>
    </row>
    <row r="16" spans="1:12" ht="16" customHeight="1" x14ac:dyDescent="0.35">
      <c r="B16" s="14" t="s">
        <v>25</v>
      </c>
      <c r="C16" s="14" t="s">
        <v>26</v>
      </c>
      <c r="D16" s="61"/>
      <c r="E16" s="15">
        <v>0</v>
      </c>
      <c r="F16" s="45">
        <f>IFERROR(E16/E13, 0)</f>
        <v>0</v>
      </c>
      <c r="G16" s="63"/>
      <c r="H16" s="15"/>
      <c r="I16" s="45">
        <f>IFERROR(H16/H13, 0)</f>
        <v>0</v>
      </c>
      <c r="J16" s="63"/>
      <c r="K16" s="15">
        <f t="shared" si="0"/>
        <v>0</v>
      </c>
      <c r="L16" s="45">
        <f t="shared" si="1"/>
        <v>0</v>
      </c>
    </row>
    <row r="17" spans="2:12" ht="16" customHeight="1" x14ac:dyDescent="0.35">
      <c r="B17" s="14" t="s">
        <v>27</v>
      </c>
      <c r="C17" s="14" t="s">
        <v>28</v>
      </c>
      <c r="D17" s="61"/>
      <c r="E17" s="15">
        <v>-30403.208360000001</v>
      </c>
      <c r="F17" s="45">
        <f>IFERROR(E17/E13, 0)</f>
        <v>-6.609749913884129E-2</v>
      </c>
      <c r="G17" s="63"/>
      <c r="H17" s="15">
        <v>-27087.960510000001</v>
      </c>
      <c r="I17" s="45">
        <f>IFERROR(H17/H13, 0)</f>
        <v>-6.3987390669309932E-2</v>
      </c>
      <c r="J17" s="63"/>
      <c r="K17" s="15">
        <f t="shared" si="0"/>
        <v>-3315.2478499999997</v>
      </c>
      <c r="L17" s="45">
        <f t="shared" si="1"/>
        <v>-0.12238824140252705</v>
      </c>
    </row>
    <row r="18" spans="2:12" ht="16" customHeight="1" x14ac:dyDescent="0.35">
      <c r="B18" s="14" t="s">
        <v>29</v>
      </c>
      <c r="C18" s="14" t="s">
        <v>30</v>
      </c>
      <c r="D18" s="61"/>
      <c r="E18" s="15">
        <v>-5272.7122300000001</v>
      </c>
      <c r="F18" s="45">
        <f>IFERROR(E18/E13, 0)</f>
        <v>-1.1463036662285432E-2</v>
      </c>
      <c r="G18" s="63"/>
      <c r="H18" s="15">
        <v>-3651.2403399999998</v>
      </c>
      <c r="I18" s="45">
        <f>IFERROR(H18/H13, 0)</f>
        <v>-8.6249882849937752E-3</v>
      </c>
      <c r="J18" s="63"/>
      <c r="K18" s="15">
        <f t="shared" si="0"/>
        <v>-1621.4718900000003</v>
      </c>
      <c r="L18" s="45">
        <f t="shared" si="1"/>
        <v>-0.44408796436555592</v>
      </c>
    </row>
    <row r="19" spans="2:12" ht="16" customHeight="1" x14ac:dyDescent="0.35">
      <c r="B19" s="14" t="s">
        <v>31</v>
      </c>
      <c r="C19" s="14" t="s">
        <v>32</v>
      </c>
      <c r="D19" s="61"/>
      <c r="E19" s="15">
        <v>-18057.883620000001</v>
      </c>
      <c r="F19" s="45">
        <f>IFERROR(E19/E13, 0)</f>
        <v>-3.9258387894107315E-2</v>
      </c>
      <c r="G19" s="63"/>
      <c r="H19" s="15">
        <v>-10721.036609999999</v>
      </c>
      <c r="I19" s="45">
        <f>IFERROR(H19/H13, 0)</f>
        <v>-2.5325315934759687E-2</v>
      </c>
      <c r="J19" s="63"/>
      <c r="K19" s="15">
        <f t="shared" si="0"/>
        <v>-7336.8470100000013</v>
      </c>
      <c r="L19" s="45">
        <f t="shared" si="1"/>
        <v>-0.68434119543595162</v>
      </c>
    </row>
    <row r="20" spans="2:12" ht="16" customHeight="1" x14ac:dyDescent="0.35">
      <c r="B20" s="14" t="s">
        <v>33</v>
      </c>
      <c r="C20" s="14" t="s">
        <v>34</v>
      </c>
      <c r="D20" s="61"/>
      <c r="E20" s="15"/>
      <c r="F20" s="45">
        <f>IFERROR(E20/E13, 0)</f>
        <v>0</v>
      </c>
      <c r="G20" s="63"/>
      <c r="H20" s="15"/>
      <c r="I20" s="45">
        <f>IFERROR(H20/H13, 0)</f>
        <v>0</v>
      </c>
      <c r="J20" s="63"/>
      <c r="K20" s="15">
        <f t="shared" si="0"/>
        <v>0</v>
      </c>
      <c r="L20" s="45">
        <f t="shared" si="1"/>
        <v>0</v>
      </c>
    </row>
    <row r="21" spans="2:12" ht="16" customHeight="1" x14ac:dyDescent="0.35">
      <c r="B21" s="14" t="s">
        <v>35</v>
      </c>
      <c r="C21" s="14" t="s">
        <v>36</v>
      </c>
      <c r="D21" s="61"/>
      <c r="E21" s="15">
        <v>41.920520000000003</v>
      </c>
      <c r="F21" s="45">
        <f>IFERROR(E21/E13, 0)</f>
        <v>9.1136484735118895E-5</v>
      </c>
      <c r="G21" s="63"/>
      <c r="H21" s="15">
        <v>646.66281000000004</v>
      </c>
      <c r="I21" s="45">
        <f>IFERROR(H21/H13, 0)</f>
        <v>1.5275519114666541E-3</v>
      </c>
      <c r="J21" s="63"/>
      <c r="K21" s="15">
        <f t="shared" si="0"/>
        <v>-604.74229000000003</v>
      </c>
      <c r="L21" s="45">
        <f t="shared" si="1"/>
        <v>-0.93517406699172945</v>
      </c>
    </row>
    <row r="22" spans="2:12" ht="16" customHeight="1" x14ac:dyDescent="0.35">
      <c r="B22" s="16" t="s">
        <v>39</v>
      </c>
      <c r="C22" s="16" t="s">
        <v>40</v>
      </c>
      <c r="D22" s="64"/>
      <c r="E22" s="17">
        <v>-107123.81977</v>
      </c>
      <c r="F22" s="84">
        <f>IFERROR(E22/E13, 0)</f>
        <v>-0.23289044041524848</v>
      </c>
      <c r="G22" s="65"/>
      <c r="H22" s="17">
        <v>-79778.719029999993</v>
      </c>
      <c r="I22" s="84">
        <f>IFERROR(H22/H13, 0)</f>
        <v>-0.18845390961734387</v>
      </c>
      <c r="J22" s="65"/>
      <c r="K22" s="17">
        <f t="shared" si="0"/>
        <v>-27345.100740000009</v>
      </c>
      <c r="L22" s="84">
        <f t="shared" si="1"/>
        <v>-0.34276184266279275</v>
      </c>
    </row>
    <row r="23" spans="2:12" ht="16" customHeight="1" x14ac:dyDescent="0.35">
      <c r="B23" s="11" t="s">
        <v>41</v>
      </c>
      <c r="C23" s="11" t="s">
        <v>22</v>
      </c>
      <c r="D23" s="29"/>
      <c r="E23" s="12"/>
      <c r="F23" s="85"/>
      <c r="G23" s="12"/>
      <c r="H23" s="12"/>
      <c r="I23" s="85"/>
      <c r="J23" s="12"/>
      <c r="K23" s="12"/>
      <c r="L23" s="85"/>
    </row>
    <row r="24" spans="2:12" ht="16" customHeight="1" x14ac:dyDescent="0.35">
      <c r="B24" s="14" t="s">
        <v>42</v>
      </c>
      <c r="C24" s="14" t="s">
        <v>43</v>
      </c>
      <c r="D24" s="61"/>
      <c r="E24" s="15">
        <v>5948.79385</v>
      </c>
      <c r="F24" s="45">
        <f>IFERROR(E24/E13, 0)</f>
        <v>1.293285865497122E-2</v>
      </c>
      <c r="G24" s="63"/>
      <c r="H24" s="15">
        <v>-2214.0024100000001</v>
      </c>
      <c r="I24" s="45">
        <f>IFERROR(H24/H13, 0)</f>
        <v>-5.2299336858219496E-3</v>
      </c>
      <c r="J24" s="63"/>
      <c r="K24" s="15">
        <f t="shared" ref="K24:K38" si="2">E24-H24</f>
        <v>8162.7962600000001</v>
      </c>
      <c r="L24" s="45">
        <f t="shared" ref="L24:L38" si="3">IF(ROUND(K24, 2)=0, 0, IFERROR(K24/ABS(H24), IF(K24&lt;0, -1, 1)))</f>
        <v>3.686895833144102</v>
      </c>
    </row>
    <row r="25" spans="2:12" ht="16" customHeight="1" x14ac:dyDescent="0.35">
      <c r="B25" s="14" t="s">
        <v>44</v>
      </c>
      <c r="C25" s="14" t="s">
        <v>45</v>
      </c>
      <c r="D25" s="61"/>
      <c r="E25" s="15">
        <v>-165579.37020999999</v>
      </c>
      <c r="F25" s="45">
        <f>IFERROR(E25/E13, 0)</f>
        <v>-0.35997458394109288</v>
      </c>
      <c r="G25" s="63"/>
      <c r="H25" s="15">
        <v>-163819.90079000001</v>
      </c>
      <c r="I25" s="45">
        <f>IFERROR(H25/H13, 0)</f>
        <v>-0.38697664179581032</v>
      </c>
      <c r="J25" s="63"/>
      <c r="K25" s="15">
        <f t="shared" si="2"/>
        <v>-1759.4694199999794</v>
      </c>
      <c r="L25" s="45">
        <f t="shared" si="3"/>
        <v>-1.0740266667939417E-2</v>
      </c>
    </row>
    <row r="26" spans="2:12" ht="16" customHeight="1" x14ac:dyDescent="0.35">
      <c r="B26" s="14" t="s">
        <v>46</v>
      </c>
      <c r="C26" s="14" t="s">
        <v>47</v>
      </c>
      <c r="D26" s="61"/>
      <c r="E26" s="15">
        <v>-7227.6521499999999</v>
      </c>
      <c r="F26" s="45">
        <f>IFERROR(E26/E13, 0)</f>
        <v>-1.5713135472537654E-2</v>
      </c>
      <c r="G26" s="63"/>
      <c r="H26" s="15">
        <v>-6529.3305700000001</v>
      </c>
      <c r="I26" s="45">
        <f>IFERROR(H26/H13, 0)</f>
        <v>-1.5423635376218957E-2</v>
      </c>
      <c r="J26" s="63"/>
      <c r="K26" s="15">
        <f t="shared" si="2"/>
        <v>-698.32157999999981</v>
      </c>
      <c r="L26" s="45">
        <f t="shared" si="3"/>
        <v>-0.10695148185765693</v>
      </c>
    </row>
    <row r="27" spans="2:12" ht="16" customHeight="1" x14ac:dyDescent="0.35">
      <c r="B27" s="14" t="s">
        <v>48</v>
      </c>
      <c r="C27" s="14" t="s">
        <v>49</v>
      </c>
      <c r="D27" s="61"/>
      <c r="E27" s="15"/>
      <c r="F27" s="45">
        <f>IFERROR(E27/E13, 0)</f>
        <v>0</v>
      </c>
      <c r="G27" s="63"/>
      <c r="H27" s="15"/>
      <c r="I27" s="45">
        <f>IFERROR(H27/H13, 0)</f>
        <v>0</v>
      </c>
      <c r="J27" s="63"/>
      <c r="K27" s="15">
        <f t="shared" si="2"/>
        <v>0</v>
      </c>
      <c r="L27" s="45">
        <f t="shared" si="3"/>
        <v>0</v>
      </c>
    </row>
    <row r="28" spans="2:12" ht="16" customHeight="1" x14ac:dyDescent="0.35">
      <c r="B28" s="14" t="s">
        <v>50</v>
      </c>
      <c r="C28" s="14" t="s">
        <v>51</v>
      </c>
      <c r="D28" s="61"/>
      <c r="E28" s="15">
        <v>-6118.2226700000001</v>
      </c>
      <c r="F28" s="45">
        <f>IFERROR(E28/E13, 0)</f>
        <v>-1.3301202059767229E-2</v>
      </c>
      <c r="G28" s="63"/>
      <c r="H28" s="15">
        <v>-6521.0147900000002</v>
      </c>
      <c r="I28" s="45">
        <f>IFERROR(H28/H13, 0)</f>
        <v>-1.5403991776126452E-2</v>
      </c>
      <c r="J28" s="63"/>
      <c r="K28" s="15">
        <f t="shared" si="2"/>
        <v>402.79212000000007</v>
      </c>
      <c r="L28" s="45">
        <f t="shared" si="3"/>
        <v>6.1768318731262997E-2</v>
      </c>
    </row>
    <row r="29" spans="2:12" ht="16" customHeight="1" x14ac:dyDescent="0.35">
      <c r="B29" s="14" t="s">
        <v>52</v>
      </c>
      <c r="C29" s="14" t="s">
        <v>53</v>
      </c>
      <c r="D29" s="61"/>
      <c r="E29" s="15">
        <v>-60763.671690000003</v>
      </c>
      <c r="F29" s="45">
        <f>IFERROR(E29/E13, 0)</f>
        <v>-0.13210206928314489</v>
      </c>
      <c r="G29" s="63"/>
      <c r="H29" s="15">
        <v>-53626.949390000002</v>
      </c>
      <c r="I29" s="45">
        <f>IFERROR(H29/H13, 0)</f>
        <v>-0.12667799629117379</v>
      </c>
      <c r="J29" s="63"/>
      <c r="K29" s="15">
        <f t="shared" si="2"/>
        <v>-7136.7223000000013</v>
      </c>
      <c r="L29" s="45">
        <f t="shared" si="3"/>
        <v>-0.13308089274477378</v>
      </c>
    </row>
    <row r="30" spans="2:12" ht="16" customHeight="1" x14ac:dyDescent="0.35">
      <c r="B30" s="14" t="s">
        <v>54</v>
      </c>
      <c r="C30" s="14" t="s">
        <v>55</v>
      </c>
      <c r="D30" s="61"/>
      <c r="E30" s="15">
        <v>-29012.288189999999</v>
      </c>
      <c r="F30" s="45">
        <f>IFERROR(E30/E13, 0)</f>
        <v>-6.3073596409558022E-2</v>
      </c>
      <c r="G30" s="63"/>
      <c r="H30" s="15">
        <v>-28859.292819999999</v>
      </c>
      <c r="I30" s="45">
        <f>IFERROR(H30/H13, 0)</f>
        <v>-6.8171645607340375E-2</v>
      </c>
      <c r="J30" s="63"/>
      <c r="K30" s="15">
        <f t="shared" si="2"/>
        <v>-152.99537000000055</v>
      </c>
      <c r="L30" s="45">
        <f t="shared" si="3"/>
        <v>-5.3014247769083258E-3</v>
      </c>
    </row>
    <row r="31" spans="2:12" ht="16" customHeight="1" x14ac:dyDescent="0.35">
      <c r="B31" s="14" t="s">
        <v>56</v>
      </c>
      <c r="C31" s="14" t="s">
        <v>57</v>
      </c>
      <c r="D31" s="61"/>
      <c r="E31" s="15">
        <v>-40729.449050000003</v>
      </c>
      <c r="F31" s="45">
        <f>IFERROR(E31/E13, 0)</f>
        <v>-8.8547060284918405E-2</v>
      </c>
      <c r="G31" s="63"/>
      <c r="H31" s="15">
        <v>-18798.651590000001</v>
      </c>
      <c r="I31" s="45">
        <f>IFERROR(H31/H13, 0)</f>
        <v>-4.440632076754214E-2</v>
      </c>
      <c r="J31" s="63"/>
      <c r="K31" s="15">
        <f t="shared" si="2"/>
        <v>-21930.797460000002</v>
      </c>
      <c r="L31" s="45">
        <f t="shared" si="3"/>
        <v>-1.1666154540395948</v>
      </c>
    </row>
    <row r="32" spans="2:12" ht="16" customHeight="1" x14ac:dyDescent="0.35">
      <c r="B32" s="14" t="s">
        <v>58</v>
      </c>
      <c r="C32" s="14" t="s">
        <v>59</v>
      </c>
      <c r="D32" s="61"/>
      <c r="E32" s="15">
        <v>10298.693880000001</v>
      </c>
      <c r="F32" s="45">
        <f>IFERROR(E32/E13, 0)</f>
        <v>2.2389673543798654E-2</v>
      </c>
      <c r="G32" s="63"/>
      <c r="H32" s="15">
        <v>8632.3416899999993</v>
      </c>
      <c r="I32" s="45">
        <f>IFERROR(H32/H13, 0)</f>
        <v>2.039138457489582E-2</v>
      </c>
      <c r="J32" s="63"/>
      <c r="K32" s="15">
        <f t="shared" si="2"/>
        <v>1666.3521900000014</v>
      </c>
      <c r="L32" s="45">
        <f t="shared" si="3"/>
        <v>0.1930359397068771</v>
      </c>
    </row>
    <row r="33" spans="2:12" ht="16" customHeight="1" x14ac:dyDescent="0.35">
      <c r="B33" s="14" t="s">
        <v>60</v>
      </c>
      <c r="C33" s="14" t="s">
        <v>61</v>
      </c>
      <c r="D33" s="61"/>
      <c r="E33" s="15"/>
      <c r="F33" s="45">
        <f>IFERROR(E33/E13, 0)</f>
        <v>0</v>
      </c>
      <c r="G33" s="63"/>
      <c r="H33" s="15"/>
      <c r="I33" s="45">
        <f>IFERROR(H33/H13, 0)</f>
        <v>0</v>
      </c>
      <c r="J33" s="63"/>
      <c r="K33" s="15">
        <f t="shared" si="2"/>
        <v>0</v>
      </c>
      <c r="L33" s="45">
        <f t="shared" si="3"/>
        <v>0</v>
      </c>
    </row>
    <row r="34" spans="2:12" ht="16" customHeight="1" x14ac:dyDescent="0.35">
      <c r="B34" s="14" t="s">
        <v>62</v>
      </c>
      <c r="C34" s="14" t="s">
        <v>36</v>
      </c>
      <c r="D34" s="61"/>
      <c r="E34" s="15">
        <v>85.404499999999999</v>
      </c>
      <c r="F34" s="45">
        <f>IFERROR(E34/E13, 0)</f>
        <v>1.8567197903462222E-4</v>
      </c>
      <c r="G34" s="63"/>
      <c r="H34" s="15">
        <v>1611.5257200000001</v>
      </c>
      <c r="I34" s="45">
        <f>IFERROR(H34/H13, 0)</f>
        <v>3.8067585701482914E-3</v>
      </c>
      <c r="J34" s="63"/>
      <c r="K34" s="15">
        <f t="shared" si="2"/>
        <v>-1526.12122</v>
      </c>
      <c r="L34" s="45">
        <f t="shared" si="3"/>
        <v>-0.94700394853145742</v>
      </c>
    </row>
    <row r="35" spans="2:12" ht="16" customHeight="1" x14ac:dyDescent="0.35">
      <c r="B35" s="14" t="s">
        <v>63</v>
      </c>
      <c r="C35" s="14" t="s">
        <v>64</v>
      </c>
      <c r="D35" s="61"/>
      <c r="E35" s="15">
        <v>-141.15886</v>
      </c>
      <c r="F35" s="45">
        <f>IFERROR(E35/E13, 0)</f>
        <v>-3.068836524360095E-4</v>
      </c>
      <c r="G35" s="63"/>
      <c r="H35" s="15">
        <v>0.67327000000000004</v>
      </c>
      <c r="I35" s="45">
        <f>IFERROR(H35/H13, 0)</f>
        <v>1.5904036223038005E-6</v>
      </c>
      <c r="J35" s="63"/>
      <c r="K35" s="15">
        <f t="shared" si="2"/>
        <v>-141.83213000000001</v>
      </c>
      <c r="L35" s="45">
        <f t="shared" si="3"/>
        <v>-210.66159193191439</v>
      </c>
    </row>
    <row r="36" spans="2:12" ht="16" customHeight="1" x14ac:dyDescent="0.35">
      <c r="B36" s="14" t="s">
        <v>65</v>
      </c>
      <c r="C36" s="14" t="s">
        <v>66</v>
      </c>
      <c r="D36" s="61"/>
      <c r="E36" s="15"/>
      <c r="F36" s="45">
        <f>IFERROR(E36/E13, 0)</f>
        <v>0</v>
      </c>
      <c r="G36" s="63"/>
      <c r="H36" s="15"/>
      <c r="I36" s="45">
        <f>IFERROR(H36/H13, 0)</f>
        <v>0</v>
      </c>
      <c r="J36" s="63"/>
      <c r="K36" s="15">
        <f t="shared" si="2"/>
        <v>0</v>
      </c>
      <c r="L36" s="45">
        <f t="shared" si="3"/>
        <v>0</v>
      </c>
    </row>
    <row r="37" spans="2:12" ht="16" customHeight="1" x14ac:dyDescent="0.35">
      <c r="B37" s="14" t="s">
        <v>67</v>
      </c>
      <c r="C37" s="14" t="s">
        <v>68</v>
      </c>
      <c r="D37" s="61"/>
      <c r="E37" s="15">
        <v>45487.856</v>
      </c>
      <c r="F37" s="45">
        <f>IFERROR(E37/E13, 0)</f>
        <v>9.8891981635182161E-2</v>
      </c>
      <c r="G37" s="63"/>
      <c r="H37" s="15">
        <v>45801.894</v>
      </c>
      <c r="I37" s="45">
        <f>IFERROR(H37/H13, 0)</f>
        <v>0.10819358968315045</v>
      </c>
      <c r="J37" s="63"/>
      <c r="K37" s="15">
        <f t="shared" si="2"/>
        <v>-314.03800000000047</v>
      </c>
      <c r="L37" s="45">
        <f t="shared" si="3"/>
        <v>-6.8564413515301457E-3</v>
      </c>
    </row>
    <row r="38" spans="2:12" ht="16" customHeight="1" x14ac:dyDescent="0.35">
      <c r="B38" s="16" t="s">
        <v>69</v>
      </c>
      <c r="C38" s="16" t="s">
        <v>70</v>
      </c>
      <c r="D38" s="64"/>
      <c r="E38" s="17">
        <v>-247751.06458999999</v>
      </c>
      <c r="F38" s="84">
        <f>IFERROR(E38/E13, 0)</f>
        <v>-0.53861834529046848</v>
      </c>
      <c r="G38" s="65"/>
      <c r="H38" s="17">
        <v>-224322.70767999999</v>
      </c>
      <c r="I38" s="84">
        <f>IFERROR(H38/H13, 0)</f>
        <v>-0.52989684206821708</v>
      </c>
      <c r="J38" s="65"/>
      <c r="K38" s="17">
        <f t="shared" si="2"/>
        <v>-23428.356910000002</v>
      </c>
      <c r="L38" s="84">
        <f t="shared" si="3"/>
        <v>-0.10444041600737512</v>
      </c>
    </row>
    <row r="39" spans="2:12" ht="16" customHeight="1" x14ac:dyDescent="0.35">
      <c r="B39" s="11" t="s">
        <v>71</v>
      </c>
      <c r="C39" s="11" t="s">
        <v>22</v>
      </c>
      <c r="D39" s="29"/>
      <c r="E39" s="12"/>
      <c r="F39" s="85"/>
      <c r="G39" s="12"/>
      <c r="H39" s="12"/>
      <c r="I39" s="85"/>
      <c r="J39" s="12"/>
      <c r="K39" s="12"/>
      <c r="L39" s="85"/>
    </row>
    <row r="40" spans="2:12" ht="16" customHeight="1" x14ac:dyDescent="0.35">
      <c r="B40" s="16" t="s">
        <v>72</v>
      </c>
      <c r="C40" s="16" t="s">
        <v>73</v>
      </c>
      <c r="D40" s="64"/>
      <c r="E40" s="17">
        <v>-354874.88436000003</v>
      </c>
      <c r="F40" s="84">
        <f>IFERROR(E40/E13, 0)</f>
        <v>-0.77150878570571702</v>
      </c>
      <c r="G40" s="65"/>
      <c r="H40" s="17">
        <v>-304101.42671000003</v>
      </c>
      <c r="I40" s="84">
        <f>IFERROR(H40/H13, 0)</f>
        <v>-0.71835075168556106</v>
      </c>
      <c r="J40" s="65"/>
      <c r="K40" s="17">
        <f>E40-H40</f>
        <v>-50773.457649999997</v>
      </c>
      <c r="L40" s="84">
        <f>IF(ROUND(K40, 2)=0, 0, IFERROR(K40/ABS(H40), IF(K40&lt;0, -1, 1)))</f>
        <v>-0.16696224742943755</v>
      </c>
    </row>
    <row r="41" spans="2:12" ht="16" customHeight="1" thickBot="1" x14ac:dyDescent="0.4">
      <c r="B41" s="11" t="s">
        <v>74</v>
      </c>
      <c r="C41" s="11" t="s">
        <v>22</v>
      </c>
      <c r="D41" s="29"/>
      <c r="E41" s="12"/>
      <c r="F41" s="85"/>
      <c r="G41" s="12"/>
      <c r="H41" s="12"/>
      <c r="I41" s="85"/>
      <c r="J41" s="12"/>
      <c r="K41" s="12"/>
      <c r="L41" s="85"/>
    </row>
    <row r="42" spans="2:12" ht="16" customHeight="1" thickBot="1" x14ac:dyDescent="0.4">
      <c r="B42" s="18" t="s">
        <v>75</v>
      </c>
      <c r="C42" s="18" t="s">
        <v>76</v>
      </c>
      <c r="D42" s="66"/>
      <c r="E42" s="19">
        <v>105100.28499</v>
      </c>
      <c r="F42" s="86">
        <f>IFERROR(E42/E13, 0)</f>
        <v>0.2284912142942831</v>
      </c>
      <c r="G42" s="68"/>
      <c r="H42" s="19">
        <v>119231.36162</v>
      </c>
      <c r="I42" s="86">
        <f>IFERROR(H42/H13, 0)</f>
        <v>0.28164924831443894</v>
      </c>
      <c r="J42" s="68"/>
      <c r="K42" s="19">
        <f>E42-H42</f>
        <v>-14131.076629999996</v>
      </c>
      <c r="L42" s="86">
        <f>IF(ROUND(K42, 2)=0, 0, IFERROR(K42/ABS(H42), IF(K42&lt;0, -1, 1)))</f>
        <v>-0.11851811837087696</v>
      </c>
    </row>
    <row r="43" spans="2:12" ht="16" customHeight="1" x14ac:dyDescent="0.35">
      <c r="B43" s="11" t="s">
        <v>77</v>
      </c>
      <c r="C43" s="11" t="s">
        <v>22</v>
      </c>
      <c r="D43" s="29"/>
      <c r="E43" s="12"/>
      <c r="F43" s="85"/>
      <c r="G43" s="12"/>
      <c r="H43" s="12"/>
      <c r="I43" s="85"/>
      <c r="J43" s="12"/>
      <c r="K43" s="12"/>
      <c r="L43" s="85"/>
    </row>
    <row r="44" spans="2:12" ht="16" customHeight="1" x14ac:dyDescent="0.35">
      <c r="B44" s="14" t="s">
        <v>78</v>
      </c>
      <c r="C44" s="14" t="s">
        <v>28</v>
      </c>
      <c r="D44" s="61"/>
      <c r="E44" s="15">
        <v>-4442.5165500000003</v>
      </c>
      <c r="F44" s="45">
        <f>IFERROR(E44/E13, 0)</f>
        <v>-9.6581660185653239E-3</v>
      </c>
      <c r="G44" s="63"/>
      <c r="H44" s="15">
        <v>-4984.40236</v>
      </c>
      <c r="I44" s="45">
        <f>IFERROR(H44/H13, 0)</f>
        <v>-1.1774193961358164E-2</v>
      </c>
      <c r="J44" s="63"/>
      <c r="K44" s="15">
        <f t="shared" ref="K44:K50" si="4">E44-H44</f>
        <v>541.88580999999976</v>
      </c>
      <c r="L44" s="45">
        <f t="shared" ref="L44:L50" si="5">IF(ROUND(K44, 2)=0, 0, IFERROR(K44/ABS(H44), IF(K44&lt;0, -1, 1)))</f>
        <v>0.10871630555924858</v>
      </c>
    </row>
    <row r="45" spans="2:12" ht="16" customHeight="1" x14ac:dyDescent="0.35">
      <c r="B45" s="14" t="s">
        <v>79</v>
      </c>
      <c r="C45" s="14" t="s">
        <v>80</v>
      </c>
      <c r="D45" s="61"/>
      <c r="E45" s="15">
        <v>515.32831999999996</v>
      </c>
      <c r="F45" s="45">
        <f>IFERROR(E45/E13, 0)</f>
        <v>1.1203394320789546E-3</v>
      </c>
      <c r="G45" s="63"/>
      <c r="H45" s="15">
        <v>254.68865</v>
      </c>
      <c r="I45" s="45">
        <f>IFERROR(H45/H13, 0)</f>
        <v>6.0162750682440154E-4</v>
      </c>
      <c r="J45" s="63"/>
      <c r="K45" s="15">
        <f t="shared" si="4"/>
        <v>260.63966999999997</v>
      </c>
      <c r="L45" s="45">
        <f t="shared" si="5"/>
        <v>1.0233658625934057</v>
      </c>
    </row>
    <row r="46" spans="2:12" ht="16" customHeight="1" x14ac:dyDescent="0.35">
      <c r="B46" s="14" t="s">
        <v>81</v>
      </c>
      <c r="C46" s="14" t="s">
        <v>82</v>
      </c>
      <c r="D46" s="61"/>
      <c r="E46" s="15">
        <v>-872.36622</v>
      </c>
      <c r="F46" s="45">
        <f>IFERROR(E46/E13, 0)</f>
        <v>-1.896550679535067E-3</v>
      </c>
      <c r="G46" s="63"/>
      <c r="H46" s="15">
        <v>-247.97575000000001</v>
      </c>
      <c r="I46" s="45">
        <f>IFERROR(H46/H13, 0)</f>
        <v>-5.857702423151212E-4</v>
      </c>
      <c r="J46" s="63"/>
      <c r="K46" s="15">
        <f t="shared" si="4"/>
        <v>-624.39047000000005</v>
      </c>
      <c r="L46" s="45">
        <f t="shared" si="5"/>
        <v>-2.5179497188737208</v>
      </c>
    </row>
    <row r="47" spans="2:12" ht="16" customHeight="1" x14ac:dyDescent="0.35">
      <c r="B47" s="14" t="s">
        <v>83</v>
      </c>
      <c r="C47" s="14" t="s">
        <v>84</v>
      </c>
      <c r="D47" s="61"/>
      <c r="E47" s="15">
        <v>-2906.2107799999999</v>
      </c>
      <c r="F47" s="45">
        <f>IFERROR(E47/E13, 0)</f>
        <v>-6.3181905756061222E-3</v>
      </c>
      <c r="G47" s="63"/>
      <c r="H47" s="15">
        <v>-749.08577000000002</v>
      </c>
      <c r="I47" s="45">
        <f>IFERROR(H47/H13, 0)</f>
        <v>-1.7694962229480469E-3</v>
      </c>
      <c r="J47" s="63"/>
      <c r="K47" s="15">
        <f t="shared" si="4"/>
        <v>-2157.1250099999997</v>
      </c>
      <c r="L47" s="45">
        <f t="shared" si="5"/>
        <v>-2.8796769293855355</v>
      </c>
    </row>
    <row r="48" spans="2:12" ht="16" customHeight="1" x14ac:dyDescent="0.35">
      <c r="B48" s="14" t="s">
        <v>85</v>
      </c>
      <c r="C48" s="14" t="s">
        <v>86</v>
      </c>
      <c r="D48" s="61"/>
      <c r="E48" s="15"/>
      <c r="F48" s="45">
        <f>IFERROR(E48/E13, 0)</f>
        <v>0</v>
      </c>
      <c r="G48" s="63"/>
      <c r="H48" s="15"/>
      <c r="I48" s="45">
        <f>IFERROR(H48/H13, 0)</f>
        <v>0</v>
      </c>
      <c r="J48" s="63"/>
      <c r="K48" s="15">
        <f t="shared" si="4"/>
        <v>0</v>
      </c>
      <c r="L48" s="45">
        <f t="shared" si="5"/>
        <v>0</v>
      </c>
    </row>
    <row r="49" spans="2:12" ht="16" customHeight="1" x14ac:dyDescent="0.35">
      <c r="B49" s="14" t="s">
        <v>87</v>
      </c>
      <c r="C49" s="14" t="s">
        <v>88</v>
      </c>
      <c r="D49" s="61"/>
      <c r="E49" s="15"/>
      <c r="F49" s="45">
        <f>IFERROR(E49/E13, 0)</f>
        <v>0</v>
      </c>
      <c r="G49" s="63"/>
      <c r="H49" s="15">
        <v>2.1779999999999999</v>
      </c>
      <c r="I49" s="45">
        <f>IFERROR(H49/H13, 0)</f>
        <v>5.1448885133418648E-6</v>
      </c>
      <c r="J49" s="63"/>
      <c r="K49" s="15">
        <f t="shared" si="4"/>
        <v>-2.1779999999999999</v>
      </c>
      <c r="L49" s="45">
        <f t="shared" si="5"/>
        <v>-1</v>
      </c>
    </row>
    <row r="50" spans="2:12" ht="16" customHeight="1" x14ac:dyDescent="0.35">
      <c r="B50" s="16" t="s">
        <v>91</v>
      </c>
      <c r="C50" s="16" t="s">
        <v>92</v>
      </c>
      <c r="D50" s="64"/>
      <c r="E50" s="17">
        <v>-7705.76523</v>
      </c>
      <c r="F50" s="84">
        <f>IFERROR(E50/E13, 0)</f>
        <v>-1.6752567841627559E-2</v>
      </c>
      <c r="G50" s="65"/>
      <c r="H50" s="17">
        <v>-5724.5972300000003</v>
      </c>
      <c r="I50" s="84">
        <f>IFERROR(H50/H13, 0)</f>
        <v>-1.352268803128359E-2</v>
      </c>
      <c r="J50" s="65"/>
      <c r="K50" s="17">
        <f t="shared" si="4"/>
        <v>-1981.1679999999997</v>
      </c>
      <c r="L50" s="84">
        <f t="shared" si="5"/>
        <v>-0.34607989355436269</v>
      </c>
    </row>
    <row r="51" spans="2:12" ht="16" customHeight="1" x14ac:dyDescent="0.35">
      <c r="B51" s="11" t="s">
        <v>93</v>
      </c>
      <c r="C51" s="11" t="s">
        <v>22</v>
      </c>
      <c r="D51" s="29"/>
      <c r="E51" s="12"/>
      <c r="F51" s="85"/>
      <c r="G51" s="12"/>
      <c r="H51" s="12"/>
      <c r="I51" s="85"/>
      <c r="J51" s="12"/>
      <c r="K51" s="12"/>
      <c r="L51" s="85"/>
    </row>
    <row r="52" spans="2:12" ht="16" customHeight="1" x14ac:dyDescent="0.35">
      <c r="B52" s="14" t="s">
        <v>94</v>
      </c>
      <c r="C52" s="14" t="s">
        <v>28</v>
      </c>
      <c r="D52" s="61"/>
      <c r="E52" s="15">
        <v>-7393.7342699999999</v>
      </c>
      <c r="F52" s="45">
        <f>IFERROR(E52/E13, 0)</f>
        <v>-1.6074203049804257E-2</v>
      </c>
      <c r="G52" s="63"/>
      <c r="H52" s="15">
        <v>-5253.9331599999996</v>
      </c>
      <c r="I52" s="45">
        <f>IFERROR(H52/H13, 0)</f>
        <v>-1.2410881710169845E-2</v>
      </c>
      <c r="J52" s="63"/>
      <c r="K52" s="15">
        <f t="shared" ref="K52:K57" si="6">E52-H52</f>
        <v>-2139.8011100000003</v>
      </c>
      <c r="L52" s="45">
        <f t="shared" ref="L52:L57" si="7">IF(ROUND(K52, 2)=0, 0, IFERROR(K52/ABS(H52), IF(K52&lt;0, -1, 1)))</f>
        <v>-0.4072760434584593</v>
      </c>
    </row>
    <row r="53" spans="2:12" ht="16" customHeight="1" x14ac:dyDescent="0.35">
      <c r="B53" s="14" t="s">
        <v>95</v>
      </c>
      <c r="C53" s="14" t="s">
        <v>80</v>
      </c>
      <c r="D53" s="61"/>
      <c r="E53" s="15">
        <v>-1638.8192300000001</v>
      </c>
      <c r="F53" s="45">
        <f>IFERROR(E53/E13, 0)</f>
        <v>-3.5628428210936862E-3</v>
      </c>
      <c r="G53" s="63"/>
      <c r="H53" s="15">
        <v>-216.51989</v>
      </c>
      <c r="I53" s="45">
        <f>IFERROR(H53/H13, 0)</f>
        <v>-5.1146496555144359E-4</v>
      </c>
      <c r="J53" s="63"/>
      <c r="K53" s="15">
        <f t="shared" si="6"/>
        <v>-1422.29934</v>
      </c>
      <c r="L53" s="45">
        <f t="shared" si="7"/>
        <v>-6.568908473027582</v>
      </c>
    </row>
    <row r="54" spans="2:12" ht="16" customHeight="1" x14ac:dyDescent="0.35">
      <c r="B54" s="14" t="s">
        <v>96</v>
      </c>
      <c r="C54" s="14" t="s">
        <v>97</v>
      </c>
      <c r="D54" s="61"/>
      <c r="E54" s="15">
        <v>-7306.4983099999999</v>
      </c>
      <c r="F54" s="45">
        <f>IFERROR(E54/E13, 0)</f>
        <v>-1.5884549421058873E-2</v>
      </c>
      <c r="G54" s="63"/>
      <c r="H54" s="15">
        <v>-7516.2863200000002</v>
      </c>
      <c r="I54" s="45">
        <f>IFERROR(H54/H13, 0)</f>
        <v>-1.7755029913111384E-2</v>
      </c>
      <c r="J54" s="63"/>
      <c r="K54" s="15">
        <f t="shared" si="6"/>
        <v>209.78801000000021</v>
      </c>
      <c r="L54" s="45">
        <f t="shared" si="7"/>
        <v>2.7911125397362485E-2</v>
      </c>
    </row>
    <row r="55" spans="2:12" ht="16" customHeight="1" x14ac:dyDescent="0.35">
      <c r="B55" s="14" t="s">
        <v>98</v>
      </c>
      <c r="C55" s="14" t="s">
        <v>99</v>
      </c>
      <c r="D55" s="61"/>
      <c r="E55" s="15"/>
      <c r="F55" s="45">
        <f>IFERROR(E55/E13, 0)</f>
        <v>0</v>
      </c>
      <c r="G55" s="63"/>
      <c r="H55" s="15"/>
      <c r="I55" s="45">
        <f>IFERROR(H55/H13, 0)</f>
        <v>0</v>
      </c>
      <c r="J55" s="63"/>
      <c r="K55" s="15">
        <f t="shared" si="6"/>
        <v>0</v>
      </c>
      <c r="L55" s="45">
        <f t="shared" si="7"/>
        <v>0</v>
      </c>
    </row>
    <row r="56" spans="2:12" ht="16" customHeight="1" x14ac:dyDescent="0.35">
      <c r="B56" s="14" t="s">
        <v>100</v>
      </c>
      <c r="C56" s="14" t="s">
        <v>88</v>
      </c>
      <c r="D56" s="61"/>
      <c r="E56" s="15">
        <v>-74.470460000000003</v>
      </c>
      <c r="F56" s="45">
        <f>IFERROR(E56/E13, 0)</f>
        <v>-1.6190104371337192E-4</v>
      </c>
      <c r="G56" s="63"/>
      <c r="H56" s="15">
        <v>2.8747500000000001</v>
      </c>
      <c r="I56" s="45">
        <f>IFERROR(H56/H13, 0)</f>
        <v>6.7907567739804983E-6</v>
      </c>
      <c r="J56" s="63"/>
      <c r="K56" s="15">
        <f t="shared" si="6"/>
        <v>-77.345210000000009</v>
      </c>
      <c r="L56" s="45">
        <f t="shared" si="7"/>
        <v>-26.905021306200542</v>
      </c>
    </row>
    <row r="57" spans="2:12" ht="16" customHeight="1" x14ac:dyDescent="0.35">
      <c r="B57" s="16" t="s">
        <v>103</v>
      </c>
      <c r="C57" s="16" t="s">
        <v>104</v>
      </c>
      <c r="D57" s="64"/>
      <c r="E57" s="17">
        <v>-16413.522270000001</v>
      </c>
      <c r="F57" s="84">
        <f>IFERROR(E57/E13, 0)</f>
        <v>-3.5683496335670195E-2</v>
      </c>
      <c r="G57" s="65"/>
      <c r="H57" s="17">
        <v>-12983.86462</v>
      </c>
      <c r="I57" s="84">
        <f>IFERROR(H57/H13, 0)</f>
        <v>-3.0670585832058693E-2</v>
      </c>
      <c r="J57" s="65"/>
      <c r="K57" s="17">
        <f t="shared" si="6"/>
        <v>-3429.657650000001</v>
      </c>
      <c r="L57" s="84">
        <f t="shared" si="7"/>
        <v>-0.26414767485460744</v>
      </c>
    </row>
    <row r="58" spans="2:12" ht="16" customHeight="1" thickBot="1" x14ac:dyDescent="0.4">
      <c r="B58" s="11" t="s">
        <v>105</v>
      </c>
      <c r="C58" s="11" t="s">
        <v>22</v>
      </c>
      <c r="D58" s="29"/>
      <c r="E58" s="12"/>
      <c r="F58" s="85"/>
      <c r="G58" s="12"/>
      <c r="H58" s="12"/>
      <c r="I58" s="85"/>
      <c r="J58" s="12"/>
      <c r="K58" s="12"/>
      <c r="L58" s="85"/>
    </row>
    <row r="59" spans="2:12" ht="16" customHeight="1" thickBot="1" x14ac:dyDescent="0.4">
      <c r="B59" s="18" t="s">
        <v>106</v>
      </c>
      <c r="C59" s="18" t="s">
        <v>107</v>
      </c>
      <c r="D59" s="66"/>
      <c r="E59" s="19">
        <v>-24119.287499999999</v>
      </c>
      <c r="F59" s="86">
        <f>IFERROR(E59/E13, 0)</f>
        <v>-5.2436064177297743E-2</v>
      </c>
      <c r="G59" s="68"/>
      <c r="H59" s="19">
        <v>-18708.46185</v>
      </c>
      <c r="I59" s="86">
        <f>IFERROR(H59/H13, 0)</f>
        <v>-4.4193273863342278E-2</v>
      </c>
      <c r="J59" s="68"/>
      <c r="K59" s="19">
        <f>E59-H59</f>
        <v>-5410.8256499999989</v>
      </c>
      <c r="L59" s="86">
        <f>IF(ROUND(K59, 2)=0, 0, IFERROR(K59/ABS(H59), IF(K59&lt;0, -1, 1)))</f>
        <v>-0.28921809250716135</v>
      </c>
    </row>
    <row r="60" spans="2:12" ht="16" customHeight="1" x14ac:dyDescent="0.35">
      <c r="B60" s="11" t="s">
        <v>108</v>
      </c>
      <c r="C60" s="11" t="s">
        <v>22</v>
      </c>
      <c r="D60" s="29"/>
      <c r="E60" s="12"/>
      <c r="F60" s="85"/>
      <c r="G60" s="12"/>
      <c r="H60" s="12"/>
      <c r="I60" s="85"/>
      <c r="J60" s="12"/>
      <c r="K60" s="12"/>
      <c r="L60" s="85"/>
    </row>
    <row r="61" spans="2:12" ht="16" customHeight="1" x14ac:dyDescent="0.35">
      <c r="B61" s="14" t="s">
        <v>109</v>
      </c>
      <c r="C61" s="14" t="s">
        <v>110</v>
      </c>
      <c r="D61" s="61"/>
      <c r="E61" s="15"/>
      <c r="F61" s="45">
        <f>IFERROR(E61/E13, 0)</f>
        <v>0</v>
      </c>
      <c r="G61" s="63"/>
      <c r="H61" s="15"/>
      <c r="I61" s="45">
        <f>IFERROR(H61/H13, 0)</f>
        <v>0</v>
      </c>
      <c r="J61" s="63"/>
      <c r="K61" s="15">
        <f>E61-H61</f>
        <v>0</v>
      </c>
      <c r="L61" s="45">
        <f>IF(ROUND(K61, 2)=0, 0, IFERROR(K61/ABS(H61), IF(K61&lt;0, -1, 1)))</f>
        <v>0</v>
      </c>
    </row>
    <row r="62" spans="2:12" ht="16" customHeight="1" x14ac:dyDescent="0.35">
      <c r="B62" s="14" t="s">
        <v>111</v>
      </c>
      <c r="C62" s="14" t="s">
        <v>112</v>
      </c>
      <c r="D62" s="61"/>
      <c r="E62" s="15"/>
      <c r="F62" s="45">
        <f>IFERROR(E62/E13, 0)</f>
        <v>0</v>
      </c>
      <c r="G62" s="63"/>
      <c r="H62" s="15"/>
      <c r="I62" s="45">
        <f>IFERROR(H62/H13, 0)</f>
        <v>0</v>
      </c>
      <c r="J62" s="63"/>
      <c r="K62" s="15">
        <f>E62-H62</f>
        <v>0</v>
      </c>
      <c r="L62" s="45">
        <f>IF(ROUND(K62, 2)=0, 0, IFERROR(K62/ABS(H62), IF(K62&lt;0, -1, 1)))</f>
        <v>0</v>
      </c>
    </row>
    <row r="63" spans="2:12" ht="16" customHeight="1" x14ac:dyDescent="0.35">
      <c r="B63" s="16" t="s">
        <v>113</v>
      </c>
      <c r="C63" s="16" t="s">
        <v>114</v>
      </c>
      <c r="D63" s="64"/>
      <c r="E63" s="17"/>
      <c r="F63" s="84">
        <f>IFERROR(E63/E13, 0)</f>
        <v>0</v>
      </c>
      <c r="G63" s="65"/>
      <c r="H63" s="17"/>
      <c r="I63" s="84">
        <f>IFERROR(H63/H13, 0)</f>
        <v>0</v>
      </c>
      <c r="J63" s="65"/>
      <c r="K63" s="17">
        <f>E63-H63</f>
        <v>0</v>
      </c>
      <c r="L63" s="84">
        <f>IF(ROUND(K63, 2)=0, 0, IFERROR(K63/ABS(H63), IF(K63&lt;0, -1, 1)))</f>
        <v>0</v>
      </c>
    </row>
    <row r="64" spans="2:12" ht="16" customHeight="1" thickBot="1" x14ac:dyDescent="0.4">
      <c r="B64" s="11" t="s">
        <v>115</v>
      </c>
      <c r="C64" s="11" t="s">
        <v>22</v>
      </c>
      <c r="D64" s="29"/>
      <c r="E64" s="12"/>
      <c r="F64" s="85"/>
      <c r="G64" s="12"/>
      <c r="H64" s="12"/>
      <c r="I64" s="85"/>
      <c r="J64" s="12"/>
      <c r="K64" s="12"/>
      <c r="L64" s="85"/>
    </row>
    <row r="65" spans="2:12" ht="16" customHeight="1" thickBot="1" x14ac:dyDescent="0.4">
      <c r="B65" s="18" t="s">
        <v>116</v>
      </c>
      <c r="C65" s="18" t="s">
        <v>117</v>
      </c>
      <c r="D65" s="66"/>
      <c r="E65" s="19">
        <v>80980.997489999994</v>
      </c>
      <c r="F65" s="86">
        <f>IFERROR(E65/E13, 0)</f>
        <v>0.17605515011698533</v>
      </c>
      <c r="G65" s="68"/>
      <c r="H65" s="19">
        <v>100522.89977</v>
      </c>
      <c r="I65" s="86">
        <f>IFERROR(H65/H13, 0)</f>
        <v>0.23745597445109667</v>
      </c>
      <c r="J65" s="68"/>
      <c r="K65" s="19">
        <f>E65-H65</f>
        <v>-19541.902280000009</v>
      </c>
      <c r="L65" s="86">
        <f>IF(ROUND(K65, 2)=0, 0, IFERROR(K65/ABS(H65), IF(K65&lt;0, -1, 1)))</f>
        <v>-0.19440249261325113</v>
      </c>
    </row>
    <row r="66" spans="2:12" ht="16" customHeight="1" x14ac:dyDescent="0.35">
      <c r="B66" s="11" t="s">
        <v>118</v>
      </c>
      <c r="C66" s="11" t="s">
        <v>22</v>
      </c>
      <c r="D66" s="29"/>
      <c r="E66" s="12"/>
      <c r="F66" s="85"/>
      <c r="G66" s="12"/>
      <c r="H66" s="12"/>
      <c r="I66" s="85"/>
      <c r="J66" s="12"/>
      <c r="K66" s="12"/>
      <c r="L66" s="85"/>
    </row>
    <row r="67" spans="2:12" ht="16" customHeight="1" x14ac:dyDescent="0.35">
      <c r="B67" s="14" t="s">
        <v>119</v>
      </c>
      <c r="C67" s="14" t="s">
        <v>120</v>
      </c>
      <c r="D67" s="61"/>
      <c r="E67" s="15">
        <v>-9352.1944700000004</v>
      </c>
      <c r="F67" s="45">
        <f>IFERROR(E67/E13, 0)</f>
        <v>-2.0331955055782187E-2</v>
      </c>
      <c r="G67" s="63"/>
      <c r="H67" s="15">
        <v>-23657.517459999999</v>
      </c>
      <c r="I67" s="45">
        <f>IFERROR(H67/H13, 0)</f>
        <v>-5.5883971457363915E-2</v>
      </c>
      <c r="J67" s="63"/>
      <c r="K67" s="15">
        <f>E67-H67</f>
        <v>14305.322989999999</v>
      </c>
      <c r="L67" s="45">
        <f>IF(ROUND(K67, 2)=0, 0, IFERROR(K67/ABS(H67), IF(K67&lt;0, -1, 1)))</f>
        <v>0.60468402968263091</v>
      </c>
    </row>
    <row r="68" spans="2:12" ht="16" customHeight="1" x14ac:dyDescent="0.35">
      <c r="B68" s="14" t="s">
        <v>121</v>
      </c>
      <c r="C68" s="14" t="s">
        <v>64</v>
      </c>
      <c r="D68" s="61"/>
      <c r="E68" s="15"/>
      <c r="F68" s="45">
        <f>IFERROR(E68/E13, 0)</f>
        <v>0</v>
      </c>
      <c r="G68" s="63"/>
      <c r="H68" s="15"/>
      <c r="I68" s="45">
        <f>IFERROR(H68/H13, 0)</f>
        <v>0</v>
      </c>
      <c r="J68" s="63"/>
      <c r="K68" s="15">
        <f>E68-H68</f>
        <v>0</v>
      </c>
      <c r="L68" s="45">
        <f>IF(ROUND(K68, 2)=0, 0, IFERROR(K68/ABS(H68), IF(K68&lt;0, -1, 1)))</f>
        <v>0</v>
      </c>
    </row>
    <row r="69" spans="2:12" ht="16" customHeight="1" x14ac:dyDescent="0.35">
      <c r="B69" s="14" t="s">
        <v>122</v>
      </c>
      <c r="C69" s="14" t="s">
        <v>123</v>
      </c>
      <c r="D69" s="61"/>
      <c r="E69" s="15"/>
      <c r="F69" s="45">
        <f>IFERROR(E69/E13, 0)</f>
        <v>0</v>
      </c>
      <c r="G69" s="63"/>
      <c r="H69" s="15"/>
      <c r="I69" s="45">
        <f>IFERROR(H69/H13, 0)</f>
        <v>0</v>
      </c>
      <c r="J69" s="63"/>
      <c r="K69" s="15">
        <f>E69-H69</f>
        <v>0</v>
      </c>
      <c r="L69" s="45">
        <f>IF(ROUND(K69, 2)=0, 0, IFERROR(K69/ABS(H69), IF(K69&lt;0, -1, 1)))</f>
        <v>0</v>
      </c>
    </row>
    <row r="70" spans="2:12" ht="16" customHeight="1" thickBot="1" x14ac:dyDescent="0.4">
      <c r="B70" s="11" t="s">
        <v>124</v>
      </c>
      <c r="C70" s="11" t="s">
        <v>22</v>
      </c>
      <c r="D70" s="29"/>
      <c r="E70" s="12"/>
      <c r="F70" s="85"/>
      <c r="G70" s="12"/>
      <c r="H70" s="12"/>
      <c r="I70" s="85"/>
      <c r="J70" s="12"/>
      <c r="K70" s="12"/>
      <c r="L70" s="85"/>
    </row>
    <row r="71" spans="2:12" ht="16" customHeight="1" thickBot="1" x14ac:dyDescent="0.4">
      <c r="B71" s="18" t="s">
        <v>125</v>
      </c>
      <c r="C71" s="18" t="s">
        <v>126</v>
      </c>
      <c r="D71" s="66"/>
      <c r="E71" s="19">
        <v>71628.803020000007</v>
      </c>
      <c r="F71" s="86">
        <f>IFERROR(E71/E13, 0)</f>
        <v>0.15572319506120316</v>
      </c>
      <c r="G71" s="68"/>
      <c r="H71" s="19">
        <v>76865.382310000001</v>
      </c>
      <c r="I71" s="86">
        <f>IFERROR(H71/H13, 0)</f>
        <v>0.18157200299373277</v>
      </c>
      <c r="J71" s="68"/>
      <c r="K71" s="19">
        <f>E71-H71</f>
        <v>-5236.5792899999942</v>
      </c>
      <c r="L71" s="86">
        <f>IF(ROUND(K71, 2)=0, 0, IFERROR(K71/ABS(H71), IF(K71&lt;0, -1, 1)))</f>
        <v>-6.8126627782591903E-2</v>
      </c>
    </row>
    <row r="72" spans="2:12" ht="16" customHeight="1" x14ac:dyDescent="0.35">
      <c r="B72" s="11" t="s">
        <v>127</v>
      </c>
      <c r="C72" s="11" t="s">
        <v>22</v>
      </c>
      <c r="D72" s="29"/>
      <c r="E72" s="12"/>
      <c r="F72" s="85"/>
      <c r="G72" s="12"/>
      <c r="H72" s="12"/>
      <c r="I72" s="85"/>
      <c r="J72" s="12"/>
      <c r="K72" s="12"/>
      <c r="L72" s="85"/>
    </row>
    <row r="73" spans="2:12" ht="16" customHeight="1" x14ac:dyDescent="0.35">
      <c r="B73" s="14" t="s">
        <v>128</v>
      </c>
      <c r="C73" s="14" t="s">
        <v>129</v>
      </c>
      <c r="D73" s="61"/>
      <c r="E73" s="15">
        <v>-24712.670460000001</v>
      </c>
      <c r="F73" s="45">
        <f>IFERROR(E73/E13, 0)</f>
        <v>-5.3726096769358148E-2</v>
      </c>
      <c r="G73" s="63"/>
      <c r="H73" s="15">
        <v>-18097.57878</v>
      </c>
      <c r="I73" s="45">
        <f>IFERROR(H73/H13, 0)</f>
        <v>-4.2750241131552562E-2</v>
      </c>
      <c r="J73" s="63"/>
      <c r="K73" s="15">
        <f>E73-H73</f>
        <v>-6615.0916800000014</v>
      </c>
      <c r="L73" s="45">
        <f>IF(ROUND(K73, 2)=0, 0, IFERROR(K73/ABS(H73), IF(K73&lt;0, -1, 1)))</f>
        <v>-0.36552357419824982</v>
      </c>
    </row>
    <row r="74" spans="2:12" ht="16" customHeight="1" x14ac:dyDescent="0.35">
      <c r="B74" s="14" t="s">
        <v>130</v>
      </c>
      <c r="C74" s="14" t="s">
        <v>131</v>
      </c>
      <c r="D74" s="61"/>
      <c r="E74" s="15">
        <v>-727.16399999999999</v>
      </c>
      <c r="F74" s="45">
        <f>IFERROR(E74/E13, 0)</f>
        <v>-1.580876639553326E-3</v>
      </c>
      <c r="G74" s="63"/>
      <c r="H74" s="15">
        <v>-716.99666999999999</v>
      </c>
      <c r="I74" s="45">
        <f>IFERROR(H74/H13, 0)</f>
        <v>-1.6936951017389199E-3</v>
      </c>
      <c r="J74" s="63"/>
      <c r="K74" s="15">
        <f>E74-H74</f>
        <v>-10.167329999999993</v>
      </c>
      <c r="L74" s="45">
        <f>IF(ROUND(K74, 2)=0, 0, IFERROR(K74/ABS(H74), IF(K74&lt;0, -1, 1)))</f>
        <v>-1.4180442427996204E-2</v>
      </c>
    </row>
    <row r="75" spans="2:12" ht="16" customHeight="1" x14ac:dyDescent="0.35">
      <c r="B75" s="14" t="s">
        <v>132</v>
      </c>
      <c r="C75" s="14" t="s">
        <v>133</v>
      </c>
      <c r="D75" s="61"/>
      <c r="E75" s="15">
        <v>-1299.0818300000001</v>
      </c>
      <c r="F75" s="45">
        <f>IFERROR(E75/E13, 0)</f>
        <v>-2.8242433865196645E-3</v>
      </c>
      <c r="G75" s="63"/>
      <c r="H75" s="15">
        <v>2051.9749999999999</v>
      </c>
      <c r="I75" s="45">
        <f>IFERROR(H75/H13, 0)</f>
        <v>4.8471912796899325E-3</v>
      </c>
      <c r="J75" s="63"/>
      <c r="K75" s="15">
        <f>E75-H75</f>
        <v>-3351.05683</v>
      </c>
      <c r="L75" s="45">
        <f>IF(ROUND(K75, 2)=0, 0, IFERROR(K75/ABS(H75), IF(K75&lt;0, -1, 1)))</f>
        <v>-1.6330885269070043</v>
      </c>
    </row>
    <row r="76" spans="2:12" ht="16" customHeight="1" x14ac:dyDescent="0.35">
      <c r="B76" s="14" t="s">
        <v>134</v>
      </c>
      <c r="C76" s="14" t="s">
        <v>135</v>
      </c>
      <c r="D76" s="61"/>
      <c r="E76" s="15"/>
      <c r="F76" s="45">
        <f>IFERROR(E76/E13, 0)</f>
        <v>0</v>
      </c>
      <c r="G76" s="63"/>
      <c r="H76" s="15"/>
      <c r="I76" s="45">
        <f>IFERROR(H76/H13, 0)</f>
        <v>0</v>
      </c>
      <c r="J76" s="63"/>
      <c r="K76" s="15">
        <f>E76-H76</f>
        <v>0</v>
      </c>
      <c r="L76" s="45">
        <f>IF(ROUND(K76, 2)=0, 0, IFERROR(K76/ABS(H76), IF(K76&lt;0, -1, 1)))</f>
        <v>0</v>
      </c>
    </row>
    <row r="77" spans="2:12" ht="16" customHeight="1" thickBot="1" x14ac:dyDescent="0.4">
      <c r="B77" s="11" t="s">
        <v>136</v>
      </c>
      <c r="C77" s="11" t="s">
        <v>22</v>
      </c>
      <c r="D77" s="29"/>
      <c r="E77" s="12"/>
      <c r="F77" s="85"/>
      <c r="G77" s="12"/>
      <c r="H77" s="12"/>
      <c r="I77" s="85"/>
      <c r="J77" s="12"/>
      <c r="K77" s="12"/>
      <c r="L77" s="85"/>
    </row>
    <row r="78" spans="2:12" ht="16" customHeight="1" thickBot="1" x14ac:dyDescent="0.4">
      <c r="B78" s="18" t="s">
        <v>137</v>
      </c>
      <c r="C78" s="18" t="s">
        <v>138</v>
      </c>
      <c r="D78" s="66"/>
      <c r="E78" s="19">
        <v>44889.886729999998</v>
      </c>
      <c r="F78" s="86">
        <f>IFERROR(E78/E13, 0)</f>
        <v>9.7591978265772011E-2</v>
      </c>
      <c r="G78" s="68"/>
      <c r="H78" s="19">
        <v>60102.781860000003</v>
      </c>
      <c r="I78" s="86">
        <f>IFERROR(H78/H13, 0)</f>
        <v>0.14197525804013122</v>
      </c>
      <c r="J78" s="68"/>
      <c r="K78" s="19">
        <f>E78-H78</f>
        <v>-15212.895130000004</v>
      </c>
      <c r="L78" s="86">
        <f>IF(ROUND(K78, 2)=0, 0, IFERROR(K78/ABS(H78), IF(K78&lt;0, -1, 1)))</f>
        <v>-0.25311465890940049</v>
      </c>
    </row>
    <row r="79" spans="2:12" ht="16" customHeight="1" x14ac:dyDescent="0.35">
      <c r="B79" s="11" t="s">
        <v>139</v>
      </c>
      <c r="C79" s="11" t="s">
        <v>22</v>
      </c>
      <c r="D79" s="29"/>
      <c r="E79" s="12"/>
      <c r="F79" s="85"/>
      <c r="G79" s="12"/>
      <c r="H79" s="12"/>
      <c r="I79" s="85"/>
      <c r="J79" s="12"/>
      <c r="K79" s="12"/>
      <c r="L79" s="85"/>
    </row>
    <row r="80" spans="2:12" ht="16" customHeight="1" x14ac:dyDescent="0.35">
      <c r="B80" s="14" t="s">
        <v>140</v>
      </c>
      <c r="C80" s="14" t="s">
        <v>141</v>
      </c>
      <c r="D80" s="61"/>
      <c r="E80" s="15">
        <v>-1335.1893700000001</v>
      </c>
      <c r="F80" s="45">
        <f>IFERROR(E80/E13, 0)</f>
        <v>-2.902742276038036E-3</v>
      </c>
      <c r="G80" s="63"/>
      <c r="H80" s="15"/>
      <c r="I80" s="45">
        <f>IFERROR(H80/H13, 0)</f>
        <v>0</v>
      </c>
      <c r="J80" s="63"/>
      <c r="K80" s="15">
        <f t="shared" ref="K80:K85" si="8">E80-H80</f>
        <v>-1335.1893700000001</v>
      </c>
      <c r="L80" s="45">
        <f t="shared" ref="L80:L85" si="9">IF(ROUND(K80, 2)=0, 0, IFERROR(K80/ABS(H80), IF(K80&lt;0, -1, 1)))</f>
        <v>-1</v>
      </c>
    </row>
    <row r="81" spans="2:12" ht="16" customHeight="1" x14ac:dyDescent="0.35">
      <c r="B81" s="14" t="s">
        <v>142</v>
      </c>
      <c r="C81" s="14" t="s">
        <v>143</v>
      </c>
      <c r="D81" s="61"/>
      <c r="E81" s="15">
        <v>-629.02787999999998</v>
      </c>
      <c r="F81" s="45">
        <f>IFERROR(E81/E13, 0)</f>
        <v>-1.3675257316365396E-3</v>
      </c>
      <c r="G81" s="63"/>
      <c r="H81" s="15">
        <v>-681.71321999999998</v>
      </c>
      <c r="I81" s="45">
        <f>IFERROR(H81/H13, 0)</f>
        <v>-1.6103482621539465E-3</v>
      </c>
      <c r="J81" s="63"/>
      <c r="K81" s="15">
        <f t="shared" si="8"/>
        <v>52.685339999999997</v>
      </c>
      <c r="L81" s="45">
        <f t="shared" si="9"/>
        <v>7.7283729366433587E-2</v>
      </c>
    </row>
    <row r="82" spans="2:12" ht="16" customHeight="1" x14ac:dyDescent="0.35">
      <c r="B82" s="14" t="s">
        <v>144</v>
      </c>
      <c r="C82" s="14" t="s">
        <v>145</v>
      </c>
      <c r="D82" s="61"/>
      <c r="E82" s="15"/>
      <c r="F82" s="45">
        <f>IFERROR(E82/E13, 0)</f>
        <v>0</v>
      </c>
      <c r="G82" s="63"/>
      <c r="H82" s="15">
        <v>-511.27751000000001</v>
      </c>
      <c r="I82" s="45">
        <f>IFERROR(H82/H13, 0)</f>
        <v>-1.2077437044669562E-3</v>
      </c>
      <c r="J82" s="63"/>
      <c r="K82" s="15">
        <f t="shared" si="8"/>
        <v>511.27751000000001</v>
      </c>
      <c r="L82" s="45">
        <f t="shared" si="9"/>
        <v>1</v>
      </c>
    </row>
    <row r="83" spans="2:12" ht="16" customHeight="1" x14ac:dyDescent="0.35">
      <c r="B83" s="14" t="s">
        <v>146</v>
      </c>
      <c r="C83" s="14" t="s">
        <v>147</v>
      </c>
      <c r="D83" s="61"/>
      <c r="E83" s="15">
        <v>-1995.85502</v>
      </c>
      <c r="F83" s="45">
        <f>IFERROR(E83/E13, 0)</f>
        <v>-4.3390494813456606E-3</v>
      </c>
      <c r="G83" s="63"/>
      <c r="H83" s="15"/>
      <c r="I83" s="45">
        <f>IFERROR(H83/H13, 0)</f>
        <v>0</v>
      </c>
      <c r="J83" s="63"/>
      <c r="K83" s="15">
        <f t="shared" si="8"/>
        <v>-1995.85502</v>
      </c>
      <c r="L83" s="45">
        <f t="shared" si="9"/>
        <v>-1</v>
      </c>
    </row>
    <row r="84" spans="2:12" ht="16" customHeight="1" x14ac:dyDescent="0.35">
      <c r="B84" s="14" t="s">
        <v>148</v>
      </c>
      <c r="C84" s="14" t="s">
        <v>149</v>
      </c>
      <c r="D84" s="61"/>
      <c r="E84" s="15"/>
      <c r="F84" s="45">
        <f>IFERROR(E84/E13, 0)</f>
        <v>0</v>
      </c>
      <c r="G84" s="63"/>
      <c r="H84" s="15"/>
      <c r="I84" s="45">
        <f>IFERROR(H84/H13, 0)</f>
        <v>0</v>
      </c>
      <c r="J84" s="63"/>
      <c r="K84" s="15">
        <f t="shared" si="8"/>
        <v>0</v>
      </c>
      <c r="L84" s="45">
        <f t="shared" si="9"/>
        <v>0</v>
      </c>
    </row>
    <row r="85" spans="2:12" ht="16" customHeight="1" x14ac:dyDescent="0.35">
      <c r="B85" s="16" t="s">
        <v>150</v>
      </c>
      <c r="C85" s="16" t="s">
        <v>151</v>
      </c>
      <c r="D85" s="64"/>
      <c r="E85" s="17">
        <v>-3960.0722700000001</v>
      </c>
      <c r="F85" s="84">
        <f>IFERROR(E85/E13, 0)</f>
        <v>-8.6093174890202375E-3</v>
      </c>
      <c r="G85" s="65"/>
      <c r="H85" s="17">
        <v>-1192.99073</v>
      </c>
      <c r="I85" s="84">
        <f>IFERROR(H85/H13, 0)</f>
        <v>-2.8180919666209027E-3</v>
      </c>
      <c r="J85" s="65"/>
      <c r="K85" s="17">
        <f t="shared" si="8"/>
        <v>-2767.0815400000001</v>
      </c>
      <c r="L85" s="84">
        <f t="shared" si="9"/>
        <v>-2.3194493221250765</v>
      </c>
    </row>
    <row r="86" spans="2:12" ht="16" customHeight="1" x14ac:dyDescent="0.35">
      <c r="B86" s="11" t="s">
        <v>152</v>
      </c>
      <c r="C86" s="11" t="s">
        <v>22</v>
      </c>
      <c r="D86" s="29"/>
      <c r="E86" s="12"/>
      <c r="F86" s="85"/>
      <c r="G86" s="12"/>
      <c r="H86" s="12"/>
      <c r="I86" s="85"/>
      <c r="J86" s="12"/>
      <c r="K86" s="12"/>
      <c r="L86" s="85"/>
    </row>
    <row r="87" spans="2:12" ht="16" customHeight="1" x14ac:dyDescent="0.35">
      <c r="B87" s="14" t="s">
        <v>153</v>
      </c>
      <c r="C87" s="14" t="s">
        <v>154</v>
      </c>
      <c r="D87" s="61"/>
      <c r="E87" s="15"/>
      <c r="F87" s="45">
        <f>IFERROR(E87/E13, 0)</f>
        <v>0</v>
      </c>
      <c r="G87" s="63"/>
      <c r="H87" s="15"/>
      <c r="I87" s="45">
        <f>IFERROR(H87/H13, 0)</f>
        <v>0</v>
      </c>
      <c r="J87" s="63"/>
      <c r="K87" s="15">
        <f t="shared" ref="K87:K92" si="10">E87-H87</f>
        <v>0</v>
      </c>
      <c r="L87" s="45">
        <f t="shared" ref="L87:L92" si="11">IF(ROUND(K87, 2)=0, 0, IFERROR(K87/ABS(H87), IF(K87&lt;0, -1, 1)))</f>
        <v>0</v>
      </c>
    </row>
    <row r="88" spans="2:12" ht="16" customHeight="1" x14ac:dyDescent="0.35">
      <c r="B88" s="14" t="s">
        <v>155</v>
      </c>
      <c r="C88" s="14" t="s">
        <v>156</v>
      </c>
      <c r="D88" s="61"/>
      <c r="E88" s="15"/>
      <c r="F88" s="45">
        <f>IFERROR(E88/E13, 0)</f>
        <v>0</v>
      </c>
      <c r="G88" s="63"/>
      <c r="H88" s="15"/>
      <c r="I88" s="45">
        <f>IFERROR(H88/H13, 0)</f>
        <v>0</v>
      </c>
      <c r="J88" s="63"/>
      <c r="K88" s="15">
        <f t="shared" si="10"/>
        <v>0</v>
      </c>
      <c r="L88" s="45">
        <f t="shared" si="11"/>
        <v>0</v>
      </c>
    </row>
    <row r="89" spans="2:12" ht="16" customHeight="1" x14ac:dyDescent="0.35">
      <c r="B89" s="14" t="s">
        <v>157</v>
      </c>
      <c r="C89" s="14" t="s">
        <v>158</v>
      </c>
      <c r="D89" s="61"/>
      <c r="E89" s="15"/>
      <c r="F89" s="45">
        <f>IFERROR(E89/E13, 0)</f>
        <v>0</v>
      </c>
      <c r="G89" s="63"/>
      <c r="H89" s="15"/>
      <c r="I89" s="45">
        <f>IFERROR(H89/H13, 0)</f>
        <v>0</v>
      </c>
      <c r="J89" s="63"/>
      <c r="K89" s="15">
        <f t="shared" si="10"/>
        <v>0</v>
      </c>
      <c r="L89" s="45">
        <f t="shared" si="11"/>
        <v>0</v>
      </c>
    </row>
    <row r="90" spans="2:12" ht="16" customHeight="1" x14ac:dyDescent="0.35">
      <c r="B90" s="14" t="s">
        <v>159</v>
      </c>
      <c r="C90" s="14" t="s">
        <v>160</v>
      </c>
      <c r="D90" s="61"/>
      <c r="E90" s="15"/>
      <c r="F90" s="45">
        <f>IFERROR(E90/E13, 0)</f>
        <v>0</v>
      </c>
      <c r="G90" s="63"/>
      <c r="H90" s="15"/>
      <c r="I90" s="45">
        <f>IFERROR(H90/H13, 0)</f>
        <v>0</v>
      </c>
      <c r="J90" s="63"/>
      <c r="K90" s="15">
        <f t="shared" si="10"/>
        <v>0</v>
      </c>
      <c r="L90" s="45">
        <f t="shared" si="11"/>
        <v>0</v>
      </c>
    </row>
    <row r="91" spans="2:12" ht="16" customHeight="1" x14ac:dyDescent="0.35">
      <c r="B91" s="14" t="s">
        <v>161</v>
      </c>
      <c r="C91" s="14" t="s">
        <v>162</v>
      </c>
      <c r="D91" s="61"/>
      <c r="E91" s="15"/>
      <c r="F91" s="45">
        <f>IFERROR(E91/E13, 0)</f>
        <v>0</v>
      </c>
      <c r="G91" s="63"/>
      <c r="H91" s="15"/>
      <c r="I91" s="45">
        <f>IFERROR(H91/H13, 0)</f>
        <v>0</v>
      </c>
      <c r="J91" s="63"/>
      <c r="K91" s="15">
        <f t="shared" si="10"/>
        <v>0</v>
      </c>
      <c r="L91" s="45">
        <f t="shared" si="11"/>
        <v>0</v>
      </c>
    </row>
    <row r="92" spans="2:12" ht="16" customHeight="1" x14ac:dyDescent="0.35">
      <c r="B92" s="16" t="s">
        <v>163</v>
      </c>
      <c r="C92" s="16" t="s">
        <v>164</v>
      </c>
      <c r="D92" s="64"/>
      <c r="E92" s="17"/>
      <c r="F92" s="84">
        <f>IFERROR(E92/E13, 0)</f>
        <v>0</v>
      </c>
      <c r="G92" s="65"/>
      <c r="H92" s="17"/>
      <c r="I92" s="84">
        <f>IFERROR(H92/H13, 0)</f>
        <v>0</v>
      </c>
      <c r="J92" s="65"/>
      <c r="K92" s="17">
        <f t="shared" si="10"/>
        <v>0</v>
      </c>
      <c r="L92" s="84">
        <f t="shared" si="11"/>
        <v>0</v>
      </c>
    </row>
    <row r="93" spans="2:12" ht="16" customHeight="1" x14ac:dyDescent="0.35">
      <c r="B93" s="11" t="s">
        <v>165</v>
      </c>
      <c r="C93" s="11" t="s">
        <v>22</v>
      </c>
      <c r="D93" s="29"/>
      <c r="E93" s="12"/>
      <c r="F93" s="85"/>
      <c r="G93" s="12"/>
      <c r="H93" s="12"/>
      <c r="I93" s="85"/>
      <c r="J93" s="12"/>
      <c r="K93" s="12"/>
      <c r="L93" s="85"/>
    </row>
    <row r="94" spans="2:12" ht="16" customHeight="1" thickBot="1" x14ac:dyDescent="0.4">
      <c r="B94" s="14" t="s">
        <v>166</v>
      </c>
      <c r="C94" s="14" t="s">
        <v>167</v>
      </c>
      <c r="D94" s="61"/>
      <c r="E94" s="15"/>
      <c r="F94" s="45">
        <f>IFERROR(E94/E13, 0)</f>
        <v>0</v>
      </c>
      <c r="G94" s="63"/>
      <c r="H94" s="15"/>
      <c r="I94" s="45">
        <f>IFERROR(H94/H13, 0)</f>
        <v>0</v>
      </c>
      <c r="J94" s="63"/>
      <c r="K94" s="15">
        <f>E94-H94</f>
        <v>0</v>
      </c>
      <c r="L94" s="45">
        <f>IF(ROUND(K94, 2)=0, 0, IFERROR(K94/ABS(H94), IF(K94&lt;0, -1, 1)))</f>
        <v>0</v>
      </c>
    </row>
    <row r="95" spans="2:12" ht="16" customHeight="1" thickBot="1" x14ac:dyDescent="0.4">
      <c r="B95" s="18" t="s">
        <v>169</v>
      </c>
      <c r="C95" s="18" t="s">
        <v>170</v>
      </c>
      <c r="D95" s="66"/>
      <c r="E95" s="19">
        <v>40929.814460000001</v>
      </c>
      <c r="F95" s="86">
        <f>IFERROR(E95/E13, 0)</f>
        <v>8.8982660776751779E-2</v>
      </c>
      <c r="G95" s="68"/>
      <c r="H95" s="19">
        <v>58909.791129999998</v>
      </c>
      <c r="I95" s="86">
        <f>IFERROR(H95/H13, 0)</f>
        <v>0.13915716607351031</v>
      </c>
      <c r="J95" s="68"/>
      <c r="K95" s="19">
        <f>E95-H95</f>
        <v>-17979.976669999996</v>
      </c>
      <c r="L95" s="86">
        <f>IF(ROUND(K95, 2)=0, 0, IFERROR(K95/ABS(H95), IF(K95&lt;0, -1, 1)))</f>
        <v>-0.30521202545638693</v>
      </c>
    </row>
    <row r="96" spans="2:12" ht="16" customHeight="1" x14ac:dyDescent="0.35">
      <c r="B96" s="11" t="s">
        <v>171</v>
      </c>
      <c r="C96" s="11" t="s">
        <v>22</v>
      </c>
      <c r="D96" s="29"/>
      <c r="E96" s="12"/>
      <c r="F96" s="85"/>
      <c r="G96" s="12"/>
      <c r="H96" s="12"/>
      <c r="I96" s="85"/>
      <c r="J96" s="12"/>
      <c r="K96" s="12"/>
      <c r="L96" s="85"/>
    </row>
    <row r="97" spans="2:12" ht="16" customHeight="1" x14ac:dyDescent="0.35">
      <c r="B97" s="14" t="s">
        <v>172</v>
      </c>
      <c r="C97" s="14" t="s">
        <v>173</v>
      </c>
      <c r="D97" s="61"/>
      <c r="E97" s="15"/>
      <c r="F97" s="45">
        <f>IFERROR(E97/E13, 0)</f>
        <v>0</v>
      </c>
      <c r="G97" s="63"/>
      <c r="H97" s="15"/>
      <c r="I97" s="45">
        <f>IFERROR(H97/H13, 0)</f>
        <v>0</v>
      </c>
      <c r="J97" s="63"/>
      <c r="K97" s="15">
        <f>E97-H97</f>
        <v>0</v>
      </c>
      <c r="L97" s="45">
        <f>IF(ROUND(K97, 2)=0, 0, IFERROR(K97/ABS(H97), IF(K97&lt;0, -1, 1)))</f>
        <v>0</v>
      </c>
    </row>
    <row r="98" spans="2:12" ht="16" customHeight="1" x14ac:dyDescent="0.35">
      <c r="B98" s="14" t="s">
        <v>174</v>
      </c>
      <c r="C98" s="14" t="s">
        <v>175</v>
      </c>
      <c r="D98" s="61"/>
      <c r="E98" s="15"/>
      <c r="F98" s="45">
        <f>IFERROR(E98/E13, 0)</f>
        <v>0</v>
      </c>
      <c r="G98" s="63"/>
      <c r="H98" s="15"/>
      <c r="I98" s="45">
        <f>IFERROR(H98/H13, 0)</f>
        <v>0</v>
      </c>
      <c r="J98" s="63"/>
      <c r="K98" s="15">
        <f>E98-H98</f>
        <v>0</v>
      </c>
      <c r="L98" s="45">
        <f>IF(ROUND(K98, 2)=0, 0, IFERROR(K98/ABS(H98), IF(K98&lt;0, -1, 1)))</f>
        <v>0</v>
      </c>
    </row>
    <row r="99" spans="2:12" ht="16" customHeight="1" x14ac:dyDescent="0.35">
      <c r="B99" s="14" t="s">
        <v>176</v>
      </c>
      <c r="C99" s="14" t="s">
        <v>177</v>
      </c>
      <c r="D99" s="61"/>
      <c r="E99" s="15"/>
      <c r="F99" s="45">
        <f>IFERROR(E99/E13, 0)</f>
        <v>0</v>
      </c>
      <c r="G99" s="63"/>
      <c r="H99" s="15"/>
      <c r="I99" s="45">
        <f>IFERROR(H99/H13, 0)</f>
        <v>0</v>
      </c>
      <c r="J99" s="63"/>
      <c r="K99" s="15">
        <f>E99-H99</f>
        <v>0</v>
      </c>
      <c r="L99" s="45">
        <f>IF(ROUND(K99, 2)=0, 0, IFERROR(K99/ABS(H99), IF(K99&lt;0, -1, 1)))</f>
        <v>0</v>
      </c>
    </row>
    <row r="100" spans="2:12" ht="16" customHeight="1" x14ac:dyDescent="0.35">
      <c r="B100" s="14" t="s">
        <v>178</v>
      </c>
      <c r="C100" s="14" t="s">
        <v>179</v>
      </c>
      <c r="D100" s="61"/>
      <c r="E100" s="15"/>
      <c r="F100" s="45">
        <f>IFERROR(E100/E13, 0)</f>
        <v>0</v>
      </c>
      <c r="G100" s="63"/>
      <c r="H100" s="15"/>
      <c r="I100" s="45">
        <f>IFERROR(H100/H13, 0)</f>
        <v>0</v>
      </c>
      <c r="J100" s="63"/>
      <c r="K100" s="15">
        <f>E100-H100</f>
        <v>0</v>
      </c>
      <c r="L100" s="45">
        <f>IF(ROUND(K100, 2)=0, 0, IFERROR(K100/ABS(H100), IF(K100&lt;0, -1, 1)))</f>
        <v>0</v>
      </c>
    </row>
    <row r="101" spans="2:12" ht="16" customHeight="1" x14ac:dyDescent="0.35">
      <c r="B101" s="16" t="s">
        <v>180</v>
      </c>
      <c r="C101" s="16" t="s">
        <v>181</v>
      </c>
      <c r="D101" s="64"/>
      <c r="E101" s="17"/>
      <c r="F101" s="84">
        <f>IFERROR(E101/E13, 0)</f>
        <v>0</v>
      </c>
      <c r="G101" s="65"/>
      <c r="H101" s="17"/>
      <c r="I101" s="84">
        <f>IFERROR(H101/H13, 0)</f>
        <v>0</v>
      </c>
      <c r="J101" s="65"/>
      <c r="K101" s="17">
        <f>E101-H101</f>
        <v>0</v>
      </c>
      <c r="L101" s="84">
        <f>IF(ROUND(K101, 2)=0, 0, IFERROR(K101/ABS(H101), IF(K101&lt;0, -1, 1)))</f>
        <v>0</v>
      </c>
    </row>
    <row r="102" spans="2:12" ht="16" customHeight="1" x14ac:dyDescent="0.35">
      <c r="B102" s="11" t="s">
        <v>182</v>
      </c>
      <c r="C102" s="11" t="s">
        <v>22</v>
      </c>
      <c r="D102" s="29"/>
      <c r="E102" s="12"/>
      <c r="F102" s="85"/>
      <c r="G102" s="12"/>
      <c r="H102" s="12"/>
      <c r="I102" s="85"/>
      <c r="J102" s="12"/>
      <c r="K102" s="12"/>
      <c r="L102" s="85"/>
    </row>
    <row r="103" spans="2:12" ht="16" customHeight="1" x14ac:dyDescent="0.35">
      <c r="B103" s="14" t="s">
        <v>183</v>
      </c>
      <c r="C103" s="14" t="s">
        <v>184</v>
      </c>
      <c r="D103" s="61"/>
      <c r="E103" s="15"/>
      <c r="F103" s="45">
        <f>IFERROR(E103/E13, 0)</f>
        <v>0</v>
      </c>
      <c r="G103" s="63"/>
      <c r="H103" s="15"/>
      <c r="I103" s="45">
        <f>IFERROR(H103/H13, 0)</f>
        <v>0</v>
      </c>
      <c r="J103" s="63"/>
      <c r="K103" s="15">
        <f>E103-H103</f>
        <v>0</v>
      </c>
      <c r="L103" s="45">
        <f>IF(ROUND(K103, 2)=0, 0, IFERROR(K103/ABS(H103), IF(K103&lt;0, -1, 1)))</f>
        <v>0</v>
      </c>
    </row>
    <row r="104" spans="2:12" ht="16" customHeight="1" x14ac:dyDescent="0.35">
      <c r="B104" s="14" t="s">
        <v>185</v>
      </c>
      <c r="C104" s="14" t="s">
        <v>186</v>
      </c>
      <c r="D104" s="61"/>
      <c r="E104" s="15"/>
      <c r="F104" s="45">
        <f>IFERROR(E104/E13, 0)</f>
        <v>0</v>
      </c>
      <c r="G104" s="63"/>
      <c r="H104" s="15"/>
      <c r="I104" s="45">
        <f>IFERROR(H104/H13, 0)</f>
        <v>0</v>
      </c>
      <c r="J104" s="63"/>
      <c r="K104" s="15">
        <f>E104-H104</f>
        <v>0</v>
      </c>
      <c r="L104" s="45">
        <f>IF(ROUND(K104, 2)=0, 0, IFERROR(K104/ABS(H104), IF(K104&lt;0, -1, 1)))</f>
        <v>0</v>
      </c>
    </row>
    <row r="105" spans="2:12" ht="16" customHeight="1" x14ac:dyDescent="0.35">
      <c r="B105" s="14" t="s">
        <v>187</v>
      </c>
      <c r="C105" s="14" t="s">
        <v>188</v>
      </c>
      <c r="D105" s="61"/>
      <c r="E105" s="15">
        <v>2.9629500000000002</v>
      </c>
      <c r="F105" s="45">
        <f>IFERROR(E105/E13, 0)</f>
        <v>6.4415433645842311E-6</v>
      </c>
      <c r="G105" s="63"/>
      <c r="H105" s="15">
        <v>0.31313000000000002</v>
      </c>
      <c r="I105" s="45">
        <f>IFERROR(H105/H13, 0)</f>
        <v>7.3967811762292848E-7</v>
      </c>
      <c r="J105" s="63"/>
      <c r="K105" s="15">
        <f>E105-H105</f>
        <v>2.6498200000000001</v>
      </c>
      <c r="L105" s="45">
        <f>IF(ROUND(K105, 2)=0, 0, IFERROR(K105/ABS(H105), IF(K105&lt;0, -1, 1)))</f>
        <v>8.4623638744291512</v>
      </c>
    </row>
    <row r="106" spans="2:12" ht="16" customHeight="1" x14ac:dyDescent="0.35">
      <c r="B106" s="14" t="s">
        <v>189</v>
      </c>
      <c r="C106" s="14" t="s">
        <v>190</v>
      </c>
      <c r="D106" s="61"/>
      <c r="E106" s="15"/>
      <c r="F106" s="45">
        <f>IFERROR(E106/E13, 0)</f>
        <v>0</v>
      </c>
      <c r="G106" s="63"/>
      <c r="H106" s="15"/>
      <c r="I106" s="45">
        <f>IFERROR(H106/H13, 0)</f>
        <v>0</v>
      </c>
      <c r="J106" s="63"/>
      <c r="K106" s="15">
        <f>E106-H106</f>
        <v>0</v>
      </c>
      <c r="L106" s="45">
        <f>IF(ROUND(K106, 2)=0, 0, IFERROR(K106/ABS(H106), IF(K106&lt;0, -1, 1)))</f>
        <v>0</v>
      </c>
    </row>
    <row r="107" spans="2:12" ht="16" customHeight="1" x14ac:dyDescent="0.35">
      <c r="B107" s="16" t="s">
        <v>191</v>
      </c>
      <c r="C107" s="16" t="s">
        <v>192</v>
      </c>
      <c r="D107" s="64"/>
      <c r="E107" s="17">
        <v>2.9629500000000002</v>
      </c>
      <c r="F107" s="84">
        <f>IFERROR(E107/E13, 0)</f>
        <v>6.4415433645842311E-6</v>
      </c>
      <c r="G107" s="65"/>
      <c r="H107" s="17">
        <v>0.31313000000000002</v>
      </c>
      <c r="I107" s="84">
        <f>IFERROR(H107/H13, 0)</f>
        <v>7.3967811762292848E-7</v>
      </c>
      <c r="J107" s="65"/>
      <c r="K107" s="17">
        <f>E107-H107</f>
        <v>2.6498200000000001</v>
      </c>
      <c r="L107" s="84">
        <f>IF(ROUND(K107, 2)=0, 0, IFERROR(K107/ABS(H107), IF(K107&lt;0, -1, 1)))</f>
        <v>8.4623638744291512</v>
      </c>
    </row>
    <row r="108" spans="2:12" ht="16" customHeight="1" x14ac:dyDescent="0.35">
      <c r="B108" s="11" t="s">
        <v>193</v>
      </c>
      <c r="C108" s="11" t="s">
        <v>22</v>
      </c>
      <c r="D108" s="29"/>
      <c r="E108" s="12"/>
      <c r="F108" s="85"/>
      <c r="G108" s="12"/>
      <c r="H108" s="12"/>
      <c r="I108" s="85"/>
      <c r="J108" s="12"/>
      <c r="K108" s="12"/>
      <c r="L108" s="85"/>
    </row>
    <row r="109" spans="2:12" ht="16" customHeight="1" x14ac:dyDescent="0.35">
      <c r="B109" s="14" t="s">
        <v>194</v>
      </c>
      <c r="C109" s="14" t="s">
        <v>195</v>
      </c>
      <c r="D109" s="61"/>
      <c r="E109" s="15">
        <v>-3200.2907300000002</v>
      </c>
      <c r="F109" s="45">
        <f>IFERROR(E109/E13, 0)</f>
        <v>-6.9575293260338254E-3</v>
      </c>
      <c r="G109" s="63"/>
      <c r="H109" s="15">
        <v>-3744.2057300000001</v>
      </c>
      <c r="I109" s="45">
        <f>IFERROR(H109/H13, 0)</f>
        <v>-8.8445918511780488E-3</v>
      </c>
      <c r="J109" s="63"/>
      <c r="K109" s="15">
        <f t="shared" ref="K109:K114" si="12">E109-H109</f>
        <v>543.91499999999996</v>
      </c>
      <c r="L109" s="45">
        <f t="shared" ref="L109:L114" si="13">IF(ROUND(K109, 2)=0, 0, IFERROR(K109/ABS(H109), IF(K109&lt;0, -1, 1)))</f>
        <v>0.14526845991446094</v>
      </c>
    </row>
    <row r="110" spans="2:12" ht="16" customHeight="1" x14ac:dyDescent="0.35">
      <c r="B110" s="14" t="s">
        <v>196</v>
      </c>
      <c r="C110" s="14" t="s">
        <v>197</v>
      </c>
      <c r="D110" s="61"/>
      <c r="E110" s="15"/>
      <c r="F110" s="45">
        <f>IFERROR(E110/E13, 0)</f>
        <v>0</v>
      </c>
      <c r="G110" s="63"/>
      <c r="H110" s="15"/>
      <c r="I110" s="45">
        <f>IFERROR(H110/H13, 0)</f>
        <v>0</v>
      </c>
      <c r="J110" s="63"/>
      <c r="K110" s="15">
        <f t="shared" si="12"/>
        <v>0</v>
      </c>
      <c r="L110" s="45">
        <f t="shared" si="13"/>
        <v>0</v>
      </c>
    </row>
    <row r="111" spans="2:12" ht="16" customHeight="1" x14ac:dyDescent="0.35">
      <c r="B111" s="14" t="s">
        <v>198</v>
      </c>
      <c r="C111" s="14" t="s">
        <v>199</v>
      </c>
      <c r="D111" s="61"/>
      <c r="E111" s="15">
        <v>-2129.4550800000002</v>
      </c>
      <c r="F111" s="45">
        <f>IFERROR(E111/E13, 0)</f>
        <v>-4.6295000728173554E-3</v>
      </c>
      <c r="G111" s="63"/>
      <c r="H111" s="15">
        <v>-8043.6250399999999</v>
      </c>
      <c r="I111" s="45">
        <f>IFERROR(H111/H13, 0)</f>
        <v>-1.9000713532564276E-2</v>
      </c>
      <c r="J111" s="63"/>
      <c r="K111" s="15">
        <f t="shared" si="12"/>
        <v>5914.1699599999993</v>
      </c>
      <c r="L111" s="45">
        <f t="shared" si="13"/>
        <v>0.73526176700051638</v>
      </c>
    </row>
    <row r="112" spans="2:12" ht="16" customHeight="1" x14ac:dyDescent="0.35">
      <c r="B112" s="14" t="s">
        <v>200</v>
      </c>
      <c r="C112" s="14" t="s">
        <v>201</v>
      </c>
      <c r="D112" s="61"/>
      <c r="E112" s="15"/>
      <c r="F112" s="45">
        <f>IFERROR(E112/E13, 0)</f>
        <v>0</v>
      </c>
      <c r="G112" s="63"/>
      <c r="H112" s="15"/>
      <c r="I112" s="45">
        <f>IFERROR(H112/H13, 0)</f>
        <v>0</v>
      </c>
      <c r="J112" s="63"/>
      <c r="K112" s="15">
        <f t="shared" si="12"/>
        <v>0</v>
      </c>
      <c r="L112" s="45">
        <f t="shared" si="13"/>
        <v>0</v>
      </c>
    </row>
    <row r="113" spans="2:12" ht="16" customHeight="1" x14ac:dyDescent="0.35">
      <c r="B113" s="14" t="s">
        <v>202</v>
      </c>
      <c r="C113" s="14" t="s">
        <v>203</v>
      </c>
      <c r="D113" s="61"/>
      <c r="E113" s="15">
        <v>15.60685</v>
      </c>
      <c r="F113" s="45">
        <f>IFERROR(E113/E13, 0)</f>
        <v>3.3929766300329533E-5</v>
      </c>
      <c r="G113" s="63"/>
      <c r="H113" s="15">
        <v>-73.450649999999996</v>
      </c>
      <c r="I113" s="45">
        <f>IFERROR(H113/H13, 0)</f>
        <v>-1.7350569581381709E-4</v>
      </c>
      <c r="J113" s="63"/>
      <c r="K113" s="15">
        <f t="shared" si="12"/>
        <v>89.05749999999999</v>
      </c>
      <c r="L113" s="45">
        <f t="shared" si="13"/>
        <v>1.2124807608918369</v>
      </c>
    </row>
    <row r="114" spans="2:12" ht="16" customHeight="1" x14ac:dyDescent="0.35">
      <c r="B114" s="16" t="s">
        <v>204</v>
      </c>
      <c r="C114" s="16" t="s">
        <v>205</v>
      </c>
      <c r="D114" s="64"/>
      <c r="E114" s="17">
        <v>-5314.1389600000002</v>
      </c>
      <c r="F114" s="84">
        <f>IFERROR(E114/E13, 0)</f>
        <v>-1.1553099632550851E-2</v>
      </c>
      <c r="G114" s="65"/>
      <c r="H114" s="17">
        <v>-11861.281419999999</v>
      </c>
      <c r="I114" s="84">
        <f>IFERROR(H114/H13, 0)</f>
        <v>-2.8018811079556141E-2</v>
      </c>
      <c r="J114" s="65"/>
      <c r="K114" s="17">
        <f t="shared" si="12"/>
        <v>6547.1424599999991</v>
      </c>
      <c r="L114" s="84">
        <f t="shared" si="13"/>
        <v>0.55197598203516862</v>
      </c>
    </row>
    <row r="115" spans="2:12" ht="16" customHeight="1" thickBot="1" x14ac:dyDescent="0.4">
      <c r="B115" s="11" t="s">
        <v>206</v>
      </c>
      <c r="C115" s="11" t="s">
        <v>22</v>
      </c>
      <c r="D115" s="29"/>
      <c r="E115" s="12"/>
      <c r="F115" s="85"/>
      <c r="G115" s="12"/>
      <c r="H115" s="12"/>
      <c r="I115" s="85"/>
      <c r="J115" s="12"/>
      <c r="K115" s="12"/>
      <c r="L115" s="85"/>
    </row>
    <row r="116" spans="2:12" ht="16" customHeight="1" thickBot="1" x14ac:dyDescent="0.4">
      <c r="B116" s="18" t="s">
        <v>207</v>
      </c>
      <c r="C116" s="18" t="s">
        <v>208</v>
      </c>
      <c r="D116" s="66"/>
      <c r="E116" s="19">
        <v>-5311.1760100000001</v>
      </c>
      <c r="F116" s="86">
        <f>IFERROR(E116/E13, 0)</f>
        <v>-1.1546658089186267E-2</v>
      </c>
      <c r="G116" s="68"/>
      <c r="H116" s="19">
        <v>-11860.968290000001</v>
      </c>
      <c r="I116" s="86">
        <f>IFERROR(H116/H13, 0)</f>
        <v>-2.8018071401438523E-2</v>
      </c>
      <c r="J116" s="68"/>
      <c r="K116" s="19">
        <f>E116-H116</f>
        <v>6549.7922800000006</v>
      </c>
      <c r="L116" s="86">
        <f>IF(ROUND(K116, 2)=0, 0, IFERROR(K116/ABS(H116), IF(K116&lt;0, -1, 1)))</f>
        <v>0.55221396093960895</v>
      </c>
    </row>
    <row r="117" spans="2:12" ht="16" customHeight="1" x14ac:dyDescent="0.35">
      <c r="B117" s="11" t="s">
        <v>209</v>
      </c>
      <c r="C117" s="11" t="s">
        <v>22</v>
      </c>
      <c r="D117" s="29"/>
      <c r="E117" s="12"/>
      <c r="F117" s="85"/>
      <c r="G117" s="12"/>
      <c r="H117" s="12"/>
      <c r="I117" s="85"/>
      <c r="J117" s="12"/>
      <c r="K117" s="12"/>
      <c r="L117" s="85"/>
    </row>
    <row r="118" spans="2:12" ht="16" customHeight="1" x14ac:dyDescent="0.35">
      <c r="B118" s="14" t="s">
        <v>210</v>
      </c>
      <c r="C118" s="14" t="s">
        <v>211</v>
      </c>
      <c r="D118" s="61"/>
      <c r="E118" s="15">
        <v>-577.38793999999996</v>
      </c>
      <c r="F118" s="45">
        <f>IFERROR(E118/E13, 0)</f>
        <v>-1.2552589323808897E-3</v>
      </c>
      <c r="G118" s="63"/>
      <c r="H118" s="15">
        <v>-14757.909229999999</v>
      </c>
      <c r="I118" s="45">
        <f>IFERROR(H118/H13, 0)</f>
        <v>-3.4861247786211608E-2</v>
      </c>
      <c r="J118" s="63"/>
      <c r="K118" s="15">
        <f t="shared" ref="K118:K126" si="14">E118-H118</f>
        <v>14180.521289999999</v>
      </c>
      <c r="L118" s="45">
        <f t="shared" ref="L118:L126" si="15">IF(ROUND(K118, 2)=0, 0, IFERROR(K118/ABS(H118), IF(K118&lt;0, -1, 1)))</f>
        <v>0.96087603392855392</v>
      </c>
    </row>
    <row r="119" spans="2:12" ht="16" customHeight="1" x14ac:dyDescent="0.35">
      <c r="B119" s="14" t="s">
        <v>212</v>
      </c>
      <c r="C119" s="14" t="s">
        <v>213</v>
      </c>
      <c r="D119" s="61"/>
      <c r="E119" s="15"/>
      <c r="F119" s="45">
        <f>IFERROR(E119/E13, 0)</f>
        <v>0</v>
      </c>
      <c r="G119" s="63"/>
      <c r="H119" s="15"/>
      <c r="I119" s="45">
        <f>IFERROR(H119/H13, 0)</f>
        <v>0</v>
      </c>
      <c r="J119" s="63"/>
      <c r="K119" s="15">
        <f t="shared" si="14"/>
        <v>0</v>
      </c>
      <c r="L119" s="45">
        <f t="shared" si="15"/>
        <v>0</v>
      </c>
    </row>
    <row r="120" spans="2:12" ht="16" customHeight="1" x14ac:dyDescent="0.35">
      <c r="B120" s="14" t="s">
        <v>214</v>
      </c>
      <c r="C120" s="14" t="s">
        <v>215</v>
      </c>
      <c r="D120" s="61"/>
      <c r="E120" s="15"/>
      <c r="F120" s="45">
        <f>IFERROR(E120/E13, 0)</f>
        <v>0</v>
      </c>
      <c r="G120" s="63"/>
      <c r="H120" s="15"/>
      <c r="I120" s="45">
        <f>IFERROR(H120/H13, 0)</f>
        <v>0</v>
      </c>
      <c r="J120" s="63"/>
      <c r="K120" s="15">
        <f t="shared" si="14"/>
        <v>0</v>
      </c>
      <c r="L120" s="45">
        <f t="shared" si="15"/>
        <v>0</v>
      </c>
    </row>
    <row r="121" spans="2:12" ht="16" customHeight="1" x14ac:dyDescent="0.35">
      <c r="B121" s="14" t="s">
        <v>216</v>
      </c>
      <c r="C121" s="14" t="s">
        <v>217</v>
      </c>
      <c r="D121" s="61"/>
      <c r="E121" s="15"/>
      <c r="F121" s="45">
        <f>IFERROR(E121/E13, 0)</f>
        <v>0</v>
      </c>
      <c r="G121" s="63"/>
      <c r="H121" s="15"/>
      <c r="I121" s="45">
        <f>IFERROR(H121/H13, 0)</f>
        <v>0</v>
      </c>
      <c r="J121" s="63"/>
      <c r="K121" s="15">
        <f t="shared" si="14"/>
        <v>0</v>
      </c>
      <c r="L121" s="45">
        <f t="shared" si="15"/>
        <v>0</v>
      </c>
    </row>
    <row r="122" spans="2:12" ht="16" customHeight="1" x14ac:dyDescent="0.35">
      <c r="B122" s="14" t="s">
        <v>218</v>
      </c>
      <c r="C122" s="14" t="s">
        <v>219</v>
      </c>
      <c r="D122" s="61"/>
      <c r="E122" s="15"/>
      <c r="F122" s="45">
        <f>IFERROR(E122/E13, 0)</f>
        <v>0</v>
      </c>
      <c r="G122" s="63"/>
      <c r="H122" s="15"/>
      <c r="I122" s="45">
        <f>IFERROR(H122/H13, 0)</f>
        <v>0</v>
      </c>
      <c r="J122" s="63"/>
      <c r="K122" s="15">
        <f t="shared" si="14"/>
        <v>0</v>
      </c>
      <c r="L122" s="45">
        <f t="shared" si="15"/>
        <v>0</v>
      </c>
    </row>
    <row r="123" spans="2:12" ht="16" customHeight="1" x14ac:dyDescent="0.35">
      <c r="B123" s="14" t="s">
        <v>220</v>
      </c>
      <c r="C123" s="14" t="s">
        <v>221</v>
      </c>
      <c r="D123" s="61"/>
      <c r="E123" s="15"/>
      <c r="F123" s="45">
        <f>IFERROR(E123/E13, 0)</f>
        <v>0</v>
      </c>
      <c r="G123" s="63"/>
      <c r="H123" s="15"/>
      <c r="I123" s="45">
        <f>IFERROR(H123/H13, 0)</f>
        <v>0</v>
      </c>
      <c r="J123" s="63"/>
      <c r="K123" s="15">
        <f t="shared" si="14"/>
        <v>0</v>
      </c>
      <c r="L123" s="45">
        <f t="shared" si="15"/>
        <v>0</v>
      </c>
    </row>
    <row r="124" spans="2:12" ht="16" customHeight="1" x14ac:dyDescent="0.35">
      <c r="B124" s="14" t="s">
        <v>222</v>
      </c>
      <c r="C124" s="14" t="s">
        <v>223</v>
      </c>
      <c r="D124" s="61"/>
      <c r="E124" s="15">
        <v>0</v>
      </c>
      <c r="F124" s="45">
        <f>IFERROR(E124/E13, 0)</f>
        <v>0</v>
      </c>
      <c r="G124" s="63"/>
      <c r="H124" s="15">
        <v>0</v>
      </c>
      <c r="I124" s="45">
        <f>IFERROR(H124/H13, 0)</f>
        <v>0</v>
      </c>
      <c r="J124" s="63"/>
      <c r="K124" s="15">
        <f t="shared" si="14"/>
        <v>0</v>
      </c>
      <c r="L124" s="45">
        <f t="shared" si="15"/>
        <v>0</v>
      </c>
    </row>
    <row r="125" spans="2:12" ht="16" customHeight="1" x14ac:dyDescent="0.35">
      <c r="B125" s="14" t="s">
        <v>224</v>
      </c>
      <c r="C125" s="14" t="s">
        <v>225</v>
      </c>
      <c r="D125" s="61"/>
      <c r="E125" s="15">
        <v>0</v>
      </c>
      <c r="F125" s="45">
        <f>IFERROR(E125/E13, 0)</f>
        <v>0</v>
      </c>
      <c r="G125" s="63"/>
      <c r="H125" s="15">
        <v>0</v>
      </c>
      <c r="I125" s="45">
        <f>IFERROR(H125/H13, 0)</f>
        <v>0</v>
      </c>
      <c r="J125" s="63"/>
      <c r="K125" s="15">
        <f t="shared" si="14"/>
        <v>0</v>
      </c>
      <c r="L125" s="45">
        <f t="shared" si="15"/>
        <v>0</v>
      </c>
    </row>
    <row r="126" spans="2:12" ht="16" customHeight="1" x14ac:dyDescent="0.35">
      <c r="B126" s="16" t="s">
        <v>226</v>
      </c>
      <c r="C126" s="16" t="s">
        <v>227</v>
      </c>
      <c r="D126" s="64"/>
      <c r="E126" s="17">
        <v>-577.38793999999996</v>
      </c>
      <c r="F126" s="84">
        <f>IFERROR(E126/E13, 0)</f>
        <v>-1.2552589323808897E-3</v>
      </c>
      <c r="G126" s="65"/>
      <c r="H126" s="17">
        <v>-14757.909229999999</v>
      </c>
      <c r="I126" s="84">
        <f>IFERROR(H126/H13, 0)</f>
        <v>-3.4861247786211608E-2</v>
      </c>
      <c r="J126" s="65"/>
      <c r="K126" s="17">
        <f t="shared" si="14"/>
        <v>14180.521289999999</v>
      </c>
      <c r="L126" s="84">
        <f t="shared" si="15"/>
        <v>0.96087603392855392</v>
      </c>
    </row>
    <row r="127" spans="2:12" ht="16" customHeight="1" thickBot="1" x14ac:dyDescent="0.4">
      <c r="B127" s="11" t="s">
        <v>228</v>
      </c>
      <c r="C127" s="11" t="s">
        <v>22</v>
      </c>
      <c r="D127" s="29"/>
      <c r="E127" s="12"/>
      <c r="F127" s="85"/>
      <c r="G127" s="12"/>
      <c r="H127" s="12"/>
      <c r="I127" s="85"/>
      <c r="J127" s="12"/>
      <c r="K127" s="12"/>
      <c r="L127" s="85"/>
    </row>
    <row r="128" spans="2:12" ht="16" customHeight="1" thickBot="1" x14ac:dyDescent="0.4">
      <c r="B128" s="18" t="s">
        <v>229</v>
      </c>
      <c r="C128" s="18" t="s">
        <v>230</v>
      </c>
      <c r="D128" s="66"/>
      <c r="E128" s="19">
        <v>-5888.5639499999997</v>
      </c>
      <c r="F128" s="86">
        <f>IFERROR(E128/E13, 0)</f>
        <v>-1.2801917021567156E-2</v>
      </c>
      <c r="G128" s="68"/>
      <c r="H128" s="19">
        <v>-26618.877519999998</v>
      </c>
      <c r="I128" s="86">
        <f>IFERROR(H128/H13, 0)</f>
        <v>-6.2879319187650121E-2</v>
      </c>
      <c r="J128" s="68"/>
      <c r="K128" s="19">
        <f>E128-H128</f>
        <v>20730.313569999998</v>
      </c>
      <c r="L128" s="86">
        <f>IF(ROUND(K128, 2)=0, 0, IFERROR(K128/ABS(H128), IF(K128&lt;0, -1, 1)))</f>
        <v>0.77878240937937193</v>
      </c>
    </row>
    <row r="129" spans="2:12" ht="16" customHeight="1" thickBot="1" x14ac:dyDescent="0.4">
      <c r="B129" s="11" t="s">
        <v>231</v>
      </c>
      <c r="C129" s="11" t="s">
        <v>22</v>
      </c>
      <c r="D129" s="29"/>
      <c r="E129" s="12"/>
      <c r="F129" s="85"/>
      <c r="G129" s="12"/>
      <c r="H129" s="12"/>
      <c r="I129" s="85"/>
      <c r="J129" s="12"/>
      <c r="K129" s="12"/>
      <c r="L129" s="85"/>
    </row>
    <row r="130" spans="2:12" ht="16" customHeight="1" thickBot="1" x14ac:dyDescent="0.4">
      <c r="B130" s="18" t="s">
        <v>232</v>
      </c>
      <c r="C130" s="18" t="s">
        <v>233</v>
      </c>
      <c r="D130" s="66"/>
      <c r="E130" s="19">
        <v>35041.250509999998</v>
      </c>
      <c r="F130" s="86">
        <f>IFERROR(E130/E13, 0)</f>
        <v>7.6180743755184618E-2</v>
      </c>
      <c r="G130" s="68"/>
      <c r="H130" s="19">
        <v>32290.91361</v>
      </c>
      <c r="I130" s="86">
        <f>IFERROR(H130/H13, 0)</f>
        <v>7.6277846885860187E-2</v>
      </c>
      <c r="J130" s="68"/>
      <c r="K130" s="19">
        <f>E130-H130</f>
        <v>2750.3368999999984</v>
      </c>
      <c r="L130" s="86">
        <f>IF(ROUND(K130, 2)=0, 0, IFERROR(K130/ABS(H130), IF(K130&lt;0, -1, 1)))</f>
        <v>8.5173709645312151E-2</v>
      </c>
    </row>
    <row r="131" spans="2:12" ht="16" customHeight="1" x14ac:dyDescent="0.35">
      <c r="B131" s="11" t="s">
        <v>234</v>
      </c>
      <c r="C131" s="11" t="s">
        <v>22</v>
      </c>
      <c r="D131" s="29"/>
      <c r="E131" s="12"/>
      <c r="F131" s="85"/>
      <c r="G131" s="12"/>
      <c r="H131" s="12"/>
      <c r="I131" s="85"/>
      <c r="J131" s="12"/>
      <c r="K131" s="12"/>
      <c r="L131" s="85"/>
    </row>
    <row r="132" spans="2:12" ht="16" customHeight="1" x14ac:dyDescent="0.35">
      <c r="B132" s="14" t="s">
        <v>235</v>
      </c>
      <c r="C132" s="14" t="s">
        <v>236</v>
      </c>
      <c r="D132" s="61"/>
      <c r="E132" s="15"/>
      <c r="F132" s="45">
        <f>IFERROR(E132/E13, 0)</f>
        <v>0</v>
      </c>
      <c r="G132" s="63"/>
      <c r="H132" s="15"/>
      <c r="I132" s="45">
        <f>IFERROR(H132/H13, 0)</f>
        <v>0</v>
      </c>
      <c r="J132" s="63"/>
      <c r="K132" s="15">
        <f>E132-H132</f>
        <v>0</v>
      </c>
      <c r="L132" s="45">
        <f>IF(ROUND(K132, 2)=0, 0, IFERROR(K132/ABS(H132), IF(K132&lt;0, -1, 1)))</f>
        <v>0</v>
      </c>
    </row>
    <row r="133" spans="2:12" ht="16" customHeight="1" x14ac:dyDescent="0.35">
      <c r="B133" s="14" t="s">
        <v>237</v>
      </c>
      <c r="C133" s="14" t="s">
        <v>238</v>
      </c>
      <c r="D133" s="61"/>
      <c r="E133" s="15"/>
      <c r="F133" s="45">
        <f>IFERROR(E133/E13, 0)</f>
        <v>0</v>
      </c>
      <c r="G133" s="63"/>
      <c r="H133" s="15"/>
      <c r="I133" s="45">
        <f>IFERROR(H133/H13, 0)</f>
        <v>0</v>
      </c>
      <c r="J133" s="63"/>
      <c r="K133" s="15">
        <f>E133-H133</f>
        <v>0</v>
      </c>
      <c r="L133" s="45">
        <f>IF(ROUND(K133, 2)=0, 0, IFERROR(K133/ABS(H133), IF(K133&lt;0, -1, 1)))</f>
        <v>0</v>
      </c>
    </row>
    <row r="134" spans="2:12" ht="16" customHeight="1" x14ac:dyDescent="0.35">
      <c r="B134" s="14" t="s">
        <v>239</v>
      </c>
      <c r="C134" s="14" t="s">
        <v>240</v>
      </c>
      <c r="D134" s="61"/>
      <c r="E134" s="15"/>
      <c r="F134" s="45">
        <f>IFERROR(E134/E13, 0)</f>
        <v>0</v>
      </c>
      <c r="G134" s="63"/>
      <c r="H134" s="15">
        <v>-1046.96432</v>
      </c>
      <c r="I134" s="45">
        <f>IFERROR(H134/H13, 0)</f>
        <v>-2.47314724694526E-3</v>
      </c>
      <c r="J134" s="63"/>
      <c r="K134" s="15">
        <f>E134-H134</f>
        <v>1046.96432</v>
      </c>
      <c r="L134" s="45">
        <f>IF(ROUND(K134, 2)=0, 0, IFERROR(K134/ABS(H134), IF(K134&lt;0, -1, 1)))</f>
        <v>1</v>
      </c>
    </row>
    <row r="135" spans="2:12" ht="16" customHeight="1" x14ac:dyDescent="0.35">
      <c r="B135" s="14" t="s">
        <v>241</v>
      </c>
      <c r="C135" s="14" t="s">
        <v>242</v>
      </c>
      <c r="D135" s="61"/>
      <c r="E135" s="15"/>
      <c r="F135" s="45">
        <f>IFERROR(E135/E13, 0)</f>
        <v>0</v>
      </c>
      <c r="G135" s="63"/>
      <c r="H135" s="15"/>
      <c r="I135" s="45">
        <f>IFERROR(H135/H13, 0)</f>
        <v>0</v>
      </c>
      <c r="J135" s="63"/>
      <c r="K135" s="15">
        <f>E135-H135</f>
        <v>0</v>
      </c>
      <c r="L135" s="45">
        <f>IF(ROUND(K135, 2)=0, 0, IFERROR(K135/ABS(H135), IF(K135&lt;0, -1, 1)))</f>
        <v>0</v>
      </c>
    </row>
    <row r="136" spans="2:12" ht="16" customHeight="1" x14ac:dyDescent="0.35">
      <c r="B136" s="16" t="s">
        <v>243</v>
      </c>
      <c r="C136" s="16" t="s">
        <v>244</v>
      </c>
      <c r="D136" s="64"/>
      <c r="E136" s="17"/>
      <c r="F136" s="84">
        <f>IFERROR(E136/E13, 0)</f>
        <v>0</v>
      </c>
      <c r="G136" s="65"/>
      <c r="H136" s="17">
        <v>-1046.96432</v>
      </c>
      <c r="I136" s="84">
        <f>IFERROR(H136/H13, 0)</f>
        <v>-2.47314724694526E-3</v>
      </c>
      <c r="J136" s="65"/>
      <c r="K136" s="17">
        <f>E136-H136</f>
        <v>1046.96432</v>
      </c>
      <c r="L136" s="84">
        <f>IF(ROUND(K136, 2)=0, 0, IFERROR(K136/ABS(H136), IF(K136&lt;0, -1, 1)))</f>
        <v>1</v>
      </c>
    </row>
    <row r="137" spans="2:12" ht="16" customHeight="1" thickBot="1" x14ac:dyDescent="0.4">
      <c r="B137" s="11" t="s">
        <v>245</v>
      </c>
      <c r="C137" s="11" t="s">
        <v>22</v>
      </c>
      <c r="D137" s="29"/>
      <c r="E137" s="12"/>
      <c r="F137" s="85"/>
      <c r="G137" s="12"/>
      <c r="H137" s="12"/>
      <c r="I137" s="85"/>
      <c r="J137" s="12"/>
      <c r="K137" s="12"/>
      <c r="L137" s="85"/>
    </row>
    <row r="138" spans="2:12" ht="16" customHeight="1" thickBot="1" x14ac:dyDescent="0.4">
      <c r="B138" s="18" t="s">
        <v>246</v>
      </c>
      <c r="C138" s="18" t="s">
        <v>247</v>
      </c>
      <c r="D138" s="66"/>
      <c r="E138" s="19">
        <v>35041.250509999998</v>
      </c>
      <c r="F138" s="86">
        <f>IFERROR(E138/E13, 0)</f>
        <v>7.6180743755184618E-2</v>
      </c>
      <c r="G138" s="68"/>
      <c r="H138" s="19">
        <v>31243.94929</v>
      </c>
      <c r="I138" s="86">
        <f>IFERROR(H138/H13, 0)</f>
        <v>7.3804699638914922E-2</v>
      </c>
      <c r="J138" s="68"/>
      <c r="K138" s="19">
        <f>E138-H138</f>
        <v>3797.3012199999976</v>
      </c>
      <c r="L138" s="86">
        <f>IF(ROUND(K138, 2)=0, 0, IFERROR(K138/ABS(H138), IF(K138&lt;0, -1, 1)))</f>
        <v>0.12153717139770705</v>
      </c>
    </row>
    <row r="139" spans="2:12" ht="16" customHeight="1" x14ac:dyDescent="0.35">
      <c r="B139" s="11" t="s">
        <v>248</v>
      </c>
      <c r="C139" s="11" t="s">
        <v>22</v>
      </c>
      <c r="D139" s="29"/>
      <c r="E139" s="12"/>
      <c r="F139" s="85"/>
      <c r="G139" s="12"/>
      <c r="H139" s="12"/>
      <c r="I139" s="85"/>
      <c r="J139" s="12"/>
      <c r="K139" s="12"/>
      <c r="L139" s="85"/>
    </row>
    <row r="140" spans="2:12" ht="16" customHeight="1" x14ac:dyDescent="0.35">
      <c r="B140" s="14" t="s">
        <v>249</v>
      </c>
      <c r="C140" s="14" t="s">
        <v>250</v>
      </c>
      <c r="D140" s="61"/>
      <c r="E140" s="15">
        <v>-3679.4773300000002</v>
      </c>
      <c r="F140" s="45">
        <f>IFERROR(E140/E13, 0)</f>
        <v>-7.9992955602354414E-3</v>
      </c>
      <c r="G140" s="63"/>
      <c r="H140" s="15">
        <v>-10207.19082</v>
      </c>
      <c r="I140" s="45">
        <f>IFERROR(H140/H13, 0)</f>
        <v>-2.4111505419332657E-2</v>
      </c>
      <c r="J140" s="63"/>
      <c r="K140" s="15">
        <f>E140-H140</f>
        <v>6527.7134900000001</v>
      </c>
      <c r="L140" s="45">
        <f>IF(ROUND(K140, 2)=0, 0, IFERROR(K140/ABS(H140), IF(K140&lt;0, -1, 1)))</f>
        <v>0.63952105972287487</v>
      </c>
    </row>
    <row r="141" spans="2:12" ht="16" customHeight="1" x14ac:dyDescent="0.35">
      <c r="B141" s="14" t="s">
        <v>251</v>
      </c>
      <c r="C141" s="14" t="s">
        <v>252</v>
      </c>
      <c r="D141" s="61"/>
      <c r="E141" s="15">
        <v>3762.192</v>
      </c>
      <c r="F141" s="45">
        <f>IFERROR(E141/E13, 0)</f>
        <v>8.1791197670874893E-3</v>
      </c>
      <c r="G141" s="63"/>
      <c r="H141" s="15">
        <v>1916.65086</v>
      </c>
      <c r="I141" s="45">
        <f>IFERROR(H141/H13, 0)</f>
        <v>4.5275275453171742E-3</v>
      </c>
      <c r="J141" s="63"/>
      <c r="K141" s="15">
        <f>E141-H141</f>
        <v>1845.54114</v>
      </c>
      <c r="L141" s="45">
        <f>IF(ROUND(K141, 2)=0, 0, IFERROR(K141/ABS(H141), IF(K141&lt;0, -1, 1)))</f>
        <v>0.96289897055116236</v>
      </c>
    </row>
    <row r="142" spans="2:12" ht="16" customHeight="1" x14ac:dyDescent="0.35">
      <c r="B142" s="16" t="s">
        <v>253</v>
      </c>
      <c r="C142" s="16" t="s">
        <v>254</v>
      </c>
      <c r="D142" s="64"/>
      <c r="E142" s="17">
        <v>82.714669999999998</v>
      </c>
      <c r="F142" s="84">
        <f>IFERROR(E142/E13, 0)</f>
        <v>1.7982420685204754E-4</v>
      </c>
      <c r="G142" s="65"/>
      <c r="H142" s="17">
        <v>-8290.5399600000001</v>
      </c>
      <c r="I142" s="84">
        <f>IFERROR(H142/H13, 0)</f>
        <v>-1.9583977874015484E-2</v>
      </c>
      <c r="J142" s="65"/>
      <c r="K142" s="17">
        <f>E142-H142</f>
        <v>8373.2546299999995</v>
      </c>
      <c r="L142" s="84">
        <f>IF(ROUND(K142, 2)=0, 0, IFERROR(K142/ABS(H142), IF(K142&lt;0, -1, 1)))</f>
        <v>1.0099769943090655</v>
      </c>
    </row>
    <row r="143" spans="2:12" ht="16" customHeight="1" x14ac:dyDescent="0.35">
      <c r="B143" s="11" t="s">
        <v>255</v>
      </c>
      <c r="C143" s="11" t="s">
        <v>22</v>
      </c>
      <c r="D143" s="29"/>
      <c r="E143" s="12"/>
      <c r="F143" s="85"/>
      <c r="G143" s="12"/>
      <c r="H143" s="12"/>
      <c r="I143" s="85"/>
      <c r="J143" s="12"/>
      <c r="K143" s="12"/>
      <c r="L143" s="85"/>
    </row>
    <row r="144" spans="2:12" ht="16" customHeight="1" x14ac:dyDescent="0.35">
      <c r="B144" s="14" t="s">
        <v>256</v>
      </c>
      <c r="C144" s="14" t="s">
        <v>257</v>
      </c>
      <c r="D144" s="61"/>
      <c r="E144" s="15"/>
      <c r="F144" s="45">
        <f>IFERROR(E144/E13, 0)</f>
        <v>0</v>
      </c>
      <c r="G144" s="63"/>
      <c r="H144" s="15"/>
      <c r="I144" s="45">
        <f>IFERROR(H144/H13, 0)</f>
        <v>0</v>
      </c>
      <c r="J144" s="63"/>
      <c r="K144" s="15">
        <f>E144-H144</f>
        <v>0</v>
      </c>
      <c r="L144" s="45">
        <f>IF(ROUND(K144, 2)=0, 0, IFERROR(K144/ABS(H144), IF(K144&lt;0, -1, 1)))</f>
        <v>0</v>
      </c>
    </row>
    <row r="145" spans="2:12" ht="16" customHeight="1" thickBot="1" x14ac:dyDescent="0.4">
      <c r="B145" s="11" t="s">
        <v>258</v>
      </c>
      <c r="C145" s="11" t="s">
        <v>22</v>
      </c>
      <c r="D145" s="29"/>
      <c r="E145" s="12"/>
      <c r="F145" s="85"/>
      <c r="G145" s="12"/>
      <c r="H145" s="12"/>
      <c r="I145" s="85"/>
      <c r="J145" s="12"/>
      <c r="K145" s="12"/>
      <c r="L145" s="85"/>
    </row>
    <row r="146" spans="2:12" ht="16" customHeight="1" thickBot="1" x14ac:dyDescent="0.4">
      <c r="B146" s="18" t="s">
        <v>259</v>
      </c>
      <c r="C146" s="18" t="s">
        <v>260</v>
      </c>
      <c r="D146" s="66"/>
      <c r="E146" s="19">
        <v>35123.965179999999</v>
      </c>
      <c r="F146" s="86">
        <f>IFERROR(E146/E13, 0)</f>
        <v>7.6360567962036663E-2</v>
      </c>
      <c r="G146" s="68"/>
      <c r="H146" s="19">
        <v>22953.409329999999</v>
      </c>
      <c r="I146" s="86">
        <f>IFERROR(H146/H13, 0)</f>
        <v>5.4220721764899442E-2</v>
      </c>
      <c r="J146" s="68"/>
      <c r="K146" s="19">
        <f>E146-H146</f>
        <v>12170.555850000001</v>
      </c>
      <c r="L146" s="86">
        <f>IF(ROUND(K146, 2)=0, 0, IFERROR(K146/ABS(H146), IF(K146&lt;0, -1, 1)))</f>
        <v>0.53022867649090988</v>
      </c>
    </row>
    <row r="147" spans="2:12" ht="16" customHeight="1" x14ac:dyDescent="0.35">
      <c r="B147" s="11" t="s">
        <v>261</v>
      </c>
      <c r="C147" s="11" t="s">
        <v>22</v>
      </c>
      <c r="D147" s="29"/>
      <c r="E147" s="12"/>
      <c r="F147" s="85"/>
      <c r="G147" s="12"/>
      <c r="H147" s="12"/>
      <c r="I147" s="85"/>
      <c r="J147" s="12"/>
      <c r="K147" s="12"/>
      <c r="L147" s="85"/>
    </row>
    <row r="148" spans="2:12" ht="16" customHeight="1" x14ac:dyDescent="0.35">
      <c r="B148" s="14" t="s">
        <v>262</v>
      </c>
      <c r="C148" s="14" t="s">
        <v>263</v>
      </c>
      <c r="D148" s="61"/>
      <c r="E148" s="15">
        <v>-45.085000000000001</v>
      </c>
      <c r="F148" s="45">
        <f>IFERROR(E148/E13, 0)</f>
        <v>-9.8016160445596457E-5</v>
      </c>
      <c r="G148" s="63"/>
      <c r="H148" s="15">
        <v>-20.189</v>
      </c>
      <c r="I148" s="45">
        <f>IFERROR(H148/H13, 0)</f>
        <v>-4.7690612578447616E-5</v>
      </c>
      <c r="J148" s="63"/>
      <c r="K148" s="15">
        <f>E148-H148</f>
        <v>-24.896000000000001</v>
      </c>
      <c r="L148" s="45">
        <f>IF(ROUND(K148, 2)=0, 0, IFERROR(K148/ABS(H148), IF(K148&lt;0, -1, 1)))</f>
        <v>-1.2331467630888109</v>
      </c>
    </row>
    <row r="149" spans="2:12" ht="16" customHeight="1" thickBot="1" x14ac:dyDescent="0.4">
      <c r="B149" s="11" t="s">
        <v>264</v>
      </c>
      <c r="C149" s="11" t="s">
        <v>22</v>
      </c>
      <c r="D149" s="29"/>
      <c r="E149" s="12"/>
      <c r="F149" s="85"/>
      <c r="G149" s="12"/>
      <c r="H149" s="12"/>
      <c r="I149" s="85"/>
      <c r="J149" s="12"/>
      <c r="K149" s="12"/>
      <c r="L149" s="85"/>
    </row>
    <row r="150" spans="2:12" ht="16" customHeight="1" thickBot="1" x14ac:dyDescent="0.4">
      <c r="B150" s="18" t="s">
        <v>265</v>
      </c>
      <c r="C150" s="18" t="s">
        <v>266</v>
      </c>
      <c r="D150" s="66"/>
      <c r="E150" s="19">
        <v>35078.88018</v>
      </c>
      <c r="F150" s="86">
        <f>IFERROR(E150/E13, 0)</f>
        <v>7.6262551801591069E-2</v>
      </c>
      <c r="G150" s="68"/>
      <c r="H150" s="19">
        <v>22933.22033</v>
      </c>
      <c r="I150" s="86">
        <f>IFERROR(H150/H13, 0)</f>
        <v>5.4173031152320993E-2</v>
      </c>
      <c r="J150" s="68"/>
      <c r="K150" s="19">
        <f>E150-H150</f>
        <v>12145.65985</v>
      </c>
      <c r="L150" s="86">
        <f>IF(ROUND(K150, 2)=0, 0, IFERROR(K150/ABS(H150), IF(K150&lt;0, -1, 1)))</f>
        <v>0.52960987053840425</v>
      </c>
    </row>
  </sheetData>
  <mergeCells count="1">
    <mergeCell ref="B6:C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72E0-5ACF-45A7-A1D4-1BEEB75A0918}">
  <dimension ref="A3:L150"/>
  <sheetViews>
    <sheetView showGridLines="0" workbookViewId="0">
      <pane ySplit="9" topLeftCell="A10" activePane="bottomLeft" state="frozen"/>
      <selection pane="bottomLeft" activeCell="B4" sqref="B4"/>
    </sheetView>
  </sheetViews>
  <sheetFormatPr defaultColWidth="9.1796875" defaultRowHeight="16" customHeight="1" x14ac:dyDescent="0.35"/>
  <cols>
    <col min="1" max="1" width="2" style="1" customWidth="1"/>
    <col min="2" max="2" width="10.7265625" style="1" customWidth="1"/>
    <col min="3" max="3" width="60.7265625" style="1" customWidth="1"/>
    <col min="4" max="4" width="1.54296875" style="1" customWidth="1"/>
    <col min="5" max="6" width="15.7265625" style="1" customWidth="1"/>
    <col min="7" max="7" width="1.54296875" style="1" customWidth="1"/>
    <col min="8" max="9" width="15.7265625" style="1" customWidth="1"/>
    <col min="10" max="10" width="1.54296875" style="1" customWidth="1"/>
    <col min="11" max="27" width="15.7265625" style="1" customWidth="1"/>
    <col min="28" max="16384" width="9.1796875" style="1"/>
  </cols>
  <sheetData>
    <row r="3" spans="1:12" ht="16" customHeight="1" x14ac:dyDescent="0.35">
      <c r="B3" s="2" t="s">
        <v>1499</v>
      </c>
    </row>
    <row r="4" spans="1:12" ht="16" customHeight="1" x14ac:dyDescent="0.35">
      <c r="B4" s="4" t="s">
        <v>270</v>
      </c>
    </row>
    <row r="5" spans="1:12" ht="16" customHeight="1" x14ac:dyDescent="0.35">
      <c r="B5" s="4" t="s">
        <v>1490</v>
      </c>
    </row>
    <row r="6" spans="1:12" ht="16" customHeight="1" x14ac:dyDescent="0.35">
      <c r="A6" s="20"/>
      <c r="B6" s="56">
        <v>46194.595165497682</v>
      </c>
      <c r="C6" s="56"/>
    </row>
    <row r="7" spans="1:12" ht="16" customHeight="1" x14ac:dyDescent="0.35">
      <c r="A7" s="20"/>
      <c r="B7" s="87"/>
      <c r="C7" s="87"/>
    </row>
    <row r="8" spans="1:12" ht="16" customHeight="1" x14ac:dyDescent="0.35">
      <c r="E8" s="81" t="s">
        <v>1491</v>
      </c>
      <c r="F8" s="81"/>
      <c r="G8" s="81"/>
      <c r="H8" s="81" t="s">
        <v>1492</v>
      </c>
      <c r="I8" s="81"/>
      <c r="J8" s="81"/>
      <c r="K8" s="81"/>
      <c r="L8" s="81"/>
    </row>
    <row r="9" spans="1:12" ht="16" customHeight="1" thickBot="1" x14ac:dyDescent="0.4">
      <c r="E9" s="83" t="s">
        <v>1493</v>
      </c>
      <c r="F9" s="83" t="s">
        <v>1494</v>
      </c>
      <c r="H9" s="83" t="s">
        <v>1495</v>
      </c>
      <c r="I9" s="83" t="s">
        <v>1494</v>
      </c>
      <c r="K9" s="83" t="s">
        <v>1496</v>
      </c>
      <c r="L9" s="83" t="s">
        <v>1497</v>
      </c>
    </row>
    <row r="10" spans="1:12" ht="16" customHeight="1" x14ac:dyDescent="0.35">
      <c r="B10" s="14" t="s">
        <v>13</v>
      </c>
      <c r="C10" s="14" t="s">
        <v>14</v>
      </c>
      <c r="D10" s="61"/>
      <c r="E10" s="15">
        <v>2166.5037000000002</v>
      </c>
      <c r="F10" s="45">
        <f>IFERROR(E10/E13, 0)</f>
        <v>9.0881973466199212E-3</v>
      </c>
      <c r="G10" s="63"/>
      <c r="H10" s="15">
        <v>4420.3291300000001</v>
      </c>
      <c r="I10" s="45">
        <f>IFERROR(H10/H13, 0)</f>
        <v>1.994275477703587E-2</v>
      </c>
      <c r="J10" s="63"/>
      <c r="K10" s="15">
        <f>E10-H10</f>
        <v>-2253.8254299999999</v>
      </c>
      <c r="L10" s="45">
        <f>IF(ROUND(K10, 2)=0, 0, IFERROR(K10/ABS(H10), IF(K10&lt;0, -1, 1)))</f>
        <v>-0.50987728825522993</v>
      </c>
    </row>
    <row r="11" spans="1:12" ht="16" customHeight="1" x14ac:dyDescent="0.35">
      <c r="B11" s="14" t="s">
        <v>15</v>
      </c>
      <c r="C11" s="14" t="s">
        <v>16</v>
      </c>
      <c r="D11" s="61"/>
      <c r="E11" s="15"/>
      <c r="F11" s="45">
        <f>IFERROR(E11/E13, 0)</f>
        <v>0</v>
      </c>
      <c r="G11" s="63"/>
      <c r="H11" s="15"/>
      <c r="I11" s="45">
        <f>IFERROR(H11/H13, 0)</f>
        <v>0</v>
      </c>
      <c r="J11" s="63"/>
      <c r="K11" s="15">
        <f>E11-H11</f>
        <v>0</v>
      </c>
      <c r="L11" s="45">
        <f>IF(ROUND(K11, 2)=0, 0, IFERROR(K11/ABS(H11), IF(K11&lt;0, -1, 1)))</f>
        <v>0</v>
      </c>
    </row>
    <row r="12" spans="1:12" ht="16" customHeight="1" x14ac:dyDescent="0.35">
      <c r="B12" s="14" t="s">
        <v>17</v>
      </c>
      <c r="C12" s="14" t="s">
        <v>18</v>
      </c>
      <c r="D12" s="61"/>
      <c r="E12" s="15">
        <v>236220.01206000001</v>
      </c>
      <c r="F12" s="45">
        <f>IFERROR(E12/E13, 0)</f>
        <v>0.99091180265338008</v>
      </c>
      <c r="G12" s="63"/>
      <c r="H12" s="15">
        <v>217230.55007</v>
      </c>
      <c r="I12" s="45">
        <f>IFERROR(H12/H13, 0)</f>
        <v>0.98005724522296411</v>
      </c>
      <c r="J12" s="63"/>
      <c r="K12" s="15">
        <f>E12-H12</f>
        <v>18989.461990000011</v>
      </c>
      <c r="L12" s="45">
        <f>IF(ROUND(K12, 2)=0, 0, IFERROR(K12/ABS(H12), IF(K12&lt;0, -1, 1)))</f>
        <v>8.741616675868509E-2</v>
      </c>
    </row>
    <row r="13" spans="1:12" ht="16" customHeight="1" x14ac:dyDescent="0.35">
      <c r="B13" s="16" t="s">
        <v>19</v>
      </c>
      <c r="C13" s="16" t="s">
        <v>20</v>
      </c>
      <c r="D13" s="64"/>
      <c r="E13" s="17">
        <v>238386.51576000001</v>
      </c>
      <c r="F13" s="84">
        <f>IFERROR(E13/E13, 0)</f>
        <v>1</v>
      </c>
      <c r="G13" s="65"/>
      <c r="H13" s="17">
        <v>221650.8792</v>
      </c>
      <c r="I13" s="84">
        <f>IFERROR(H13/H13, 0)</f>
        <v>1</v>
      </c>
      <c r="J13" s="65"/>
      <c r="K13" s="17">
        <f>E13-H13</f>
        <v>16735.636560000014</v>
      </c>
      <c r="L13" s="84">
        <f>IF(ROUND(K13, 2)=0, 0, IFERROR(K13/ABS(H13), IF(K13&lt;0, -1, 1)))</f>
        <v>7.5504489855414095E-2</v>
      </c>
    </row>
    <row r="14" spans="1:12" ht="16" customHeight="1" x14ac:dyDescent="0.35">
      <c r="B14" s="11" t="s">
        <v>21</v>
      </c>
      <c r="C14" s="11" t="s">
        <v>22</v>
      </c>
      <c r="D14" s="29"/>
      <c r="E14" s="12"/>
      <c r="F14" s="85"/>
      <c r="G14" s="12"/>
      <c r="H14" s="12"/>
      <c r="I14" s="85"/>
      <c r="J14" s="12"/>
      <c r="K14" s="12"/>
      <c r="L14" s="85"/>
    </row>
    <row r="15" spans="1:12" ht="16" customHeight="1" x14ac:dyDescent="0.35">
      <c r="B15" s="14" t="s">
        <v>23</v>
      </c>
      <c r="C15" s="14" t="s">
        <v>24</v>
      </c>
      <c r="D15" s="61"/>
      <c r="E15" s="15">
        <v>-27770.950840000001</v>
      </c>
      <c r="F15" s="45">
        <f>IFERROR(E15/E13, 0)</f>
        <v>-0.11649547690003957</v>
      </c>
      <c r="G15" s="63"/>
      <c r="H15" s="15">
        <v>-20149.521049999999</v>
      </c>
      <c r="I15" s="45">
        <f>IFERROR(H15/H13, 0)</f>
        <v>-9.0906569478656052E-2</v>
      </c>
      <c r="J15" s="63"/>
      <c r="K15" s="15">
        <f t="shared" ref="K15:K22" si="0">E15-H15</f>
        <v>-7621.429790000002</v>
      </c>
      <c r="L15" s="45">
        <f t="shared" ref="L15:L22" si="1">IF(ROUND(K15, 2)=0, 0, IFERROR(K15/ABS(H15), IF(K15&lt;0, -1, 1)))</f>
        <v>-0.37824371959451625</v>
      </c>
    </row>
    <row r="16" spans="1:12" ht="16" customHeight="1" x14ac:dyDescent="0.35">
      <c r="B16" s="14" t="s">
        <v>25</v>
      </c>
      <c r="C16" s="14" t="s">
        <v>26</v>
      </c>
      <c r="D16" s="61"/>
      <c r="E16" s="15">
        <v>0</v>
      </c>
      <c r="F16" s="45">
        <f>IFERROR(E16/E13, 0)</f>
        <v>0</v>
      </c>
      <c r="G16" s="63"/>
      <c r="H16" s="15"/>
      <c r="I16" s="45">
        <f>IFERROR(H16/H13, 0)</f>
        <v>0</v>
      </c>
      <c r="J16" s="63"/>
      <c r="K16" s="15">
        <f t="shared" si="0"/>
        <v>0</v>
      </c>
      <c r="L16" s="45">
        <f t="shared" si="1"/>
        <v>0</v>
      </c>
    </row>
    <row r="17" spans="2:12" ht="16" customHeight="1" x14ac:dyDescent="0.35">
      <c r="B17" s="14" t="s">
        <v>27</v>
      </c>
      <c r="C17" s="14" t="s">
        <v>28</v>
      </c>
      <c r="D17" s="61"/>
      <c r="E17" s="15">
        <v>-15621.26274</v>
      </c>
      <c r="F17" s="45">
        <f>IFERROR(E17/E13, 0)</f>
        <v>-6.5529137376742375E-2</v>
      </c>
      <c r="G17" s="63"/>
      <c r="H17" s="15">
        <v>-14503.738310000001</v>
      </c>
      <c r="I17" s="45">
        <f>IFERROR(H17/H13, 0)</f>
        <v>-6.5435058784102496E-2</v>
      </c>
      <c r="J17" s="63"/>
      <c r="K17" s="15">
        <f t="shared" si="0"/>
        <v>-1117.5244299999995</v>
      </c>
      <c r="L17" s="45">
        <f t="shared" si="1"/>
        <v>-7.7050785536408331E-2</v>
      </c>
    </row>
    <row r="18" spans="2:12" ht="16" customHeight="1" x14ac:dyDescent="0.35">
      <c r="B18" s="14" t="s">
        <v>29</v>
      </c>
      <c r="C18" s="14" t="s">
        <v>30</v>
      </c>
      <c r="D18" s="61"/>
      <c r="E18" s="15">
        <v>-2432.70568</v>
      </c>
      <c r="F18" s="45">
        <f>IFERROR(E18/E13, 0)</f>
        <v>-1.0204879551363429E-2</v>
      </c>
      <c r="G18" s="63"/>
      <c r="H18" s="15">
        <v>-1684.9448</v>
      </c>
      <c r="I18" s="45">
        <f>IFERROR(H18/H13, 0)</f>
        <v>-7.6017961493382606E-3</v>
      </c>
      <c r="J18" s="63"/>
      <c r="K18" s="15">
        <f t="shared" si="0"/>
        <v>-747.76088000000004</v>
      </c>
      <c r="L18" s="45">
        <f t="shared" si="1"/>
        <v>-0.44378954135470788</v>
      </c>
    </row>
    <row r="19" spans="2:12" ht="16" customHeight="1" x14ac:dyDescent="0.35">
      <c r="B19" s="14" t="s">
        <v>31</v>
      </c>
      <c r="C19" s="14" t="s">
        <v>32</v>
      </c>
      <c r="D19" s="61"/>
      <c r="E19" s="15">
        <v>-9820.7882000000009</v>
      </c>
      <c r="F19" s="45">
        <f>IFERROR(E19/E13, 0)</f>
        <v>-4.1196911531217892E-2</v>
      </c>
      <c r="G19" s="63"/>
      <c r="H19" s="15">
        <v>-7490.3236500000003</v>
      </c>
      <c r="I19" s="45">
        <f>IFERROR(H19/H13, 0)</f>
        <v>-3.3793340577013151E-2</v>
      </c>
      <c r="J19" s="63"/>
      <c r="K19" s="15">
        <f t="shared" si="0"/>
        <v>-2330.4645500000006</v>
      </c>
      <c r="L19" s="45">
        <f t="shared" si="1"/>
        <v>-0.31113002039638171</v>
      </c>
    </row>
    <row r="20" spans="2:12" ht="16" customHeight="1" x14ac:dyDescent="0.35">
      <c r="B20" s="14" t="s">
        <v>33</v>
      </c>
      <c r="C20" s="14" t="s">
        <v>34</v>
      </c>
      <c r="D20" s="61"/>
      <c r="E20" s="15"/>
      <c r="F20" s="45">
        <f>IFERROR(E20/E13, 0)</f>
        <v>0</v>
      </c>
      <c r="G20" s="63"/>
      <c r="H20" s="15"/>
      <c r="I20" s="45">
        <f>IFERROR(H20/H13, 0)</f>
        <v>0</v>
      </c>
      <c r="J20" s="63"/>
      <c r="K20" s="15">
        <f t="shared" si="0"/>
        <v>0</v>
      </c>
      <c r="L20" s="45">
        <f t="shared" si="1"/>
        <v>0</v>
      </c>
    </row>
    <row r="21" spans="2:12" ht="16" customHeight="1" x14ac:dyDescent="0.35">
      <c r="B21" s="14" t="s">
        <v>35</v>
      </c>
      <c r="C21" s="14" t="s">
        <v>36</v>
      </c>
      <c r="D21" s="61"/>
      <c r="E21" s="15">
        <v>39.220999999999997</v>
      </c>
      <c r="F21" s="45">
        <f>IFERROR(E21/E13, 0)</f>
        <v>1.6452692332433121E-4</v>
      </c>
      <c r="G21" s="63"/>
      <c r="H21" s="15">
        <v>418.3537</v>
      </c>
      <c r="I21" s="45">
        <f>IFERROR(H21/H13, 0)</f>
        <v>1.887444351720848E-3</v>
      </c>
      <c r="J21" s="63"/>
      <c r="K21" s="15">
        <f t="shared" si="0"/>
        <v>-379.1327</v>
      </c>
      <c r="L21" s="45">
        <f t="shared" si="1"/>
        <v>-0.90624918579661184</v>
      </c>
    </row>
    <row r="22" spans="2:12" ht="16" customHeight="1" x14ac:dyDescent="0.35">
      <c r="B22" s="16" t="s">
        <v>39</v>
      </c>
      <c r="C22" s="16" t="s">
        <v>40</v>
      </c>
      <c r="D22" s="64"/>
      <c r="E22" s="17">
        <v>-55606.48646</v>
      </c>
      <c r="F22" s="84">
        <f>IFERROR(E22/E13, 0)</f>
        <v>-0.23326187843603893</v>
      </c>
      <c r="G22" s="65"/>
      <c r="H22" s="17">
        <v>-43410.17411</v>
      </c>
      <c r="I22" s="84">
        <f>IFERROR(H22/H13, 0)</f>
        <v>-0.19584932063738911</v>
      </c>
      <c r="J22" s="65"/>
      <c r="K22" s="17">
        <f t="shared" si="0"/>
        <v>-12196.31235</v>
      </c>
      <c r="L22" s="84">
        <f t="shared" si="1"/>
        <v>-0.28095515855557118</v>
      </c>
    </row>
    <row r="23" spans="2:12" ht="16" customHeight="1" x14ac:dyDescent="0.35">
      <c r="B23" s="11" t="s">
        <v>41</v>
      </c>
      <c r="C23" s="11" t="s">
        <v>22</v>
      </c>
      <c r="D23" s="29"/>
      <c r="E23" s="12"/>
      <c r="F23" s="85"/>
      <c r="G23" s="12"/>
      <c r="H23" s="12"/>
      <c r="I23" s="85"/>
      <c r="J23" s="12"/>
      <c r="K23" s="12"/>
      <c r="L23" s="85"/>
    </row>
    <row r="24" spans="2:12" ht="16" customHeight="1" x14ac:dyDescent="0.35">
      <c r="B24" s="14" t="s">
        <v>42</v>
      </c>
      <c r="C24" s="14" t="s">
        <v>43</v>
      </c>
      <c r="D24" s="61"/>
      <c r="E24" s="15">
        <v>10644.035449999999</v>
      </c>
      <c r="F24" s="45">
        <f>IFERROR(E24/E13, 0)</f>
        <v>4.4650325191698668E-2</v>
      </c>
      <c r="G24" s="63"/>
      <c r="H24" s="15">
        <v>-1263.57393</v>
      </c>
      <c r="I24" s="45">
        <f>IFERROR(H24/H13, 0)</f>
        <v>-5.7007395348964629E-3</v>
      </c>
      <c r="J24" s="63"/>
      <c r="K24" s="15">
        <f t="shared" ref="K24:K38" si="2">E24-H24</f>
        <v>11907.60938</v>
      </c>
      <c r="L24" s="45">
        <f t="shared" ref="L24:L38" si="3">IF(ROUND(K24, 2)=0, 0, IFERROR(K24/ABS(H24), IF(K24&lt;0, -1, 1)))</f>
        <v>9.4237536065657821</v>
      </c>
    </row>
    <row r="25" spans="2:12" ht="16" customHeight="1" x14ac:dyDescent="0.35">
      <c r="B25" s="14" t="s">
        <v>44</v>
      </c>
      <c r="C25" s="14" t="s">
        <v>45</v>
      </c>
      <c r="D25" s="61"/>
      <c r="E25" s="15">
        <v>-92400.876210000002</v>
      </c>
      <c r="F25" s="45">
        <f>IFERROR(E25/E13, 0)</f>
        <v>-0.38760949173411419</v>
      </c>
      <c r="G25" s="63"/>
      <c r="H25" s="15">
        <v>-86519.503750000003</v>
      </c>
      <c r="I25" s="45">
        <f>IFERROR(H25/H13, 0)</f>
        <v>-0.3903413515086116</v>
      </c>
      <c r="J25" s="63"/>
      <c r="K25" s="15">
        <f t="shared" si="2"/>
        <v>-5881.3724599999987</v>
      </c>
      <c r="L25" s="45">
        <f t="shared" si="3"/>
        <v>-6.7977417866315476E-2</v>
      </c>
    </row>
    <row r="26" spans="2:12" ht="16" customHeight="1" x14ac:dyDescent="0.35">
      <c r="B26" s="14" t="s">
        <v>46</v>
      </c>
      <c r="C26" s="14" t="s">
        <v>47</v>
      </c>
      <c r="D26" s="61"/>
      <c r="E26" s="15">
        <v>-3688.7501600000001</v>
      </c>
      <c r="F26" s="45">
        <f>IFERROR(E26/E13, 0)</f>
        <v>-1.547382052311095E-2</v>
      </c>
      <c r="G26" s="63"/>
      <c r="H26" s="15">
        <v>-3484.83095</v>
      </c>
      <c r="I26" s="45">
        <f>IFERROR(H26/H13, 0)</f>
        <v>-1.5722161638057695E-2</v>
      </c>
      <c r="J26" s="63"/>
      <c r="K26" s="15">
        <f t="shared" si="2"/>
        <v>-203.91921000000002</v>
      </c>
      <c r="L26" s="45">
        <f t="shared" si="3"/>
        <v>-5.8516241655854215E-2</v>
      </c>
    </row>
    <row r="27" spans="2:12" ht="16" customHeight="1" x14ac:dyDescent="0.35">
      <c r="B27" s="14" t="s">
        <v>48</v>
      </c>
      <c r="C27" s="14" t="s">
        <v>49</v>
      </c>
      <c r="D27" s="61"/>
      <c r="E27" s="15"/>
      <c r="F27" s="45">
        <f>IFERROR(E27/E13, 0)</f>
        <v>0</v>
      </c>
      <c r="G27" s="63"/>
      <c r="H27" s="15"/>
      <c r="I27" s="45">
        <f>IFERROR(H27/H13, 0)</f>
        <v>0</v>
      </c>
      <c r="J27" s="63"/>
      <c r="K27" s="15">
        <f t="shared" si="2"/>
        <v>0</v>
      </c>
      <c r="L27" s="45">
        <f t="shared" si="3"/>
        <v>0</v>
      </c>
    </row>
    <row r="28" spans="2:12" ht="16" customHeight="1" x14ac:dyDescent="0.35">
      <c r="B28" s="14" t="s">
        <v>50</v>
      </c>
      <c r="C28" s="14" t="s">
        <v>51</v>
      </c>
      <c r="D28" s="61"/>
      <c r="E28" s="15">
        <v>-3204.0375199999999</v>
      </c>
      <c r="F28" s="45">
        <f>IFERROR(E28/E13, 0)</f>
        <v>-1.3440514912453032E-2</v>
      </c>
      <c r="G28" s="63"/>
      <c r="H28" s="15">
        <v>-3337.9014200000001</v>
      </c>
      <c r="I28" s="45">
        <f>IFERROR(H28/H13, 0)</f>
        <v>-1.5059274441172622E-2</v>
      </c>
      <c r="J28" s="63"/>
      <c r="K28" s="15">
        <f t="shared" si="2"/>
        <v>133.86390000000029</v>
      </c>
      <c r="L28" s="45">
        <f t="shared" si="3"/>
        <v>4.0104210147704204E-2</v>
      </c>
    </row>
    <row r="29" spans="2:12" ht="16" customHeight="1" x14ac:dyDescent="0.35">
      <c r="B29" s="14" t="s">
        <v>52</v>
      </c>
      <c r="C29" s="14" t="s">
        <v>53</v>
      </c>
      <c r="D29" s="61"/>
      <c r="E29" s="15">
        <v>-29692.868750000001</v>
      </c>
      <c r="F29" s="45">
        <f>IFERROR(E29/E13, 0)</f>
        <v>-0.12455766910865815</v>
      </c>
      <c r="G29" s="63"/>
      <c r="H29" s="15">
        <v>-27533.76513</v>
      </c>
      <c r="I29" s="45">
        <f>IFERROR(H29/H13, 0)</f>
        <v>-0.12422132151867413</v>
      </c>
      <c r="J29" s="63"/>
      <c r="K29" s="15">
        <f t="shared" si="2"/>
        <v>-2159.1036200000017</v>
      </c>
      <c r="L29" s="45">
        <f t="shared" si="3"/>
        <v>-7.8416577239104307E-2</v>
      </c>
    </row>
    <row r="30" spans="2:12" ht="16" customHeight="1" x14ac:dyDescent="0.35">
      <c r="B30" s="14" t="s">
        <v>54</v>
      </c>
      <c r="C30" s="14" t="s">
        <v>55</v>
      </c>
      <c r="D30" s="61"/>
      <c r="E30" s="15">
        <v>-12955.9557</v>
      </c>
      <c r="F30" s="45">
        <f>IFERROR(E30/E13, 0)</f>
        <v>-5.4348525790962297E-2</v>
      </c>
      <c r="G30" s="63"/>
      <c r="H30" s="15">
        <v>-12374.92758</v>
      </c>
      <c r="I30" s="45">
        <f>IFERROR(H30/H13, 0)</f>
        <v>-5.5830717318444995E-2</v>
      </c>
      <c r="J30" s="63"/>
      <c r="K30" s="15">
        <f t="shared" si="2"/>
        <v>-581.02812000000085</v>
      </c>
      <c r="L30" s="45">
        <f t="shared" si="3"/>
        <v>-4.6952042041768526E-2</v>
      </c>
    </row>
    <row r="31" spans="2:12" ht="16" customHeight="1" x14ac:dyDescent="0.35">
      <c r="B31" s="14" t="s">
        <v>56</v>
      </c>
      <c r="C31" s="14" t="s">
        <v>57</v>
      </c>
      <c r="D31" s="61"/>
      <c r="E31" s="15">
        <v>-19829.590270000001</v>
      </c>
      <c r="F31" s="45">
        <f>IFERROR(E31/E13, 0)</f>
        <v>-8.3182516455602734E-2</v>
      </c>
      <c r="G31" s="63"/>
      <c r="H31" s="15">
        <v>-11152.83072</v>
      </c>
      <c r="I31" s="45">
        <f>IFERROR(H31/H13, 0)</f>
        <v>-5.0317105712612935E-2</v>
      </c>
      <c r="J31" s="63"/>
      <c r="K31" s="15">
        <f t="shared" si="2"/>
        <v>-8676.7595500000007</v>
      </c>
      <c r="L31" s="45">
        <f t="shared" si="3"/>
        <v>-0.77798720054454484</v>
      </c>
    </row>
    <row r="32" spans="2:12" ht="16" customHeight="1" x14ac:dyDescent="0.35">
      <c r="B32" s="14" t="s">
        <v>58</v>
      </c>
      <c r="C32" s="14" t="s">
        <v>59</v>
      </c>
      <c r="D32" s="61"/>
      <c r="E32" s="15">
        <v>9191.4132699999991</v>
      </c>
      <c r="F32" s="45">
        <f>IFERROR(E32/E13, 0)</f>
        <v>3.8556766689159645E-2</v>
      </c>
      <c r="G32" s="63"/>
      <c r="H32" s="15">
        <v>5362.7544099999996</v>
      </c>
      <c r="I32" s="45">
        <f>IFERROR(H32/H13, 0)</f>
        <v>2.4194600217042585E-2</v>
      </c>
      <c r="J32" s="63"/>
      <c r="K32" s="15">
        <f t="shared" si="2"/>
        <v>3828.6588599999995</v>
      </c>
      <c r="L32" s="45">
        <f t="shared" si="3"/>
        <v>0.71393514736767516</v>
      </c>
    </row>
    <row r="33" spans="2:12" ht="16" customHeight="1" x14ac:dyDescent="0.35">
      <c r="B33" s="14" t="s">
        <v>60</v>
      </c>
      <c r="C33" s="14" t="s">
        <v>61</v>
      </c>
      <c r="D33" s="61"/>
      <c r="E33" s="15"/>
      <c r="F33" s="45">
        <f>IFERROR(E33/E13, 0)</f>
        <v>0</v>
      </c>
      <c r="G33" s="63"/>
      <c r="H33" s="15"/>
      <c r="I33" s="45">
        <f>IFERROR(H33/H13, 0)</f>
        <v>0</v>
      </c>
      <c r="J33" s="63"/>
      <c r="K33" s="15">
        <f t="shared" si="2"/>
        <v>0</v>
      </c>
      <c r="L33" s="45">
        <f t="shared" si="3"/>
        <v>0</v>
      </c>
    </row>
    <row r="34" spans="2:12" ht="16" customHeight="1" x14ac:dyDescent="0.35">
      <c r="B34" s="14" t="s">
        <v>62</v>
      </c>
      <c r="C34" s="14" t="s">
        <v>36</v>
      </c>
      <c r="D34" s="61"/>
      <c r="E34" s="15">
        <v>46.064500000000002</v>
      </c>
      <c r="F34" s="45">
        <f>IFERROR(E34/E13, 0)</f>
        <v>1.9323450344136192E-4</v>
      </c>
      <c r="G34" s="63"/>
      <c r="H34" s="15">
        <v>1354.3327899999999</v>
      </c>
      <c r="I34" s="45">
        <f>IFERROR(H34/H13, 0)</f>
        <v>6.1102071640237376E-3</v>
      </c>
      <c r="J34" s="63"/>
      <c r="K34" s="15">
        <f t="shared" si="2"/>
        <v>-1308.26829</v>
      </c>
      <c r="L34" s="45">
        <f t="shared" si="3"/>
        <v>-0.96598731099170987</v>
      </c>
    </row>
    <row r="35" spans="2:12" ht="16" customHeight="1" x14ac:dyDescent="0.35">
      <c r="B35" s="14" t="s">
        <v>63</v>
      </c>
      <c r="C35" s="14" t="s">
        <v>64</v>
      </c>
      <c r="D35" s="61"/>
      <c r="E35" s="15">
        <v>2.1911399999999999</v>
      </c>
      <c r="F35" s="45">
        <f>IFERROR(E35/E13, 0)</f>
        <v>9.1915433765807883E-6</v>
      </c>
      <c r="G35" s="63"/>
      <c r="H35" s="15">
        <v>0</v>
      </c>
      <c r="I35" s="45">
        <f>IFERROR(H35/H13, 0)</f>
        <v>0</v>
      </c>
      <c r="J35" s="63"/>
      <c r="K35" s="15">
        <f t="shared" si="2"/>
        <v>2.1911399999999999</v>
      </c>
      <c r="L35" s="45">
        <f t="shared" si="3"/>
        <v>1</v>
      </c>
    </row>
    <row r="36" spans="2:12" ht="16" customHeight="1" x14ac:dyDescent="0.35">
      <c r="B36" s="14" t="s">
        <v>65</v>
      </c>
      <c r="C36" s="14" t="s">
        <v>66</v>
      </c>
      <c r="D36" s="61"/>
      <c r="E36" s="15"/>
      <c r="F36" s="45">
        <f>IFERROR(E36/E13, 0)</f>
        <v>0</v>
      </c>
      <c r="G36" s="63"/>
      <c r="H36" s="15"/>
      <c r="I36" s="45">
        <f>IFERROR(H36/H13, 0)</f>
        <v>0</v>
      </c>
      <c r="J36" s="63"/>
      <c r="K36" s="15">
        <f t="shared" si="2"/>
        <v>0</v>
      </c>
      <c r="L36" s="45">
        <f t="shared" si="3"/>
        <v>0</v>
      </c>
    </row>
    <row r="37" spans="2:12" ht="16" customHeight="1" x14ac:dyDescent="0.35">
      <c r="B37" s="14" t="s">
        <v>67</v>
      </c>
      <c r="C37" s="14" t="s">
        <v>68</v>
      </c>
      <c r="D37" s="61"/>
      <c r="E37" s="15">
        <v>23384.971000000001</v>
      </c>
      <c r="F37" s="45">
        <f>IFERROR(E37/E13, 0)</f>
        <v>9.8096869805938389E-2</v>
      </c>
      <c r="G37" s="63"/>
      <c r="H37" s="15">
        <v>24518.280999999999</v>
      </c>
      <c r="I37" s="45">
        <f>IFERROR(H37/H13, 0)</f>
        <v>0.11061666476800512</v>
      </c>
      <c r="J37" s="63"/>
      <c r="K37" s="15">
        <f t="shared" si="2"/>
        <v>-1133.3099999999977</v>
      </c>
      <c r="L37" s="45">
        <f t="shared" si="3"/>
        <v>-4.6223061070227466E-2</v>
      </c>
    </row>
    <row r="38" spans="2:12" ht="16" customHeight="1" x14ac:dyDescent="0.35">
      <c r="B38" s="16" t="s">
        <v>69</v>
      </c>
      <c r="C38" s="16" t="s">
        <v>70</v>
      </c>
      <c r="D38" s="64"/>
      <c r="E38" s="17">
        <v>-118503.40325</v>
      </c>
      <c r="F38" s="84">
        <f>IFERROR(E38/E13, 0)</f>
        <v>-0.49710615079128667</v>
      </c>
      <c r="G38" s="65"/>
      <c r="H38" s="17">
        <v>-114431.96528</v>
      </c>
      <c r="I38" s="84">
        <f>IFERROR(H38/H13, 0)</f>
        <v>-0.51627119952339895</v>
      </c>
      <c r="J38" s="65"/>
      <c r="K38" s="17">
        <f t="shared" si="2"/>
        <v>-4071.437969999999</v>
      </c>
      <c r="L38" s="84">
        <f t="shared" si="3"/>
        <v>-3.5579551221004764E-2</v>
      </c>
    </row>
    <row r="39" spans="2:12" ht="16" customHeight="1" x14ac:dyDescent="0.35">
      <c r="B39" s="11" t="s">
        <v>71</v>
      </c>
      <c r="C39" s="11" t="s">
        <v>22</v>
      </c>
      <c r="D39" s="29"/>
      <c r="E39" s="12"/>
      <c r="F39" s="85"/>
      <c r="G39" s="12"/>
      <c r="H39" s="12"/>
      <c r="I39" s="85"/>
      <c r="J39" s="12"/>
      <c r="K39" s="12"/>
      <c r="L39" s="85"/>
    </row>
    <row r="40" spans="2:12" ht="16" customHeight="1" x14ac:dyDescent="0.35">
      <c r="B40" s="16" t="s">
        <v>72</v>
      </c>
      <c r="C40" s="16" t="s">
        <v>73</v>
      </c>
      <c r="D40" s="64"/>
      <c r="E40" s="17">
        <v>-174109.88970999999</v>
      </c>
      <c r="F40" s="84">
        <f>IFERROR(E40/E13, 0)</f>
        <v>-0.73036802922732558</v>
      </c>
      <c r="G40" s="65"/>
      <c r="H40" s="17">
        <v>-157842.13939</v>
      </c>
      <c r="I40" s="84">
        <f>IFERROR(H40/H13, 0)</f>
        <v>-0.71212052016078808</v>
      </c>
      <c r="J40" s="65"/>
      <c r="K40" s="17">
        <f>E40-H40</f>
        <v>-16267.750319999992</v>
      </c>
      <c r="L40" s="84">
        <f>IF(ROUND(K40, 2)=0, 0, IFERROR(K40/ABS(H40), IF(K40&lt;0, -1, 1)))</f>
        <v>-0.10306341755673534</v>
      </c>
    </row>
    <row r="41" spans="2:12" ht="16" customHeight="1" thickBot="1" x14ac:dyDescent="0.4">
      <c r="B41" s="11" t="s">
        <v>74</v>
      </c>
      <c r="C41" s="11" t="s">
        <v>22</v>
      </c>
      <c r="D41" s="29"/>
      <c r="E41" s="12"/>
      <c r="F41" s="85"/>
      <c r="G41" s="12"/>
      <c r="H41" s="12"/>
      <c r="I41" s="85"/>
      <c r="J41" s="12"/>
      <c r="K41" s="12"/>
      <c r="L41" s="85"/>
    </row>
    <row r="42" spans="2:12" ht="16" customHeight="1" thickBot="1" x14ac:dyDescent="0.4">
      <c r="B42" s="18" t="s">
        <v>75</v>
      </c>
      <c r="C42" s="18" t="s">
        <v>76</v>
      </c>
      <c r="D42" s="66"/>
      <c r="E42" s="19">
        <v>64276.626049999999</v>
      </c>
      <c r="F42" s="86">
        <f>IFERROR(E42/E13, 0)</f>
        <v>0.26963197077267437</v>
      </c>
      <c r="G42" s="68"/>
      <c r="H42" s="19">
        <v>63808.739809999999</v>
      </c>
      <c r="I42" s="86">
        <f>IFERROR(H42/H13, 0)</f>
        <v>0.28787947983921192</v>
      </c>
      <c r="J42" s="68"/>
      <c r="K42" s="19">
        <f>E42-H42</f>
        <v>467.88623999999982</v>
      </c>
      <c r="L42" s="86">
        <f>IF(ROUND(K42, 2)=0, 0, IFERROR(K42/ABS(H42), IF(K42&lt;0, -1, 1)))</f>
        <v>7.3326356451044261E-3</v>
      </c>
    </row>
    <row r="43" spans="2:12" ht="16" customHeight="1" x14ac:dyDescent="0.35">
      <c r="B43" s="11" t="s">
        <v>77</v>
      </c>
      <c r="C43" s="11" t="s">
        <v>22</v>
      </c>
      <c r="D43" s="29"/>
      <c r="E43" s="12"/>
      <c r="F43" s="85"/>
      <c r="G43" s="12"/>
      <c r="H43" s="12"/>
      <c r="I43" s="85"/>
      <c r="J43" s="12"/>
      <c r="K43" s="12"/>
      <c r="L43" s="85"/>
    </row>
    <row r="44" spans="2:12" ht="16" customHeight="1" x14ac:dyDescent="0.35">
      <c r="B44" s="14" t="s">
        <v>78</v>
      </c>
      <c r="C44" s="14" t="s">
        <v>28</v>
      </c>
      <c r="D44" s="61"/>
      <c r="E44" s="15">
        <v>-2547.6137100000001</v>
      </c>
      <c r="F44" s="45">
        <f>IFERROR(E44/E13, 0)</f>
        <v>-1.0686903585456389E-2</v>
      </c>
      <c r="G44" s="63"/>
      <c r="H44" s="15">
        <v>-2427.7015000000001</v>
      </c>
      <c r="I44" s="45">
        <f>IFERROR(H44/H13, 0)</f>
        <v>-1.0952816919843737E-2</v>
      </c>
      <c r="J44" s="63"/>
      <c r="K44" s="15">
        <f t="shared" ref="K44:K50" si="4">E44-H44</f>
        <v>-119.91220999999996</v>
      </c>
      <c r="L44" s="45">
        <f t="shared" ref="L44:L50" si="5">IF(ROUND(K44, 2)=0, 0, IFERROR(K44/ABS(H44), IF(K44&lt;0, -1, 1)))</f>
        <v>-4.9393308856134063E-2</v>
      </c>
    </row>
    <row r="45" spans="2:12" ht="16" customHeight="1" x14ac:dyDescent="0.35">
      <c r="B45" s="14" t="s">
        <v>79</v>
      </c>
      <c r="C45" s="14" t="s">
        <v>80</v>
      </c>
      <c r="D45" s="61"/>
      <c r="E45" s="15">
        <v>-46.246540000000003</v>
      </c>
      <c r="F45" s="45">
        <f>IFERROR(E45/E13, 0)</f>
        <v>-1.9399813723759257E-4</v>
      </c>
      <c r="G45" s="63"/>
      <c r="H45" s="15">
        <v>-158.33306999999999</v>
      </c>
      <c r="I45" s="45">
        <f>IFERROR(H45/H13, 0)</f>
        <v>-7.1433540246476038E-4</v>
      </c>
      <c r="J45" s="63"/>
      <c r="K45" s="15">
        <f t="shared" si="4"/>
        <v>112.08652999999998</v>
      </c>
      <c r="L45" s="45">
        <f t="shared" si="5"/>
        <v>0.70791610369204605</v>
      </c>
    </row>
    <row r="46" spans="2:12" ht="16" customHeight="1" x14ac:dyDescent="0.35">
      <c r="B46" s="14" t="s">
        <v>81</v>
      </c>
      <c r="C46" s="14" t="s">
        <v>82</v>
      </c>
      <c r="D46" s="61"/>
      <c r="E46" s="15">
        <v>-435.52256999999997</v>
      </c>
      <c r="F46" s="45">
        <f>IFERROR(E46/E13, 0)</f>
        <v>-1.8269597532037855E-3</v>
      </c>
      <c r="G46" s="63"/>
      <c r="H46" s="15">
        <v>-37.116770000000002</v>
      </c>
      <c r="I46" s="45">
        <f>IFERROR(H46/H13, 0)</f>
        <v>-1.6745600168140457E-4</v>
      </c>
      <c r="J46" s="63"/>
      <c r="K46" s="15">
        <f t="shared" si="4"/>
        <v>-398.4058</v>
      </c>
      <c r="L46" s="45">
        <f t="shared" si="5"/>
        <v>-10.73384887747506</v>
      </c>
    </row>
    <row r="47" spans="2:12" ht="16" customHeight="1" x14ac:dyDescent="0.35">
      <c r="B47" s="14" t="s">
        <v>83</v>
      </c>
      <c r="C47" s="14" t="s">
        <v>84</v>
      </c>
      <c r="D47" s="61"/>
      <c r="E47" s="15">
        <v>-590.35775999999998</v>
      </c>
      <c r="F47" s="45">
        <f>IFERROR(E47/E13, 0)</f>
        <v>-2.4764729587069155E-3</v>
      </c>
      <c r="G47" s="63"/>
      <c r="H47" s="15">
        <v>-433.89648999999997</v>
      </c>
      <c r="I47" s="45">
        <f>IFERROR(H47/H13, 0)</f>
        <v>-1.9575671956098425E-3</v>
      </c>
      <c r="J47" s="63"/>
      <c r="K47" s="15">
        <f t="shared" si="4"/>
        <v>-156.46127000000001</v>
      </c>
      <c r="L47" s="45">
        <f t="shared" si="5"/>
        <v>-0.36059584164877673</v>
      </c>
    </row>
    <row r="48" spans="2:12" ht="16" customHeight="1" x14ac:dyDescent="0.35">
      <c r="B48" s="14" t="s">
        <v>85</v>
      </c>
      <c r="C48" s="14" t="s">
        <v>86</v>
      </c>
      <c r="D48" s="61"/>
      <c r="E48" s="15"/>
      <c r="F48" s="45">
        <f>IFERROR(E48/E13, 0)</f>
        <v>0</v>
      </c>
      <c r="G48" s="63"/>
      <c r="H48" s="15"/>
      <c r="I48" s="45">
        <f>IFERROR(H48/H13, 0)</f>
        <v>0</v>
      </c>
      <c r="J48" s="63"/>
      <c r="K48" s="15">
        <f t="shared" si="4"/>
        <v>0</v>
      </c>
      <c r="L48" s="45">
        <f t="shared" si="5"/>
        <v>0</v>
      </c>
    </row>
    <row r="49" spans="2:12" ht="16" customHeight="1" x14ac:dyDescent="0.35">
      <c r="B49" s="14" t="s">
        <v>87</v>
      </c>
      <c r="C49" s="14" t="s">
        <v>88</v>
      </c>
      <c r="D49" s="61"/>
      <c r="E49" s="15"/>
      <c r="F49" s="45">
        <f>IFERROR(E49/E13, 0)</f>
        <v>0</v>
      </c>
      <c r="G49" s="63"/>
      <c r="H49" s="15">
        <v>2.1779999999999999</v>
      </c>
      <c r="I49" s="45">
        <f>IFERROR(H49/H13, 0)</f>
        <v>9.8262637525328609E-6</v>
      </c>
      <c r="J49" s="63"/>
      <c r="K49" s="15">
        <f t="shared" si="4"/>
        <v>-2.1779999999999999</v>
      </c>
      <c r="L49" s="45">
        <f t="shared" si="5"/>
        <v>-1</v>
      </c>
    </row>
    <row r="50" spans="2:12" ht="16" customHeight="1" x14ac:dyDescent="0.35">
      <c r="B50" s="16" t="s">
        <v>91</v>
      </c>
      <c r="C50" s="16" t="s">
        <v>92</v>
      </c>
      <c r="D50" s="64"/>
      <c r="E50" s="17">
        <v>-3619.7405800000001</v>
      </c>
      <c r="F50" s="84">
        <f>IFERROR(E50/E13, 0)</f>
        <v>-1.5184334434604683E-2</v>
      </c>
      <c r="G50" s="65"/>
      <c r="H50" s="17">
        <v>-3054.8698300000001</v>
      </c>
      <c r="I50" s="84">
        <f>IFERROR(H50/H13, 0)</f>
        <v>-1.3782349255847211E-2</v>
      </c>
      <c r="J50" s="65"/>
      <c r="K50" s="17">
        <f t="shared" si="4"/>
        <v>-564.87075000000004</v>
      </c>
      <c r="L50" s="84">
        <f t="shared" si="5"/>
        <v>-0.18490828789258101</v>
      </c>
    </row>
    <row r="51" spans="2:12" ht="16" customHeight="1" x14ac:dyDescent="0.35">
      <c r="B51" s="11" t="s">
        <v>93</v>
      </c>
      <c r="C51" s="11" t="s">
        <v>22</v>
      </c>
      <c r="D51" s="29"/>
      <c r="E51" s="12"/>
      <c r="F51" s="85"/>
      <c r="G51" s="12"/>
      <c r="H51" s="12"/>
      <c r="I51" s="85"/>
      <c r="J51" s="12"/>
      <c r="K51" s="12"/>
      <c r="L51" s="85"/>
    </row>
    <row r="52" spans="2:12" ht="16" customHeight="1" x14ac:dyDescent="0.35">
      <c r="B52" s="14" t="s">
        <v>94</v>
      </c>
      <c r="C52" s="14" t="s">
        <v>28</v>
      </c>
      <c r="D52" s="61"/>
      <c r="E52" s="15">
        <v>-4572.5515400000004</v>
      </c>
      <c r="F52" s="45">
        <f>IFERROR(E52/E13, 0)</f>
        <v>-1.9181250774282468E-2</v>
      </c>
      <c r="G52" s="63"/>
      <c r="H52" s="15">
        <v>-3289.6326300000001</v>
      </c>
      <c r="I52" s="45">
        <f>IFERROR(H52/H13, 0)</f>
        <v>-1.4841504991422566E-2</v>
      </c>
      <c r="J52" s="63"/>
      <c r="K52" s="15">
        <f t="shared" ref="K52:K57" si="6">E52-H52</f>
        <v>-1282.9189100000003</v>
      </c>
      <c r="L52" s="45">
        <f t="shared" ref="L52:L57" si="7">IF(ROUND(K52, 2)=0, 0, IFERROR(K52/ABS(H52), IF(K52&lt;0, -1, 1)))</f>
        <v>-0.38998850458265316</v>
      </c>
    </row>
    <row r="53" spans="2:12" ht="16" customHeight="1" x14ac:dyDescent="0.35">
      <c r="B53" s="14" t="s">
        <v>95</v>
      </c>
      <c r="C53" s="14" t="s">
        <v>80</v>
      </c>
      <c r="D53" s="61"/>
      <c r="E53" s="15">
        <v>-1160.5874799999999</v>
      </c>
      <c r="F53" s="45">
        <f>IFERROR(E53/E13, 0)</f>
        <v>-4.8685114436944187E-3</v>
      </c>
      <c r="G53" s="63"/>
      <c r="H53" s="15">
        <v>142.15795</v>
      </c>
      <c r="I53" s="45">
        <f>IFERROR(H53/H13, 0)</f>
        <v>6.4135973885187279E-4</v>
      </c>
      <c r="J53" s="63"/>
      <c r="K53" s="15">
        <f t="shared" si="6"/>
        <v>-1302.7454299999999</v>
      </c>
      <c r="L53" s="45">
        <f t="shared" si="7"/>
        <v>-9.1640701768701636</v>
      </c>
    </row>
    <row r="54" spans="2:12" ht="16" customHeight="1" x14ac:dyDescent="0.35">
      <c r="B54" s="14" t="s">
        <v>96</v>
      </c>
      <c r="C54" s="14" t="s">
        <v>97</v>
      </c>
      <c r="D54" s="61"/>
      <c r="E54" s="15">
        <v>-3594.9805799999999</v>
      </c>
      <c r="F54" s="45">
        <f>IFERROR(E54/E13, 0)</f>
        <v>-1.5080469499454879E-2</v>
      </c>
      <c r="G54" s="63"/>
      <c r="H54" s="15">
        <v>-3538.9432999999999</v>
      </c>
      <c r="I54" s="45">
        <f>IFERROR(H54/H13, 0)</f>
        <v>-1.59662948902934E-2</v>
      </c>
      <c r="J54" s="63"/>
      <c r="K54" s="15">
        <f t="shared" si="6"/>
        <v>-56.03728000000001</v>
      </c>
      <c r="L54" s="45">
        <f t="shared" si="7"/>
        <v>-1.583446674604818E-2</v>
      </c>
    </row>
    <row r="55" spans="2:12" ht="16" customHeight="1" x14ac:dyDescent="0.35">
      <c r="B55" s="14" t="s">
        <v>98</v>
      </c>
      <c r="C55" s="14" t="s">
        <v>99</v>
      </c>
      <c r="D55" s="61"/>
      <c r="E55" s="15"/>
      <c r="F55" s="45">
        <f>IFERROR(E55/E13, 0)</f>
        <v>0</v>
      </c>
      <c r="G55" s="63"/>
      <c r="H55" s="15"/>
      <c r="I55" s="45">
        <f>IFERROR(H55/H13, 0)</f>
        <v>0</v>
      </c>
      <c r="J55" s="63"/>
      <c r="K55" s="15">
        <f t="shared" si="6"/>
        <v>0</v>
      </c>
      <c r="L55" s="45">
        <f t="shared" si="7"/>
        <v>0</v>
      </c>
    </row>
    <row r="56" spans="2:12" ht="16" customHeight="1" x14ac:dyDescent="0.35">
      <c r="B56" s="14" t="s">
        <v>100</v>
      </c>
      <c r="C56" s="14" t="s">
        <v>88</v>
      </c>
      <c r="D56" s="61"/>
      <c r="E56" s="15">
        <v>5.39377</v>
      </c>
      <c r="F56" s="45">
        <f>IFERROR(E56/E13, 0)</f>
        <v>2.2626153928229216E-5</v>
      </c>
      <c r="G56" s="63"/>
      <c r="H56" s="15">
        <v>2.8747500000000001</v>
      </c>
      <c r="I56" s="45">
        <f>IFERROR(H56/H13, 0)</f>
        <v>1.2969720717444374E-5</v>
      </c>
      <c r="J56" s="63"/>
      <c r="K56" s="15">
        <f t="shared" si="6"/>
        <v>2.5190199999999998</v>
      </c>
      <c r="L56" s="45">
        <f t="shared" si="7"/>
        <v>0.8762570658318114</v>
      </c>
    </row>
    <row r="57" spans="2:12" ht="16" customHeight="1" x14ac:dyDescent="0.35">
      <c r="B57" s="16" t="s">
        <v>103</v>
      </c>
      <c r="C57" s="16" t="s">
        <v>104</v>
      </c>
      <c r="D57" s="64"/>
      <c r="E57" s="17">
        <v>-9322.7258299999994</v>
      </c>
      <c r="F57" s="84">
        <f>IFERROR(E57/E13, 0)</f>
        <v>-3.9107605563503532E-2</v>
      </c>
      <c r="G57" s="65"/>
      <c r="H57" s="17">
        <v>-6683.5432300000002</v>
      </c>
      <c r="I57" s="84">
        <f>IFERROR(H57/H13, 0)</f>
        <v>-3.0153470422146653E-2</v>
      </c>
      <c r="J57" s="65"/>
      <c r="K57" s="17">
        <f t="shared" si="6"/>
        <v>-2639.1825999999992</v>
      </c>
      <c r="L57" s="84">
        <f t="shared" si="7"/>
        <v>-0.39487776306341016</v>
      </c>
    </row>
    <row r="58" spans="2:12" ht="16" customHeight="1" thickBot="1" x14ac:dyDescent="0.4">
      <c r="B58" s="11" t="s">
        <v>105</v>
      </c>
      <c r="C58" s="11" t="s">
        <v>22</v>
      </c>
      <c r="D58" s="29"/>
      <c r="E58" s="12"/>
      <c r="F58" s="85"/>
      <c r="G58" s="12"/>
      <c r="H58" s="12"/>
      <c r="I58" s="85"/>
      <c r="J58" s="12"/>
      <c r="K58" s="12"/>
      <c r="L58" s="85"/>
    </row>
    <row r="59" spans="2:12" ht="16" customHeight="1" thickBot="1" x14ac:dyDescent="0.4">
      <c r="B59" s="18" t="s">
        <v>106</v>
      </c>
      <c r="C59" s="18" t="s">
        <v>107</v>
      </c>
      <c r="D59" s="66"/>
      <c r="E59" s="19">
        <v>-12942.466410000001</v>
      </c>
      <c r="F59" s="86">
        <f>IFERROR(E59/E13, 0)</f>
        <v>-5.4291939998108225E-2</v>
      </c>
      <c r="G59" s="68"/>
      <c r="H59" s="19">
        <v>-9738.4130600000008</v>
      </c>
      <c r="I59" s="86">
        <f>IFERROR(H59/H13, 0)</f>
        <v>-4.3935819677993863E-2</v>
      </c>
      <c r="J59" s="68"/>
      <c r="K59" s="19">
        <f>E59-H59</f>
        <v>-3204.0533500000001</v>
      </c>
      <c r="L59" s="86">
        <f>IF(ROUND(K59, 2)=0, 0, IFERROR(K59/ABS(H59), IF(K59&lt;0, -1, 1)))</f>
        <v>-0.32901185544906431</v>
      </c>
    </row>
    <row r="60" spans="2:12" ht="16" customHeight="1" x14ac:dyDescent="0.35">
      <c r="B60" s="11" t="s">
        <v>108</v>
      </c>
      <c r="C60" s="11" t="s">
        <v>22</v>
      </c>
      <c r="D60" s="29"/>
      <c r="E60" s="12"/>
      <c r="F60" s="85"/>
      <c r="G60" s="12"/>
      <c r="H60" s="12"/>
      <c r="I60" s="85"/>
      <c r="J60" s="12"/>
      <c r="K60" s="12"/>
      <c r="L60" s="85"/>
    </row>
    <row r="61" spans="2:12" ht="16" customHeight="1" x14ac:dyDescent="0.35">
      <c r="B61" s="14" t="s">
        <v>109</v>
      </c>
      <c r="C61" s="14" t="s">
        <v>110</v>
      </c>
      <c r="D61" s="61"/>
      <c r="E61" s="15"/>
      <c r="F61" s="45">
        <f>IFERROR(E61/E13, 0)</f>
        <v>0</v>
      </c>
      <c r="G61" s="63"/>
      <c r="H61" s="15"/>
      <c r="I61" s="45">
        <f>IFERROR(H61/H13, 0)</f>
        <v>0</v>
      </c>
      <c r="J61" s="63"/>
      <c r="K61" s="15">
        <f>E61-H61</f>
        <v>0</v>
      </c>
      <c r="L61" s="45">
        <f>IF(ROUND(K61, 2)=0, 0, IFERROR(K61/ABS(H61), IF(K61&lt;0, -1, 1)))</f>
        <v>0</v>
      </c>
    </row>
    <row r="62" spans="2:12" ht="16" customHeight="1" x14ac:dyDescent="0.35">
      <c r="B62" s="14" t="s">
        <v>111</v>
      </c>
      <c r="C62" s="14" t="s">
        <v>112</v>
      </c>
      <c r="D62" s="61"/>
      <c r="E62" s="15"/>
      <c r="F62" s="45">
        <f>IFERROR(E62/E13, 0)</f>
        <v>0</v>
      </c>
      <c r="G62" s="63"/>
      <c r="H62" s="15"/>
      <c r="I62" s="45">
        <f>IFERROR(H62/H13, 0)</f>
        <v>0</v>
      </c>
      <c r="J62" s="63"/>
      <c r="K62" s="15">
        <f>E62-H62</f>
        <v>0</v>
      </c>
      <c r="L62" s="45">
        <f>IF(ROUND(K62, 2)=0, 0, IFERROR(K62/ABS(H62), IF(K62&lt;0, -1, 1)))</f>
        <v>0</v>
      </c>
    </row>
    <row r="63" spans="2:12" ht="16" customHeight="1" x14ac:dyDescent="0.35">
      <c r="B63" s="16" t="s">
        <v>113</v>
      </c>
      <c r="C63" s="16" t="s">
        <v>114</v>
      </c>
      <c r="D63" s="64"/>
      <c r="E63" s="17"/>
      <c r="F63" s="84">
        <f>IFERROR(E63/E13, 0)</f>
        <v>0</v>
      </c>
      <c r="G63" s="65"/>
      <c r="H63" s="17"/>
      <c r="I63" s="84">
        <f>IFERROR(H63/H13, 0)</f>
        <v>0</v>
      </c>
      <c r="J63" s="65"/>
      <c r="K63" s="17">
        <f>E63-H63</f>
        <v>0</v>
      </c>
      <c r="L63" s="84">
        <f>IF(ROUND(K63, 2)=0, 0, IFERROR(K63/ABS(H63), IF(K63&lt;0, -1, 1)))</f>
        <v>0</v>
      </c>
    </row>
    <row r="64" spans="2:12" ht="16" customHeight="1" thickBot="1" x14ac:dyDescent="0.4">
      <c r="B64" s="11" t="s">
        <v>115</v>
      </c>
      <c r="C64" s="11" t="s">
        <v>22</v>
      </c>
      <c r="D64" s="29"/>
      <c r="E64" s="12"/>
      <c r="F64" s="85"/>
      <c r="G64" s="12"/>
      <c r="H64" s="12"/>
      <c r="I64" s="85"/>
      <c r="J64" s="12"/>
      <c r="K64" s="12"/>
      <c r="L64" s="85"/>
    </row>
    <row r="65" spans="2:12" ht="16" customHeight="1" thickBot="1" x14ac:dyDescent="0.4">
      <c r="B65" s="18" t="s">
        <v>116</v>
      </c>
      <c r="C65" s="18" t="s">
        <v>117</v>
      </c>
      <c r="D65" s="66"/>
      <c r="E65" s="19">
        <v>51334.159639999998</v>
      </c>
      <c r="F65" s="86">
        <f>IFERROR(E65/E13, 0)</f>
        <v>0.21534003077456615</v>
      </c>
      <c r="G65" s="68"/>
      <c r="H65" s="19">
        <v>54070.32675</v>
      </c>
      <c r="I65" s="86">
        <f>IFERROR(H65/H13, 0)</f>
        <v>0.24394366016121807</v>
      </c>
      <c r="J65" s="68"/>
      <c r="K65" s="19">
        <f>E65-H65</f>
        <v>-2736.1671100000021</v>
      </c>
      <c r="L65" s="86">
        <f>IF(ROUND(K65, 2)=0, 0, IFERROR(K65/ABS(H65), IF(K65&lt;0, -1, 1)))</f>
        <v>-5.0603857503043519E-2</v>
      </c>
    </row>
    <row r="66" spans="2:12" ht="16" customHeight="1" x14ac:dyDescent="0.35">
      <c r="B66" s="11" t="s">
        <v>118</v>
      </c>
      <c r="C66" s="11" t="s">
        <v>22</v>
      </c>
      <c r="D66" s="29"/>
      <c r="E66" s="12"/>
      <c r="F66" s="85"/>
      <c r="G66" s="12"/>
      <c r="H66" s="12"/>
      <c r="I66" s="85"/>
      <c r="J66" s="12"/>
      <c r="K66" s="12"/>
      <c r="L66" s="85"/>
    </row>
    <row r="67" spans="2:12" ht="16" customHeight="1" x14ac:dyDescent="0.35">
      <c r="B67" s="14" t="s">
        <v>119</v>
      </c>
      <c r="C67" s="14" t="s">
        <v>120</v>
      </c>
      <c r="D67" s="61"/>
      <c r="E67" s="15">
        <v>-4905.4648399999996</v>
      </c>
      <c r="F67" s="45">
        <f>IFERROR(E67/E13, 0)</f>
        <v>-2.057777816988049E-2</v>
      </c>
      <c r="G67" s="63"/>
      <c r="H67" s="15">
        <v>-6982.5985000000001</v>
      </c>
      <c r="I67" s="45">
        <f>IFERROR(H67/H13, 0)</f>
        <v>-3.1502688034453781E-2</v>
      </c>
      <c r="J67" s="63"/>
      <c r="K67" s="15">
        <f>E67-H67</f>
        <v>2077.1336600000004</v>
      </c>
      <c r="L67" s="45">
        <f>IF(ROUND(K67, 2)=0, 0, IFERROR(K67/ABS(H67), IF(K67&lt;0, -1, 1)))</f>
        <v>0.29747287632247515</v>
      </c>
    </row>
    <row r="68" spans="2:12" ht="16" customHeight="1" x14ac:dyDescent="0.35">
      <c r="B68" s="14" t="s">
        <v>121</v>
      </c>
      <c r="C68" s="14" t="s">
        <v>64</v>
      </c>
      <c r="D68" s="61"/>
      <c r="E68" s="15"/>
      <c r="F68" s="45">
        <f>IFERROR(E68/E13, 0)</f>
        <v>0</v>
      </c>
      <c r="G68" s="63"/>
      <c r="H68" s="15"/>
      <c r="I68" s="45">
        <f>IFERROR(H68/H13, 0)</f>
        <v>0</v>
      </c>
      <c r="J68" s="63"/>
      <c r="K68" s="15">
        <f>E68-H68</f>
        <v>0</v>
      </c>
      <c r="L68" s="45">
        <f>IF(ROUND(K68, 2)=0, 0, IFERROR(K68/ABS(H68), IF(K68&lt;0, -1, 1)))</f>
        <v>0</v>
      </c>
    </row>
    <row r="69" spans="2:12" ht="16" customHeight="1" x14ac:dyDescent="0.35">
      <c r="B69" s="14" t="s">
        <v>122</v>
      </c>
      <c r="C69" s="14" t="s">
        <v>123</v>
      </c>
      <c r="D69" s="61"/>
      <c r="E69" s="15"/>
      <c r="F69" s="45">
        <f>IFERROR(E69/E13, 0)</f>
        <v>0</v>
      </c>
      <c r="G69" s="63"/>
      <c r="H69" s="15"/>
      <c r="I69" s="45">
        <f>IFERROR(H69/H13, 0)</f>
        <v>0</v>
      </c>
      <c r="J69" s="63"/>
      <c r="K69" s="15">
        <f>E69-H69</f>
        <v>0</v>
      </c>
      <c r="L69" s="45">
        <f>IF(ROUND(K69, 2)=0, 0, IFERROR(K69/ABS(H69), IF(K69&lt;0, -1, 1)))</f>
        <v>0</v>
      </c>
    </row>
    <row r="70" spans="2:12" ht="16" customHeight="1" thickBot="1" x14ac:dyDescent="0.4">
      <c r="B70" s="11" t="s">
        <v>124</v>
      </c>
      <c r="C70" s="11" t="s">
        <v>22</v>
      </c>
      <c r="D70" s="29"/>
      <c r="E70" s="12"/>
      <c r="F70" s="85"/>
      <c r="G70" s="12"/>
      <c r="H70" s="12"/>
      <c r="I70" s="85"/>
      <c r="J70" s="12"/>
      <c r="K70" s="12"/>
      <c r="L70" s="85"/>
    </row>
    <row r="71" spans="2:12" ht="16" customHeight="1" thickBot="1" x14ac:dyDescent="0.4">
      <c r="B71" s="18" t="s">
        <v>125</v>
      </c>
      <c r="C71" s="18" t="s">
        <v>126</v>
      </c>
      <c r="D71" s="66"/>
      <c r="E71" s="19">
        <v>46428.694799999997</v>
      </c>
      <c r="F71" s="86">
        <f>IFERROR(E71/E13, 0)</f>
        <v>0.19476225260468563</v>
      </c>
      <c r="G71" s="68"/>
      <c r="H71" s="19">
        <v>47087.72825</v>
      </c>
      <c r="I71" s="86">
        <f>IFERROR(H71/H13, 0)</f>
        <v>0.2124409721267643</v>
      </c>
      <c r="J71" s="68"/>
      <c r="K71" s="19">
        <f>E71-H71</f>
        <v>-659.03345000000263</v>
      </c>
      <c r="L71" s="86">
        <f>IF(ROUND(K71, 2)=0, 0, IFERROR(K71/ABS(H71), IF(K71&lt;0, -1, 1)))</f>
        <v>-1.3995864198439062E-2</v>
      </c>
    </row>
    <row r="72" spans="2:12" ht="16" customHeight="1" x14ac:dyDescent="0.35">
      <c r="B72" s="11" t="s">
        <v>127</v>
      </c>
      <c r="C72" s="11" t="s">
        <v>22</v>
      </c>
      <c r="D72" s="29"/>
      <c r="E72" s="12"/>
      <c r="F72" s="85"/>
      <c r="G72" s="12"/>
      <c r="H72" s="12"/>
      <c r="I72" s="85"/>
      <c r="J72" s="12"/>
      <c r="K72" s="12"/>
      <c r="L72" s="85"/>
    </row>
    <row r="73" spans="2:12" ht="16" customHeight="1" x14ac:dyDescent="0.35">
      <c r="B73" s="14" t="s">
        <v>128</v>
      </c>
      <c r="C73" s="14" t="s">
        <v>129</v>
      </c>
      <c r="D73" s="61"/>
      <c r="E73" s="15">
        <v>-14241.595139999999</v>
      </c>
      <c r="F73" s="45">
        <f>IFERROR(E73/E13, 0)</f>
        <v>-5.9741613717522457E-2</v>
      </c>
      <c r="G73" s="63"/>
      <c r="H73" s="15">
        <v>-9489.6901500000004</v>
      </c>
      <c r="I73" s="45">
        <f>IFERROR(H73/H13, 0)</f>
        <v>-4.2813681516856356E-2</v>
      </c>
      <c r="J73" s="63"/>
      <c r="K73" s="15">
        <f>E73-H73</f>
        <v>-4751.9049899999991</v>
      </c>
      <c r="L73" s="45">
        <f>IF(ROUND(K73, 2)=0, 0, IFERROR(K73/ABS(H73), IF(K73&lt;0, -1, 1)))</f>
        <v>-0.50074395632401114</v>
      </c>
    </row>
    <row r="74" spans="2:12" ht="16" customHeight="1" x14ac:dyDescent="0.35">
      <c r="B74" s="14" t="s">
        <v>130</v>
      </c>
      <c r="C74" s="14" t="s">
        <v>131</v>
      </c>
      <c r="D74" s="61"/>
      <c r="E74" s="15">
        <v>-367.58199999999999</v>
      </c>
      <c r="F74" s="45">
        <f>IFERROR(E74/E13, 0)</f>
        <v>-1.541958020688007E-3</v>
      </c>
      <c r="G74" s="63"/>
      <c r="H74" s="15">
        <v>-374.99466999999999</v>
      </c>
      <c r="I74" s="45">
        <f>IFERROR(H74/H13, 0)</f>
        <v>-1.691825772825538E-3</v>
      </c>
      <c r="J74" s="63"/>
      <c r="K74" s="15">
        <f>E74-H74</f>
        <v>7.4126699999999914</v>
      </c>
      <c r="L74" s="45">
        <f>IF(ROUND(K74, 2)=0, 0, IFERROR(K74/ABS(H74), IF(K74&lt;0, -1, 1)))</f>
        <v>1.9767400960658967E-2</v>
      </c>
    </row>
    <row r="75" spans="2:12" ht="16" customHeight="1" x14ac:dyDescent="0.35">
      <c r="B75" s="14" t="s">
        <v>132</v>
      </c>
      <c r="C75" s="14" t="s">
        <v>133</v>
      </c>
      <c r="D75" s="61"/>
      <c r="E75" s="15">
        <v>-650.55794000000003</v>
      </c>
      <c r="F75" s="45">
        <f>IFERROR(E75/E13, 0)</f>
        <v>-2.7290047758194561E-3</v>
      </c>
      <c r="G75" s="63"/>
      <c r="H75" s="15"/>
      <c r="I75" s="45">
        <f>IFERROR(H75/H13, 0)</f>
        <v>0</v>
      </c>
      <c r="J75" s="63"/>
      <c r="K75" s="15">
        <f>E75-H75</f>
        <v>-650.55794000000003</v>
      </c>
      <c r="L75" s="45">
        <f>IF(ROUND(K75, 2)=0, 0, IFERROR(K75/ABS(H75), IF(K75&lt;0, -1, 1)))</f>
        <v>-1</v>
      </c>
    </row>
    <row r="76" spans="2:12" ht="16" customHeight="1" x14ac:dyDescent="0.35">
      <c r="B76" s="14" t="s">
        <v>134</v>
      </c>
      <c r="C76" s="14" t="s">
        <v>135</v>
      </c>
      <c r="D76" s="61"/>
      <c r="E76" s="15"/>
      <c r="F76" s="45">
        <f>IFERROR(E76/E13, 0)</f>
        <v>0</v>
      </c>
      <c r="G76" s="63"/>
      <c r="H76" s="15"/>
      <c r="I76" s="45">
        <f>IFERROR(H76/H13, 0)</f>
        <v>0</v>
      </c>
      <c r="J76" s="63"/>
      <c r="K76" s="15">
        <f>E76-H76</f>
        <v>0</v>
      </c>
      <c r="L76" s="45">
        <f>IF(ROUND(K76, 2)=0, 0, IFERROR(K76/ABS(H76), IF(K76&lt;0, -1, 1)))</f>
        <v>0</v>
      </c>
    </row>
    <row r="77" spans="2:12" ht="16" customHeight="1" thickBot="1" x14ac:dyDescent="0.4">
      <c r="B77" s="11" t="s">
        <v>136</v>
      </c>
      <c r="C77" s="11" t="s">
        <v>22</v>
      </c>
      <c r="D77" s="29"/>
      <c r="E77" s="12"/>
      <c r="F77" s="85"/>
      <c r="G77" s="12"/>
      <c r="H77" s="12"/>
      <c r="I77" s="85"/>
      <c r="J77" s="12"/>
      <c r="K77" s="12"/>
      <c r="L77" s="85"/>
    </row>
    <row r="78" spans="2:12" ht="16" customHeight="1" thickBot="1" x14ac:dyDescent="0.4">
      <c r="B78" s="18" t="s">
        <v>137</v>
      </c>
      <c r="C78" s="18" t="s">
        <v>138</v>
      </c>
      <c r="D78" s="66"/>
      <c r="E78" s="19">
        <v>31168.959719999999</v>
      </c>
      <c r="F78" s="86">
        <f>IFERROR(E78/E13, 0)</f>
        <v>0.13074967609065574</v>
      </c>
      <c r="G78" s="68"/>
      <c r="H78" s="19">
        <v>37223.043429999998</v>
      </c>
      <c r="I78" s="86">
        <f>IFERROR(H78/H13, 0)</f>
        <v>0.16793546483708241</v>
      </c>
      <c r="J78" s="68"/>
      <c r="K78" s="19">
        <f>E78-H78</f>
        <v>-6054.083709999999</v>
      </c>
      <c r="L78" s="86">
        <f>IF(ROUND(K78, 2)=0, 0, IFERROR(K78/ABS(H78), IF(K78&lt;0, -1, 1)))</f>
        <v>-0.1626434367567241</v>
      </c>
    </row>
    <row r="79" spans="2:12" ht="16" customHeight="1" x14ac:dyDescent="0.35">
      <c r="B79" s="11" t="s">
        <v>139</v>
      </c>
      <c r="C79" s="11" t="s">
        <v>22</v>
      </c>
      <c r="D79" s="29"/>
      <c r="E79" s="12"/>
      <c r="F79" s="85"/>
      <c r="G79" s="12"/>
      <c r="H79" s="12"/>
      <c r="I79" s="85"/>
      <c r="J79" s="12"/>
      <c r="K79" s="12"/>
      <c r="L79" s="85"/>
    </row>
    <row r="80" spans="2:12" ht="16" customHeight="1" x14ac:dyDescent="0.35">
      <c r="B80" s="14" t="s">
        <v>140</v>
      </c>
      <c r="C80" s="14" t="s">
        <v>141</v>
      </c>
      <c r="D80" s="61"/>
      <c r="E80" s="15">
        <v>-1217.68237</v>
      </c>
      <c r="F80" s="45">
        <f>IFERROR(E80/E13, 0)</f>
        <v>-5.1080169787200719E-3</v>
      </c>
      <c r="G80" s="63"/>
      <c r="H80" s="15"/>
      <c r="I80" s="45">
        <f>IFERROR(H80/H13, 0)</f>
        <v>0</v>
      </c>
      <c r="J80" s="63"/>
      <c r="K80" s="15">
        <f t="shared" ref="K80:K85" si="8">E80-H80</f>
        <v>-1217.68237</v>
      </c>
      <c r="L80" s="45">
        <f t="shared" ref="L80:L85" si="9">IF(ROUND(K80, 2)=0, 0, IFERROR(K80/ABS(H80), IF(K80&lt;0, -1, 1)))</f>
        <v>-1</v>
      </c>
    </row>
    <row r="81" spans="2:12" ht="16" customHeight="1" x14ac:dyDescent="0.35">
      <c r="B81" s="14" t="s">
        <v>142</v>
      </c>
      <c r="C81" s="14" t="s">
        <v>143</v>
      </c>
      <c r="D81" s="61"/>
      <c r="E81" s="15">
        <v>0</v>
      </c>
      <c r="F81" s="45">
        <f>IFERROR(E81/E13, 0)</f>
        <v>0</v>
      </c>
      <c r="G81" s="63"/>
      <c r="H81" s="15">
        <v>-681.71321999999998</v>
      </c>
      <c r="I81" s="45">
        <f>IFERROR(H81/H13, 0)</f>
        <v>-3.0756170354951607E-3</v>
      </c>
      <c r="J81" s="63"/>
      <c r="K81" s="15">
        <f t="shared" si="8"/>
        <v>681.71321999999998</v>
      </c>
      <c r="L81" s="45">
        <f t="shared" si="9"/>
        <v>1</v>
      </c>
    </row>
    <row r="82" spans="2:12" ht="16" customHeight="1" x14ac:dyDescent="0.35">
      <c r="B82" s="14" t="s">
        <v>144</v>
      </c>
      <c r="C82" s="14" t="s">
        <v>145</v>
      </c>
      <c r="D82" s="61"/>
      <c r="E82" s="15"/>
      <c r="F82" s="45">
        <f>IFERROR(E82/E13, 0)</f>
        <v>0</v>
      </c>
      <c r="G82" s="63"/>
      <c r="H82" s="15">
        <v>-263.93889999999999</v>
      </c>
      <c r="I82" s="45">
        <f>IFERROR(H82/H13, 0)</f>
        <v>-1.1907866143036712E-3</v>
      </c>
      <c r="J82" s="63"/>
      <c r="K82" s="15">
        <f t="shared" si="8"/>
        <v>263.93889999999999</v>
      </c>
      <c r="L82" s="45">
        <f t="shared" si="9"/>
        <v>1</v>
      </c>
    </row>
    <row r="83" spans="2:12" ht="16" customHeight="1" x14ac:dyDescent="0.35">
      <c r="B83" s="14" t="s">
        <v>146</v>
      </c>
      <c r="C83" s="14" t="s">
        <v>147</v>
      </c>
      <c r="D83" s="61"/>
      <c r="E83" s="15">
        <v>-1033.2242100000001</v>
      </c>
      <c r="F83" s="45">
        <f>IFERROR(E83/E13, 0)</f>
        <v>-4.3342393201476941E-3</v>
      </c>
      <c r="G83" s="63"/>
      <c r="H83" s="15"/>
      <c r="I83" s="45">
        <f>IFERROR(H83/H13, 0)</f>
        <v>0</v>
      </c>
      <c r="J83" s="63"/>
      <c r="K83" s="15">
        <f t="shared" si="8"/>
        <v>-1033.2242100000001</v>
      </c>
      <c r="L83" s="45">
        <f t="shared" si="9"/>
        <v>-1</v>
      </c>
    </row>
    <row r="84" spans="2:12" ht="16" customHeight="1" x14ac:dyDescent="0.35">
      <c r="B84" s="14" t="s">
        <v>148</v>
      </c>
      <c r="C84" s="14" t="s">
        <v>149</v>
      </c>
      <c r="D84" s="61"/>
      <c r="E84" s="15"/>
      <c r="F84" s="45">
        <f>IFERROR(E84/E13, 0)</f>
        <v>0</v>
      </c>
      <c r="G84" s="63"/>
      <c r="H84" s="15"/>
      <c r="I84" s="45">
        <f>IFERROR(H84/H13, 0)</f>
        <v>0</v>
      </c>
      <c r="J84" s="63"/>
      <c r="K84" s="15">
        <f t="shared" si="8"/>
        <v>0</v>
      </c>
      <c r="L84" s="45">
        <f t="shared" si="9"/>
        <v>0</v>
      </c>
    </row>
    <row r="85" spans="2:12" ht="16" customHeight="1" x14ac:dyDescent="0.35">
      <c r="B85" s="16" t="s">
        <v>150</v>
      </c>
      <c r="C85" s="16" t="s">
        <v>151</v>
      </c>
      <c r="D85" s="64"/>
      <c r="E85" s="17">
        <v>-2250.9065799999998</v>
      </c>
      <c r="F85" s="84">
        <f>IFERROR(E85/E13, 0)</f>
        <v>-9.4422562988677652E-3</v>
      </c>
      <c r="G85" s="65"/>
      <c r="H85" s="17">
        <v>-945.65211999999997</v>
      </c>
      <c r="I85" s="84">
        <f>IFERROR(H85/H13, 0)</f>
        <v>-4.2664036497988321E-3</v>
      </c>
      <c r="J85" s="65"/>
      <c r="K85" s="17">
        <f t="shared" si="8"/>
        <v>-1305.2544599999999</v>
      </c>
      <c r="L85" s="84">
        <f t="shared" si="9"/>
        <v>-1.3802691628291384</v>
      </c>
    </row>
    <row r="86" spans="2:12" ht="16" customHeight="1" x14ac:dyDescent="0.35">
      <c r="B86" s="11" t="s">
        <v>152</v>
      </c>
      <c r="C86" s="11" t="s">
        <v>22</v>
      </c>
      <c r="D86" s="29"/>
      <c r="E86" s="12"/>
      <c r="F86" s="85"/>
      <c r="G86" s="12"/>
      <c r="H86" s="12"/>
      <c r="I86" s="85"/>
      <c r="J86" s="12"/>
      <c r="K86" s="12"/>
      <c r="L86" s="85"/>
    </row>
    <row r="87" spans="2:12" ht="16" customHeight="1" x14ac:dyDescent="0.35">
      <c r="B87" s="14" t="s">
        <v>153</v>
      </c>
      <c r="C87" s="14" t="s">
        <v>154</v>
      </c>
      <c r="D87" s="61"/>
      <c r="E87" s="15"/>
      <c r="F87" s="45">
        <f>IFERROR(E87/E13, 0)</f>
        <v>0</v>
      </c>
      <c r="G87" s="63"/>
      <c r="H87" s="15"/>
      <c r="I87" s="45">
        <f>IFERROR(H87/H13, 0)</f>
        <v>0</v>
      </c>
      <c r="J87" s="63"/>
      <c r="K87" s="15">
        <f t="shared" ref="K87:K92" si="10">E87-H87</f>
        <v>0</v>
      </c>
      <c r="L87" s="45">
        <f t="shared" ref="L87:L92" si="11">IF(ROUND(K87, 2)=0, 0, IFERROR(K87/ABS(H87), IF(K87&lt;0, -1, 1)))</f>
        <v>0</v>
      </c>
    </row>
    <row r="88" spans="2:12" ht="16" customHeight="1" x14ac:dyDescent="0.35">
      <c r="B88" s="14" t="s">
        <v>155</v>
      </c>
      <c r="C88" s="14" t="s">
        <v>156</v>
      </c>
      <c r="D88" s="61"/>
      <c r="E88" s="15"/>
      <c r="F88" s="45">
        <f>IFERROR(E88/E13, 0)</f>
        <v>0</v>
      </c>
      <c r="G88" s="63"/>
      <c r="H88" s="15"/>
      <c r="I88" s="45">
        <f>IFERROR(H88/H13, 0)</f>
        <v>0</v>
      </c>
      <c r="J88" s="63"/>
      <c r="K88" s="15">
        <f t="shared" si="10"/>
        <v>0</v>
      </c>
      <c r="L88" s="45">
        <f t="shared" si="11"/>
        <v>0</v>
      </c>
    </row>
    <row r="89" spans="2:12" ht="16" customHeight="1" x14ac:dyDescent="0.35">
      <c r="B89" s="14" t="s">
        <v>157</v>
      </c>
      <c r="C89" s="14" t="s">
        <v>158</v>
      </c>
      <c r="D89" s="61"/>
      <c r="E89" s="15"/>
      <c r="F89" s="45">
        <f>IFERROR(E89/E13, 0)</f>
        <v>0</v>
      </c>
      <c r="G89" s="63"/>
      <c r="H89" s="15"/>
      <c r="I89" s="45">
        <f>IFERROR(H89/H13, 0)</f>
        <v>0</v>
      </c>
      <c r="J89" s="63"/>
      <c r="K89" s="15">
        <f t="shared" si="10"/>
        <v>0</v>
      </c>
      <c r="L89" s="45">
        <f t="shared" si="11"/>
        <v>0</v>
      </c>
    </row>
    <row r="90" spans="2:12" ht="16" customHeight="1" x14ac:dyDescent="0.35">
      <c r="B90" s="14" t="s">
        <v>159</v>
      </c>
      <c r="C90" s="14" t="s">
        <v>160</v>
      </c>
      <c r="D90" s="61"/>
      <c r="E90" s="15"/>
      <c r="F90" s="45">
        <f>IFERROR(E90/E13, 0)</f>
        <v>0</v>
      </c>
      <c r="G90" s="63"/>
      <c r="H90" s="15"/>
      <c r="I90" s="45">
        <f>IFERROR(H90/H13, 0)</f>
        <v>0</v>
      </c>
      <c r="J90" s="63"/>
      <c r="K90" s="15">
        <f t="shared" si="10"/>
        <v>0</v>
      </c>
      <c r="L90" s="45">
        <f t="shared" si="11"/>
        <v>0</v>
      </c>
    </row>
    <row r="91" spans="2:12" ht="16" customHeight="1" x14ac:dyDescent="0.35">
      <c r="B91" s="14" t="s">
        <v>161</v>
      </c>
      <c r="C91" s="14" t="s">
        <v>162</v>
      </c>
      <c r="D91" s="61"/>
      <c r="E91" s="15"/>
      <c r="F91" s="45">
        <f>IFERROR(E91/E13, 0)</f>
        <v>0</v>
      </c>
      <c r="G91" s="63"/>
      <c r="H91" s="15"/>
      <c r="I91" s="45">
        <f>IFERROR(H91/H13, 0)</f>
        <v>0</v>
      </c>
      <c r="J91" s="63"/>
      <c r="K91" s="15">
        <f t="shared" si="10"/>
        <v>0</v>
      </c>
      <c r="L91" s="45">
        <f t="shared" si="11"/>
        <v>0</v>
      </c>
    </row>
    <row r="92" spans="2:12" ht="16" customHeight="1" x14ac:dyDescent="0.35">
      <c r="B92" s="16" t="s">
        <v>163</v>
      </c>
      <c r="C92" s="16" t="s">
        <v>164</v>
      </c>
      <c r="D92" s="64"/>
      <c r="E92" s="17"/>
      <c r="F92" s="84">
        <f>IFERROR(E92/E13, 0)</f>
        <v>0</v>
      </c>
      <c r="G92" s="65"/>
      <c r="H92" s="17"/>
      <c r="I92" s="84">
        <f>IFERROR(H92/H13, 0)</f>
        <v>0</v>
      </c>
      <c r="J92" s="65"/>
      <c r="K92" s="17">
        <f t="shared" si="10"/>
        <v>0</v>
      </c>
      <c r="L92" s="84">
        <f t="shared" si="11"/>
        <v>0</v>
      </c>
    </row>
    <row r="93" spans="2:12" ht="16" customHeight="1" x14ac:dyDescent="0.35">
      <c r="B93" s="11" t="s">
        <v>165</v>
      </c>
      <c r="C93" s="11" t="s">
        <v>22</v>
      </c>
      <c r="D93" s="29"/>
      <c r="E93" s="12"/>
      <c r="F93" s="85"/>
      <c r="G93" s="12"/>
      <c r="H93" s="12"/>
      <c r="I93" s="85"/>
      <c r="J93" s="12"/>
      <c r="K93" s="12"/>
      <c r="L93" s="85"/>
    </row>
    <row r="94" spans="2:12" ht="16" customHeight="1" thickBot="1" x14ac:dyDescent="0.4">
      <c r="B94" s="14" t="s">
        <v>166</v>
      </c>
      <c r="C94" s="14" t="s">
        <v>167</v>
      </c>
      <c r="D94" s="61"/>
      <c r="E94" s="15"/>
      <c r="F94" s="45">
        <f>IFERROR(E94/E13, 0)</f>
        <v>0</v>
      </c>
      <c r="G94" s="63"/>
      <c r="H94" s="15"/>
      <c r="I94" s="45">
        <f>IFERROR(H94/H13, 0)</f>
        <v>0</v>
      </c>
      <c r="J94" s="63"/>
      <c r="K94" s="15">
        <f>E94-H94</f>
        <v>0</v>
      </c>
      <c r="L94" s="45">
        <f>IF(ROUND(K94, 2)=0, 0, IFERROR(K94/ABS(H94), IF(K94&lt;0, -1, 1)))</f>
        <v>0</v>
      </c>
    </row>
    <row r="95" spans="2:12" ht="16" customHeight="1" thickBot="1" x14ac:dyDescent="0.4">
      <c r="B95" s="18" t="s">
        <v>169</v>
      </c>
      <c r="C95" s="18" t="s">
        <v>170</v>
      </c>
      <c r="D95" s="66"/>
      <c r="E95" s="19">
        <v>28918.05314</v>
      </c>
      <c r="F95" s="86">
        <f>IFERROR(E95/E13, 0)</f>
        <v>0.12130741979178797</v>
      </c>
      <c r="G95" s="68"/>
      <c r="H95" s="19">
        <v>36277.391309999999</v>
      </c>
      <c r="I95" s="86">
        <f>IFERROR(H95/H13, 0)</f>
        <v>0.16366906118728358</v>
      </c>
      <c r="J95" s="68"/>
      <c r="K95" s="19">
        <f>E95-H95</f>
        <v>-7359.3381699999991</v>
      </c>
      <c r="L95" s="86">
        <f>IF(ROUND(K95, 2)=0, 0, IFERROR(K95/ABS(H95), IF(K95&lt;0, -1, 1)))</f>
        <v>-0.20286293761071431</v>
      </c>
    </row>
    <row r="96" spans="2:12" ht="16" customHeight="1" x14ac:dyDescent="0.35">
      <c r="B96" s="11" t="s">
        <v>171</v>
      </c>
      <c r="C96" s="11" t="s">
        <v>22</v>
      </c>
      <c r="D96" s="29"/>
      <c r="E96" s="12"/>
      <c r="F96" s="85"/>
      <c r="G96" s="12"/>
      <c r="H96" s="12"/>
      <c r="I96" s="85"/>
      <c r="J96" s="12"/>
      <c r="K96" s="12"/>
      <c r="L96" s="85"/>
    </row>
    <row r="97" spans="2:12" ht="16" customHeight="1" x14ac:dyDescent="0.35">
      <c r="B97" s="14" t="s">
        <v>172</v>
      </c>
      <c r="C97" s="14" t="s">
        <v>173</v>
      </c>
      <c r="D97" s="61"/>
      <c r="E97" s="15"/>
      <c r="F97" s="45">
        <f>IFERROR(E97/E13, 0)</f>
        <v>0</v>
      </c>
      <c r="G97" s="63"/>
      <c r="H97" s="15"/>
      <c r="I97" s="45">
        <f>IFERROR(H97/H13, 0)</f>
        <v>0</v>
      </c>
      <c r="J97" s="63"/>
      <c r="K97" s="15">
        <f>E97-H97</f>
        <v>0</v>
      </c>
      <c r="L97" s="45">
        <f>IF(ROUND(K97, 2)=0, 0, IFERROR(K97/ABS(H97), IF(K97&lt;0, -1, 1)))</f>
        <v>0</v>
      </c>
    </row>
    <row r="98" spans="2:12" ht="16" customHeight="1" x14ac:dyDescent="0.35">
      <c r="B98" s="14" t="s">
        <v>174</v>
      </c>
      <c r="C98" s="14" t="s">
        <v>175</v>
      </c>
      <c r="D98" s="61"/>
      <c r="E98" s="15"/>
      <c r="F98" s="45">
        <f>IFERROR(E98/E13, 0)</f>
        <v>0</v>
      </c>
      <c r="G98" s="63"/>
      <c r="H98" s="15"/>
      <c r="I98" s="45">
        <f>IFERROR(H98/H13, 0)</f>
        <v>0</v>
      </c>
      <c r="J98" s="63"/>
      <c r="K98" s="15">
        <f>E98-H98</f>
        <v>0</v>
      </c>
      <c r="L98" s="45">
        <f>IF(ROUND(K98, 2)=0, 0, IFERROR(K98/ABS(H98), IF(K98&lt;0, -1, 1)))</f>
        <v>0</v>
      </c>
    </row>
    <row r="99" spans="2:12" ht="16" customHeight="1" x14ac:dyDescent="0.35">
      <c r="B99" s="14" t="s">
        <v>176</v>
      </c>
      <c r="C99" s="14" t="s">
        <v>177</v>
      </c>
      <c r="D99" s="61"/>
      <c r="E99" s="15"/>
      <c r="F99" s="45">
        <f>IFERROR(E99/E13, 0)</f>
        <v>0</v>
      </c>
      <c r="G99" s="63"/>
      <c r="H99" s="15"/>
      <c r="I99" s="45">
        <f>IFERROR(H99/H13, 0)</f>
        <v>0</v>
      </c>
      <c r="J99" s="63"/>
      <c r="K99" s="15">
        <f>E99-H99</f>
        <v>0</v>
      </c>
      <c r="L99" s="45">
        <f>IF(ROUND(K99, 2)=0, 0, IFERROR(K99/ABS(H99), IF(K99&lt;0, -1, 1)))</f>
        <v>0</v>
      </c>
    </row>
    <row r="100" spans="2:12" ht="16" customHeight="1" x14ac:dyDescent="0.35">
      <c r="B100" s="14" t="s">
        <v>178</v>
      </c>
      <c r="C100" s="14" t="s">
        <v>179</v>
      </c>
      <c r="D100" s="61"/>
      <c r="E100" s="15"/>
      <c r="F100" s="45">
        <f>IFERROR(E100/E13, 0)</f>
        <v>0</v>
      </c>
      <c r="G100" s="63"/>
      <c r="H100" s="15"/>
      <c r="I100" s="45">
        <f>IFERROR(H100/H13, 0)</f>
        <v>0</v>
      </c>
      <c r="J100" s="63"/>
      <c r="K100" s="15">
        <f>E100-H100</f>
        <v>0</v>
      </c>
      <c r="L100" s="45">
        <f>IF(ROUND(K100, 2)=0, 0, IFERROR(K100/ABS(H100), IF(K100&lt;0, -1, 1)))</f>
        <v>0</v>
      </c>
    </row>
    <row r="101" spans="2:12" ht="16" customHeight="1" x14ac:dyDescent="0.35">
      <c r="B101" s="16" t="s">
        <v>180</v>
      </c>
      <c r="C101" s="16" t="s">
        <v>181</v>
      </c>
      <c r="D101" s="64"/>
      <c r="E101" s="17"/>
      <c r="F101" s="84">
        <f>IFERROR(E101/E13, 0)</f>
        <v>0</v>
      </c>
      <c r="G101" s="65"/>
      <c r="H101" s="17"/>
      <c r="I101" s="84">
        <f>IFERROR(H101/H13, 0)</f>
        <v>0</v>
      </c>
      <c r="J101" s="65"/>
      <c r="K101" s="17">
        <f>E101-H101</f>
        <v>0</v>
      </c>
      <c r="L101" s="84">
        <f>IF(ROUND(K101, 2)=0, 0, IFERROR(K101/ABS(H101), IF(K101&lt;0, -1, 1)))</f>
        <v>0</v>
      </c>
    </row>
    <row r="102" spans="2:12" ht="16" customHeight="1" x14ac:dyDescent="0.35">
      <c r="B102" s="11" t="s">
        <v>182</v>
      </c>
      <c r="C102" s="11" t="s">
        <v>22</v>
      </c>
      <c r="D102" s="29"/>
      <c r="E102" s="12"/>
      <c r="F102" s="85"/>
      <c r="G102" s="12"/>
      <c r="H102" s="12"/>
      <c r="I102" s="85"/>
      <c r="J102" s="12"/>
      <c r="K102" s="12"/>
      <c r="L102" s="85"/>
    </row>
    <row r="103" spans="2:12" ht="16" customHeight="1" x14ac:dyDescent="0.35">
      <c r="B103" s="14" t="s">
        <v>183</v>
      </c>
      <c r="C103" s="14" t="s">
        <v>184</v>
      </c>
      <c r="D103" s="61"/>
      <c r="E103" s="15"/>
      <c r="F103" s="45">
        <f>IFERROR(E103/E13, 0)</f>
        <v>0</v>
      </c>
      <c r="G103" s="63"/>
      <c r="H103" s="15"/>
      <c r="I103" s="45">
        <f>IFERROR(H103/H13, 0)</f>
        <v>0</v>
      </c>
      <c r="J103" s="63"/>
      <c r="K103" s="15">
        <f>E103-H103</f>
        <v>0</v>
      </c>
      <c r="L103" s="45">
        <f>IF(ROUND(K103, 2)=0, 0, IFERROR(K103/ABS(H103), IF(K103&lt;0, -1, 1)))</f>
        <v>0</v>
      </c>
    </row>
    <row r="104" spans="2:12" ht="16" customHeight="1" x14ac:dyDescent="0.35">
      <c r="B104" s="14" t="s">
        <v>185</v>
      </c>
      <c r="C104" s="14" t="s">
        <v>186</v>
      </c>
      <c r="D104" s="61"/>
      <c r="E104" s="15"/>
      <c r="F104" s="45">
        <f>IFERROR(E104/E13, 0)</f>
        <v>0</v>
      </c>
      <c r="G104" s="63"/>
      <c r="H104" s="15"/>
      <c r="I104" s="45">
        <f>IFERROR(H104/H13, 0)</f>
        <v>0</v>
      </c>
      <c r="J104" s="63"/>
      <c r="K104" s="15">
        <f>E104-H104</f>
        <v>0</v>
      </c>
      <c r="L104" s="45">
        <f>IF(ROUND(K104, 2)=0, 0, IFERROR(K104/ABS(H104), IF(K104&lt;0, -1, 1)))</f>
        <v>0</v>
      </c>
    </row>
    <row r="105" spans="2:12" ht="16" customHeight="1" x14ac:dyDescent="0.35">
      <c r="B105" s="14" t="s">
        <v>187</v>
      </c>
      <c r="C105" s="14" t="s">
        <v>188</v>
      </c>
      <c r="D105" s="61"/>
      <c r="E105" s="15">
        <v>1.4986900000000001</v>
      </c>
      <c r="F105" s="45">
        <f>IFERROR(E105/E13, 0)</f>
        <v>6.2868069329426069E-6</v>
      </c>
      <c r="G105" s="63"/>
      <c r="H105" s="15">
        <v>3.5990000000000001E-2</v>
      </c>
      <c r="I105" s="45">
        <f>IFERROR(H105/H13, 0)</f>
        <v>1.6237246669130289E-7</v>
      </c>
      <c r="J105" s="63"/>
      <c r="K105" s="15">
        <f>E105-H105</f>
        <v>1.4627000000000001</v>
      </c>
      <c r="L105" s="45">
        <f>IF(ROUND(K105, 2)=0, 0, IFERROR(K105/ABS(H105), IF(K105&lt;0, -1, 1)))</f>
        <v>40.641844956932481</v>
      </c>
    </row>
    <row r="106" spans="2:12" ht="16" customHeight="1" x14ac:dyDescent="0.35">
      <c r="B106" s="14" t="s">
        <v>189</v>
      </c>
      <c r="C106" s="14" t="s">
        <v>190</v>
      </c>
      <c r="D106" s="61"/>
      <c r="E106" s="15"/>
      <c r="F106" s="45">
        <f>IFERROR(E106/E13, 0)</f>
        <v>0</v>
      </c>
      <c r="G106" s="63"/>
      <c r="H106" s="15"/>
      <c r="I106" s="45">
        <f>IFERROR(H106/H13, 0)</f>
        <v>0</v>
      </c>
      <c r="J106" s="63"/>
      <c r="K106" s="15">
        <f>E106-H106</f>
        <v>0</v>
      </c>
      <c r="L106" s="45">
        <f>IF(ROUND(K106, 2)=0, 0, IFERROR(K106/ABS(H106), IF(K106&lt;0, -1, 1)))</f>
        <v>0</v>
      </c>
    </row>
    <row r="107" spans="2:12" ht="16" customHeight="1" x14ac:dyDescent="0.35">
      <c r="B107" s="16" t="s">
        <v>191</v>
      </c>
      <c r="C107" s="16" t="s">
        <v>192</v>
      </c>
      <c r="D107" s="64"/>
      <c r="E107" s="17">
        <v>1.4986900000000001</v>
      </c>
      <c r="F107" s="84">
        <f>IFERROR(E107/E13, 0)</f>
        <v>6.2868069329426069E-6</v>
      </c>
      <c r="G107" s="65"/>
      <c r="H107" s="17">
        <v>3.5990000000000001E-2</v>
      </c>
      <c r="I107" s="84">
        <f>IFERROR(H107/H13, 0)</f>
        <v>1.6237246669130289E-7</v>
      </c>
      <c r="J107" s="65"/>
      <c r="K107" s="17">
        <f>E107-H107</f>
        <v>1.4627000000000001</v>
      </c>
      <c r="L107" s="84">
        <f>IF(ROUND(K107, 2)=0, 0, IFERROR(K107/ABS(H107), IF(K107&lt;0, -1, 1)))</f>
        <v>40.641844956932481</v>
      </c>
    </row>
    <row r="108" spans="2:12" ht="16" customHeight="1" x14ac:dyDescent="0.35">
      <c r="B108" s="11" t="s">
        <v>193</v>
      </c>
      <c r="C108" s="11" t="s">
        <v>22</v>
      </c>
      <c r="D108" s="29"/>
      <c r="E108" s="12"/>
      <c r="F108" s="85"/>
      <c r="G108" s="12"/>
      <c r="H108" s="12"/>
      <c r="I108" s="85"/>
      <c r="J108" s="12"/>
      <c r="K108" s="12"/>
      <c r="L108" s="85"/>
    </row>
    <row r="109" spans="2:12" ht="16" customHeight="1" x14ac:dyDescent="0.35">
      <c r="B109" s="14" t="s">
        <v>194</v>
      </c>
      <c r="C109" s="14" t="s">
        <v>195</v>
      </c>
      <c r="D109" s="61"/>
      <c r="E109" s="15">
        <v>-1625.7568799999999</v>
      </c>
      <c r="F109" s="45">
        <f>IFERROR(E109/E13, 0)</f>
        <v>-6.8198357395212756E-3</v>
      </c>
      <c r="G109" s="63"/>
      <c r="H109" s="15">
        <v>-1829.2031199999999</v>
      </c>
      <c r="I109" s="45">
        <f>IFERROR(H109/H13, 0)</f>
        <v>-8.2526319164720006E-3</v>
      </c>
      <c r="J109" s="63"/>
      <c r="K109" s="15">
        <f t="shared" ref="K109:K114" si="12">E109-H109</f>
        <v>203.44623999999999</v>
      </c>
      <c r="L109" s="45">
        <f t="shared" ref="L109:L114" si="13">IF(ROUND(K109, 2)=0, 0, IFERROR(K109/ABS(H109), IF(K109&lt;0, -1, 1)))</f>
        <v>0.11122124042736162</v>
      </c>
    </row>
    <row r="110" spans="2:12" ht="16" customHeight="1" x14ac:dyDescent="0.35">
      <c r="B110" s="14" t="s">
        <v>196</v>
      </c>
      <c r="C110" s="14" t="s">
        <v>197</v>
      </c>
      <c r="D110" s="61"/>
      <c r="E110" s="15"/>
      <c r="F110" s="45">
        <f>IFERROR(E110/E13, 0)</f>
        <v>0</v>
      </c>
      <c r="G110" s="63"/>
      <c r="H110" s="15"/>
      <c r="I110" s="45">
        <f>IFERROR(H110/H13, 0)</f>
        <v>0</v>
      </c>
      <c r="J110" s="63"/>
      <c r="K110" s="15">
        <f t="shared" si="12"/>
        <v>0</v>
      </c>
      <c r="L110" s="45">
        <f t="shared" si="13"/>
        <v>0</v>
      </c>
    </row>
    <row r="111" spans="2:12" ht="16" customHeight="1" x14ac:dyDescent="0.35">
      <c r="B111" s="14" t="s">
        <v>198</v>
      </c>
      <c r="C111" s="14" t="s">
        <v>199</v>
      </c>
      <c r="D111" s="61"/>
      <c r="E111" s="15">
        <v>-1250.1930500000001</v>
      </c>
      <c r="F111" s="45">
        <f>IFERROR(E111/E13, 0)</f>
        <v>-5.2443949944662761E-3</v>
      </c>
      <c r="G111" s="63"/>
      <c r="H111" s="15">
        <v>-2351.5013600000002</v>
      </c>
      <c r="I111" s="45">
        <f>IFERROR(H111/H13, 0)</f>
        <v>-1.0609032404866726E-2</v>
      </c>
      <c r="J111" s="63"/>
      <c r="K111" s="15">
        <f t="shared" si="12"/>
        <v>1101.3083100000001</v>
      </c>
      <c r="L111" s="45">
        <f t="shared" si="13"/>
        <v>0.46834262090326839</v>
      </c>
    </row>
    <row r="112" spans="2:12" ht="16" customHeight="1" x14ac:dyDescent="0.35">
      <c r="B112" s="14" t="s">
        <v>200</v>
      </c>
      <c r="C112" s="14" t="s">
        <v>201</v>
      </c>
      <c r="D112" s="61"/>
      <c r="E112" s="15"/>
      <c r="F112" s="45">
        <f>IFERROR(E112/E13, 0)</f>
        <v>0</v>
      </c>
      <c r="G112" s="63"/>
      <c r="H112" s="15"/>
      <c r="I112" s="45">
        <f>IFERROR(H112/H13, 0)</f>
        <v>0</v>
      </c>
      <c r="J112" s="63"/>
      <c r="K112" s="15">
        <f t="shared" si="12"/>
        <v>0</v>
      </c>
      <c r="L112" s="45">
        <f t="shared" si="13"/>
        <v>0</v>
      </c>
    </row>
    <row r="113" spans="2:12" ht="16" customHeight="1" x14ac:dyDescent="0.35">
      <c r="B113" s="14" t="s">
        <v>202</v>
      </c>
      <c r="C113" s="14" t="s">
        <v>203</v>
      </c>
      <c r="D113" s="61"/>
      <c r="E113" s="15">
        <v>32.57658</v>
      </c>
      <c r="F113" s="45">
        <f>IFERROR(E113/E13, 0)</f>
        <v>1.3665445755663911E-4</v>
      </c>
      <c r="G113" s="63"/>
      <c r="H113" s="15">
        <v>-39.976199999999999</v>
      </c>
      <c r="I113" s="45">
        <f>IFERROR(H113/H13, 0)</f>
        <v>-1.803566046942168E-4</v>
      </c>
      <c r="J113" s="63"/>
      <c r="K113" s="15">
        <f t="shared" si="12"/>
        <v>72.552779999999998</v>
      </c>
      <c r="L113" s="45">
        <f t="shared" si="13"/>
        <v>1.8148993651222478</v>
      </c>
    </row>
    <row r="114" spans="2:12" ht="16" customHeight="1" x14ac:dyDescent="0.35">
      <c r="B114" s="16" t="s">
        <v>204</v>
      </c>
      <c r="C114" s="16" t="s">
        <v>205</v>
      </c>
      <c r="D114" s="64"/>
      <c r="E114" s="17">
        <v>-2843.3733499999998</v>
      </c>
      <c r="F114" s="84">
        <f>IFERROR(E114/E13, 0)</f>
        <v>-1.1927576276430912E-2</v>
      </c>
      <c r="G114" s="65"/>
      <c r="H114" s="17">
        <v>-4220.6806800000004</v>
      </c>
      <c r="I114" s="84">
        <f>IFERROR(H114/H13, 0)</f>
        <v>-1.9042020926032945E-2</v>
      </c>
      <c r="J114" s="65"/>
      <c r="K114" s="17">
        <f t="shared" si="12"/>
        <v>1377.3073300000005</v>
      </c>
      <c r="L114" s="84">
        <f t="shared" si="13"/>
        <v>0.32632350903172341</v>
      </c>
    </row>
    <row r="115" spans="2:12" ht="16" customHeight="1" thickBot="1" x14ac:dyDescent="0.4">
      <c r="B115" s="11" t="s">
        <v>206</v>
      </c>
      <c r="C115" s="11" t="s">
        <v>22</v>
      </c>
      <c r="D115" s="29"/>
      <c r="E115" s="12"/>
      <c r="F115" s="85"/>
      <c r="G115" s="12"/>
      <c r="H115" s="12"/>
      <c r="I115" s="85"/>
      <c r="J115" s="12"/>
      <c r="K115" s="12"/>
      <c r="L115" s="85"/>
    </row>
    <row r="116" spans="2:12" ht="16" customHeight="1" thickBot="1" x14ac:dyDescent="0.4">
      <c r="B116" s="18" t="s">
        <v>207</v>
      </c>
      <c r="C116" s="18" t="s">
        <v>208</v>
      </c>
      <c r="D116" s="66"/>
      <c r="E116" s="19">
        <v>-2841.8746599999999</v>
      </c>
      <c r="F116" s="86">
        <f>IFERROR(E116/E13, 0)</f>
        <v>-1.192128946949797E-2</v>
      </c>
      <c r="G116" s="68"/>
      <c r="H116" s="19">
        <v>-4220.6446900000001</v>
      </c>
      <c r="I116" s="86">
        <f>IFERROR(H116/H13, 0)</f>
        <v>-1.9041858553566254E-2</v>
      </c>
      <c r="J116" s="68"/>
      <c r="K116" s="19">
        <f>E116-H116</f>
        <v>1378.7700300000001</v>
      </c>
      <c r="L116" s="86">
        <f>IF(ROUND(K116, 2)=0, 0, IFERROR(K116/ABS(H116), IF(K116&lt;0, -1, 1)))</f>
        <v>0.32667285006641961</v>
      </c>
    </row>
    <row r="117" spans="2:12" ht="16" customHeight="1" x14ac:dyDescent="0.35">
      <c r="B117" s="11" t="s">
        <v>209</v>
      </c>
      <c r="C117" s="11" t="s">
        <v>22</v>
      </c>
      <c r="D117" s="29"/>
      <c r="E117" s="12"/>
      <c r="F117" s="85"/>
      <c r="G117" s="12"/>
      <c r="H117" s="12"/>
      <c r="I117" s="85"/>
      <c r="J117" s="12"/>
      <c r="K117" s="12"/>
      <c r="L117" s="85"/>
    </row>
    <row r="118" spans="2:12" ht="16" customHeight="1" x14ac:dyDescent="0.35">
      <c r="B118" s="14" t="s">
        <v>210</v>
      </c>
      <c r="C118" s="14" t="s">
        <v>211</v>
      </c>
      <c r="D118" s="61"/>
      <c r="E118" s="15">
        <v>-5.432E-2</v>
      </c>
      <c r="F118" s="45">
        <f>IFERROR(E118/E13, 0)</f>
        <v>-2.2786523737226671E-7</v>
      </c>
      <c r="G118" s="63"/>
      <c r="H118" s="15">
        <v>-7645.1418800000001</v>
      </c>
      <c r="I118" s="45">
        <f>IFERROR(H118/H13, 0)</f>
        <v>-3.449181842902431E-2</v>
      </c>
      <c r="J118" s="63"/>
      <c r="K118" s="15">
        <f t="shared" ref="K118:K126" si="14">E118-H118</f>
        <v>7645.0875599999999</v>
      </c>
      <c r="L118" s="45">
        <f t="shared" ref="L118:L126" si="15">IF(ROUND(K118, 2)=0, 0, IFERROR(K118/ABS(H118), IF(K118&lt;0, -1, 1)))</f>
        <v>0.99999289483428133</v>
      </c>
    </row>
    <row r="119" spans="2:12" ht="16" customHeight="1" x14ac:dyDescent="0.35">
      <c r="B119" s="14" t="s">
        <v>212</v>
      </c>
      <c r="C119" s="14" t="s">
        <v>213</v>
      </c>
      <c r="D119" s="61"/>
      <c r="E119" s="15"/>
      <c r="F119" s="45">
        <f>IFERROR(E119/E13, 0)</f>
        <v>0</v>
      </c>
      <c r="G119" s="63"/>
      <c r="H119" s="15"/>
      <c r="I119" s="45">
        <f>IFERROR(H119/H13, 0)</f>
        <v>0</v>
      </c>
      <c r="J119" s="63"/>
      <c r="K119" s="15">
        <f t="shared" si="14"/>
        <v>0</v>
      </c>
      <c r="L119" s="45">
        <f t="shared" si="15"/>
        <v>0</v>
      </c>
    </row>
    <row r="120" spans="2:12" ht="16" customHeight="1" x14ac:dyDescent="0.35">
      <c r="B120" s="14" t="s">
        <v>214</v>
      </c>
      <c r="C120" s="14" t="s">
        <v>215</v>
      </c>
      <c r="D120" s="61"/>
      <c r="E120" s="15"/>
      <c r="F120" s="45">
        <f>IFERROR(E120/E13, 0)</f>
        <v>0</v>
      </c>
      <c r="G120" s="63"/>
      <c r="H120" s="15"/>
      <c r="I120" s="45">
        <f>IFERROR(H120/H13, 0)</f>
        <v>0</v>
      </c>
      <c r="J120" s="63"/>
      <c r="K120" s="15">
        <f t="shared" si="14"/>
        <v>0</v>
      </c>
      <c r="L120" s="45">
        <f t="shared" si="15"/>
        <v>0</v>
      </c>
    </row>
    <row r="121" spans="2:12" ht="16" customHeight="1" x14ac:dyDescent="0.35">
      <c r="B121" s="14" t="s">
        <v>216</v>
      </c>
      <c r="C121" s="14" t="s">
        <v>217</v>
      </c>
      <c r="D121" s="61"/>
      <c r="E121" s="15"/>
      <c r="F121" s="45">
        <f>IFERROR(E121/E13, 0)</f>
        <v>0</v>
      </c>
      <c r="G121" s="63"/>
      <c r="H121" s="15"/>
      <c r="I121" s="45">
        <f>IFERROR(H121/H13, 0)</f>
        <v>0</v>
      </c>
      <c r="J121" s="63"/>
      <c r="K121" s="15">
        <f t="shared" si="14"/>
        <v>0</v>
      </c>
      <c r="L121" s="45">
        <f t="shared" si="15"/>
        <v>0</v>
      </c>
    </row>
    <row r="122" spans="2:12" ht="16" customHeight="1" x14ac:dyDescent="0.35">
      <c r="B122" s="14" t="s">
        <v>218</v>
      </c>
      <c r="C122" s="14" t="s">
        <v>219</v>
      </c>
      <c r="D122" s="61"/>
      <c r="E122" s="15"/>
      <c r="F122" s="45">
        <f>IFERROR(E122/E13, 0)</f>
        <v>0</v>
      </c>
      <c r="G122" s="63"/>
      <c r="H122" s="15"/>
      <c r="I122" s="45">
        <f>IFERROR(H122/H13, 0)</f>
        <v>0</v>
      </c>
      <c r="J122" s="63"/>
      <c r="K122" s="15">
        <f t="shared" si="14"/>
        <v>0</v>
      </c>
      <c r="L122" s="45">
        <f t="shared" si="15"/>
        <v>0</v>
      </c>
    </row>
    <row r="123" spans="2:12" ht="16" customHeight="1" x14ac:dyDescent="0.35">
      <c r="B123" s="14" t="s">
        <v>220</v>
      </c>
      <c r="C123" s="14" t="s">
        <v>221</v>
      </c>
      <c r="D123" s="61"/>
      <c r="E123" s="15"/>
      <c r="F123" s="45">
        <f>IFERROR(E123/E13, 0)</f>
        <v>0</v>
      </c>
      <c r="G123" s="63"/>
      <c r="H123" s="15"/>
      <c r="I123" s="45">
        <f>IFERROR(H123/H13, 0)</f>
        <v>0</v>
      </c>
      <c r="J123" s="63"/>
      <c r="K123" s="15">
        <f t="shared" si="14"/>
        <v>0</v>
      </c>
      <c r="L123" s="45">
        <f t="shared" si="15"/>
        <v>0</v>
      </c>
    </row>
    <row r="124" spans="2:12" ht="16" customHeight="1" x14ac:dyDescent="0.35">
      <c r="B124" s="14" t="s">
        <v>222</v>
      </c>
      <c r="C124" s="14" t="s">
        <v>223</v>
      </c>
      <c r="D124" s="61"/>
      <c r="E124" s="15">
        <v>0</v>
      </c>
      <c r="F124" s="45">
        <f>IFERROR(E124/E13, 0)</f>
        <v>0</v>
      </c>
      <c r="G124" s="63"/>
      <c r="H124" s="15">
        <v>0</v>
      </c>
      <c r="I124" s="45">
        <f>IFERROR(H124/H13, 0)</f>
        <v>0</v>
      </c>
      <c r="J124" s="63"/>
      <c r="K124" s="15">
        <f t="shared" si="14"/>
        <v>0</v>
      </c>
      <c r="L124" s="45">
        <f t="shared" si="15"/>
        <v>0</v>
      </c>
    </row>
    <row r="125" spans="2:12" ht="16" customHeight="1" x14ac:dyDescent="0.35">
      <c r="B125" s="14" t="s">
        <v>224</v>
      </c>
      <c r="C125" s="14" t="s">
        <v>225</v>
      </c>
      <c r="D125" s="61"/>
      <c r="E125" s="15">
        <v>0</v>
      </c>
      <c r="F125" s="45">
        <f>IFERROR(E125/E13, 0)</f>
        <v>0</v>
      </c>
      <c r="G125" s="63"/>
      <c r="H125" s="15">
        <v>0</v>
      </c>
      <c r="I125" s="45">
        <f>IFERROR(H125/H13, 0)</f>
        <v>0</v>
      </c>
      <c r="J125" s="63"/>
      <c r="K125" s="15">
        <f t="shared" si="14"/>
        <v>0</v>
      </c>
      <c r="L125" s="45">
        <f t="shared" si="15"/>
        <v>0</v>
      </c>
    </row>
    <row r="126" spans="2:12" ht="16" customHeight="1" x14ac:dyDescent="0.35">
      <c r="B126" s="16" t="s">
        <v>226</v>
      </c>
      <c r="C126" s="16" t="s">
        <v>227</v>
      </c>
      <c r="D126" s="64"/>
      <c r="E126" s="17">
        <v>-5.432E-2</v>
      </c>
      <c r="F126" s="84">
        <f>IFERROR(E126/E13, 0)</f>
        <v>-2.2786523737226671E-7</v>
      </c>
      <c r="G126" s="65"/>
      <c r="H126" s="17">
        <v>-7645.1418800000001</v>
      </c>
      <c r="I126" s="84">
        <f>IFERROR(H126/H13, 0)</f>
        <v>-3.449181842902431E-2</v>
      </c>
      <c r="J126" s="65"/>
      <c r="K126" s="17">
        <f t="shared" si="14"/>
        <v>7645.0875599999999</v>
      </c>
      <c r="L126" s="84">
        <f t="shared" si="15"/>
        <v>0.99999289483428133</v>
      </c>
    </row>
    <row r="127" spans="2:12" ht="16" customHeight="1" thickBot="1" x14ac:dyDescent="0.4">
      <c r="B127" s="11" t="s">
        <v>228</v>
      </c>
      <c r="C127" s="11" t="s">
        <v>22</v>
      </c>
      <c r="D127" s="29"/>
      <c r="E127" s="12"/>
      <c r="F127" s="85"/>
      <c r="G127" s="12"/>
      <c r="H127" s="12"/>
      <c r="I127" s="85"/>
      <c r="J127" s="12"/>
      <c r="K127" s="12"/>
      <c r="L127" s="85"/>
    </row>
    <row r="128" spans="2:12" ht="16" customHeight="1" thickBot="1" x14ac:dyDescent="0.4">
      <c r="B128" s="18" t="s">
        <v>229</v>
      </c>
      <c r="C128" s="18" t="s">
        <v>230</v>
      </c>
      <c r="D128" s="66"/>
      <c r="E128" s="19">
        <v>-2841.9289800000001</v>
      </c>
      <c r="F128" s="86">
        <f>IFERROR(E128/E13, 0)</f>
        <v>-1.1921517334735343E-2</v>
      </c>
      <c r="G128" s="68"/>
      <c r="H128" s="19">
        <v>-11865.78657</v>
      </c>
      <c r="I128" s="86">
        <f>IFERROR(H128/H13, 0)</f>
        <v>-5.353367698259056E-2</v>
      </c>
      <c r="J128" s="68"/>
      <c r="K128" s="19">
        <f>E128-H128</f>
        <v>9023.8575899999996</v>
      </c>
      <c r="L128" s="86">
        <f>IF(ROUND(K128, 2)=0, 0, IFERROR(K128/ABS(H128), IF(K128&lt;0, -1, 1)))</f>
        <v>0.76049383972696882</v>
      </c>
    </row>
    <row r="129" spans="2:12" ht="16" customHeight="1" thickBot="1" x14ac:dyDescent="0.4">
      <c r="B129" s="11" t="s">
        <v>231</v>
      </c>
      <c r="C129" s="11" t="s">
        <v>22</v>
      </c>
      <c r="D129" s="29"/>
      <c r="E129" s="12"/>
      <c r="F129" s="85"/>
      <c r="G129" s="12"/>
      <c r="H129" s="12"/>
      <c r="I129" s="85"/>
      <c r="J129" s="12"/>
      <c r="K129" s="12"/>
      <c r="L129" s="85"/>
    </row>
    <row r="130" spans="2:12" ht="16" customHeight="1" thickBot="1" x14ac:dyDescent="0.4">
      <c r="B130" s="18" t="s">
        <v>232</v>
      </c>
      <c r="C130" s="18" t="s">
        <v>233</v>
      </c>
      <c r="D130" s="66"/>
      <c r="E130" s="19">
        <v>26076.124159999999</v>
      </c>
      <c r="F130" s="86">
        <f>IFERROR(E130/E13, 0)</f>
        <v>0.10938590245705263</v>
      </c>
      <c r="G130" s="68"/>
      <c r="H130" s="19">
        <v>24411.604739999999</v>
      </c>
      <c r="I130" s="86">
        <f>IFERROR(H130/H13, 0)</f>
        <v>0.11013538420469302</v>
      </c>
      <c r="J130" s="68"/>
      <c r="K130" s="19">
        <f>E130-H130</f>
        <v>1664.5194200000005</v>
      </c>
      <c r="L130" s="86">
        <f>IF(ROUND(K130, 2)=0, 0, IFERROR(K130/ABS(H130), IF(K130&lt;0, -1, 1)))</f>
        <v>6.8185579675250824E-2</v>
      </c>
    </row>
    <row r="131" spans="2:12" ht="16" customHeight="1" x14ac:dyDescent="0.35">
      <c r="B131" s="11" t="s">
        <v>234</v>
      </c>
      <c r="C131" s="11" t="s">
        <v>22</v>
      </c>
      <c r="D131" s="29"/>
      <c r="E131" s="12"/>
      <c r="F131" s="85"/>
      <c r="G131" s="12"/>
      <c r="H131" s="12"/>
      <c r="I131" s="85"/>
      <c r="J131" s="12"/>
      <c r="K131" s="12"/>
      <c r="L131" s="85"/>
    </row>
    <row r="132" spans="2:12" ht="16" customHeight="1" x14ac:dyDescent="0.35">
      <c r="B132" s="14" t="s">
        <v>235</v>
      </c>
      <c r="C132" s="14" t="s">
        <v>236</v>
      </c>
      <c r="D132" s="61"/>
      <c r="E132" s="15"/>
      <c r="F132" s="45">
        <f>IFERROR(E132/E13, 0)</f>
        <v>0</v>
      </c>
      <c r="G132" s="63"/>
      <c r="H132" s="15"/>
      <c r="I132" s="45">
        <f>IFERROR(H132/H13, 0)</f>
        <v>0</v>
      </c>
      <c r="J132" s="63"/>
      <c r="K132" s="15">
        <f>E132-H132</f>
        <v>0</v>
      </c>
      <c r="L132" s="45">
        <f>IF(ROUND(K132, 2)=0, 0, IFERROR(K132/ABS(H132), IF(K132&lt;0, -1, 1)))</f>
        <v>0</v>
      </c>
    </row>
    <row r="133" spans="2:12" ht="16" customHeight="1" x14ac:dyDescent="0.35">
      <c r="B133" s="14" t="s">
        <v>237</v>
      </c>
      <c r="C133" s="14" t="s">
        <v>238</v>
      </c>
      <c r="D133" s="61"/>
      <c r="E133" s="15"/>
      <c r="F133" s="45">
        <f>IFERROR(E133/E13, 0)</f>
        <v>0</v>
      </c>
      <c r="G133" s="63"/>
      <c r="H133" s="15"/>
      <c r="I133" s="45">
        <f>IFERROR(H133/H13, 0)</f>
        <v>0</v>
      </c>
      <c r="J133" s="63"/>
      <c r="K133" s="15">
        <f>E133-H133</f>
        <v>0</v>
      </c>
      <c r="L133" s="45">
        <f>IF(ROUND(K133, 2)=0, 0, IFERROR(K133/ABS(H133), IF(K133&lt;0, -1, 1)))</f>
        <v>0</v>
      </c>
    </row>
    <row r="134" spans="2:12" ht="16" customHeight="1" x14ac:dyDescent="0.35">
      <c r="B134" s="14" t="s">
        <v>239</v>
      </c>
      <c r="C134" s="14" t="s">
        <v>240</v>
      </c>
      <c r="D134" s="61"/>
      <c r="E134" s="15"/>
      <c r="F134" s="45">
        <f>IFERROR(E134/E13, 0)</f>
        <v>0</v>
      </c>
      <c r="G134" s="63"/>
      <c r="H134" s="15">
        <v>-1046.96432</v>
      </c>
      <c r="I134" s="45">
        <f>IFERROR(H134/H13, 0)</f>
        <v>-4.7234837225946817E-3</v>
      </c>
      <c r="J134" s="63"/>
      <c r="K134" s="15">
        <f>E134-H134</f>
        <v>1046.96432</v>
      </c>
      <c r="L134" s="45">
        <f>IF(ROUND(K134, 2)=0, 0, IFERROR(K134/ABS(H134), IF(K134&lt;0, -1, 1)))</f>
        <v>1</v>
      </c>
    </row>
    <row r="135" spans="2:12" ht="16" customHeight="1" x14ac:dyDescent="0.35">
      <c r="B135" s="14" t="s">
        <v>241</v>
      </c>
      <c r="C135" s="14" t="s">
        <v>242</v>
      </c>
      <c r="D135" s="61"/>
      <c r="E135" s="15"/>
      <c r="F135" s="45">
        <f>IFERROR(E135/E13, 0)</f>
        <v>0</v>
      </c>
      <c r="G135" s="63"/>
      <c r="H135" s="15"/>
      <c r="I135" s="45">
        <f>IFERROR(H135/H13, 0)</f>
        <v>0</v>
      </c>
      <c r="J135" s="63"/>
      <c r="K135" s="15">
        <f>E135-H135</f>
        <v>0</v>
      </c>
      <c r="L135" s="45">
        <f>IF(ROUND(K135, 2)=0, 0, IFERROR(K135/ABS(H135), IF(K135&lt;0, -1, 1)))</f>
        <v>0</v>
      </c>
    </row>
    <row r="136" spans="2:12" ht="16" customHeight="1" x14ac:dyDescent="0.35">
      <c r="B136" s="16" t="s">
        <v>243</v>
      </c>
      <c r="C136" s="16" t="s">
        <v>244</v>
      </c>
      <c r="D136" s="64"/>
      <c r="E136" s="17"/>
      <c r="F136" s="84">
        <f>IFERROR(E136/E13, 0)</f>
        <v>0</v>
      </c>
      <c r="G136" s="65"/>
      <c r="H136" s="17">
        <v>-1046.96432</v>
      </c>
      <c r="I136" s="84">
        <f>IFERROR(H136/H13, 0)</f>
        <v>-4.7234837225946817E-3</v>
      </c>
      <c r="J136" s="65"/>
      <c r="K136" s="17">
        <f>E136-H136</f>
        <v>1046.96432</v>
      </c>
      <c r="L136" s="84">
        <f>IF(ROUND(K136, 2)=0, 0, IFERROR(K136/ABS(H136), IF(K136&lt;0, -1, 1)))</f>
        <v>1</v>
      </c>
    </row>
    <row r="137" spans="2:12" ht="16" customHeight="1" thickBot="1" x14ac:dyDescent="0.4">
      <c r="B137" s="11" t="s">
        <v>245</v>
      </c>
      <c r="C137" s="11" t="s">
        <v>22</v>
      </c>
      <c r="D137" s="29"/>
      <c r="E137" s="12"/>
      <c r="F137" s="85"/>
      <c r="G137" s="12"/>
      <c r="H137" s="12"/>
      <c r="I137" s="85"/>
      <c r="J137" s="12"/>
      <c r="K137" s="12"/>
      <c r="L137" s="85"/>
    </row>
    <row r="138" spans="2:12" ht="16" customHeight="1" thickBot="1" x14ac:dyDescent="0.4">
      <c r="B138" s="18" t="s">
        <v>246</v>
      </c>
      <c r="C138" s="18" t="s">
        <v>247</v>
      </c>
      <c r="D138" s="66"/>
      <c r="E138" s="19">
        <v>26076.124159999999</v>
      </c>
      <c r="F138" s="86">
        <f>IFERROR(E138/E13, 0)</f>
        <v>0.10938590245705263</v>
      </c>
      <c r="G138" s="68"/>
      <c r="H138" s="19">
        <v>23364.64042</v>
      </c>
      <c r="I138" s="86">
        <f>IFERROR(H138/H13, 0)</f>
        <v>0.10541190048209834</v>
      </c>
      <c r="J138" s="68"/>
      <c r="K138" s="19">
        <f>E138-H138</f>
        <v>2711.4837399999997</v>
      </c>
      <c r="L138" s="86">
        <f>IF(ROUND(K138, 2)=0, 0, IFERROR(K138/ABS(H138), IF(K138&lt;0, -1, 1)))</f>
        <v>0.11605073697941377</v>
      </c>
    </row>
    <row r="139" spans="2:12" ht="16" customHeight="1" x14ac:dyDescent="0.35">
      <c r="B139" s="11" t="s">
        <v>248</v>
      </c>
      <c r="C139" s="11" t="s">
        <v>22</v>
      </c>
      <c r="D139" s="29"/>
      <c r="E139" s="12"/>
      <c r="F139" s="85"/>
      <c r="G139" s="12"/>
      <c r="H139" s="12"/>
      <c r="I139" s="85"/>
      <c r="J139" s="12"/>
      <c r="K139" s="12"/>
      <c r="L139" s="85"/>
    </row>
    <row r="140" spans="2:12" ht="16" customHeight="1" x14ac:dyDescent="0.35">
      <c r="B140" s="14" t="s">
        <v>249</v>
      </c>
      <c r="C140" s="14" t="s">
        <v>250</v>
      </c>
      <c r="D140" s="61"/>
      <c r="E140" s="15">
        <v>-76.806349999999995</v>
      </c>
      <c r="F140" s="45">
        <f>IFERROR(E140/E13, 0)</f>
        <v>-3.2219251057524659E-4</v>
      </c>
      <c r="G140" s="63"/>
      <c r="H140" s="15">
        <v>-9043.8197099999998</v>
      </c>
      <c r="I140" s="45">
        <f>IFERROR(H140/H13, 0)</f>
        <v>-4.0802092654185149E-2</v>
      </c>
      <c r="J140" s="63"/>
      <c r="K140" s="15">
        <f>E140-H140</f>
        <v>8967.013359999999</v>
      </c>
      <c r="L140" s="45">
        <f>IF(ROUND(K140, 2)=0, 0, IFERROR(K140/ABS(H140), IF(K140&lt;0, -1, 1)))</f>
        <v>0.99150731079755228</v>
      </c>
    </row>
    <row r="141" spans="2:12" ht="16" customHeight="1" x14ac:dyDescent="0.35">
      <c r="B141" s="14" t="s">
        <v>251</v>
      </c>
      <c r="C141" s="14" t="s">
        <v>252</v>
      </c>
      <c r="D141" s="61"/>
      <c r="E141" s="15">
        <v>0</v>
      </c>
      <c r="F141" s="45">
        <f>IFERROR(E141/E13, 0)</f>
        <v>0</v>
      </c>
      <c r="G141" s="63"/>
      <c r="H141" s="15">
        <v>2092.7527700000001</v>
      </c>
      <c r="I141" s="45">
        <f>IFERROR(H141/H13, 0)</f>
        <v>9.4416623906628753E-3</v>
      </c>
      <c r="J141" s="63"/>
      <c r="K141" s="15">
        <f>E141-H141</f>
        <v>-2092.7527700000001</v>
      </c>
      <c r="L141" s="45">
        <f>IF(ROUND(K141, 2)=0, 0, IFERROR(K141/ABS(H141), IF(K141&lt;0, -1, 1)))</f>
        <v>-1</v>
      </c>
    </row>
    <row r="142" spans="2:12" ht="16" customHeight="1" x14ac:dyDescent="0.35">
      <c r="B142" s="16" t="s">
        <v>253</v>
      </c>
      <c r="C142" s="16" t="s">
        <v>254</v>
      </c>
      <c r="D142" s="64"/>
      <c r="E142" s="17">
        <v>-76.806349999999995</v>
      </c>
      <c r="F142" s="84">
        <f>IFERROR(E142/E13, 0)</f>
        <v>-3.2219251057524659E-4</v>
      </c>
      <c r="G142" s="65"/>
      <c r="H142" s="17">
        <v>-6951.0669399999997</v>
      </c>
      <c r="I142" s="84">
        <f>IFERROR(H142/H13, 0)</f>
        <v>-3.1360430263522275E-2</v>
      </c>
      <c r="J142" s="65"/>
      <c r="K142" s="17">
        <f>E142-H142</f>
        <v>6874.2605899999999</v>
      </c>
      <c r="L142" s="84">
        <f>IF(ROUND(K142, 2)=0, 0, IFERROR(K142/ABS(H142), IF(K142&lt;0, -1, 1)))</f>
        <v>0.98895042291162283</v>
      </c>
    </row>
    <row r="143" spans="2:12" ht="16" customHeight="1" x14ac:dyDescent="0.35">
      <c r="B143" s="11" t="s">
        <v>255</v>
      </c>
      <c r="C143" s="11" t="s">
        <v>22</v>
      </c>
      <c r="D143" s="29"/>
      <c r="E143" s="12"/>
      <c r="F143" s="85"/>
      <c r="G143" s="12"/>
      <c r="H143" s="12"/>
      <c r="I143" s="85"/>
      <c r="J143" s="12"/>
      <c r="K143" s="12"/>
      <c r="L143" s="85"/>
    </row>
    <row r="144" spans="2:12" ht="16" customHeight="1" x14ac:dyDescent="0.35">
      <c r="B144" s="14" t="s">
        <v>256</v>
      </c>
      <c r="C144" s="14" t="s">
        <v>257</v>
      </c>
      <c r="D144" s="61"/>
      <c r="E144" s="15"/>
      <c r="F144" s="45">
        <f>IFERROR(E144/E13, 0)</f>
        <v>0</v>
      </c>
      <c r="G144" s="63"/>
      <c r="H144" s="15"/>
      <c r="I144" s="45">
        <f>IFERROR(H144/H13, 0)</f>
        <v>0</v>
      </c>
      <c r="J144" s="63"/>
      <c r="K144" s="15">
        <f>E144-H144</f>
        <v>0</v>
      </c>
      <c r="L144" s="45">
        <f>IF(ROUND(K144, 2)=0, 0, IFERROR(K144/ABS(H144), IF(K144&lt;0, -1, 1)))</f>
        <v>0</v>
      </c>
    </row>
    <row r="145" spans="2:12" ht="16" customHeight="1" thickBot="1" x14ac:dyDescent="0.4">
      <c r="B145" s="11" t="s">
        <v>258</v>
      </c>
      <c r="C145" s="11" t="s">
        <v>22</v>
      </c>
      <c r="D145" s="29"/>
      <c r="E145" s="12"/>
      <c r="F145" s="85"/>
      <c r="G145" s="12"/>
      <c r="H145" s="12"/>
      <c r="I145" s="85"/>
      <c r="J145" s="12"/>
      <c r="K145" s="12"/>
      <c r="L145" s="85"/>
    </row>
    <row r="146" spans="2:12" ht="16" customHeight="1" thickBot="1" x14ac:dyDescent="0.4">
      <c r="B146" s="18" t="s">
        <v>259</v>
      </c>
      <c r="C146" s="18" t="s">
        <v>260</v>
      </c>
      <c r="D146" s="66"/>
      <c r="E146" s="19">
        <v>25999.31781</v>
      </c>
      <c r="F146" s="86">
        <f>IFERROR(E146/E13, 0)</f>
        <v>0.10906370994647738</v>
      </c>
      <c r="G146" s="68"/>
      <c r="H146" s="19">
        <v>16413.573479999999</v>
      </c>
      <c r="I146" s="86">
        <f>IFERROR(H146/H13, 0)</f>
        <v>7.4051470218576054E-2</v>
      </c>
      <c r="J146" s="68"/>
      <c r="K146" s="19">
        <f>E146-H146</f>
        <v>9585.7443300000014</v>
      </c>
      <c r="L146" s="86">
        <f>IF(ROUND(K146, 2)=0, 0, IFERROR(K146/ABS(H146), IF(K146&lt;0, -1, 1)))</f>
        <v>0.58401324621236606</v>
      </c>
    </row>
    <row r="147" spans="2:12" ht="16" customHeight="1" x14ac:dyDescent="0.35">
      <c r="B147" s="11" t="s">
        <v>261</v>
      </c>
      <c r="C147" s="11" t="s">
        <v>22</v>
      </c>
      <c r="D147" s="29"/>
      <c r="E147" s="12"/>
      <c r="F147" s="85"/>
      <c r="G147" s="12"/>
      <c r="H147" s="12"/>
      <c r="I147" s="85"/>
      <c r="J147" s="12"/>
      <c r="K147" s="12"/>
      <c r="L147" s="85"/>
    </row>
    <row r="148" spans="2:12" ht="16" customHeight="1" x14ac:dyDescent="0.35">
      <c r="B148" s="14" t="s">
        <v>262</v>
      </c>
      <c r="C148" s="14" t="s">
        <v>263</v>
      </c>
      <c r="D148" s="61"/>
      <c r="E148" s="15">
        <v>-19.013000000000002</v>
      </c>
      <c r="F148" s="45">
        <f>IFERROR(E148/E13, 0)</f>
        <v>-7.9757027948433487E-5</v>
      </c>
      <c r="G148" s="63"/>
      <c r="H148" s="15">
        <v>15.238</v>
      </c>
      <c r="I148" s="45">
        <f>IFERROR(H148/H13, 0)</f>
        <v>6.8747753471577473E-5</v>
      </c>
      <c r="J148" s="63"/>
      <c r="K148" s="15">
        <f>E148-H148</f>
        <v>-34.251000000000005</v>
      </c>
      <c r="L148" s="45">
        <f>IF(ROUND(K148, 2)=0, 0, IFERROR(K148/ABS(H148), IF(K148&lt;0, -1, 1)))</f>
        <v>-2.2477359233495213</v>
      </c>
    </row>
    <row r="149" spans="2:12" ht="16" customHeight="1" thickBot="1" x14ac:dyDescent="0.4">
      <c r="B149" s="11" t="s">
        <v>264</v>
      </c>
      <c r="C149" s="11" t="s">
        <v>22</v>
      </c>
      <c r="D149" s="29"/>
      <c r="E149" s="12"/>
      <c r="F149" s="85"/>
      <c r="G149" s="12"/>
      <c r="H149" s="12"/>
      <c r="I149" s="85"/>
      <c r="J149" s="12"/>
      <c r="K149" s="12"/>
      <c r="L149" s="85"/>
    </row>
    <row r="150" spans="2:12" ht="16" customHeight="1" thickBot="1" x14ac:dyDescent="0.4">
      <c r="B150" s="18" t="s">
        <v>265</v>
      </c>
      <c r="C150" s="18" t="s">
        <v>266</v>
      </c>
      <c r="D150" s="66"/>
      <c r="E150" s="19">
        <v>25980.304810000001</v>
      </c>
      <c r="F150" s="86">
        <f>IFERROR(E150/E13, 0)</f>
        <v>0.10898395291852896</v>
      </c>
      <c r="G150" s="68"/>
      <c r="H150" s="19">
        <v>16428.81148</v>
      </c>
      <c r="I150" s="86">
        <f>IFERROR(H150/H13, 0)</f>
        <v>7.4120217972047639E-2</v>
      </c>
      <c r="J150" s="68"/>
      <c r="K150" s="19">
        <f>E150-H150</f>
        <v>9551.4933300000012</v>
      </c>
      <c r="L150" s="86">
        <f>IF(ROUND(K150, 2)=0, 0, IFERROR(K150/ABS(H150), IF(K150&lt;0, -1, 1)))</f>
        <v>0.58138675105181747</v>
      </c>
    </row>
  </sheetData>
  <mergeCells count="1">
    <mergeCell ref="B6:C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42107-3C30-406B-A6DB-3C070395A9D6}">
  <dimension ref="B3:X273"/>
  <sheetViews>
    <sheetView showGridLines="0" workbookViewId="0">
      <pane ySplit="8" topLeftCell="A9" activePane="bottomLeft" state="frozen"/>
      <selection pane="bottomLeft" activeCell="B4" sqref="B4:C4"/>
    </sheetView>
  </sheetViews>
  <sheetFormatPr defaultColWidth="9.1796875" defaultRowHeight="15" customHeight="1" x14ac:dyDescent="0.35"/>
  <cols>
    <col min="1" max="1" width="2.453125" style="1" customWidth="1"/>
    <col min="2" max="2" width="10.7265625" style="1" customWidth="1"/>
    <col min="3" max="3" width="65.7265625" style="1" customWidth="1"/>
    <col min="4" max="4" width="1.54296875" style="1" customWidth="1"/>
    <col min="5" max="5" width="15.7265625" style="1" customWidth="1"/>
    <col min="6" max="6" width="1.54296875" style="1" customWidth="1"/>
    <col min="7" max="7" width="15.7265625" style="1" customWidth="1"/>
    <col min="8" max="8" width="1.54296875" style="1" customWidth="1"/>
    <col min="9" max="9" width="15.7265625" style="1" customWidth="1"/>
    <col min="10" max="10" width="1.54296875" style="1" customWidth="1"/>
    <col min="11" max="17" width="15.7265625" style="1" customWidth="1"/>
    <col min="18" max="30" width="12.7265625" style="1" customWidth="1"/>
    <col min="31" max="16384" width="9.1796875" style="1"/>
  </cols>
  <sheetData>
    <row r="3" spans="2:24" ht="15" customHeight="1" x14ac:dyDescent="0.35">
      <c r="B3" s="2" t="s">
        <v>1500</v>
      </c>
    </row>
    <row r="4" spans="2:24" ht="15" customHeight="1" x14ac:dyDescent="0.35">
      <c r="B4" s="88" t="s">
        <v>270</v>
      </c>
      <c r="C4" s="88"/>
    </row>
    <row r="5" spans="2:24" ht="15" customHeight="1" x14ac:dyDescent="0.35">
      <c r="B5" s="89" t="s">
        <v>1016</v>
      </c>
    </row>
    <row r="6" spans="2:24" ht="15" customHeight="1" x14ac:dyDescent="0.35">
      <c r="B6" s="56">
        <v>46194.594800949075</v>
      </c>
      <c r="C6" s="56"/>
    </row>
    <row r="8" spans="2:24" ht="39.5" thickBot="1" x14ac:dyDescent="0.5">
      <c r="B8" s="7"/>
      <c r="C8" s="28"/>
      <c r="D8" s="59"/>
      <c r="E8" s="8" t="s">
        <v>1501</v>
      </c>
      <c r="F8" s="59"/>
      <c r="G8" s="8" t="s">
        <v>1502</v>
      </c>
      <c r="H8" s="59"/>
      <c r="I8" s="8" t="s">
        <v>1503</v>
      </c>
      <c r="J8" s="59"/>
      <c r="K8" s="8" t="s">
        <v>1504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2:24" ht="15" customHeight="1" thickBot="1" x14ac:dyDescent="0.5">
      <c r="B9" s="28"/>
      <c r="C9" s="28"/>
      <c r="D9" s="59"/>
      <c r="E9" s="8" t="s">
        <v>5</v>
      </c>
      <c r="F9" s="59"/>
      <c r="G9" s="8" t="s">
        <v>12</v>
      </c>
      <c r="H9" s="59"/>
      <c r="I9" s="8"/>
      <c r="J9" s="59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2:24" ht="15" customHeight="1" x14ac:dyDescent="0.45">
      <c r="B10" s="11"/>
      <c r="C10" s="11"/>
      <c r="D10" s="29"/>
      <c r="E10" s="12"/>
      <c r="F10" s="29"/>
      <c r="G10" s="12"/>
      <c r="H10" s="29"/>
      <c r="I10" s="12"/>
      <c r="J10" s="29"/>
      <c r="K10" s="85">
        <f t="shared" ref="K10:K73" si="0">IF(ROUND(I10, 2)=0, 0, IFERROR(I10/ABS(G10), IF(I10&lt;0, -1, 1)))</f>
        <v>0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2:24" ht="15" customHeight="1" x14ac:dyDescent="0.35">
      <c r="B11" s="14" t="s">
        <v>285</v>
      </c>
      <c r="C11" s="14" t="s">
        <v>286</v>
      </c>
      <c r="D11" s="61"/>
      <c r="E11" s="15">
        <v>3641.1020899999999</v>
      </c>
      <c r="F11" s="61"/>
      <c r="G11" s="15">
        <v>1931.7006699999999</v>
      </c>
      <c r="H11" s="61"/>
      <c r="I11" s="15">
        <f>E11-G11</f>
        <v>1709.4014199999999</v>
      </c>
      <c r="J11" s="61"/>
      <c r="K11" s="45">
        <f t="shared" si="0"/>
        <v>0.88492044681021931</v>
      </c>
    </row>
    <row r="12" spans="2:24" ht="15" customHeight="1" x14ac:dyDescent="0.35">
      <c r="B12" s="14" t="s">
        <v>287</v>
      </c>
      <c r="C12" s="14" t="s">
        <v>288</v>
      </c>
      <c r="D12" s="61"/>
      <c r="E12" s="15"/>
      <c r="F12" s="61"/>
      <c r="G12" s="15"/>
      <c r="H12" s="61"/>
      <c r="I12" s="15">
        <f>E12-G12</f>
        <v>0</v>
      </c>
      <c r="J12" s="61"/>
      <c r="K12" s="45">
        <f t="shared" si="0"/>
        <v>0</v>
      </c>
    </row>
    <row r="13" spans="2:24" ht="15" customHeight="1" x14ac:dyDescent="0.35">
      <c r="B13" s="16" t="s">
        <v>289</v>
      </c>
      <c r="C13" s="16" t="s">
        <v>290</v>
      </c>
      <c r="D13" s="64"/>
      <c r="E13" s="17">
        <f>E11+E12</f>
        <v>3641.1020899999999</v>
      </c>
      <c r="F13" s="64"/>
      <c r="G13" s="17">
        <f>G11+G12</f>
        <v>1931.7006699999999</v>
      </c>
      <c r="H13" s="64"/>
      <c r="I13" s="17">
        <f>I11+I12</f>
        <v>1709.4014199999999</v>
      </c>
      <c r="J13" s="64"/>
      <c r="K13" s="84">
        <f t="shared" si="0"/>
        <v>0.88492044681021931</v>
      </c>
    </row>
    <row r="14" spans="2:24" ht="15" customHeight="1" x14ac:dyDescent="0.35">
      <c r="B14" s="11" t="s">
        <v>21</v>
      </c>
      <c r="C14" s="11" t="s">
        <v>22</v>
      </c>
      <c r="D14" s="29"/>
      <c r="E14" s="12"/>
      <c r="F14" s="29"/>
      <c r="G14" s="12"/>
      <c r="H14" s="29"/>
      <c r="I14" s="12"/>
      <c r="J14" s="29"/>
      <c r="K14" s="85">
        <f t="shared" si="0"/>
        <v>0</v>
      </c>
    </row>
    <row r="15" spans="2:24" ht="15" customHeight="1" x14ac:dyDescent="0.35">
      <c r="B15" s="14" t="s">
        <v>291</v>
      </c>
      <c r="C15" s="14" t="s">
        <v>292</v>
      </c>
      <c r="D15" s="61"/>
      <c r="E15" s="15"/>
      <c r="F15" s="61"/>
      <c r="G15" s="15"/>
      <c r="H15" s="61"/>
      <c r="I15" s="15">
        <f>E15-G15</f>
        <v>0</v>
      </c>
      <c r="J15" s="61"/>
      <c r="K15" s="45">
        <f t="shared" si="0"/>
        <v>0</v>
      </c>
    </row>
    <row r="16" spans="2:24" ht="15" customHeight="1" x14ac:dyDescent="0.35">
      <c r="B16" s="14" t="s">
        <v>293</v>
      </c>
      <c r="C16" s="14" t="s">
        <v>294</v>
      </c>
      <c r="D16" s="61"/>
      <c r="E16" s="15"/>
      <c r="F16" s="61"/>
      <c r="G16" s="15"/>
      <c r="H16" s="61"/>
      <c r="I16" s="15">
        <f>E16-G16</f>
        <v>0</v>
      </c>
      <c r="J16" s="61"/>
      <c r="K16" s="45">
        <f t="shared" si="0"/>
        <v>0</v>
      </c>
    </row>
    <row r="17" spans="2:11" ht="15" customHeight="1" x14ac:dyDescent="0.35">
      <c r="B17" s="16" t="s">
        <v>295</v>
      </c>
      <c r="C17" s="16" t="s">
        <v>296</v>
      </c>
      <c r="D17" s="64"/>
      <c r="E17" s="17">
        <f>E15+E16</f>
        <v>0</v>
      </c>
      <c r="F17" s="64"/>
      <c r="G17" s="17">
        <f>G15+G16</f>
        <v>0</v>
      </c>
      <c r="H17" s="64"/>
      <c r="I17" s="17">
        <f>I15+I16</f>
        <v>0</v>
      </c>
      <c r="J17" s="64"/>
      <c r="K17" s="84">
        <f t="shared" si="0"/>
        <v>0</v>
      </c>
    </row>
    <row r="18" spans="2:11" ht="15" customHeight="1" x14ac:dyDescent="0.35">
      <c r="B18" s="11" t="s">
        <v>297</v>
      </c>
      <c r="C18" s="11" t="s">
        <v>22</v>
      </c>
      <c r="D18" s="29"/>
      <c r="E18" s="12"/>
      <c r="F18" s="29"/>
      <c r="G18" s="12"/>
      <c r="H18" s="29"/>
      <c r="I18" s="12"/>
      <c r="J18" s="29"/>
      <c r="K18" s="85">
        <f t="shared" si="0"/>
        <v>0</v>
      </c>
    </row>
    <row r="19" spans="2:11" ht="15" customHeight="1" x14ac:dyDescent="0.35">
      <c r="B19" s="14" t="s">
        <v>298</v>
      </c>
      <c r="C19" s="14" t="s">
        <v>299</v>
      </c>
      <c r="D19" s="61"/>
      <c r="E19" s="15">
        <v>0</v>
      </c>
      <c r="F19" s="61"/>
      <c r="G19" s="15"/>
      <c r="H19" s="61"/>
      <c r="I19" s="15">
        <f>E19-G19</f>
        <v>0</v>
      </c>
      <c r="J19" s="61"/>
      <c r="K19" s="45">
        <f t="shared" si="0"/>
        <v>0</v>
      </c>
    </row>
    <row r="20" spans="2:11" ht="15" customHeight="1" x14ac:dyDescent="0.35">
      <c r="B20" s="14" t="s">
        <v>300</v>
      </c>
      <c r="C20" s="14" t="s">
        <v>301</v>
      </c>
      <c r="D20" s="61"/>
      <c r="E20" s="15"/>
      <c r="F20" s="61"/>
      <c r="G20" s="15"/>
      <c r="H20" s="61"/>
      <c r="I20" s="15">
        <f>E20-G20</f>
        <v>0</v>
      </c>
      <c r="J20" s="61"/>
      <c r="K20" s="45">
        <f t="shared" si="0"/>
        <v>0</v>
      </c>
    </row>
    <row r="21" spans="2:11" ht="15" customHeight="1" x14ac:dyDescent="0.35">
      <c r="B21" s="14" t="s">
        <v>302</v>
      </c>
      <c r="C21" s="14" t="s">
        <v>303</v>
      </c>
      <c r="D21" s="61"/>
      <c r="E21" s="15">
        <v>2138.56378</v>
      </c>
      <c r="F21" s="61"/>
      <c r="G21" s="15">
        <v>1971.4245000000001</v>
      </c>
      <c r="H21" s="61"/>
      <c r="I21" s="15">
        <f>E21-G21</f>
        <v>167.13927999999987</v>
      </c>
      <c r="J21" s="61"/>
      <c r="K21" s="45">
        <f t="shared" si="0"/>
        <v>8.4780969294030714E-2</v>
      </c>
    </row>
    <row r="22" spans="2:11" ht="15" customHeight="1" x14ac:dyDescent="0.35">
      <c r="B22" s="14" t="s">
        <v>304</v>
      </c>
      <c r="C22" s="14" t="s">
        <v>305</v>
      </c>
      <c r="D22" s="61"/>
      <c r="E22" s="15"/>
      <c r="F22" s="61"/>
      <c r="G22" s="15"/>
      <c r="H22" s="61"/>
      <c r="I22" s="15">
        <f>E22-G22</f>
        <v>0</v>
      </c>
      <c r="J22" s="61"/>
      <c r="K22" s="45">
        <f t="shared" si="0"/>
        <v>0</v>
      </c>
    </row>
    <row r="23" spans="2:11" ht="15" customHeight="1" x14ac:dyDescent="0.35">
      <c r="B23" s="14" t="s">
        <v>306</v>
      </c>
      <c r="C23" s="14" t="s">
        <v>307</v>
      </c>
      <c r="D23" s="61"/>
      <c r="E23" s="15"/>
      <c r="F23" s="61"/>
      <c r="G23" s="15"/>
      <c r="H23" s="61"/>
      <c r="I23" s="15">
        <f>E23-G23</f>
        <v>0</v>
      </c>
      <c r="J23" s="61"/>
      <c r="K23" s="45">
        <f t="shared" si="0"/>
        <v>0</v>
      </c>
    </row>
    <row r="24" spans="2:11" ht="15" customHeight="1" x14ac:dyDescent="0.35">
      <c r="B24" s="16" t="s">
        <v>308</v>
      </c>
      <c r="C24" s="16" t="s">
        <v>309</v>
      </c>
      <c r="D24" s="64"/>
      <c r="E24" s="17">
        <f>E19+E20+E21+E22+E23</f>
        <v>2138.56378</v>
      </c>
      <c r="F24" s="64"/>
      <c r="G24" s="17">
        <f>G19+G20+G21+G22+G23</f>
        <v>1971.4245000000001</v>
      </c>
      <c r="H24" s="64"/>
      <c r="I24" s="17">
        <f>I19+I20+I21+I22+I23</f>
        <v>167.13927999999987</v>
      </c>
      <c r="J24" s="64"/>
      <c r="K24" s="84">
        <f t="shared" si="0"/>
        <v>8.4780969294030714E-2</v>
      </c>
    </row>
    <row r="25" spans="2:11" ht="15" customHeight="1" x14ac:dyDescent="0.35">
      <c r="B25" s="11" t="s">
        <v>310</v>
      </c>
      <c r="C25" s="11" t="s">
        <v>22</v>
      </c>
      <c r="D25" s="29"/>
      <c r="E25" s="12"/>
      <c r="F25" s="29"/>
      <c r="G25" s="12"/>
      <c r="H25" s="29"/>
      <c r="I25" s="12"/>
      <c r="J25" s="29"/>
      <c r="K25" s="85">
        <f t="shared" si="0"/>
        <v>0</v>
      </c>
    </row>
    <row r="26" spans="2:11" ht="15" customHeight="1" x14ac:dyDescent="0.35">
      <c r="B26" s="14" t="s">
        <v>311</v>
      </c>
      <c r="C26" s="14" t="s">
        <v>312</v>
      </c>
      <c r="D26" s="61"/>
      <c r="E26" s="15">
        <v>6233.8064999999997</v>
      </c>
      <c r="F26" s="61"/>
      <c r="G26" s="15">
        <v>81.207329999999999</v>
      </c>
      <c r="H26" s="61"/>
      <c r="I26" s="15">
        <f>E26-G26</f>
        <v>6152.5991699999995</v>
      </c>
      <c r="J26" s="61"/>
      <c r="K26" s="45">
        <f t="shared" si="0"/>
        <v>75.76408644392076</v>
      </c>
    </row>
    <row r="27" spans="2:11" ht="15" customHeight="1" x14ac:dyDescent="0.35">
      <c r="B27" s="11" t="s">
        <v>313</v>
      </c>
      <c r="C27" s="11" t="s">
        <v>22</v>
      </c>
      <c r="D27" s="29"/>
      <c r="E27" s="12"/>
      <c r="F27" s="29"/>
      <c r="G27" s="12"/>
      <c r="H27" s="29"/>
      <c r="I27" s="12"/>
      <c r="J27" s="29"/>
      <c r="K27" s="85">
        <f t="shared" si="0"/>
        <v>0</v>
      </c>
    </row>
    <row r="28" spans="2:11" ht="15" customHeight="1" x14ac:dyDescent="0.35">
      <c r="B28" s="14" t="s">
        <v>314</v>
      </c>
      <c r="C28" s="14" t="s">
        <v>315</v>
      </c>
      <c r="D28" s="61"/>
      <c r="E28" s="15">
        <v>1524.81196</v>
      </c>
      <c r="F28" s="61"/>
      <c r="G28" s="15">
        <v>1103.44353</v>
      </c>
      <c r="H28" s="61"/>
      <c r="I28" s="15">
        <f t="shared" ref="I28:I33" si="1">E28-G28</f>
        <v>421.36842999999999</v>
      </c>
      <c r="J28" s="61"/>
      <c r="K28" s="45">
        <f t="shared" si="0"/>
        <v>0.381866782072663</v>
      </c>
    </row>
    <row r="29" spans="2:11" ht="15" customHeight="1" x14ac:dyDescent="0.35">
      <c r="B29" s="14" t="s">
        <v>316</v>
      </c>
      <c r="C29" s="14" t="s">
        <v>317</v>
      </c>
      <c r="D29" s="61"/>
      <c r="E29" s="15">
        <v>0</v>
      </c>
      <c r="F29" s="61"/>
      <c r="G29" s="15">
        <v>0</v>
      </c>
      <c r="H29" s="61"/>
      <c r="I29" s="15">
        <f t="shared" si="1"/>
        <v>0</v>
      </c>
      <c r="J29" s="61"/>
      <c r="K29" s="45">
        <f t="shared" si="0"/>
        <v>0</v>
      </c>
    </row>
    <row r="30" spans="2:11" ht="15" customHeight="1" x14ac:dyDescent="0.35">
      <c r="B30" s="14" t="s">
        <v>318</v>
      </c>
      <c r="C30" s="14" t="s">
        <v>319</v>
      </c>
      <c r="D30" s="61"/>
      <c r="E30" s="15">
        <v>371003.11351</v>
      </c>
      <c r="F30" s="61"/>
      <c r="G30" s="15">
        <v>270946.68205</v>
      </c>
      <c r="H30" s="61"/>
      <c r="I30" s="15">
        <f t="shared" si="1"/>
        <v>100056.43145999999</v>
      </c>
      <c r="J30" s="61"/>
      <c r="K30" s="45">
        <f t="shared" si="0"/>
        <v>0.36928457917611912</v>
      </c>
    </row>
    <row r="31" spans="2:11" ht="15" customHeight="1" x14ac:dyDescent="0.35">
      <c r="B31" s="14" t="s">
        <v>320</v>
      </c>
      <c r="C31" s="14" t="s">
        <v>321</v>
      </c>
      <c r="D31" s="61"/>
      <c r="E31" s="15"/>
      <c r="F31" s="61"/>
      <c r="G31" s="15"/>
      <c r="H31" s="61"/>
      <c r="I31" s="15">
        <f t="shared" si="1"/>
        <v>0</v>
      </c>
      <c r="J31" s="61"/>
      <c r="K31" s="45">
        <f t="shared" si="0"/>
        <v>0</v>
      </c>
    </row>
    <row r="32" spans="2:11" ht="15" customHeight="1" x14ac:dyDescent="0.35">
      <c r="B32" s="14" t="s">
        <v>322</v>
      </c>
      <c r="C32" s="14" t="s">
        <v>323</v>
      </c>
      <c r="D32" s="61"/>
      <c r="E32" s="15">
        <v>-8754.4739100000006</v>
      </c>
      <c r="F32" s="61"/>
      <c r="G32" s="15">
        <v>-6911.8340099999996</v>
      </c>
      <c r="H32" s="61"/>
      <c r="I32" s="15">
        <f t="shared" si="1"/>
        <v>-1842.639900000001</v>
      </c>
      <c r="J32" s="61"/>
      <c r="K32" s="45">
        <f t="shared" si="0"/>
        <v>-0.26659203582349933</v>
      </c>
    </row>
    <row r="33" spans="2:11" ht="15" customHeight="1" x14ac:dyDescent="0.35">
      <c r="B33" s="14" t="s">
        <v>324</v>
      </c>
      <c r="C33" s="14" t="s">
        <v>325</v>
      </c>
      <c r="D33" s="61"/>
      <c r="E33" s="15">
        <v>269.54039999999998</v>
      </c>
      <c r="F33" s="61"/>
      <c r="G33" s="15">
        <v>102.85375000000001</v>
      </c>
      <c r="H33" s="61"/>
      <c r="I33" s="15">
        <f t="shared" si="1"/>
        <v>166.68664999999999</v>
      </c>
      <c r="J33" s="61"/>
      <c r="K33" s="45">
        <f t="shared" si="0"/>
        <v>1.6206181106668447</v>
      </c>
    </row>
    <row r="34" spans="2:11" ht="15" customHeight="1" x14ac:dyDescent="0.35">
      <c r="B34" s="16" t="s">
        <v>326</v>
      </c>
      <c r="C34" s="16" t="s">
        <v>327</v>
      </c>
      <c r="D34" s="64"/>
      <c r="E34" s="17">
        <f>E28+E29+E30+E31+E32+E33</f>
        <v>364042.99196000001</v>
      </c>
      <c r="F34" s="64"/>
      <c r="G34" s="17">
        <f>G28+G29+G30+G31+G32+G33</f>
        <v>265241.14532000001</v>
      </c>
      <c r="H34" s="64"/>
      <c r="I34" s="17">
        <f>I28+I29+I30+I31+I32+I33</f>
        <v>98801.846640000003</v>
      </c>
      <c r="J34" s="64"/>
      <c r="K34" s="84">
        <f t="shared" si="0"/>
        <v>0.37249819035730891</v>
      </c>
    </row>
    <row r="35" spans="2:11" ht="15" customHeight="1" x14ac:dyDescent="0.35">
      <c r="B35" s="11" t="s">
        <v>328</v>
      </c>
      <c r="C35" s="11" t="s">
        <v>22</v>
      </c>
      <c r="D35" s="29"/>
      <c r="E35" s="12"/>
      <c r="F35" s="29"/>
      <c r="G35" s="12"/>
      <c r="H35" s="29"/>
      <c r="I35" s="12"/>
      <c r="J35" s="29"/>
      <c r="K35" s="85">
        <f t="shared" si="0"/>
        <v>0</v>
      </c>
    </row>
    <row r="36" spans="2:11" ht="15" customHeight="1" x14ac:dyDescent="0.35">
      <c r="B36" s="14" t="s">
        <v>329</v>
      </c>
      <c r="C36" s="14" t="s">
        <v>330</v>
      </c>
      <c r="D36" s="61"/>
      <c r="E36" s="15">
        <v>46975.73934</v>
      </c>
      <c r="F36" s="61"/>
      <c r="G36" s="15">
        <v>28260.287909999999</v>
      </c>
      <c r="H36" s="61"/>
      <c r="I36" s="15">
        <f t="shared" ref="I36:I41" si="2">E36-G36</f>
        <v>18715.451430000001</v>
      </c>
      <c r="J36" s="61"/>
      <c r="K36" s="45">
        <f t="shared" si="0"/>
        <v>0.66225268085034172</v>
      </c>
    </row>
    <row r="37" spans="2:11" ht="15" customHeight="1" x14ac:dyDescent="0.35">
      <c r="B37" s="14" t="s">
        <v>331</v>
      </c>
      <c r="C37" s="14" t="s">
        <v>332</v>
      </c>
      <c r="D37" s="61"/>
      <c r="E37" s="15"/>
      <c r="F37" s="61"/>
      <c r="G37" s="15"/>
      <c r="H37" s="61"/>
      <c r="I37" s="15">
        <f t="shared" si="2"/>
        <v>0</v>
      </c>
      <c r="J37" s="61"/>
      <c r="K37" s="45">
        <f t="shared" si="0"/>
        <v>0</v>
      </c>
    </row>
    <row r="38" spans="2:11" ht="15" customHeight="1" x14ac:dyDescent="0.35">
      <c r="B38" s="14" t="s">
        <v>333</v>
      </c>
      <c r="C38" s="14" t="s">
        <v>334</v>
      </c>
      <c r="D38" s="61"/>
      <c r="E38" s="15">
        <v>213499.91732000001</v>
      </c>
      <c r="F38" s="61"/>
      <c r="G38" s="15">
        <v>168608.47398000001</v>
      </c>
      <c r="H38" s="61"/>
      <c r="I38" s="15">
        <f t="shared" si="2"/>
        <v>44891.443339999998</v>
      </c>
      <c r="J38" s="61"/>
      <c r="K38" s="45">
        <f t="shared" si="0"/>
        <v>0.2662466617503752</v>
      </c>
    </row>
    <row r="39" spans="2:11" ht="15" customHeight="1" x14ac:dyDescent="0.35">
      <c r="B39" s="14" t="s">
        <v>335</v>
      </c>
      <c r="C39" s="14" t="s">
        <v>336</v>
      </c>
      <c r="D39" s="61"/>
      <c r="E39" s="15">
        <v>5.3106900000000001</v>
      </c>
      <c r="F39" s="61"/>
      <c r="G39" s="15">
        <v>4.6258800000000004</v>
      </c>
      <c r="H39" s="61"/>
      <c r="I39" s="15">
        <f t="shared" si="2"/>
        <v>0.6848099999999997</v>
      </c>
      <c r="J39" s="61"/>
      <c r="K39" s="45">
        <f t="shared" si="0"/>
        <v>0.14803885963319405</v>
      </c>
    </row>
    <row r="40" spans="2:11" ht="15" customHeight="1" x14ac:dyDescent="0.35">
      <c r="B40" s="14" t="s">
        <v>337</v>
      </c>
      <c r="C40" s="14" t="s">
        <v>338</v>
      </c>
      <c r="D40" s="61"/>
      <c r="E40" s="15">
        <v>16841.884099999999</v>
      </c>
      <c r="F40" s="61"/>
      <c r="G40" s="15">
        <v>14215.953879999999</v>
      </c>
      <c r="H40" s="61"/>
      <c r="I40" s="15">
        <f t="shared" si="2"/>
        <v>2625.9302200000002</v>
      </c>
      <c r="J40" s="61"/>
      <c r="K40" s="45">
        <f t="shared" si="0"/>
        <v>0.18471713134173451</v>
      </c>
    </row>
    <row r="41" spans="2:11" ht="15" customHeight="1" x14ac:dyDescent="0.35">
      <c r="B41" s="14" t="s">
        <v>339</v>
      </c>
      <c r="C41" s="14" t="s">
        <v>340</v>
      </c>
      <c r="D41" s="61"/>
      <c r="E41" s="15">
        <v>12.2</v>
      </c>
      <c r="F41" s="61"/>
      <c r="G41" s="15">
        <v>0</v>
      </c>
      <c r="H41" s="61"/>
      <c r="I41" s="15">
        <f t="shared" si="2"/>
        <v>12.2</v>
      </c>
      <c r="J41" s="61"/>
      <c r="K41" s="45">
        <f t="shared" si="0"/>
        <v>1</v>
      </c>
    </row>
    <row r="42" spans="2:11" ht="15" customHeight="1" x14ac:dyDescent="0.35">
      <c r="B42" s="16" t="s">
        <v>341</v>
      </c>
      <c r="C42" s="16" t="s">
        <v>342</v>
      </c>
      <c r="D42" s="64"/>
      <c r="E42" s="17">
        <f>E36+E37+E38+E39+E40+E41</f>
        <v>277335.05145000003</v>
      </c>
      <c r="F42" s="64"/>
      <c r="G42" s="17">
        <f>G36+G37+G38+G39+G40+G41</f>
        <v>211089.34165000002</v>
      </c>
      <c r="H42" s="64"/>
      <c r="I42" s="17">
        <f>I36+I37+I38+I39+I40+I41</f>
        <v>66245.709799999997</v>
      </c>
      <c r="J42" s="64"/>
      <c r="K42" s="84">
        <f t="shared" si="0"/>
        <v>0.31382782892866157</v>
      </c>
    </row>
    <row r="43" spans="2:11" ht="15" customHeight="1" x14ac:dyDescent="0.35">
      <c r="B43" s="11" t="s">
        <v>71</v>
      </c>
      <c r="C43" s="11" t="s">
        <v>22</v>
      </c>
      <c r="D43" s="29"/>
      <c r="E43" s="12"/>
      <c r="F43" s="29"/>
      <c r="G43" s="12"/>
      <c r="H43" s="29"/>
      <c r="I43" s="12"/>
      <c r="J43" s="29"/>
      <c r="K43" s="85">
        <f t="shared" si="0"/>
        <v>0</v>
      </c>
    </row>
    <row r="44" spans="2:11" ht="15" customHeight="1" x14ac:dyDescent="0.35">
      <c r="B44" s="14" t="s">
        <v>343</v>
      </c>
      <c r="C44" s="14" t="s">
        <v>344</v>
      </c>
      <c r="D44" s="61"/>
      <c r="E44" s="15">
        <v>3977.9576200000001</v>
      </c>
      <c r="F44" s="61"/>
      <c r="G44" s="15">
        <v>6914.8782799999999</v>
      </c>
      <c r="H44" s="61"/>
      <c r="I44" s="15">
        <f t="shared" ref="I44:I54" si="3">E44-G44</f>
        <v>-2936.9206599999998</v>
      </c>
      <c r="J44" s="61"/>
      <c r="K44" s="45">
        <f t="shared" si="0"/>
        <v>-0.4247248528574244</v>
      </c>
    </row>
    <row r="45" spans="2:11" ht="15" customHeight="1" x14ac:dyDescent="0.35">
      <c r="B45" s="14" t="s">
        <v>345</v>
      </c>
      <c r="C45" s="14" t="s">
        <v>346</v>
      </c>
      <c r="D45" s="61"/>
      <c r="E45" s="15"/>
      <c r="F45" s="61"/>
      <c r="G45" s="15"/>
      <c r="H45" s="61"/>
      <c r="I45" s="15">
        <f t="shared" si="3"/>
        <v>0</v>
      </c>
      <c r="J45" s="61"/>
      <c r="K45" s="45">
        <f t="shared" si="0"/>
        <v>0</v>
      </c>
    </row>
    <row r="46" spans="2:11" ht="15" customHeight="1" x14ac:dyDescent="0.35">
      <c r="B46" s="14" t="s">
        <v>347</v>
      </c>
      <c r="C46" s="14" t="s">
        <v>348</v>
      </c>
      <c r="D46" s="61"/>
      <c r="E46" s="15">
        <v>1541.2628400000001</v>
      </c>
      <c r="F46" s="61"/>
      <c r="G46" s="15">
        <v>789.80353000000002</v>
      </c>
      <c r="H46" s="61"/>
      <c r="I46" s="15">
        <f t="shared" si="3"/>
        <v>751.45931000000007</v>
      </c>
      <c r="J46" s="61"/>
      <c r="K46" s="45">
        <f t="shared" si="0"/>
        <v>0.95145093869104391</v>
      </c>
    </row>
    <row r="47" spans="2:11" ht="15" customHeight="1" x14ac:dyDescent="0.35">
      <c r="B47" s="14" t="s">
        <v>349</v>
      </c>
      <c r="C47" s="14" t="s">
        <v>350</v>
      </c>
      <c r="D47" s="61"/>
      <c r="E47" s="15"/>
      <c r="F47" s="61"/>
      <c r="G47" s="15"/>
      <c r="H47" s="61"/>
      <c r="I47" s="15">
        <f t="shared" si="3"/>
        <v>0</v>
      </c>
      <c r="J47" s="61"/>
      <c r="K47" s="45">
        <f t="shared" si="0"/>
        <v>0</v>
      </c>
    </row>
    <row r="48" spans="2:11" ht="15" customHeight="1" x14ac:dyDescent="0.35">
      <c r="B48" s="14" t="s">
        <v>351</v>
      </c>
      <c r="C48" s="14" t="s">
        <v>352</v>
      </c>
      <c r="D48" s="61"/>
      <c r="E48" s="15"/>
      <c r="F48" s="61"/>
      <c r="G48" s="15"/>
      <c r="H48" s="61"/>
      <c r="I48" s="15">
        <f t="shared" si="3"/>
        <v>0</v>
      </c>
      <c r="J48" s="61"/>
      <c r="K48" s="45">
        <f t="shared" si="0"/>
        <v>0</v>
      </c>
    </row>
    <row r="49" spans="2:11" ht="15" customHeight="1" x14ac:dyDescent="0.35">
      <c r="B49" s="14" t="s">
        <v>353</v>
      </c>
      <c r="C49" s="14" t="s">
        <v>354</v>
      </c>
      <c r="D49" s="61"/>
      <c r="E49" s="15"/>
      <c r="F49" s="61"/>
      <c r="G49" s="15"/>
      <c r="H49" s="61"/>
      <c r="I49" s="15">
        <f t="shared" si="3"/>
        <v>0</v>
      </c>
      <c r="J49" s="61"/>
      <c r="K49" s="45">
        <f t="shared" si="0"/>
        <v>0</v>
      </c>
    </row>
    <row r="50" spans="2:11" ht="15" customHeight="1" x14ac:dyDescent="0.35">
      <c r="B50" s="14" t="s">
        <v>355</v>
      </c>
      <c r="C50" s="14" t="s">
        <v>356</v>
      </c>
      <c r="D50" s="61"/>
      <c r="E50" s="15"/>
      <c r="F50" s="61"/>
      <c r="G50" s="15"/>
      <c r="H50" s="61"/>
      <c r="I50" s="15">
        <f t="shared" si="3"/>
        <v>0</v>
      </c>
      <c r="J50" s="61"/>
      <c r="K50" s="45">
        <f t="shared" si="0"/>
        <v>0</v>
      </c>
    </row>
    <row r="51" spans="2:11" ht="15" customHeight="1" x14ac:dyDescent="0.35">
      <c r="B51" s="14" t="s">
        <v>357</v>
      </c>
      <c r="C51" s="14" t="s">
        <v>358</v>
      </c>
      <c r="D51" s="61"/>
      <c r="E51" s="15"/>
      <c r="F51" s="61"/>
      <c r="G51" s="15"/>
      <c r="H51" s="61"/>
      <c r="I51" s="15">
        <f t="shared" si="3"/>
        <v>0</v>
      </c>
      <c r="J51" s="61"/>
      <c r="K51" s="45">
        <f t="shared" si="0"/>
        <v>0</v>
      </c>
    </row>
    <row r="52" spans="2:11" ht="15" customHeight="1" x14ac:dyDescent="0.35">
      <c r="B52" s="14" t="s">
        <v>359</v>
      </c>
      <c r="C52" s="14" t="s">
        <v>360</v>
      </c>
      <c r="D52" s="61"/>
      <c r="E52" s="15">
        <v>17103.491839999999</v>
      </c>
      <c r="F52" s="61"/>
      <c r="G52" s="15">
        <v>23365.858759999999</v>
      </c>
      <c r="H52" s="61"/>
      <c r="I52" s="15">
        <f t="shared" si="3"/>
        <v>-6262.3669200000004</v>
      </c>
      <c r="J52" s="61"/>
      <c r="K52" s="45">
        <f t="shared" si="0"/>
        <v>-0.26801355705875202</v>
      </c>
    </row>
    <row r="53" spans="2:11" ht="15" customHeight="1" x14ac:dyDescent="0.35">
      <c r="B53" s="14" t="s">
        <v>361</v>
      </c>
      <c r="C53" s="14" t="s">
        <v>362</v>
      </c>
      <c r="D53" s="61"/>
      <c r="E53" s="15">
        <v>245.958</v>
      </c>
      <c r="F53" s="61"/>
      <c r="G53" s="15"/>
      <c r="H53" s="61"/>
      <c r="I53" s="15">
        <f t="shared" si="3"/>
        <v>245.958</v>
      </c>
      <c r="J53" s="61"/>
      <c r="K53" s="45">
        <f t="shared" si="0"/>
        <v>1</v>
      </c>
    </row>
    <row r="54" spans="2:11" ht="15" customHeight="1" x14ac:dyDescent="0.35">
      <c r="B54" s="14" t="s">
        <v>363</v>
      </c>
      <c r="C54" s="14" t="s">
        <v>364</v>
      </c>
      <c r="D54" s="61"/>
      <c r="E54" s="15">
        <v>13845.00405</v>
      </c>
      <c r="F54" s="61"/>
      <c r="G54" s="15">
        <v>8823.9983599999996</v>
      </c>
      <c r="H54" s="61"/>
      <c r="I54" s="15">
        <f t="shared" si="3"/>
        <v>5021.00569</v>
      </c>
      <c r="J54" s="61"/>
      <c r="K54" s="45">
        <f t="shared" si="0"/>
        <v>0.56901706971758781</v>
      </c>
    </row>
    <row r="55" spans="2:11" ht="15" customHeight="1" x14ac:dyDescent="0.35">
      <c r="B55" s="16" t="s">
        <v>365</v>
      </c>
      <c r="C55" s="16" t="s">
        <v>366</v>
      </c>
      <c r="D55" s="64"/>
      <c r="E55" s="17">
        <f>E44+E45+E46+E47+E48+E49+E50+E51+E52+E53+E54</f>
        <v>36713.674350000001</v>
      </c>
      <c r="F55" s="64"/>
      <c r="G55" s="17">
        <f>G44+G45+G46+G47+G48+G49+G50+G51+G52+G53+G54</f>
        <v>39894.538929999995</v>
      </c>
      <c r="H55" s="64"/>
      <c r="I55" s="17">
        <f>I44+I45+I46+I47+I48+I49+I50+I51+I52+I53+I54</f>
        <v>-3180.8645799999995</v>
      </c>
      <c r="J55" s="64"/>
      <c r="K55" s="84">
        <f t="shared" si="0"/>
        <v>-7.9731829601570978E-2</v>
      </c>
    </row>
    <row r="56" spans="2:11" ht="15" customHeight="1" x14ac:dyDescent="0.35">
      <c r="B56" s="11" t="s">
        <v>367</v>
      </c>
      <c r="C56" s="11" t="s">
        <v>22</v>
      </c>
      <c r="D56" s="29"/>
      <c r="E56" s="12"/>
      <c r="F56" s="29"/>
      <c r="G56" s="12"/>
      <c r="H56" s="29"/>
      <c r="I56" s="12"/>
      <c r="J56" s="29"/>
      <c r="K56" s="85">
        <f t="shared" si="0"/>
        <v>0</v>
      </c>
    </row>
    <row r="57" spans="2:11" ht="15" customHeight="1" x14ac:dyDescent="0.35">
      <c r="B57" s="14" t="s">
        <v>368</v>
      </c>
      <c r="C57" s="14" t="s">
        <v>369</v>
      </c>
      <c r="D57" s="61"/>
      <c r="E57" s="15"/>
      <c r="F57" s="61"/>
      <c r="G57" s="15"/>
      <c r="H57" s="61"/>
      <c r="I57" s="15">
        <f>E57-G57</f>
        <v>0</v>
      </c>
      <c r="J57" s="61"/>
      <c r="K57" s="45">
        <f t="shared" si="0"/>
        <v>0</v>
      </c>
    </row>
    <row r="58" spans="2:11" ht="15" customHeight="1" thickBot="1" x14ac:dyDescent="0.4">
      <c r="B58" s="11" t="s">
        <v>370</v>
      </c>
      <c r="C58" s="11" t="s">
        <v>22</v>
      </c>
      <c r="D58" s="29"/>
      <c r="E58" s="12"/>
      <c r="F58" s="29"/>
      <c r="G58" s="12"/>
      <c r="H58" s="29"/>
      <c r="I58" s="12"/>
      <c r="J58" s="29"/>
      <c r="K58" s="85">
        <f t="shared" si="0"/>
        <v>0</v>
      </c>
    </row>
    <row r="59" spans="2:11" ht="15" customHeight="1" thickBot="1" x14ac:dyDescent="0.4">
      <c r="B59" s="18" t="s">
        <v>371</v>
      </c>
      <c r="C59" s="18" t="s">
        <v>372</v>
      </c>
      <c r="D59" s="66"/>
      <c r="E59" s="19">
        <f>E13+E17+E24+E26+E34+E42+E55+E57</f>
        <v>690105.19013</v>
      </c>
      <c r="F59" s="66"/>
      <c r="G59" s="19">
        <f>G13+G17+G24+G26+G34+G42+G55+G57</f>
        <v>520209.35840000003</v>
      </c>
      <c r="H59" s="66"/>
      <c r="I59" s="19">
        <f>I13+I17+I24+I26+I34+I42+I55+I57</f>
        <v>169895.83173000001</v>
      </c>
      <c r="J59" s="66"/>
      <c r="K59" s="86">
        <f t="shared" si="0"/>
        <v>0.32659126366458691</v>
      </c>
    </row>
    <row r="60" spans="2:11" ht="15" customHeight="1" x14ac:dyDescent="0.35">
      <c r="B60" s="11" t="s">
        <v>373</v>
      </c>
      <c r="C60" s="11" t="s">
        <v>22</v>
      </c>
      <c r="D60" s="29"/>
      <c r="E60" s="12"/>
      <c r="F60" s="29"/>
      <c r="G60" s="12"/>
      <c r="H60" s="29"/>
      <c r="I60" s="12"/>
      <c r="J60" s="29"/>
      <c r="K60" s="85">
        <f t="shared" si="0"/>
        <v>0</v>
      </c>
    </row>
    <row r="61" spans="2:11" ht="15" customHeight="1" x14ac:dyDescent="0.35">
      <c r="B61" s="14" t="s">
        <v>374</v>
      </c>
      <c r="C61" s="14" t="s">
        <v>375</v>
      </c>
      <c r="D61" s="61"/>
      <c r="E61" s="15">
        <v>7.1000000000000002E-4</v>
      </c>
      <c r="F61" s="61"/>
      <c r="G61" s="15">
        <v>2.0000000000000001E-4</v>
      </c>
      <c r="H61" s="61"/>
      <c r="I61" s="15">
        <f t="shared" ref="I61:I67" si="4">E61-G61</f>
        <v>5.1000000000000004E-4</v>
      </c>
      <c r="J61" s="61"/>
      <c r="K61" s="45">
        <f t="shared" si="0"/>
        <v>0</v>
      </c>
    </row>
    <row r="62" spans="2:11" ht="15" customHeight="1" x14ac:dyDescent="0.35">
      <c r="B62" s="14" t="s">
        <v>376</v>
      </c>
      <c r="C62" s="14" t="s">
        <v>377</v>
      </c>
      <c r="D62" s="61"/>
      <c r="E62" s="15"/>
      <c r="F62" s="61"/>
      <c r="G62" s="15"/>
      <c r="H62" s="61"/>
      <c r="I62" s="15">
        <f t="shared" si="4"/>
        <v>0</v>
      </c>
      <c r="J62" s="61"/>
      <c r="K62" s="45">
        <f t="shared" si="0"/>
        <v>0</v>
      </c>
    </row>
    <row r="63" spans="2:11" ht="15" customHeight="1" x14ac:dyDescent="0.35">
      <c r="B63" s="14" t="s">
        <v>378</v>
      </c>
      <c r="C63" s="14" t="s">
        <v>379</v>
      </c>
      <c r="D63" s="61"/>
      <c r="E63" s="15">
        <v>525002.31137999997</v>
      </c>
      <c r="F63" s="61"/>
      <c r="G63" s="15">
        <v>503535.18355000002</v>
      </c>
      <c r="H63" s="61"/>
      <c r="I63" s="15">
        <f t="shared" si="4"/>
        <v>21467.127829999954</v>
      </c>
      <c r="J63" s="61"/>
      <c r="K63" s="45">
        <f t="shared" si="0"/>
        <v>4.2632825930163251E-2</v>
      </c>
    </row>
    <row r="64" spans="2:11" ht="15" customHeight="1" x14ac:dyDescent="0.35">
      <c r="B64" s="14" t="s">
        <v>380</v>
      </c>
      <c r="C64" s="14" t="s">
        <v>381</v>
      </c>
      <c r="D64" s="61"/>
      <c r="E64" s="15"/>
      <c r="F64" s="61"/>
      <c r="G64" s="15"/>
      <c r="H64" s="61"/>
      <c r="I64" s="15">
        <f t="shared" si="4"/>
        <v>0</v>
      </c>
      <c r="J64" s="61"/>
      <c r="K64" s="45">
        <f t="shared" si="0"/>
        <v>0</v>
      </c>
    </row>
    <row r="65" spans="2:11" ht="15" customHeight="1" x14ac:dyDescent="0.35">
      <c r="B65" s="14" t="s">
        <v>382</v>
      </c>
      <c r="C65" s="14" t="s">
        <v>383</v>
      </c>
      <c r="D65" s="61"/>
      <c r="E65" s="15"/>
      <c r="F65" s="61"/>
      <c r="G65" s="15">
        <v>125</v>
      </c>
      <c r="H65" s="61"/>
      <c r="I65" s="15">
        <f t="shared" si="4"/>
        <v>-125</v>
      </c>
      <c r="J65" s="61"/>
      <c r="K65" s="45">
        <f t="shared" si="0"/>
        <v>-1</v>
      </c>
    </row>
    <row r="66" spans="2:11" ht="15" customHeight="1" x14ac:dyDescent="0.35">
      <c r="B66" s="14" t="s">
        <v>384</v>
      </c>
      <c r="C66" s="14" t="s">
        <v>385</v>
      </c>
      <c r="D66" s="61"/>
      <c r="E66" s="15"/>
      <c r="F66" s="61"/>
      <c r="G66" s="15">
        <v>-1.0000000000000001E-5</v>
      </c>
      <c r="H66" s="61"/>
      <c r="I66" s="15">
        <f t="shared" si="4"/>
        <v>1.0000000000000001E-5</v>
      </c>
      <c r="J66" s="61"/>
      <c r="K66" s="45">
        <f t="shared" si="0"/>
        <v>0</v>
      </c>
    </row>
    <row r="67" spans="2:11" ht="15" customHeight="1" x14ac:dyDescent="0.35">
      <c r="B67" s="14" t="s">
        <v>386</v>
      </c>
      <c r="C67" s="14" t="s">
        <v>387</v>
      </c>
      <c r="D67" s="61"/>
      <c r="E67" s="15">
        <v>32861.885130000002</v>
      </c>
      <c r="F67" s="61"/>
      <c r="G67" s="15">
        <v>32518.073789999999</v>
      </c>
      <c r="H67" s="61"/>
      <c r="I67" s="15">
        <f t="shared" si="4"/>
        <v>343.81134000000384</v>
      </c>
      <c r="J67" s="61"/>
      <c r="K67" s="45">
        <f t="shared" si="0"/>
        <v>1.0572930679114615E-2</v>
      </c>
    </row>
    <row r="68" spans="2:11" ht="15" customHeight="1" x14ac:dyDescent="0.35">
      <c r="B68" s="16" t="s">
        <v>388</v>
      </c>
      <c r="C68" s="16" t="s">
        <v>389</v>
      </c>
      <c r="D68" s="64"/>
      <c r="E68" s="17">
        <f>E61+E62+E63+E64+E65+E66+E67</f>
        <v>557864.19721999997</v>
      </c>
      <c r="F68" s="64"/>
      <c r="G68" s="17">
        <f>G61+G62+G63+G64+G65+G66+G67</f>
        <v>536178.25753000006</v>
      </c>
      <c r="H68" s="64"/>
      <c r="I68" s="17">
        <f>I61+I62+I63+I64+I65+I66+I67</f>
        <v>21685.939689999959</v>
      </c>
      <c r="J68" s="64"/>
      <c r="K68" s="84">
        <f t="shared" si="0"/>
        <v>4.0445391780524774E-2</v>
      </c>
    </row>
    <row r="69" spans="2:11" ht="15" customHeight="1" x14ac:dyDescent="0.35">
      <c r="B69" s="11" t="s">
        <v>390</v>
      </c>
      <c r="C69" s="11" t="s">
        <v>22</v>
      </c>
      <c r="D69" s="29"/>
      <c r="E69" s="12"/>
      <c r="F69" s="29"/>
      <c r="G69" s="12"/>
      <c r="H69" s="29"/>
      <c r="I69" s="12"/>
      <c r="J69" s="29"/>
      <c r="K69" s="85">
        <f t="shared" si="0"/>
        <v>0</v>
      </c>
    </row>
    <row r="70" spans="2:11" ht="15" customHeight="1" x14ac:dyDescent="0.35">
      <c r="B70" s="14" t="s">
        <v>391</v>
      </c>
      <c r="C70" s="14" t="s">
        <v>392</v>
      </c>
      <c r="D70" s="61"/>
      <c r="E70" s="15">
        <v>0</v>
      </c>
      <c r="F70" s="61"/>
      <c r="G70" s="15">
        <v>0</v>
      </c>
      <c r="H70" s="61"/>
      <c r="I70" s="15">
        <f>E70-G70</f>
        <v>0</v>
      </c>
      <c r="J70" s="61"/>
      <c r="K70" s="45">
        <f t="shared" si="0"/>
        <v>0</v>
      </c>
    </row>
    <row r="71" spans="2:11" ht="15" customHeight="1" x14ac:dyDescent="0.35">
      <c r="B71" s="14" t="s">
        <v>393</v>
      </c>
      <c r="C71" s="14" t="s">
        <v>394</v>
      </c>
      <c r="D71" s="61"/>
      <c r="E71" s="15"/>
      <c r="F71" s="61"/>
      <c r="G71" s="15"/>
      <c r="H71" s="61"/>
      <c r="I71" s="15">
        <f>E71-G71</f>
        <v>0</v>
      </c>
      <c r="J71" s="61"/>
      <c r="K71" s="45">
        <f t="shared" si="0"/>
        <v>0</v>
      </c>
    </row>
    <row r="72" spans="2:11" ht="15" customHeight="1" x14ac:dyDescent="0.35">
      <c r="B72" s="16" t="s">
        <v>395</v>
      </c>
      <c r="C72" s="16" t="s">
        <v>396</v>
      </c>
      <c r="D72" s="64"/>
      <c r="E72" s="17">
        <f>E70+E71</f>
        <v>0</v>
      </c>
      <c r="F72" s="64"/>
      <c r="G72" s="17">
        <f>G70+G71</f>
        <v>0</v>
      </c>
      <c r="H72" s="64"/>
      <c r="I72" s="17">
        <f>I70+I71</f>
        <v>0</v>
      </c>
      <c r="J72" s="64"/>
      <c r="K72" s="84">
        <f t="shared" si="0"/>
        <v>0</v>
      </c>
    </row>
    <row r="73" spans="2:11" ht="15" customHeight="1" x14ac:dyDescent="0.35">
      <c r="B73" s="11" t="s">
        <v>77</v>
      </c>
      <c r="C73" s="11" t="s">
        <v>22</v>
      </c>
      <c r="D73" s="29"/>
      <c r="E73" s="12"/>
      <c r="F73" s="29"/>
      <c r="G73" s="12"/>
      <c r="H73" s="29"/>
      <c r="I73" s="12"/>
      <c r="J73" s="29"/>
      <c r="K73" s="85">
        <f t="shared" si="0"/>
        <v>0</v>
      </c>
    </row>
    <row r="74" spans="2:11" ht="15" customHeight="1" x14ac:dyDescent="0.35">
      <c r="B74" s="14" t="s">
        <v>397</v>
      </c>
      <c r="C74" s="14" t="s">
        <v>398</v>
      </c>
      <c r="D74" s="61"/>
      <c r="E74" s="15">
        <v>1595.63356</v>
      </c>
      <c r="F74" s="61"/>
      <c r="G74" s="15">
        <v>2.38035</v>
      </c>
      <c r="H74" s="61"/>
      <c r="I74" s="15">
        <f>E74-G74</f>
        <v>1593.2532100000001</v>
      </c>
      <c r="J74" s="61"/>
      <c r="K74" s="45">
        <f t="shared" ref="K74:K137" si="5">IF(ROUND(I74, 2)=0, 0, IFERROR(I74/ABS(G74), IF(I74&lt;0, -1, 1)))</f>
        <v>669.33569012960288</v>
      </c>
    </row>
    <row r="75" spans="2:11" ht="15" customHeight="1" x14ac:dyDescent="0.35">
      <c r="B75" s="11" t="s">
        <v>399</v>
      </c>
      <c r="C75" s="11" t="s">
        <v>22</v>
      </c>
      <c r="D75" s="29"/>
      <c r="E75" s="12"/>
      <c r="F75" s="29"/>
      <c r="G75" s="12"/>
      <c r="H75" s="29"/>
      <c r="I75" s="12"/>
      <c r="J75" s="29"/>
      <c r="K75" s="85">
        <f t="shared" si="5"/>
        <v>0</v>
      </c>
    </row>
    <row r="76" spans="2:11" ht="15" customHeight="1" x14ac:dyDescent="0.35">
      <c r="B76" s="14" t="s">
        <v>400</v>
      </c>
      <c r="C76" s="14" t="s">
        <v>401</v>
      </c>
      <c r="D76" s="61"/>
      <c r="E76" s="15">
        <v>2180719.2922700001</v>
      </c>
      <c r="F76" s="61"/>
      <c r="G76" s="15">
        <v>1881184.95444</v>
      </c>
      <c r="H76" s="61"/>
      <c r="I76" s="15">
        <f>E76-G76</f>
        <v>299534.33783000009</v>
      </c>
      <c r="J76" s="61"/>
      <c r="K76" s="45">
        <f t="shared" si="5"/>
        <v>0.15922641584126793</v>
      </c>
    </row>
    <row r="77" spans="2:11" ht="15" customHeight="1" x14ac:dyDescent="0.35">
      <c r="B77" s="14" t="s">
        <v>402</v>
      </c>
      <c r="C77" s="14" t="s">
        <v>403</v>
      </c>
      <c r="D77" s="61"/>
      <c r="E77" s="15">
        <v>-828671.98026999994</v>
      </c>
      <c r="F77" s="61"/>
      <c r="G77" s="15">
        <v>-821009.61242000002</v>
      </c>
      <c r="H77" s="61"/>
      <c r="I77" s="15">
        <f>E77-G77</f>
        <v>-7662.3678499999223</v>
      </c>
      <c r="J77" s="61"/>
      <c r="K77" s="45">
        <f t="shared" si="5"/>
        <v>-9.3328600957720831E-3</v>
      </c>
    </row>
    <row r="78" spans="2:11" ht="15" customHeight="1" x14ac:dyDescent="0.35">
      <c r="B78" s="34" t="s">
        <v>404</v>
      </c>
      <c r="C78" s="34" t="s">
        <v>405</v>
      </c>
      <c r="D78" s="69"/>
      <c r="E78" s="35">
        <f>E76+E77</f>
        <v>1352047.3120000002</v>
      </c>
      <c r="F78" s="69"/>
      <c r="G78" s="35">
        <f>G76+G77</f>
        <v>1060175.3420199999</v>
      </c>
      <c r="H78" s="69"/>
      <c r="I78" s="35">
        <f>I76+I77</f>
        <v>291871.96998000017</v>
      </c>
      <c r="J78" s="69"/>
      <c r="K78" s="90">
        <f t="shared" si="5"/>
        <v>0.27530537488627432</v>
      </c>
    </row>
    <row r="79" spans="2:11" ht="15" customHeight="1" x14ac:dyDescent="0.35">
      <c r="B79" s="14" t="s">
        <v>406</v>
      </c>
      <c r="C79" s="14" t="s">
        <v>407</v>
      </c>
      <c r="D79" s="61"/>
      <c r="E79" s="15">
        <v>197048.40251000001</v>
      </c>
      <c r="F79" s="61"/>
      <c r="G79" s="15">
        <v>190210.47198999999</v>
      </c>
      <c r="H79" s="61"/>
      <c r="I79" s="15">
        <f>E79-G79</f>
        <v>6837.9305200000235</v>
      </c>
      <c r="J79" s="61"/>
      <c r="K79" s="45">
        <f t="shared" si="5"/>
        <v>3.5949285275731387E-2</v>
      </c>
    </row>
    <row r="80" spans="2:11" ht="15" customHeight="1" x14ac:dyDescent="0.35">
      <c r="B80" s="14" t="s">
        <v>408</v>
      </c>
      <c r="C80" s="14" t="s">
        <v>409</v>
      </c>
      <c r="D80" s="61"/>
      <c r="E80" s="15">
        <v>-110799.36487999999</v>
      </c>
      <c r="F80" s="61"/>
      <c r="G80" s="15">
        <v>-109268.46947</v>
      </c>
      <c r="H80" s="61"/>
      <c r="I80" s="15">
        <f>E80-G80</f>
        <v>-1530.8954099999974</v>
      </c>
      <c r="J80" s="61"/>
      <c r="K80" s="45">
        <f t="shared" si="5"/>
        <v>-1.4010404075626863E-2</v>
      </c>
    </row>
    <row r="81" spans="2:11" ht="15" customHeight="1" x14ac:dyDescent="0.35">
      <c r="B81" s="34" t="s">
        <v>410</v>
      </c>
      <c r="C81" s="34" t="s">
        <v>411</v>
      </c>
      <c r="D81" s="69"/>
      <c r="E81" s="35">
        <f>E79+E80</f>
        <v>86249.037630000021</v>
      </c>
      <c r="F81" s="69"/>
      <c r="G81" s="35">
        <f>G79+G80</f>
        <v>80942.002519999995</v>
      </c>
      <c r="H81" s="69"/>
      <c r="I81" s="35">
        <f>I79+I80</f>
        <v>5307.0351100000262</v>
      </c>
      <c r="J81" s="69"/>
      <c r="K81" s="90">
        <f t="shared" si="5"/>
        <v>6.5565898356526431E-2</v>
      </c>
    </row>
    <row r="82" spans="2:11" ht="15" customHeight="1" x14ac:dyDescent="0.35">
      <c r="B82" s="14" t="s">
        <v>412</v>
      </c>
      <c r="C82" s="14" t="s">
        <v>413</v>
      </c>
      <c r="D82" s="61"/>
      <c r="E82" s="15">
        <v>1102701.62314</v>
      </c>
      <c r="F82" s="61"/>
      <c r="G82" s="15">
        <v>1014660.87368</v>
      </c>
      <c r="H82" s="61"/>
      <c r="I82" s="15">
        <f>E82-G82</f>
        <v>88040.749460000079</v>
      </c>
      <c r="J82" s="61"/>
      <c r="K82" s="45">
        <f t="shared" si="5"/>
        <v>8.6768645311700518E-2</v>
      </c>
    </row>
    <row r="83" spans="2:11" ht="15" customHeight="1" x14ac:dyDescent="0.35">
      <c r="B83" s="14" t="s">
        <v>414</v>
      </c>
      <c r="C83" s="14" t="s">
        <v>415</v>
      </c>
      <c r="D83" s="61"/>
      <c r="E83" s="15">
        <v>-749587.88468999998</v>
      </c>
      <c r="F83" s="61"/>
      <c r="G83" s="15">
        <v>-705619.98858999996</v>
      </c>
      <c r="H83" s="61"/>
      <c r="I83" s="15">
        <f>E83-G83</f>
        <v>-43967.896100000013</v>
      </c>
      <c r="J83" s="61"/>
      <c r="K83" s="45">
        <f t="shared" si="5"/>
        <v>-6.2311012741941368E-2</v>
      </c>
    </row>
    <row r="84" spans="2:11" ht="15" customHeight="1" x14ac:dyDescent="0.35">
      <c r="B84" s="34" t="s">
        <v>416</v>
      </c>
      <c r="C84" s="34" t="s">
        <v>417</v>
      </c>
      <c r="D84" s="69"/>
      <c r="E84" s="35">
        <f>E82+E83</f>
        <v>353113.73845000006</v>
      </c>
      <c r="F84" s="69"/>
      <c r="G84" s="35">
        <f>G82+G83</f>
        <v>309040.88509</v>
      </c>
      <c r="H84" s="69"/>
      <c r="I84" s="35">
        <f>I82+I83</f>
        <v>44072.853360000066</v>
      </c>
      <c r="J84" s="69"/>
      <c r="K84" s="90">
        <f t="shared" si="5"/>
        <v>0.14261172384089249</v>
      </c>
    </row>
    <row r="85" spans="2:11" ht="15" customHeight="1" x14ac:dyDescent="0.35">
      <c r="B85" s="14" t="s">
        <v>418</v>
      </c>
      <c r="C85" s="14" t="s">
        <v>419</v>
      </c>
      <c r="D85" s="61"/>
      <c r="E85" s="15">
        <v>389425.35833999998</v>
      </c>
      <c r="F85" s="61"/>
      <c r="G85" s="15">
        <v>379740.39720000001</v>
      </c>
      <c r="H85" s="61"/>
      <c r="I85" s="15">
        <f>E85-G85</f>
        <v>9684.9611399999703</v>
      </c>
      <c r="J85" s="61"/>
      <c r="K85" s="45">
        <f t="shared" si="5"/>
        <v>2.5504163400606381E-2</v>
      </c>
    </row>
    <row r="86" spans="2:11" ht="15" customHeight="1" x14ac:dyDescent="0.35">
      <c r="B86" s="14" t="s">
        <v>420</v>
      </c>
      <c r="C86" s="14" t="s">
        <v>421</v>
      </c>
      <c r="D86" s="61"/>
      <c r="E86" s="15">
        <v>-301189.35399999999</v>
      </c>
      <c r="F86" s="61"/>
      <c r="G86" s="15">
        <v>-300400.20101000002</v>
      </c>
      <c r="H86" s="61"/>
      <c r="I86" s="15">
        <f>E86-G86</f>
        <v>-789.15298999997322</v>
      </c>
      <c r="J86" s="61"/>
      <c r="K86" s="45">
        <f t="shared" si="5"/>
        <v>-2.6270055324420474E-3</v>
      </c>
    </row>
    <row r="87" spans="2:11" ht="15" customHeight="1" x14ac:dyDescent="0.35">
      <c r="B87" s="34" t="s">
        <v>422</v>
      </c>
      <c r="C87" s="34" t="s">
        <v>423</v>
      </c>
      <c r="D87" s="69"/>
      <c r="E87" s="35">
        <f>E85+E86</f>
        <v>88236.004339999985</v>
      </c>
      <c r="F87" s="69"/>
      <c r="G87" s="35">
        <f>G85+G86</f>
        <v>79340.196189999988</v>
      </c>
      <c r="H87" s="69"/>
      <c r="I87" s="35">
        <f>I85+I86</f>
        <v>8895.8081499999971</v>
      </c>
      <c r="J87" s="69"/>
      <c r="K87" s="90">
        <f t="shared" si="5"/>
        <v>0.11212233618249134</v>
      </c>
    </row>
    <row r="88" spans="2:11" ht="15" customHeight="1" x14ac:dyDescent="0.35">
      <c r="B88" s="14" t="s">
        <v>424</v>
      </c>
      <c r="C88" s="14" t="s">
        <v>425</v>
      </c>
      <c r="D88" s="61"/>
      <c r="E88" s="15">
        <v>82021.193190000005</v>
      </c>
      <c r="F88" s="61"/>
      <c r="G88" s="15">
        <v>64479.39774</v>
      </c>
      <c r="H88" s="61"/>
      <c r="I88" s="15">
        <f>E88-G88</f>
        <v>17541.795450000005</v>
      </c>
      <c r="J88" s="61"/>
      <c r="K88" s="45">
        <f t="shared" si="5"/>
        <v>0.27205271861771585</v>
      </c>
    </row>
    <row r="89" spans="2:11" ht="15" customHeight="1" x14ac:dyDescent="0.35">
      <c r="B89" s="14" t="s">
        <v>426</v>
      </c>
      <c r="C89" s="14" t="s">
        <v>427</v>
      </c>
      <c r="D89" s="61"/>
      <c r="E89" s="15"/>
      <c r="F89" s="61"/>
      <c r="G89" s="15"/>
      <c r="H89" s="61"/>
      <c r="I89" s="15">
        <f>E89-G89</f>
        <v>0</v>
      </c>
      <c r="J89" s="61"/>
      <c r="K89" s="45">
        <f t="shared" si="5"/>
        <v>0</v>
      </c>
    </row>
    <row r="90" spans="2:11" ht="15" customHeight="1" x14ac:dyDescent="0.35">
      <c r="B90" s="34" t="s">
        <v>428</v>
      </c>
      <c r="C90" s="34" t="s">
        <v>429</v>
      </c>
      <c r="D90" s="69"/>
      <c r="E90" s="35">
        <f>E88+E89</f>
        <v>82021.193190000005</v>
      </c>
      <c r="F90" s="69"/>
      <c r="G90" s="35">
        <f>G88+G89</f>
        <v>64479.39774</v>
      </c>
      <c r="H90" s="69"/>
      <c r="I90" s="35">
        <f>I88+I89</f>
        <v>17541.795450000005</v>
      </c>
      <c r="J90" s="69"/>
      <c r="K90" s="90">
        <f t="shared" si="5"/>
        <v>0.27205271861771585</v>
      </c>
    </row>
    <row r="91" spans="2:11" ht="15" customHeight="1" x14ac:dyDescent="0.35">
      <c r="B91" s="11" t="s">
        <v>430</v>
      </c>
      <c r="C91" s="11" t="s">
        <v>22</v>
      </c>
      <c r="D91" s="29"/>
      <c r="E91" s="12"/>
      <c r="F91" s="29"/>
      <c r="G91" s="12"/>
      <c r="H91" s="29"/>
      <c r="I91" s="12"/>
      <c r="J91" s="29"/>
      <c r="K91" s="85">
        <f t="shared" si="5"/>
        <v>0</v>
      </c>
    </row>
    <row r="92" spans="2:11" ht="15" customHeight="1" x14ac:dyDescent="0.35">
      <c r="B92" s="16" t="s">
        <v>431</v>
      </c>
      <c r="C92" s="16" t="s">
        <v>432</v>
      </c>
      <c r="D92" s="64"/>
      <c r="E92" s="17">
        <f>E76+E79+E82+E85+E88</f>
        <v>3951915.8694500001</v>
      </c>
      <c r="F92" s="64"/>
      <c r="G92" s="17">
        <f>G76+G79+G82+G85+G88</f>
        <v>3530276.0950500001</v>
      </c>
      <c r="H92" s="64"/>
      <c r="I92" s="17">
        <f>I76+I79+I82+I85+I88</f>
        <v>421639.77440000023</v>
      </c>
      <c r="J92" s="64"/>
      <c r="K92" s="84">
        <f t="shared" si="5"/>
        <v>0.11943535379320762</v>
      </c>
    </row>
    <row r="93" spans="2:11" ht="15" customHeight="1" thickBot="1" x14ac:dyDescent="0.4">
      <c r="B93" s="16" t="s">
        <v>433</v>
      </c>
      <c r="C93" s="16" t="s">
        <v>434</v>
      </c>
      <c r="D93" s="64"/>
      <c r="E93" s="17">
        <f>E77+E80+E83+E86+E89</f>
        <v>-1990248.58384</v>
      </c>
      <c r="F93" s="64"/>
      <c r="G93" s="17">
        <f>G77+G80+G83+G86+G89</f>
        <v>-1936298.27149</v>
      </c>
      <c r="H93" s="64"/>
      <c r="I93" s="17">
        <f>I77+I80+I83+I86+I89</f>
        <v>-53950.312349999906</v>
      </c>
      <c r="J93" s="64"/>
      <c r="K93" s="84">
        <f t="shared" si="5"/>
        <v>-2.7862604199137473E-2</v>
      </c>
    </row>
    <row r="94" spans="2:11" ht="15" customHeight="1" thickBot="1" x14ac:dyDescent="0.4">
      <c r="B94" s="18" t="s">
        <v>435</v>
      </c>
      <c r="C94" s="18" t="s">
        <v>436</v>
      </c>
      <c r="D94" s="66"/>
      <c r="E94" s="19">
        <f>E78+E81+E84+E87+E90</f>
        <v>1961667.2856100001</v>
      </c>
      <c r="F94" s="66"/>
      <c r="G94" s="19">
        <f>G78+G81+G84+G87+G90</f>
        <v>1593977.8235599999</v>
      </c>
      <c r="H94" s="66"/>
      <c r="I94" s="19">
        <f>I78+I81+I84+I87+I90</f>
        <v>367689.46205000032</v>
      </c>
      <c r="J94" s="66"/>
      <c r="K94" s="86">
        <f t="shared" si="5"/>
        <v>0.23067413900953804</v>
      </c>
    </row>
    <row r="95" spans="2:11" ht="15" customHeight="1" x14ac:dyDescent="0.35">
      <c r="B95" s="11" t="s">
        <v>437</v>
      </c>
      <c r="C95" s="11" t="s">
        <v>22</v>
      </c>
      <c r="D95" s="29"/>
      <c r="E95" s="12"/>
      <c r="F95" s="29"/>
      <c r="G95" s="12"/>
      <c r="H95" s="29"/>
      <c r="I95" s="12"/>
      <c r="J95" s="29"/>
      <c r="K95" s="85">
        <f t="shared" si="5"/>
        <v>0</v>
      </c>
    </row>
    <row r="96" spans="2:11" ht="15" customHeight="1" x14ac:dyDescent="0.35">
      <c r="B96" s="14" t="s">
        <v>438</v>
      </c>
      <c r="C96" s="14" t="s">
        <v>439</v>
      </c>
      <c r="D96" s="61"/>
      <c r="E96" s="15">
        <v>303.52346999999997</v>
      </c>
      <c r="F96" s="61"/>
      <c r="G96" s="15">
        <v>458.37486999999999</v>
      </c>
      <c r="H96" s="61"/>
      <c r="I96" s="15">
        <f>E96-G96</f>
        <v>-154.85140000000001</v>
      </c>
      <c r="J96" s="61"/>
      <c r="K96" s="45">
        <f t="shared" si="5"/>
        <v>-0.33782698427599228</v>
      </c>
    </row>
    <row r="97" spans="2:11" ht="15" customHeight="1" x14ac:dyDescent="0.35">
      <c r="B97" s="14" t="s">
        <v>440</v>
      </c>
      <c r="C97" s="14" t="s">
        <v>441</v>
      </c>
      <c r="D97" s="61"/>
      <c r="E97" s="15">
        <v>-303.52346999999997</v>
      </c>
      <c r="F97" s="61"/>
      <c r="G97" s="15">
        <v>-361.65273999999999</v>
      </c>
      <c r="H97" s="61"/>
      <c r="I97" s="15">
        <f>E97-G97</f>
        <v>58.12927000000002</v>
      </c>
      <c r="J97" s="61"/>
      <c r="K97" s="45">
        <f t="shared" si="5"/>
        <v>0.16073228146978791</v>
      </c>
    </row>
    <row r="98" spans="2:11" ht="15" customHeight="1" x14ac:dyDescent="0.35">
      <c r="B98" s="34" t="s">
        <v>442</v>
      </c>
      <c r="C98" s="34" t="s">
        <v>443</v>
      </c>
      <c r="D98" s="69"/>
      <c r="E98" s="35">
        <f>E96+E97</f>
        <v>0</v>
      </c>
      <c r="F98" s="69"/>
      <c r="G98" s="35">
        <f>G96+G97</f>
        <v>96.722129999999993</v>
      </c>
      <c r="H98" s="69"/>
      <c r="I98" s="35">
        <f>I96+I97</f>
        <v>-96.722129999999993</v>
      </c>
      <c r="J98" s="69"/>
      <c r="K98" s="90">
        <f t="shared" si="5"/>
        <v>-1</v>
      </c>
    </row>
    <row r="99" spans="2:11" ht="15" customHeight="1" x14ac:dyDescent="0.35">
      <c r="B99" s="14" t="s">
        <v>444</v>
      </c>
      <c r="C99" s="14" t="s">
        <v>445</v>
      </c>
      <c r="D99" s="61"/>
      <c r="E99" s="15">
        <v>0</v>
      </c>
      <c r="F99" s="61"/>
      <c r="G99" s="15">
        <v>0</v>
      </c>
      <c r="H99" s="61"/>
      <c r="I99" s="15">
        <f>E99-G99</f>
        <v>0</v>
      </c>
      <c r="J99" s="61"/>
      <c r="K99" s="45">
        <f t="shared" si="5"/>
        <v>0</v>
      </c>
    </row>
    <row r="100" spans="2:11" ht="15" customHeight="1" x14ac:dyDescent="0.35">
      <c r="B100" s="14" t="s">
        <v>446</v>
      </c>
      <c r="C100" s="14" t="s">
        <v>447</v>
      </c>
      <c r="D100" s="61"/>
      <c r="E100" s="15">
        <v>0</v>
      </c>
      <c r="F100" s="61"/>
      <c r="G100" s="15">
        <v>2.4851700000000001</v>
      </c>
      <c r="H100" s="61"/>
      <c r="I100" s="15">
        <f>E100-G100</f>
        <v>-2.4851700000000001</v>
      </c>
      <c r="J100" s="61"/>
      <c r="K100" s="45">
        <f t="shared" si="5"/>
        <v>-1</v>
      </c>
    </row>
    <row r="101" spans="2:11" ht="15" customHeight="1" x14ac:dyDescent="0.35">
      <c r="B101" s="34" t="s">
        <v>448</v>
      </c>
      <c r="C101" s="34" t="s">
        <v>449</v>
      </c>
      <c r="D101" s="69"/>
      <c r="E101" s="35">
        <f>E99+E100</f>
        <v>0</v>
      </c>
      <c r="F101" s="69"/>
      <c r="G101" s="35">
        <f>G99+G100</f>
        <v>2.4851700000000001</v>
      </c>
      <c r="H101" s="69"/>
      <c r="I101" s="35">
        <f>I99+I100</f>
        <v>-2.4851700000000001</v>
      </c>
      <c r="J101" s="69"/>
      <c r="K101" s="90">
        <f t="shared" si="5"/>
        <v>-1</v>
      </c>
    </row>
    <row r="102" spans="2:11" ht="15" customHeight="1" x14ac:dyDescent="0.35">
      <c r="B102" s="14" t="s">
        <v>450</v>
      </c>
      <c r="C102" s="14" t="s">
        <v>451</v>
      </c>
      <c r="D102" s="61"/>
      <c r="E102" s="15">
        <v>27353.48574</v>
      </c>
      <c r="F102" s="61"/>
      <c r="G102" s="15">
        <v>23623.35195</v>
      </c>
      <c r="H102" s="61"/>
      <c r="I102" s="15">
        <f>E102-G102</f>
        <v>3730.1337899999999</v>
      </c>
      <c r="J102" s="61"/>
      <c r="K102" s="45">
        <f t="shared" si="5"/>
        <v>0.15790027587511771</v>
      </c>
    </row>
    <row r="103" spans="2:11" ht="15" customHeight="1" x14ac:dyDescent="0.35">
      <c r="B103" s="14" t="s">
        <v>452</v>
      </c>
      <c r="C103" s="14" t="s">
        <v>453</v>
      </c>
      <c r="D103" s="61"/>
      <c r="E103" s="15">
        <v>-13592.592479999999</v>
      </c>
      <c r="F103" s="61"/>
      <c r="G103" s="15">
        <v>-7911.3669099999997</v>
      </c>
      <c r="H103" s="61"/>
      <c r="I103" s="15">
        <f>E103-G103</f>
        <v>-5681.2255699999996</v>
      </c>
      <c r="J103" s="61"/>
      <c r="K103" s="45">
        <f t="shared" si="5"/>
        <v>-0.71810922620955775</v>
      </c>
    </row>
    <row r="104" spans="2:11" ht="15" customHeight="1" x14ac:dyDescent="0.35">
      <c r="B104" s="34" t="s">
        <v>454</v>
      </c>
      <c r="C104" s="34" t="s">
        <v>455</v>
      </c>
      <c r="D104" s="69"/>
      <c r="E104" s="35">
        <f>E102+E103</f>
        <v>13760.893260000001</v>
      </c>
      <c r="F104" s="69"/>
      <c r="G104" s="35">
        <f>G102+G103</f>
        <v>15711.98504</v>
      </c>
      <c r="H104" s="69"/>
      <c r="I104" s="35">
        <f>I102+I103</f>
        <v>-1951.0917799999997</v>
      </c>
      <c r="J104" s="69"/>
      <c r="K104" s="90">
        <f t="shared" si="5"/>
        <v>-0.1241785665549488</v>
      </c>
    </row>
    <row r="105" spans="2:11" ht="15" customHeight="1" x14ac:dyDescent="0.35">
      <c r="B105" s="14" t="s">
        <v>456</v>
      </c>
      <c r="C105" s="14" t="s">
        <v>457</v>
      </c>
      <c r="D105" s="61"/>
      <c r="E105" s="15">
        <v>152114.28247000001</v>
      </c>
      <c r="F105" s="61"/>
      <c r="G105" s="15">
        <v>138737.83184999999</v>
      </c>
      <c r="H105" s="61"/>
      <c r="I105" s="15">
        <f>E105-G105</f>
        <v>13376.450620000018</v>
      </c>
      <c r="J105" s="61"/>
      <c r="K105" s="45">
        <f t="shared" si="5"/>
        <v>9.641530678137103E-2</v>
      </c>
    </row>
    <row r="106" spans="2:11" ht="15" customHeight="1" x14ac:dyDescent="0.35">
      <c r="B106" s="14" t="s">
        <v>458</v>
      </c>
      <c r="C106" s="14" t="s">
        <v>459</v>
      </c>
      <c r="D106" s="61"/>
      <c r="E106" s="15">
        <v>-51438.824610000003</v>
      </c>
      <c r="F106" s="61"/>
      <c r="G106" s="15">
        <v>-34080.144659999998</v>
      </c>
      <c r="H106" s="61"/>
      <c r="I106" s="15">
        <f>E106-G106</f>
        <v>-17358.679950000005</v>
      </c>
      <c r="J106" s="61"/>
      <c r="K106" s="45">
        <f t="shared" si="5"/>
        <v>-0.50934877545792689</v>
      </c>
    </row>
    <row r="107" spans="2:11" ht="15" customHeight="1" x14ac:dyDescent="0.35">
      <c r="B107" s="34" t="s">
        <v>460</v>
      </c>
      <c r="C107" s="34" t="s">
        <v>461</v>
      </c>
      <c r="D107" s="69"/>
      <c r="E107" s="35">
        <f>E105+E106</f>
        <v>100675.45785999999</v>
      </c>
      <c r="F107" s="69"/>
      <c r="G107" s="35">
        <f>G105+G106</f>
        <v>104657.68719</v>
      </c>
      <c r="H107" s="69"/>
      <c r="I107" s="35">
        <f>I105+I106</f>
        <v>-3982.2293299999874</v>
      </c>
      <c r="J107" s="69"/>
      <c r="K107" s="90">
        <f t="shared" si="5"/>
        <v>-3.8050041396103851E-2</v>
      </c>
    </row>
    <row r="108" spans="2:11" ht="15" customHeight="1" x14ac:dyDescent="0.35">
      <c r="B108" s="14" t="s">
        <v>462</v>
      </c>
      <c r="C108" s="14" t="s">
        <v>463</v>
      </c>
      <c r="D108" s="61"/>
      <c r="E108" s="15"/>
      <c r="F108" s="61"/>
      <c r="G108" s="15"/>
      <c r="H108" s="61"/>
      <c r="I108" s="15">
        <f>E108-G108</f>
        <v>0</v>
      </c>
      <c r="J108" s="61"/>
      <c r="K108" s="45">
        <f t="shared" si="5"/>
        <v>0</v>
      </c>
    </row>
    <row r="109" spans="2:11" ht="15" customHeight="1" x14ac:dyDescent="0.35">
      <c r="B109" s="14" t="s">
        <v>464</v>
      </c>
      <c r="C109" s="14" t="s">
        <v>465</v>
      </c>
      <c r="D109" s="61"/>
      <c r="E109" s="15"/>
      <c r="F109" s="61"/>
      <c r="G109" s="15"/>
      <c r="H109" s="61"/>
      <c r="I109" s="15">
        <f>E109-G109</f>
        <v>0</v>
      </c>
      <c r="J109" s="61"/>
      <c r="K109" s="45">
        <f t="shared" si="5"/>
        <v>0</v>
      </c>
    </row>
    <row r="110" spans="2:11" ht="15" customHeight="1" x14ac:dyDescent="0.35">
      <c r="B110" s="34" t="s">
        <v>466</v>
      </c>
      <c r="C110" s="34" t="s">
        <v>467</v>
      </c>
      <c r="D110" s="69"/>
      <c r="E110" s="35">
        <f>E108+E109</f>
        <v>0</v>
      </c>
      <c r="F110" s="69"/>
      <c r="G110" s="35">
        <f>G108+G109</f>
        <v>0</v>
      </c>
      <c r="H110" s="69"/>
      <c r="I110" s="35">
        <f>I108+I109</f>
        <v>0</v>
      </c>
      <c r="J110" s="69"/>
      <c r="K110" s="90">
        <f t="shared" si="5"/>
        <v>0</v>
      </c>
    </row>
    <row r="111" spans="2:11" ht="15" customHeight="1" x14ac:dyDescent="0.35">
      <c r="B111" s="11" t="s">
        <v>468</v>
      </c>
      <c r="C111" s="11" t="s">
        <v>22</v>
      </c>
      <c r="D111" s="29"/>
      <c r="E111" s="12"/>
      <c r="F111" s="29"/>
      <c r="G111" s="12"/>
      <c r="H111" s="29"/>
      <c r="I111" s="12"/>
      <c r="J111" s="29"/>
      <c r="K111" s="85">
        <f t="shared" si="5"/>
        <v>0</v>
      </c>
    </row>
    <row r="112" spans="2:11" ht="15" customHeight="1" x14ac:dyDescent="0.35">
      <c r="B112" s="16" t="s">
        <v>469</v>
      </c>
      <c r="C112" s="16" t="s">
        <v>470</v>
      </c>
      <c r="D112" s="64"/>
      <c r="E112" s="17">
        <f>E96+E99+E102+E105+E108</f>
        <v>179771.29167999999</v>
      </c>
      <c r="F112" s="64"/>
      <c r="G112" s="17">
        <f>G96+G99+G102+G105+G108</f>
        <v>162819.55867</v>
      </c>
      <c r="H112" s="64"/>
      <c r="I112" s="17">
        <f>I96+I99+I102+I105+I108</f>
        <v>16951.733010000018</v>
      </c>
      <c r="J112" s="64"/>
      <c r="K112" s="84">
        <f t="shared" si="5"/>
        <v>0.10411361600824329</v>
      </c>
    </row>
    <row r="113" spans="2:11" ht="15" customHeight="1" thickBot="1" x14ac:dyDescent="0.4">
      <c r="B113" s="16" t="s">
        <v>471</v>
      </c>
      <c r="C113" s="16" t="s">
        <v>472</v>
      </c>
      <c r="D113" s="64"/>
      <c r="E113" s="17">
        <f>E97+E100+E103+E106+E109</f>
        <v>-65334.940560000003</v>
      </c>
      <c r="F113" s="64"/>
      <c r="G113" s="17">
        <f>G97+G100+G103+G106+G109</f>
        <v>-42350.67914</v>
      </c>
      <c r="H113" s="64"/>
      <c r="I113" s="17">
        <f>I97+I100+I103+I106+I109</f>
        <v>-22984.261420000003</v>
      </c>
      <c r="J113" s="64"/>
      <c r="K113" s="84">
        <f t="shared" si="5"/>
        <v>-0.54271293605517379</v>
      </c>
    </row>
    <row r="114" spans="2:11" ht="15" customHeight="1" thickBot="1" x14ac:dyDescent="0.4">
      <c r="B114" s="18" t="s">
        <v>473</v>
      </c>
      <c r="C114" s="18" t="s">
        <v>474</v>
      </c>
      <c r="D114" s="66"/>
      <c r="E114" s="19">
        <f>E98+E101+E104+E107+E110</f>
        <v>114436.35111999999</v>
      </c>
      <c r="F114" s="66"/>
      <c r="G114" s="19">
        <f>G98+G101+G104+G107+G110</f>
        <v>120468.87952999999</v>
      </c>
      <c r="H114" s="66"/>
      <c r="I114" s="19">
        <f>I98+I101+I104+I107+I110</f>
        <v>-6032.5284099999872</v>
      </c>
      <c r="J114" s="66"/>
      <c r="K114" s="86">
        <f t="shared" si="5"/>
        <v>-5.0075408964833326E-2</v>
      </c>
    </row>
    <row r="115" spans="2:11" ht="15" customHeight="1" x14ac:dyDescent="0.35">
      <c r="B115" s="11" t="s">
        <v>93</v>
      </c>
      <c r="C115" s="11" t="s">
        <v>475</v>
      </c>
      <c r="D115" s="29"/>
      <c r="E115" s="12"/>
      <c r="F115" s="29"/>
      <c r="G115" s="12"/>
      <c r="H115" s="29"/>
      <c r="I115" s="12"/>
      <c r="J115" s="29"/>
      <c r="K115" s="85">
        <f t="shared" si="5"/>
        <v>0</v>
      </c>
    </row>
    <row r="116" spans="2:11" ht="15" customHeight="1" x14ac:dyDescent="0.35">
      <c r="B116" s="16" t="s">
        <v>476</v>
      </c>
      <c r="C116" s="16" t="s">
        <v>477</v>
      </c>
      <c r="D116" s="64"/>
      <c r="E116" s="17">
        <f>E92+E112</f>
        <v>4131687.1611299999</v>
      </c>
      <c r="F116" s="64"/>
      <c r="G116" s="17">
        <f>G92+G112</f>
        <v>3693095.6537200003</v>
      </c>
      <c r="H116" s="64"/>
      <c r="I116" s="17">
        <f>I92+I112</f>
        <v>438591.50741000025</v>
      </c>
      <c r="J116" s="64"/>
      <c r="K116" s="84">
        <f t="shared" si="5"/>
        <v>0.11875985583211568</v>
      </c>
    </row>
    <row r="117" spans="2:11" ht="15" customHeight="1" thickBot="1" x14ac:dyDescent="0.4">
      <c r="B117" s="16" t="s">
        <v>478</v>
      </c>
      <c r="C117" s="16" t="s">
        <v>479</v>
      </c>
      <c r="D117" s="64"/>
      <c r="E117" s="17">
        <f>E93+E113</f>
        <v>-2055583.5244</v>
      </c>
      <c r="F117" s="64"/>
      <c r="G117" s="17">
        <f>G93+G113</f>
        <v>-1978648.9506299999</v>
      </c>
      <c r="H117" s="64"/>
      <c r="I117" s="17">
        <f>I93+I113</f>
        <v>-76934.573769999901</v>
      </c>
      <c r="J117" s="64"/>
      <c r="K117" s="84">
        <f t="shared" si="5"/>
        <v>-3.8882376656811206E-2</v>
      </c>
    </row>
    <row r="118" spans="2:11" ht="15" customHeight="1" thickBot="1" x14ac:dyDescent="0.4">
      <c r="B118" s="18" t="s">
        <v>480</v>
      </c>
      <c r="C118" s="18" t="s">
        <v>481</v>
      </c>
      <c r="D118" s="66"/>
      <c r="E118" s="19">
        <f>E94+E114</f>
        <v>2076103.6367300001</v>
      </c>
      <c r="F118" s="66"/>
      <c r="G118" s="19">
        <f>G94+G114</f>
        <v>1714446.70309</v>
      </c>
      <c r="H118" s="66"/>
      <c r="I118" s="19">
        <f>I94+I114</f>
        <v>361656.93364000035</v>
      </c>
      <c r="J118" s="66"/>
      <c r="K118" s="86">
        <f t="shared" si="5"/>
        <v>0.21094673458683488</v>
      </c>
    </row>
    <row r="119" spans="2:11" ht="15" customHeight="1" x14ac:dyDescent="0.35">
      <c r="B119" s="11" t="s">
        <v>482</v>
      </c>
      <c r="C119" s="11" t="s">
        <v>22</v>
      </c>
      <c r="D119" s="29"/>
      <c r="E119" s="12"/>
      <c r="F119" s="29"/>
      <c r="G119" s="12"/>
      <c r="H119" s="29"/>
      <c r="I119" s="12"/>
      <c r="J119" s="29"/>
      <c r="K119" s="85">
        <f t="shared" si="5"/>
        <v>0</v>
      </c>
    </row>
    <row r="120" spans="2:11" ht="15" customHeight="1" x14ac:dyDescent="0.35">
      <c r="B120" s="14" t="s">
        <v>483</v>
      </c>
      <c r="C120" s="14" t="s">
        <v>484</v>
      </c>
      <c r="D120" s="61"/>
      <c r="E120" s="15">
        <v>6256.0480600000001</v>
      </c>
      <c r="F120" s="61"/>
      <c r="G120" s="15"/>
      <c r="H120" s="61"/>
      <c r="I120" s="15">
        <f>E120-G120</f>
        <v>6256.0480600000001</v>
      </c>
      <c r="J120" s="61"/>
      <c r="K120" s="45">
        <f t="shared" si="5"/>
        <v>1</v>
      </c>
    </row>
    <row r="121" spans="2:11" ht="15" customHeight="1" x14ac:dyDescent="0.35">
      <c r="B121" s="14" t="s">
        <v>485</v>
      </c>
      <c r="C121" s="14" t="s">
        <v>486</v>
      </c>
      <c r="D121" s="61"/>
      <c r="E121" s="15">
        <v>-1084.808</v>
      </c>
      <c r="F121" s="61"/>
      <c r="G121" s="15"/>
      <c r="H121" s="61"/>
      <c r="I121" s="15">
        <f>E121-G121</f>
        <v>-1084.808</v>
      </c>
      <c r="J121" s="61"/>
      <c r="K121" s="45">
        <f t="shared" si="5"/>
        <v>-1</v>
      </c>
    </row>
    <row r="122" spans="2:11" ht="15" customHeight="1" x14ac:dyDescent="0.35">
      <c r="B122" s="34" t="s">
        <v>487</v>
      </c>
      <c r="C122" s="34" t="s">
        <v>488</v>
      </c>
      <c r="D122" s="69"/>
      <c r="E122" s="35">
        <f>E120+E121</f>
        <v>5171.2400600000001</v>
      </c>
      <c r="F122" s="69"/>
      <c r="G122" s="35">
        <f>G120+G121</f>
        <v>0</v>
      </c>
      <c r="H122" s="69"/>
      <c r="I122" s="35">
        <f>I120+I121</f>
        <v>5171.2400600000001</v>
      </c>
      <c r="J122" s="69"/>
      <c r="K122" s="90">
        <f t="shared" si="5"/>
        <v>1</v>
      </c>
    </row>
    <row r="123" spans="2:11" ht="15" customHeight="1" x14ac:dyDescent="0.35">
      <c r="B123" s="14" t="s">
        <v>489</v>
      </c>
      <c r="C123" s="14" t="s">
        <v>490</v>
      </c>
      <c r="D123" s="61"/>
      <c r="E123" s="15">
        <v>163609.36256000001</v>
      </c>
      <c r="F123" s="61"/>
      <c r="G123" s="15"/>
      <c r="H123" s="61"/>
      <c r="I123" s="15">
        <f>E123-G123</f>
        <v>163609.36256000001</v>
      </c>
      <c r="J123" s="61"/>
      <c r="K123" s="45">
        <f t="shared" si="5"/>
        <v>1</v>
      </c>
    </row>
    <row r="124" spans="2:11" ht="15" customHeight="1" x14ac:dyDescent="0.35">
      <c r="B124" s="14" t="s">
        <v>491</v>
      </c>
      <c r="C124" s="14" t="s">
        <v>492</v>
      </c>
      <c r="D124" s="61"/>
      <c r="E124" s="15">
        <v>-41067.070899999999</v>
      </c>
      <c r="F124" s="61"/>
      <c r="G124" s="15"/>
      <c r="H124" s="61"/>
      <c r="I124" s="15">
        <f>E124-G124</f>
        <v>-41067.070899999999</v>
      </c>
      <c r="J124" s="61"/>
      <c r="K124" s="45">
        <f t="shared" si="5"/>
        <v>-1</v>
      </c>
    </row>
    <row r="125" spans="2:11" ht="15" customHeight="1" x14ac:dyDescent="0.35">
      <c r="B125" s="34" t="s">
        <v>493</v>
      </c>
      <c r="C125" s="34" t="s">
        <v>494</v>
      </c>
      <c r="D125" s="69"/>
      <c r="E125" s="35">
        <f>E123+E124</f>
        <v>122542.29166000002</v>
      </c>
      <c r="F125" s="69"/>
      <c r="G125" s="35">
        <f>G123+G124</f>
        <v>0</v>
      </c>
      <c r="H125" s="69"/>
      <c r="I125" s="35">
        <f>I123+I124</f>
        <v>122542.29166000002</v>
      </c>
      <c r="J125" s="69"/>
      <c r="K125" s="90">
        <f t="shared" si="5"/>
        <v>1</v>
      </c>
    </row>
    <row r="126" spans="2:11" ht="15" customHeight="1" x14ac:dyDescent="0.35">
      <c r="B126" s="14" t="s">
        <v>495</v>
      </c>
      <c r="C126" s="14" t="s">
        <v>496</v>
      </c>
      <c r="D126" s="61"/>
      <c r="E126" s="15">
        <v>2925.9769099999999</v>
      </c>
      <c r="F126" s="61"/>
      <c r="G126" s="15"/>
      <c r="H126" s="61"/>
      <c r="I126" s="15">
        <f>E126-G126</f>
        <v>2925.9769099999999</v>
      </c>
      <c r="J126" s="61"/>
      <c r="K126" s="45">
        <f t="shared" si="5"/>
        <v>1</v>
      </c>
    </row>
    <row r="127" spans="2:11" ht="15" customHeight="1" x14ac:dyDescent="0.35">
      <c r="B127" s="14" t="s">
        <v>497</v>
      </c>
      <c r="C127" s="14" t="s">
        <v>498</v>
      </c>
      <c r="D127" s="61"/>
      <c r="E127" s="15">
        <v>-2768.2368999999999</v>
      </c>
      <c r="F127" s="61"/>
      <c r="G127" s="15"/>
      <c r="H127" s="61"/>
      <c r="I127" s="15">
        <f>E127-G127</f>
        <v>-2768.2368999999999</v>
      </c>
      <c r="J127" s="61"/>
      <c r="K127" s="45">
        <f t="shared" si="5"/>
        <v>-1</v>
      </c>
    </row>
    <row r="128" spans="2:11" ht="15" customHeight="1" x14ac:dyDescent="0.35">
      <c r="B128" s="34" t="s">
        <v>499</v>
      </c>
      <c r="C128" s="34" t="s">
        <v>500</v>
      </c>
      <c r="D128" s="69"/>
      <c r="E128" s="35">
        <f>E126+E127</f>
        <v>157.74000999999998</v>
      </c>
      <c r="F128" s="69"/>
      <c r="G128" s="35">
        <f>G126+G127</f>
        <v>0</v>
      </c>
      <c r="H128" s="69"/>
      <c r="I128" s="35">
        <f>I126+I127</f>
        <v>157.74000999999998</v>
      </c>
      <c r="J128" s="69"/>
      <c r="K128" s="90">
        <f t="shared" si="5"/>
        <v>1</v>
      </c>
    </row>
    <row r="129" spans="2:11" ht="15" customHeight="1" x14ac:dyDescent="0.35">
      <c r="B129" s="14" t="s">
        <v>501</v>
      </c>
      <c r="C129" s="14" t="s">
        <v>502</v>
      </c>
      <c r="D129" s="61"/>
      <c r="E129" s="15"/>
      <c r="F129" s="61"/>
      <c r="G129" s="15"/>
      <c r="H129" s="61"/>
      <c r="I129" s="15">
        <f>E129-G129</f>
        <v>0</v>
      </c>
      <c r="J129" s="61"/>
      <c r="K129" s="45">
        <f t="shared" si="5"/>
        <v>0</v>
      </c>
    </row>
    <row r="130" spans="2:11" ht="15" customHeight="1" x14ac:dyDescent="0.35">
      <c r="B130" s="14" t="s">
        <v>503</v>
      </c>
      <c r="C130" s="14" t="s">
        <v>504</v>
      </c>
      <c r="D130" s="61"/>
      <c r="E130" s="15"/>
      <c r="F130" s="61"/>
      <c r="G130" s="15"/>
      <c r="H130" s="61"/>
      <c r="I130" s="15">
        <f>E130-G130</f>
        <v>0</v>
      </c>
      <c r="J130" s="61"/>
      <c r="K130" s="45">
        <f t="shared" si="5"/>
        <v>0</v>
      </c>
    </row>
    <row r="131" spans="2:11" ht="15" customHeight="1" x14ac:dyDescent="0.35">
      <c r="B131" s="34" t="s">
        <v>505</v>
      </c>
      <c r="C131" s="34" t="s">
        <v>506</v>
      </c>
      <c r="D131" s="69"/>
      <c r="E131" s="35">
        <f>E129+E130</f>
        <v>0</v>
      </c>
      <c r="F131" s="69"/>
      <c r="G131" s="35">
        <f>G129+G130</f>
        <v>0</v>
      </c>
      <c r="H131" s="69"/>
      <c r="I131" s="35">
        <f>I129+I130</f>
        <v>0</v>
      </c>
      <c r="J131" s="69"/>
      <c r="K131" s="90">
        <f t="shared" si="5"/>
        <v>0</v>
      </c>
    </row>
    <row r="132" spans="2:11" ht="15" customHeight="1" x14ac:dyDescent="0.35">
      <c r="B132" s="14" t="s">
        <v>507</v>
      </c>
      <c r="C132" s="14" t="s">
        <v>508</v>
      </c>
      <c r="D132" s="61"/>
      <c r="E132" s="15">
        <v>4000</v>
      </c>
      <c r="F132" s="61"/>
      <c r="G132" s="15"/>
      <c r="H132" s="61"/>
      <c r="I132" s="15">
        <f>E132-G132</f>
        <v>4000</v>
      </c>
      <c r="J132" s="61"/>
      <c r="K132" s="45">
        <f t="shared" si="5"/>
        <v>1</v>
      </c>
    </row>
    <row r="133" spans="2:11" ht="15" customHeight="1" x14ac:dyDescent="0.35">
      <c r="B133" s="14" t="s">
        <v>509</v>
      </c>
      <c r="C133" s="14" t="s">
        <v>510</v>
      </c>
      <c r="D133" s="61"/>
      <c r="E133" s="15"/>
      <c r="F133" s="61"/>
      <c r="G133" s="15"/>
      <c r="H133" s="61"/>
      <c r="I133" s="15">
        <f>E133-G133</f>
        <v>0</v>
      </c>
      <c r="J133" s="61"/>
      <c r="K133" s="45">
        <f t="shared" si="5"/>
        <v>0</v>
      </c>
    </row>
    <row r="134" spans="2:11" ht="15" customHeight="1" x14ac:dyDescent="0.35">
      <c r="B134" s="34" t="s">
        <v>511</v>
      </c>
      <c r="C134" s="34" t="s">
        <v>512</v>
      </c>
      <c r="D134" s="69"/>
      <c r="E134" s="35">
        <f>E132+E133</f>
        <v>4000</v>
      </c>
      <c r="F134" s="69"/>
      <c r="G134" s="35">
        <f>G132+G133</f>
        <v>0</v>
      </c>
      <c r="H134" s="69"/>
      <c r="I134" s="35">
        <f>I132+I133</f>
        <v>4000</v>
      </c>
      <c r="J134" s="69"/>
      <c r="K134" s="90">
        <f t="shared" si="5"/>
        <v>1</v>
      </c>
    </row>
    <row r="135" spans="2:11" ht="15" customHeight="1" x14ac:dyDescent="0.35">
      <c r="B135" s="14" t="s">
        <v>513</v>
      </c>
      <c r="C135" s="14" t="s">
        <v>514</v>
      </c>
      <c r="D135" s="61"/>
      <c r="E135" s="15">
        <v>46401.963900000002</v>
      </c>
      <c r="F135" s="61"/>
      <c r="G135" s="15"/>
      <c r="H135" s="61"/>
      <c r="I135" s="15">
        <f>E135-G135</f>
        <v>46401.963900000002</v>
      </c>
      <c r="J135" s="61"/>
      <c r="K135" s="45">
        <f t="shared" si="5"/>
        <v>1</v>
      </c>
    </row>
    <row r="136" spans="2:11" ht="15" customHeight="1" x14ac:dyDescent="0.35">
      <c r="B136" s="14" t="s">
        <v>515</v>
      </c>
      <c r="C136" s="14" t="s">
        <v>516</v>
      </c>
      <c r="D136" s="61"/>
      <c r="E136" s="15">
        <v>-32378.150310000001</v>
      </c>
      <c r="F136" s="61"/>
      <c r="G136" s="15"/>
      <c r="H136" s="61"/>
      <c r="I136" s="15">
        <f>E136-G136</f>
        <v>-32378.150310000001</v>
      </c>
      <c r="J136" s="61"/>
      <c r="K136" s="45">
        <f t="shared" si="5"/>
        <v>-1</v>
      </c>
    </row>
    <row r="137" spans="2:11" ht="15" customHeight="1" x14ac:dyDescent="0.35">
      <c r="B137" s="34" t="s">
        <v>517</v>
      </c>
      <c r="C137" s="34" t="s">
        <v>518</v>
      </c>
      <c r="D137" s="69"/>
      <c r="E137" s="35">
        <f>E135+E136</f>
        <v>14023.813590000002</v>
      </c>
      <c r="F137" s="69"/>
      <c r="G137" s="35">
        <f>G135+G136</f>
        <v>0</v>
      </c>
      <c r="H137" s="69"/>
      <c r="I137" s="35">
        <f>I135+I136</f>
        <v>14023.813590000002</v>
      </c>
      <c r="J137" s="69"/>
      <c r="K137" s="90">
        <f t="shared" si="5"/>
        <v>1</v>
      </c>
    </row>
    <row r="138" spans="2:11" ht="15" customHeight="1" x14ac:dyDescent="0.35">
      <c r="B138" s="14" t="s">
        <v>519</v>
      </c>
      <c r="C138" s="14" t="s">
        <v>520</v>
      </c>
      <c r="D138" s="61"/>
      <c r="E138" s="15"/>
      <c r="F138" s="61"/>
      <c r="G138" s="15">
        <v>211755.73342</v>
      </c>
      <c r="H138" s="61"/>
      <c r="I138" s="15">
        <f>E138-G138</f>
        <v>-211755.73342</v>
      </c>
      <c r="J138" s="61"/>
      <c r="K138" s="45">
        <f t="shared" ref="K138:K201" si="6">IF(ROUND(I138, 2)=0, 0, IFERROR(I138/ABS(G138), IF(I138&lt;0, -1, 1)))</f>
        <v>-1</v>
      </c>
    </row>
    <row r="139" spans="2:11" ht="15" customHeight="1" x14ac:dyDescent="0.35">
      <c r="B139" s="14" t="s">
        <v>521</v>
      </c>
      <c r="C139" s="14" t="s">
        <v>522</v>
      </c>
      <c r="D139" s="61"/>
      <c r="E139" s="15"/>
      <c r="F139" s="61"/>
      <c r="G139" s="15">
        <v>-75294.945949999994</v>
      </c>
      <c r="H139" s="61"/>
      <c r="I139" s="15">
        <f>E139-G139</f>
        <v>75294.945949999994</v>
      </c>
      <c r="J139" s="61"/>
      <c r="K139" s="45">
        <f t="shared" si="6"/>
        <v>1</v>
      </c>
    </row>
    <row r="140" spans="2:11" ht="15" customHeight="1" x14ac:dyDescent="0.35">
      <c r="B140" s="34" t="s">
        <v>523</v>
      </c>
      <c r="C140" s="34" t="s">
        <v>524</v>
      </c>
      <c r="D140" s="69"/>
      <c r="E140" s="35">
        <f>E138+E139</f>
        <v>0</v>
      </c>
      <c r="F140" s="69"/>
      <c r="G140" s="35">
        <f>G138+G139</f>
        <v>136460.78747000001</v>
      </c>
      <c r="H140" s="69"/>
      <c r="I140" s="35">
        <f>I138+I139</f>
        <v>-136460.78747000001</v>
      </c>
      <c r="J140" s="69"/>
      <c r="K140" s="90">
        <f t="shared" si="6"/>
        <v>-1</v>
      </c>
    </row>
    <row r="141" spans="2:11" ht="15" customHeight="1" x14ac:dyDescent="0.35">
      <c r="B141" s="11" t="s">
        <v>525</v>
      </c>
      <c r="C141" s="11" t="s">
        <v>475</v>
      </c>
      <c r="D141" s="29"/>
      <c r="E141" s="12"/>
      <c r="F141" s="29"/>
      <c r="G141" s="12"/>
      <c r="H141" s="29"/>
      <c r="I141" s="12"/>
      <c r="J141" s="29"/>
      <c r="K141" s="85">
        <f t="shared" si="6"/>
        <v>0</v>
      </c>
    </row>
    <row r="142" spans="2:11" ht="15" customHeight="1" x14ac:dyDescent="0.35">
      <c r="B142" s="16" t="s">
        <v>526</v>
      </c>
      <c r="C142" s="16" t="s">
        <v>527</v>
      </c>
      <c r="D142" s="64"/>
      <c r="E142" s="17">
        <f>E120+E123+E126+E129+E132+E135+E138</f>
        <v>223193.35143000001</v>
      </c>
      <c r="F142" s="64"/>
      <c r="G142" s="17">
        <f>G120+G123+G126+G129+G132+G135+G138</f>
        <v>211755.73342</v>
      </c>
      <c r="H142" s="64"/>
      <c r="I142" s="17">
        <f>I120+I123+I126+I129+I132+I135+I138</f>
        <v>11437.618010000006</v>
      </c>
      <c r="J142" s="64"/>
      <c r="K142" s="84">
        <f t="shared" si="6"/>
        <v>5.4013262475941723E-2</v>
      </c>
    </row>
    <row r="143" spans="2:11" ht="15" customHeight="1" thickBot="1" x14ac:dyDescent="0.4">
      <c r="B143" s="16" t="s">
        <v>528</v>
      </c>
      <c r="C143" s="16" t="s">
        <v>529</v>
      </c>
      <c r="D143" s="64"/>
      <c r="E143" s="17">
        <f>E121+E124+E127+E130+E133+E136+E139</f>
        <v>-77298.266109999997</v>
      </c>
      <c r="F143" s="64"/>
      <c r="G143" s="17">
        <f>G121+G124+G127+G130+G133+G136+G139</f>
        <v>-75294.945949999994</v>
      </c>
      <c r="H143" s="64"/>
      <c r="I143" s="17">
        <f>I121+I124+I127+I130+I133+I136+I139</f>
        <v>-2003.3201600000029</v>
      </c>
      <c r="J143" s="64"/>
      <c r="K143" s="84">
        <f t="shared" si="6"/>
        <v>-2.6606303181760941E-2</v>
      </c>
    </row>
    <row r="144" spans="2:11" ht="15" customHeight="1" thickBot="1" x14ac:dyDescent="0.4">
      <c r="B144" s="18" t="s">
        <v>530</v>
      </c>
      <c r="C144" s="18" t="s">
        <v>531</v>
      </c>
      <c r="D144" s="66"/>
      <c r="E144" s="19">
        <f>E122+E125+E128+E131+E134+E137+E140</f>
        <v>145895.08532000001</v>
      </c>
      <c r="F144" s="66"/>
      <c r="G144" s="19">
        <f>G122+G125+G128+G131+G134+G137+G140</f>
        <v>136460.78747000001</v>
      </c>
      <c r="H144" s="66"/>
      <c r="I144" s="19">
        <f>I122+I125+I128+I131+I134+I137+I140</f>
        <v>9434.2978500000027</v>
      </c>
      <c r="J144" s="66"/>
      <c r="K144" s="86">
        <f t="shared" si="6"/>
        <v>6.9135595836086389E-2</v>
      </c>
    </row>
    <row r="145" spans="2:11" ht="15" customHeight="1" x14ac:dyDescent="0.35">
      <c r="B145" s="11" t="s">
        <v>532</v>
      </c>
      <c r="C145" s="11" t="s">
        <v>22</v>
      </c>
      <c r="D145" s="29"/>
      <c r="E145" s="12"/>
      <c r="F145" s="29"/>
      <c r="G145" s="12"/>
      <c r="H145" s="29"/>
      <c r="I145" s="12"/>
      <c r="J145" s="29"/>
      <c r="K145" s="85">
        <f t="shared" si="6"/>
        <v>0</v>
      </c>
    </row>
    <row r="146" spans="2:11" ht="15" customHeight="1" x14ac:dyDescent="0.35">
      <c r="B146" s="14" t="s">
        <v>533</v>
      </c>
      <c r="C146" s="14" t="s">
        <v>534</v>
      </c>
      <c r="D146" s="61"/>
      <c r="E146" s="15">
        <v>365626.63205999997</v>
      </c>
      <c r="F146" s="61"/>
      <c r="G146" s="15">
        <v>288335.63205999997</v>
      </c>
      <c r="H146" s="61"/>
      <c r="I146" s="15">
        <f>E146-G146</f>
        <v>77291</v>
      </c>
      <c r="J146" s="61"/>
      <c r="K146" s="45">
        <f t="shared" si="6"/>
        <v>0.2680591345849217</v>
      </c>
    </row>
    <row r="147" spans="2:11" ht="15" customHeight="1" x14ac:dyDescent="0.35">
      <c r="B147" s="14" t="s">
        <v>535</v>
      </c>
      <c r="C147" s="14" t="s">
        <v>536</v>
      </c>
      <c r="D147" s="61"/>
      <c r="E147" s="15">
        <v>-19154.206880000002</v>
      </c>
      <c r="F147" s="61"/>
      <c r="G147" s="15">
        <v>-19154.206880000002</v>
      </c>
      <c r="H147" s="61"/>
      <c r="I147" s="15">
        <f>E147-G147</f>
        <v>0</v>
      </c>
      <c r="J147" s="61"/>
      <c r="K147" s="45">
        <f t="shared" si="6"/>
        <v>0</v>
      </c>
    </row>
    <row r="148" spans="2:11" ht="15" customHeight="1" x14ac:dyDescent="0.35">
      <c r="B148" s="14" t="s">
        <v>537</v>
      </c>
      <c r="C148" s="14" t="s">
        <v>538</v>
      </c>
      <c r="D148" s="61"/>
      <c r="E148" s="15">
        <v>1630087</v>
      </c>
      <c r="F148" s="61"/>
      <c r="G148" s="15">
        <v>1630618.0943499999</v>
      </c>
      <c r="H148" s="61"/>
      <c r="I148" s="15">
        <f>E148-G148</f>
        <v>-531.09434999991208</v>
      </c>
      <c r="J148" s="61"/>
      <c r="K148" s="45">
        <f t="shared" si="6"/>
        <v>-3.2570124901724331E-4</v>
      </c>
    </row>
    <row r="149" spans="2:11" ht="15" customHeight="1" x14ac:dyDescent="0.35">
      <c r="B149" s="14" t="s">
        <v>539</v>
      </c>
      <c r="C149" s="14" t="s">
        <v>540</v>
      </c>
      <c r="D149" s="61"/>
      <c r="E149" s="15"/>
      <c r="F149" s="61"/>
      <c r="G149" s="15"/>
      <c r="H149" s="61"/>
      <c r="I149" s="15">
        <f>E149-G149</f>
        <v>0</v>
      </c>
      <c r="J149" s="61"/>
      <c r="K149" s="45">
        <f t="shared" si="6"/>
        <v>0</v>
      </c>
    </row>
    <row r="150" spans="2:11" ht="15" customHeight="1" x14ac:dyDescent="0.35">
      <c r="B150" s="16" t="s">
        <v>541</v>
      </c>
      <c r="C150" s="16" t="s">
        <v>542</v>
      </c>
      <c r="D150" s="64"/>
      <c r="E150" s="17">
        <f>E146+E147+E148+E149</f>
        <v>1976559.42518</v>
      </c>
      <c r="F150" s="64"/>
      <c r="G150" s="17">
        <f>G146+G147+G148+G149</f>
        <v>1899799.5195299999</v>
      </c>
      <c r="H150" s="64"/>
      <c r="I150" s="17">
        <f>I146+I147+I148+I149</f>
        <v>76759.905650000088</v>
      </c>
      <c r="J150" s="64"/>
      <c r="K150" s="84">
        <f t="shared" si="6"/>
        <v>4.0404213634599756E-2</v>
      </c>
    </row>
    <row r="151" spans="2:11" ht="15" customHeight="1" x14ac:dyDescent="0.35">
      <c r="B151" s="11" t="s">
        <v>543</v>
      </c>
      <c r="C151" s="11" t="s">
        <v>22</v>
      </c>
      <c r="D151" s="29"/>
      <c r="E151" s="12"/>
      <c r="F151" s="29"/>
      <c r="G151" s="12"/>
      <c r="H151" s="29"/>
      <c r="I151" s="12"/>
      <c r="J151" s="29"/>
      <c r="K151" s="85">
        <f t="shared" si="6"/>
        <v>0</v>
      </c>
    </row>
    <row r="152" spans="2:11" ht="15" customHeight="1" x14ac:dyDescent="0.35">
      <c r="B152" s="14" t="s">
        <v>544</v>
      </c>
      <c r="C152" s="14" t="s">
        <v>545</v>
      </c>
      <c r="D152" s="61"/>
      <c r="E152" s="15">
        <v>15293.701590000001</v>
      </c>
      <c r="F152" s="61"/>
      <c r="G152" s="15">
        <v>16025.660250000001</v>
      </c>
      <c r="H152" s="61"/>
      <c r="I152" s="15">
        <f>E152-G152</f>
        <v>-731.95866000000024</v>
      </c>
      <c r="J152" s="61"/>
      <c r="K152" s="45">
        <f t="shared" si="6"/>
        <v>-4.567416559327097E-2</v>
      </c>
    </row>
    <row r="153" spans="2:11" ht="15" customHeight="1" x14ac:dyDescent="0.35">
      <c r="B153" s="14" t="s">
        <v>546</v>
      </c>
      <c r="C153" s="14" t="s">
        <v>547</v>
      </c>
      <c r="D153" s="61"/>
      <c r="E153" s="15">
        <v>19311.3024</v>
      </c>
      <c r="F153" s="61"/>
      <c r="G153" s="15">
        <v>20380.70564</v>
      </c>
      <c r="H153" s="61"/>
      <c r="I153" s="15">
        <f>E153-G153</f>
        <v>-1069.4032399999996</v>
      </c>
      <c r="J153" s="61"/>
      <c r="K153" s="45">
        <f t="shared" si="6"/>
        <v>-5.2471354961387863E-2</v>
      </c>
    </row>
    <row r="154" spans="2:11" ht="15" customHeight="1" x14ac:dyDescent="0.35">
      <c r="B154" s="14" t="s">
        <v>548</v>
      </c>
      <c r="C154" s="14" t="s">
        <v>549</v>
      </c>
      <c r="D154" s="61"/>
      <c r="E154" s="15">
        <v>9301.5444700000007</v>
      </c>
      <c r="F154" s="61"/>
      <c r="G154" s="15">
        <v>4856.5843999999997</v>
      </c>
      <c r="H154" s="61"/>
      <c r="I154" s="15">
        <f>E154-G154</f>
        <v>4444.960070000001</v>
      </c>
      <c r="J154" s="61"/>
      <c r="K154" s="45">
        <f t="shared" si="6"/>
        <v>0.91524406947401171</v>
      </c>
    </row>
    <row r="155" spans="2:11" ht="15" customHeight="1" x14ac:dyDescent="0.35">
      <c r="B155" s="14" t="s">
        <v>550</v>
      </c>
      <c r="C155" s="14" t="s">
        <v>551</v>
      </c>
      <c r="D155" s="61"/>
      <c r="E155" s="15">
        <v>74310.394090000002</v>
      </c>
      <c r="F155" s="61"/>
      <c r="G155" s="15">
        <v>79700.904800000004</v>
      </c>
      <c r="H155" s="61"/>
      <c r="I155" s="15">
        <f>E155-G155</f>
        <v>-5390.5107100000023</v>
      </c>
      <c r="J155" s="61"/>
      <c r="K155" s="45">
        <f t="shared" si="6"/>
        <v>-6.7634247359259617E-2</v>
      </c>
    </row>
    <row r="156" spans="2:11" ht="15" customHeight="1" x14ac:dyDescent="0.35">
      <c r="B156" s="16" t="s">
        <v>552</v>
      </c>
      <c r="C156" s="16" t="s">
        <v>553</v>
      </c>
      <c r="D156" s="64"/>
      <c r="E156" s="17">
        <f>E152+E153+E154+E155</f>
        <v>118216.94255000001</v>
      </c>
      <c r="F156" s="64"/>
      <c r="G156" s="17">
        <f>G152+G153+G154+G155</f>
        <v>120963.85509</v>
      </c>
      <c r="H156" s="64"/>
      <c r="I156" s="17">
        <f>I152+I153+I154+I155</f>
        <v>-2746.9125400000012</v>
      </c>
      <c r="J156" s="64"/>
      <c r="K156" s="84">
        <f t="shared" si="6"/>
        <v>-2.2708539984578308E-2</v>
      </c>
    </row>
    <row r="157" spans="2:11" ht="15" customHeight="1" x14ac:dyDescent="0.35">
      <c r="B157" s="11" t="s">
        <v>105</v>
      </c>
      <c r="C157" s="11" t="s">
        <v>22</v>
      </c>
      <c r="D157" s="29"/>
      <c r="E157" s="12"/>
      <c r="F157" s="29"/>
      <c r="G157" s="12"/>
      <c r="H157" s="29"/>
      <c r="I157" s="12"/>
      <c r="J157" s="29"/>
      <c r="K157" s="85">
        <f t="shared" si="6"/>
        <v>0</v>
      </c>
    </row>
    <row r="158" spans="2:11" ht="15" customHeight="1" x14ac:dyDescent="0.35">
      <c r="B158" s="14" t="s">
        <v>554</v>
      </c>
      <c r="C158" s="14" t="s">
        <v>555</v>
      </c>
      <c r="D158" s="61"/>
      <c r="E158" s="15"/>
      <c r="F158" s="61"/>
      <c r="G158" s="15">
        <v>-1E-3</v>
      </c>
      <c r="H158" s="61"/>
      <c r="I158" s="15">
        <f>E158-G158</f>
        <v>1E-3</v>
      </c>
      <c r="J158" s="61"/>
      <c r="K158" s="45">
        <f t="shared" si="6"/>
        <v>0</v>
      </c>
    </row>
    <row r="159" spans="2:11" ht="15" customHeight="1" x14ac:dyDescent="0.35">
      <c r="B159" s="11" t="s">
        <v>556</v>
      </c>
      <c r="C159" s="11" t="s">
        <v>22</v>
      </c>
      <c r="D159" s="29"/>
      <c r="E159" s="12"/>
      <c r="F159" s="29"/>
      <c r="G159" s="12"/>
      <c r="H159" s="29"/>
      <c r="I159" s="12"/>
      <c r="J159" s="29"/>
      <c r="K159" s="85">
        <f t="shared" si="6"/>
        <v>0</v>
      </c>
    </row>
    <row r="160" spans="2:11" ht="15" customHeight="1" x14ac:dyDescent="0.35">
      <c r="B160" s="14" t="s">
        <v>557</v>
      </c>
      <c r="C160" s="14" t="s">
        <v>558</v>
      </c>
      <c r="D160" s="61"/>
      <c r="E160" s="15"/>
      <c r="F160" s="61"/>
      <c r="G160" s="15"/>
      <c r="H160" s="61"/>
      <c r="I160" s="15">
        <f>E160-G160</f>
        <v>0</v>
      </c>
      <c r="J160" s="61"/>
      <c r="K160" s="45">
        <f t="shared" si="6"/>
        <v>0</v>
      </c>
    </row>
    <row r="161" spans="2:11" ht="15" customHeight="1" thickBot="1" x14ac:dyDescent="0.4">
      <c r="B161" s="11" t="s">
        <v>559</v>
      </c>
      <c r="C161" s="11" t="s">
        <v>22</v>
      </c>
      <c r="D161" s="29"/>
      <c r="E161" s="12"/>
      <c r="F161" s="29"/>
      <c r="G161" s="12"/>
      <c r="H161" s="29"/>
      <c r="I161" s="12"/>
      <c r="J161" s="29"/>
      <c r="K161" s="85">
        <f t="shared" si="6"/>
        <v>0</v>
      </c>
    </row>
    <row r="162" spans="2:11" ht="15" customHeight="1" thickBot="1" x14ac:dyDescent="0.4">
      <c r="B162" s="18" t="s">
        <v>560</v>
      </c>
      <c r="C162" s="18" t="s">
        <v>561</v>
      </c>
      <c r="D162" s="66"/>
      <c r="E162" s="19">
        <f>E68+E72+E74+E118+E150+E144+E158+E160+E156</f>
        <v>4876234.9205599995</v>
      </c>
      <c r="F162" s="66"/>
      <c r="G162" s="19">
        <f>G68+G72+G74+G118+G150+G144+G158+G160+G156</f>
        <v>4407851.5020599999</v>
      </c>
      <c r="H162" s="66"/>
      <c r="I162" s="19">
        <f>I68+I72+I74+I118+I150+I144+I158+I160+I156</f>
        <v>468383.41850000038</v>
      </c>
      <c r="J162" s="66"/>
      <c r="K162" s="86">
        <f t="shared" si="6"/>
        <v>0.10626116108519137</v>
      </c>
    </row>
    <row r="163" spans="2:11" ht="15" customHeight="1" thickBot="1" x14ac:dyDescent="0.4">
      <c r="B163" s="11" t="s">
        <v>562</v>
      </c>
      <c r="C163" s="11" t="s">
        <v>22</v>
      </c>
      <c r="D163" s="29"/>
      <c r="E163" s="12"/>
      <c r="F163" s="29"/>
      <c r="G163" s="12"/>
      <c r="H163" s="29"/>
      <c r="I163" s="12"/>
      <c r="J163" s="29"/>
      <c r="K163" s="85">
        <f t="shared" si="6"/>
        <v>0</v>
      </c>
    </row>
    <row r="164" spans="2:11" ht="15" customHeight="1" thickBot="1" x14ac:dyDescent="0.4">
      <c r="B164" s="18" t="s">
        <v>563</v>
      </c>
      <c r="C164" s="18" t="s">
        <v>564</v>
      </c>
      <c r="D164" s="66"/>
      <c r="E164" s="19">
        <f>E59+E162</f>
        <v>5566340.1106899995</v>
      </c>
      <c r="F164" s="66"/>
      <c r="G164" s="19">
        <f>G59+G162</f>
        <v>4928060.8604600001</v>
      </c>
      <c r="H164" s="66"/>
      <c r="I164" s="19">
        <f>I59+I162</f>
        <v>638279.25023000035</v>
      </c>
      <c r="J164" s="66"/>
      <c r="K164" s="86">
        <f t="shared" si="6"/>
        <v>0.12951935219615399</v>
      </c>
    </row>
    <row r="165" spans="2:11" ht="15" customHeight="1" x14ac:dyDescent="0.35">
      <c r="B165" s="11" t="s">
        <v>565</v>
      </c>
      <c r="C165" s="11" t="s">
        <v>22</v>
      </c>
      <c r="D165" s="29"/>
      <c r="E165" s="12"/>
      <c r="F165" s="29"/>
      <c r="G165" s="12"/>
      <c r="H165" s="29"/>
      <c r="I165" s="12"/>
      <c r="J165" s="29"/>
      <c r="K165" s="85">
        <f t="shared" si="6"/>
        <v>0</v>
      </c>
    </row>
    <row r="166" spans="2:11" ht="15" customHeight="1" x14ac:dyDescent="0.35">
      <c r="B166" s="14" t="s">
        <v>566</v>
      </c>
      <c r="C166" s="14" t="s">
        <v>567</v>
      </c>
      <c r="D166" s="61"/>
      <c r="E166" s="15">
        <v>21212.34851</v>
      </c>
      <c r="F166" s="61"/>
      <c r="G166" s="15">
        <v>12615.555130000001</v>
      </c>
      <c r="H166" s="61"/>
      <c r="I166" s="15">
        <f>E166-G166</f>
        <v>8596.7933799999992</v>
      </c>
      <c r="J166" s="61"/>
      <c r="K166" s="45">
        <f t="shared" si="6"/>
        <v>0.68144392311018331</v>
      </c>
    </row>
    <row r="167" spans="2:11" ht="15" customHeight="1" x14ac:dyDescent="0.35">
      <c r="B167" s="14" t="s">
        <v>568</v>
      </c>
      <c r="C167" s="14" t="s">
        <v>569</v>
      </c>
      <c r="D167" s="61"/>
      <c r="E167" s="15"/>
      <c r="F167" s="61"/>
      <c r="G167" s="15"/>
      <c r="H167" s="61"/>
      <c r="I167" s="15">
        <f>E167-G167</f>
        <v>0</v>
      </c>
      <c r="J167" s="61"/>
      <c r="K167" s="45">
        <f t="shared" si="6"/>
        <v>0</v>
      </c>
    </row>
    <row r="168" spans="2:11" ht="15" customHeight="1" x14ac:dyDescent="0.35">
      <c r="B168" s="14" t="s">
        <v>570</v>
      </c>
      <c r="C168" s="14" t="s">
        <v>571</v>
      </c>
      <c r="D168" s="61"/>
      <c r="E168" s="15">
        <v>199158.95551</v>
      </c>
      <c r="F168" s="61"/>
      <c r="G168" s="15">
        <v>240935.70840999999</v>
      </c>
      <c r="H168" s="61"/>
      <c r="I168" s="15">
        <f>E168-G168</f>
        <v>-41776.752899999992</v>
      </c>
      <c r="J168" s="61"/>
      <c r="K168" s="45">
        <f t="shared" si="6"/>
        <v>-0.17339377867936681</v>
      </c>
    </row>
    <row r="169" spans="2:11" ht="15" customHeight="1" x14ac:dyDescent="0.35">
      <c r="B169" s="14" t="s">
        <v>572</v>
      </c>
      <c r="C169" s="14" t="s">
        <v>573</v>
      </c>
      <c r="D169" s="61"/>
      <c r="E169" s="15">
        <v>7420.20136</v>
      </c>
      <c r="F169" s="61"/>
      <c r="G169" s="15">
        <v>6435.22379</v>
      </c>
      <c r="H169" s="61"/>
      <c r="I169" s="15">
        <f>E169-G169</f>
        <v>984.97757000000001</v>
      </c>
      <c r="J169" s="61"/>
      <c r="K169" s="45">
        <f t="shared" si="6"/>
        <v>0.15306034446394909</v>
      </c>
    </row>
    <row r="170" spans="2:11" ht="15" customHeight="1" x14ac:dyDescent="0.35">
      <c r="B170" s="16" t="s">
        <v>574</v>
      </c>
      <c r="C170" s="16" t="s">
        <v>575</v>
      </c>
      <c r="D170" s="64"/>
      <c r="E170" s="17">
        <f>-(-(E166+E167)-E168-E169)</f>
        <v>227791.50538000002</v>
      </c>
      <c r="F170" s="64"/>
      <c r="G170" s="17">
        <f>-(-(G166+G167)-G168-G169)</f>
        <v>259986.48732999997</v>
      </c>
      <c r="H170" s="64"/>
      <c r="I170" s="17">
        <f>-(-(I166+I167)-I168-I169)</f>
        <v>-32194.98194999999</v>
      </c>
      <c r="J170" s="64"/>
      <c r="K170" s="84">
        <f t="shared" si="6"/>
        <v>-0.12383328949375361</v>
      </c>
    </row>
    <row r="171" spans="2:11" ht="15" customHeight="1" x14ac:dyDescent="0.35">
      <c r="B171" s="11" t="s">
        <v>576</v>
      </c>
      <c r="C171" s="11" t="s">
        <v>22</v>
      </c>
      <c r="D171" s="29"/>
      <c r="E171" s="12"/>
      <c r="F171" s="29"/>
      <c r="G171" s="12"/>
      <c r="H171" s="29"/>
      <c r="I171" s="12"/>
      <c r="J171" s="29"/>
      <c r="K171" s="85">
        <f t="shared" si="6"/>
        <v>0</v>
      </c>
    </row>
    <row r="172" spans="2:11" ht="15" customHeight="1" x14ac:dyDescent="0.35">
      <c r="B172" s="14" t="s">
        <v>577</v>
      </c>
      <c r="C172" s="14" t="s">
        <v>578</v>
      </c>
      <c r="D172" s="61"/>
      <c r="E172" s="15">
        <v>703169.21542999998</v>
      </c>
      <c r="F172" s="61"/>
      <c r="G172" s="15">
        <v>73969.215429999997</v>
      </c>
      <c r="H172" s="61"/>
      <c r="I172" s="15">
        <f t="shared" ref="I172:I181" si="7">E172-G172</f>
        <v>629200</v>
      </c>
      <c r="J172" s="61"/>
      <c r="K172" s="45">
        <f t="shared" si="6"/>
        <v>8.506241364631439</v>
      </c>
    </row>
    <row r="173" spans="2:11" ht="15" customHeight="1" x14ac:dyDescent="0.35">
      <c r="B173" s="14" t="s">
        <v>579</v>
      </c>
      <c r="C173" s="14" t="s">
        <v>580</v>
      </c>
      <c r="D173" s="61"/>
      <c r="E173" s="15"/>
      <c r="F173" s="61"/>
      <c r="G173" s="15"/>
      <c r="H173" s="61"/>
      <c r="I173" s="15">
        <f t="shared" si="7"/>
        <v>0</v>
      </c>
      <c r="J173" s="61"/>
      <c r="K173" s="45">
        <f t="shared" si="6"/>
        <v>0</v>
      </c>
    </row>
    <row r="174" spans="2:11" ht="15" customHeight="1" x14ac:dyDescent="0.35">
      <c r="B174" s="14" t="s">
        <v>581</v>
      </c>
      <c r="C174" s="14" t="s">
        <v>582</v>
      </c>
      <c r="D174" s="61"/>
      <c r="E174" s="15">
        <v>-8.9480000000000004E-2</v>
      </c>
      <c r="F174" s="61"/>
      <c r="G174" s="15">
        <v>491.85766000000001</v>
      </c>
      <c r="H174" s="61"/>
      <c r="I174" s="15">
        <f t="shared" si="7"/>
        <v>-491.94713999999999</v>
      </c>
      <c r="J174" s="61"/>
      <c r="K174" s="45">
        <f t="shared" si="6"/>
        <v>-1.00018192255052</v>
      </c>
    </row>
    <row r="175" spans="2:11" ht="15" customHeight="1" x14ac:dyDescent="0.35">
      <c r="B175" s="14" t="s">
        <v>583</v>
      </c>
      <c r="C175" s="14" t="s">
        <v>584</v>
      </c>
      <c r="D175" s="61"/>
      <c r="E175" s="15"/>
      <c r="F175" s="61"/>
      <c r="G175" s="15"/>
      <c r="H175" s="61"/>
      <c r="I175" s="15">
        <f t="shared" si="7"/>
        <v>0</v>
      </c>
      <c r="J175" s="61"/>
      <c r="K175" s="45">
        <f t="shared" si="6"/>
        <v>0</v>
      </c>
    </row>
    <row r="176" spans="2:11" ht="15" customHeight="1" x14ac:dyDescent="0.35">
      <c r="B176" s="14" t="s">
        <v>585</v>
      </c>
      <c r="C176" s="14" t="s">
        <v>586</v>
      </c>
      <c r="D176" s="61"/>
      <c r="E176" s="15">
        <v>146489.6594</v>
      </c>
      <c r="F176" s="61"/>
      <c r="G176" s="15">
        <v>146489.6594</v>
      </c>
      <c r="H176" s="61"/>
      <c r="I176" s="15">
        <f t="shared" si="7"/>
        <v>0</v>
      </c>
      <c r="J176" s="61"/>
      <c r="K176" s="45">
        <f t="shared" si="6"/>
        <v>0</v>
      </c>
    </row>
    <row r="177" spans="2:11" ht="15" customHeight="1" x14ac:dyDescent="0.35">
      <c r="B177" s="14" t="s">
        <v>587</v>
      </c>
      <c r="C177" s="14" t="s">
        <v>588</v>
      </c>
      <c r="D177" s="61"/>
      <c r="E177" s="15"/>
      <c r="F177" s="61"/>
      <c r="G177" s="15"/>
      <c r="H177" s="61"/>
      <c r="I177" s="15">
        <f t="shared" si="7"/>
        <v>0</v>
      </c>
      <c r="J177" s="61"/>
      <c r="K177" s="45">
        <f t="shared" si="6"/>
        <v>0</v>
      </c>
    </row>
    <row r="178" spans="2:11" ht="15" customHeight="1" x14ac:dyDescent="0.35">
      <c r="B178" s="14" t="s">
        <v>589</v>
      </c>
      <c r="C178" s="14" t="s">
        <v>590</v>
      </c>
      <c r="D178" s="61"/>
      <c r="E178" s="15"/>
      <c r="F178" s="61"/>
      <c r="G178" s="15"/>
      <c r="H178" s="61"/>
      <c r="I178" s="15">
        <f t="shared" si="7"/>
        <v>0</v>
      </c>
      <c r="J178" s="61"/>
      <c r="K178" s="45">
        <f t="shared" si="6"/>
        <v>0</v>
      </c>
    </row>
    <row r="179" spans="2:11" ht="15" customHeight="1" x14ac:dyDescent="0.35">
      <c r="B179" s="14" t="s">
        <v>591</v>
      </c>
      <c r="C179" s="14" t="s">
        <v>592</v>
      </c>
      <c r="D179" s="61"/>
      <c r="E179" s="15">
        <v>493.60199999999998</v>
      </c>
      <c r="F179" s="61"/>
      <c r="G179" s="15"/>
      <c r="H179" s="61"/>
      <c r="I179" s="15">
        <f t="shared" si="7"/>
        <v>493.60199999999998</v>
      </c>
      <c r="J179" s="61"/>
      <c r="K179" s="45">
        <f t="shared" si="6"/>
        <v>1</v>
      </c>
    </row>
    <row r="180" spans="2:11" ht="15" customHeight="1" x14ac:dyDescent="0.35">
      <c r="B180" s="14" t="s">
        <v>593</v>
      </c>
      <c r="C180" s="14" t="s">
        <v>594</v>
      </c>
      <c r="D180" s="61"/>
      <c r="E180" s="15">
        <v>48469.169179999997</v>
      </c>
      <c r="F180" s="61"/>
      <c r="G180" s="15">
        <v>45220.39918</v>
      </c>
      <c r="H180" s="61"/>
      <c r="I180" s="15">
        <f t="shared" si="7"/>
        <v>3248.7699999999968</v>
      </c>
      <c r="J180" s="61"/>
      <c r="K180" s="45">
        <f t="shared" si="6"/>
        <v>7.1843019055808269E-2</v>
      </c>
    </row>
    <row r="181" spans="2:11" ht="15" customHeight="1" x14ac:dyDescent="0.35">
      <c r="B181" s="14" t="s">
        <v>595</v>
      </c>
      <c r="C181" s="14" t="s">
        <v>596</v>
      </c>
      <c r="D181" s="61"/>
      <c r="E181" s="15">
        <v>0</v>
      </c>
      <c r="F181" s="61"/>
      <c r="G181" s="15"/>
      <c r="H181" s="61"/>
      <c r="I181" s="15">
        <f t="shared" si="7"/>
        <v>0</v>
      </c>
      <c r="J181" s="61"/>
      <c r="K181" s="45">
        <f t="shared" si="6"/>
        <v>0</v>
      </c>
    </row>
    <row r="182" spans="2:11" ht="15" customHeight="1" x14ac:dyDescent="0.35">
      <c r="B182" s="16" t="s">
        <v>597</v>
      </c>
      <c r="C182" s="16" t="s">
        <v>598</v>
      </c>
      <c r="D182" s="64"/>
      <c r="E182" s="17">
        <f>-(-(E172+E173)-E174-E175-E176-E177-E178-E179-E180-E181)</f>
        <v>898621.55652999994</v>
      </c>
      <c r="F182" s="64"/>
      <c r="G182" s="17">
        <f>-(-(G172+G173)-G174-G175-G176-G177-G178-G179-G180-G181)</f>
        <v>266171.13166999997</v>
      </c>
      <c r="H182" s="64"/>
      <c r="I182" s="17">
        <f>-(-(I172+I173)-I174-I175-I176-I177-I178-I179-I180-I181)</f>
        <v>632450.42486000003</v>
      </c>
      <c r="J182" s="64"/>
      <c r="K182" s="84">
        <f t="shared" si="6"/>
        <v>2.3761045042409581</v>
      </c>
    </row>
    <row r="183" spans="2:11" ht="15" customHeight="1" x14ac:dyDescent="0.35">
      <c r="B183" s="11" t="s">
        <v>115</v>
      </c>
      <c r="C183" s="11" t="s">
        <v>22</v>
      </c>
      <c r="D183" s="29"/>
      <c r="E183" s="12"/>
      <c r="F183" s="29"/>
      <c r="G183" s="12"/>
      <c r="H183" s="29"/>
      <c r="I183" s="12"/>
      <c r="J183" s="29"/>
      <c r="K183" s="85">
        <f t="shared" si="6"/>
        <v>0</v>
      </c>
    </row>
    <row r="184" spans="2:11" ht="15" customHeight="1" x14ac:dyDescent="0.35">
      <c r="B184" s="14" t="s">
        <v>599</v>
      </c>
      <c r="C184" s="14" t="s">
        <v>600</v>
      </c>
      <c r="D184" s="61"/>
      <c r="E184" s="15">
        <v>163.11313999999999</v>
      </c>
      <c r="F184" s="61"/>
      <c r="G184" s="15">
        <v>13.471220000000001</v>
      </c>
      <c r="H184" s="61"/>
      <c r="I184" s="15">
        <f>E184-G184</f>
        <v>149.64192</v>
      </c>
      <c r="J184" s="61"/>
      <c r="K184" s="45">
        <f t="shared" si="6"/>
        <v>11.108267848049396</v>
      </c>
    </row>
    <row r="185" spans="2:11" ht="15" customHeight="1" x14ac:dyDescent="0.35">
      <c r="B185" s="11" t="s">
        <v>601</v>
      </c>
      <c r="C185" s="11" t="s">
        <v>22</v>
      </c>
      <c r="D185" s="29"/>
      <c r="E185" s="12"/>
      <c r="F185" s="29"/>
      <c r="G185" s="12"/>
      <c r="H185" s="29"/>
      <c r="I185" s="12"/>
      <c r="J185" s="29"/>
      <c r="K185" s="85">
        <f t="shared" si="6"/>
        <v>0</v>
      </c>
    </row>
    <row r="186" spans="2:11" ht="15" customHeight="1" x14ac:dyDescent="0.35">
      <c r="B186" s="14" t="s">
        <v>602</v>
      </c>
      <c r="C186" s="14" t="s">
        <v>603</v>
      </c>
      <c r="D186" s="61"/>
      <c r="E186" s="15">
        <v>10714.47775</v>
      </c>
      <c r="F186" s="61"/>
      <c r="G186" s="15">
        <v>24782.60399</v>
      </c>
      <c r="H186" s="61"/>
      <c r="I186" s="15">
        <f>E186-G186</f>
        <v>-14068.12624</v>
      </c>
      <c r="J186" s="61"/>
      <c r="K186" s="45">
        <f t="shared" si="6"/>
        <v>-0.56766134203155627</v>
      </c>
    </row>
    <row r="187" spans="2:11" ht="15" customHeight="1" x14ac:dyDescent="0.35">
      <c r="B187" s="14" t="s">
        <v>604</v>
      </c>
      <c r="C187" s="14" t="s">
        <v>605</v>
      </c>
      <c r="D187" s="61"/>
      <c r="E187" s="15"/>
      <c r="F187" s="61"/>
      <c r="G187" s="15"/>
      <c r="H187" s="61"/>
      <c r="I187" s="15">
        <f>E187-G187</f>
        <v>0</v>
      </c>
      <c r="J187" s="61"/>
      <c r="K187" s="45">
        <f t="shared" si="6"/>
        <v>0</v>
      </c>
    </row>
    <row r="188" spans="2:11" ht="15" customHeight="1" x14ac:dyDescent="0.35">
      <c r="B188" s="16" t="s">
        <v>606</v>
      </c>
      <c r="C188" s="16" t="s">
        <v>607</v>
      </c>
      <c r="D188" s="64"/>
      <c r="E188" s="17">
        <f>E186+E187</f>
        <v>10714.47775</v>
      </c>
      <c r="F188" s="64"/>
      <c r="G188" s="17">
        <f>G186+G187</f>
        <v>24782.60399</v>
      </c>
      <c r="H188" s="64"/>
      <c r="I188" s="17">
        <f>I186+I187</f>
        <v>-14068.12624</v>
      </c>
      <c r="J188" s="64"/>
      <c r="K188" s="84">
        <f t="shared" si="6"/>
        <v>-0.56766134203155627</v>
      </c>
    </row>
    <row r="189" spans="2:11" ht="15" customHeight="1" x14ac:dyDescent="0.35">
      <c r="B189" s="11" t="s">
        <v>608</v>
      </c>
      <c r="C189" s="11" t="s">
        <v>22</v>
      </c>
      <c r="D189" s="29"/>
      <c r="E189" s="12"/>
      <c r="F189" s="29"/>
      <c r="G189" s="12"/>
      <c r="H189" s="29"/>
      <c r="I189" s="12"/>
      <c r="J189" s="29"/>
      <c r="K189" s="85">
        <f t="shared" si="6"/>
        <v>0</v>
      </c>
    </row>
    <row r="190" spans="2:11" ht="15" customHeight="1" x14ac:dyDescent="0.35">
      <c r="B190" s="14" t="s">
        <v>609</v>
      </c>
      <c r="C190" s="14" t="s">
        <v>610</v>
      </c>
      <c r="D190" s="61"/>
      <c r="E190" s="15">
        <v>3583.6652100000001</v>
      </c>
      <c r="F190" s="61"/>
      <c r="G190" s="15">
        <v>4623.1684299999997</v>
      </c>
      <c r="H190" s="61"/>
      <c r="I190" s="15">
        <f t="shared" ref="I190:I203" si="8">E190-G190</f>
        <v>-1039.5032199999996</v>
      </c>
      <c r="J190" s="61"/>
      <c r="K190" s="45">
        <f t="shared" si="6"/>
        <v>-0.22484649558830797</v>
      </c>
    </row>
    <row r="191" spans="2:11" ht="15" customHeight="1" x14ac:dyDescent="0.35">
      <c r="B191" s="14" t="s">
        <v>611</v>
      </c>
      <c r="C191" s="14" t="s">
        <v>612</v>
      </c>
      <c r="D191" s="61"/>
      <c r="E191" s="15"/>
      <c r="F191" s="61"/>
      <c r="G191" s="15"/>
      <c r="H191" s="61"/>
      <c r="I191" s="15">
        <f t="shared" si="8"/>
        <v>0</v>
      </c>
      <c r="J191" s="61"/>
      <c r="K191" s="45">
        <f t="shared" si="6"/>
        <v>0</v>
      </c>
    </row>
    <row r="192" spans="2:11" ht="15" customHeight="1" x14ac:dyDescent="0.35">
      <c r="B192" s="14" t="s">
        <v>613</v>
      </c>
      <c r="C192" s="14" t="s">
        <v>614</v>
      </c>
      <c r="D192" s="61"/>
      <c r="E192" s="15">
        <v>999.19690000000003</v>
      </c>
      <c r="F192" s="61"/>
      <c r="G192" s="15">
        <v>8.6975800000000003</v>
      </c>
      <c r="H192" s="61"/>
      <c r="I192" s="15">
        <f t="shared" si="8"/>
        <v>990.49932000000001</v>
      </c>
      <c r="J192" s="61"/>
      <c r="K192" s="45">
        <f t="shared" si="6"/>
        <v>113.88217412199715</v>
      </c>
    </row>
    <row r="193" spans="2:11" ht="15" customHeight="1" x14ac:dyDescent="0.35">
      <c r="B193" s="14" t="s">
        <v>615</v>
      </c>
      <c r="C193" s="14" t="s">
        <v>616</v>
      </c>
      <c r="D193" s="61"/>
      <c r="E193" s="15">
        <v>17938.17454</v>
      </c>
      <c r="F193" s="61"/>
      <c r="G193" s="15">
        <v>13456.55601</v>
      </c>
      <c r="H193" s="61"/>
      <c r="I193" s="15">
        <f t="shared" si="8"/>
        <v>4481.6185299999997</v>
      </c>
      <c r="J193" s="61"/>
      <c r="K193" s="45">
        <f t="shared" si="6"/>
        <v>0.33304350137357319</v>
      </c>
    </row>
    <row r="194" spans="2:11" ht="15" customHeight="1" x14ac:dyDescent="0.35">
      <c r="B194" s="14" t="s">
        <v>617</v>
      </c>
      <c r="C194" s="14" t="s">
        <v>618</v>
      </c>
      <c r="D194" s="61"/>
      <c r="E194" s="15"/>
      <c r="F194" s="61"/>
      <c r="G194" s="15"/>
      <c r="H194" s="61"/>
      <c r="I194" s="15">
        <f t="shared" si="8"/>
        <v>0</v>
      </c>
      <c r="J194" s="61"/>
      <c r="K194" s="45">
        <f t="shared" si="6"/>
        <v>0</v>
      </c>
    </row>
    <row r="195" spans="2:11" ht="15" customHeight="1" x14ac:dyDescent="0.35">
      <c r="B195" s="14" t="s">
        <v>619</v>
      </c>
      <c r="C195" s="14" t="s">
        <v>620</v>
      </c>
      <c r="D195" s="61"/>
      <c r="E195" s="15">
        <v>57983.203079999999</v>
      </c>
      <c r="F195" s="61"/>
      <c r="G195" s="15">
        <v>48512.260419999999</v>
      </c>
      <c r="H195" s="61"/>
      <c r="I195" s="15">
        <f t="shared" si="8"/>
        <v>9470.9426600000006</v>
      </c>
      <c r="J195" s="61"/>
      <c r="K195" s="45">
        <f t="shared" si="6"/>
        <v>0.19522781618511109</v>
      </c>
    </row>
    <row r="196" spans="2:11" ht="15" customHeight="1" x14ac:dyDescent="0.35">
      <c r="B196" s="14" t="s">
        <v>621</v>
      </c>
      <c r="C196" s="14" t="s">
        <v>622</v>
      </c>
      <c r="D196" s="61"/>
      <c r="E196" s="15">
        <v>12392.874159999999</v>
      </c>
      <c r="F196" s="61"/>
      <c r="G196" s="15">
        <v>21208.232459999999</v>
      </c>
      <c r="H196" s="61"/>
      <c r="I196" s="15">
        <f t="shared" si="8"/>
        <v>-8815.3582999999999</v>
      </c>
      <c r="J196" s="61"/>
      <c r="K196" s="45">
        <f t="shared" si="6"/>
        <v>-0.41565737817266457</v>
      </c>
    </row>
    <row r="197" spans="2:11" ht="15" customHeight="1" x14ac:dyDescent="0.35">
      <c r="B197" s="14" t="s">
        <v>623</v>
      </c>
      <c r="C197" s="14" t="s">
        <v>624</v>
      </c>
      <c r="D197" s="61"/>
      <c r="E197" s="15">
        <v>0</v>
      </c>
      <c r="F197" s="61"/>
      <c r="G197" s="15">
        <v>0</v>
      </c>
      <c r="H197" s="61"/>
      <c r="I197" s="15">
        <f t="shared" si="8"/>
        <v>0</v>
      </c>
      <c r="J197" s="61"/>
      <c r="K197" s="45">
        <f t="shared" si="6"/>
        <v>0</v>
      </c>
    </row>
    <row r="198" spans="2:11" ht="15" customHeight="1" x14ac:dyDescent="0.35">
      <c r="B198" s="14" t="s">
        <v>625</v>
      </c>
      <c r="C198" s="14" t="s">
        <v>626</v>
      </c>
      <c r="D198" s="61"/>
      <c r="E198" s="15">
        <v>5092.0617000000002</v>
      </c>
      <c r="F198" s="61"/>
      <c r="G198" s="15">
        <v>16129.384340000001</v>
      </c>
      <c r="H198" s="61"/>
      <c r="I198" s="15">
        <f t="shared" si="8"/>
        <v>-11037.32264</v>
      </c>
      <c r="J198" s="61"/>
      <c r="K198" s="45">
        <f t="shared" si="6"/>
        <v>-0.68429906606094304</v>
      </c>
    </row>
    <row r="199" spans="2:11" ht="15" customHeight="1" x14ac:dyDescent="0.35">
      <c r="B199" s="14" t="s">
        <v>627</v>
      </c>
      <c r="C199" s="14" t="s">
        <v>628</v>
      </c>
      <c r="D199" s="61"/>
      <c r="E199" s="15">
        <v>39802.934410000002</v>
      </c>
      <c r="F199" s="61"/>
      <c r="G199" s="15">
        <v>42675.3586</v>
      </c>
      <c r="H199" s="61"/>
      <c r="I199" s="15">
        <f t="shared" si="8"/>
        <v>-2872.4241899999979</v>
      </c>
      <c r="J199" s="61"/>
      <c r="K199" s="45">
        <f t="shared" si="6"/>
        <v>-6.7308730007953538E-2</v>
      </c>
    </row>
    <row r="200" spans="2:11" ht="15" customHeight="1" x14ac:dyDescent="0.35">
      <c r="B200" s="14" t="s">
        <v>629</v>
      </c>
      <c r="C200" s="14" t="s">
        <v>630</v>
      </c>
      <c r="D200" s="61"/>
      <c r="E200" s="15"/>
      <c r="F200" s="61"/>
      <c r="G200" s="15"/>
      <c r="H200" s="61"/>
      <c r="I200" s="15">
        <f t="shared" si="8"/>
        <v>0</v>
      </c>
      <c r="J200" s="61"/>
      <c r="K200" s="45">
        <f t="shared" si="6"/>
        <v>0</v>
      </c>
    </row>
    <row r="201" spans="2:11" ht="15" customHeight="1" x14ac:dyDescent="0.35">
      <c r="B201" s="14" t="s">
        <v>631</v>
      </c>
      <c r="C201" s="14" t="s">
        <v>632</v>
      </c>
      <c r="D201" s="61"/>
      <c r="E201" s="15"/>
      <c r="F201" s="61"/>
      <c r="G201" s="15"/>
      <c r="H201" s="61"/>
      <c r="I201" s="15">
        <f t="shared" si="8"/>
        <v>0</v>
      </c>
      <c r="J201" s="61"/>
      <c r="K201" s="45">
        <f t="shared" si="6"/>
        <v>0</v>
      </c>
    </row>
    <row r="202" spans="2:11" ht="15" customHeight="1" x14ac:dyDescent="0.35">
      <c r="B202" s="14" t="s">
        <v>633</v>
      </c>
      <c r="C202" s="14" t="s">
        <v>634</v>
      </c>
      <c r="D202" s="61"/>
      <c r="E202" s="15"/>
      <c r="F202" s="61"/>
      <c r="G202" s="15"/>
      <c r="H202" s="61"/>
      <c r="I202" s="15">
        <f t="shared" si="8"/>
        <v>0</v>
      </c>
      <c r="J202" s="61"/>
      <c r="K202" s="45">
        <f t="shared" ref="K202:K265" si="9">IF(ROUND(I202, 2)=0, 0, IFERROR(I202/ABS(G202), IF(I202&lt;0, -1, 1)))</f>
        <v>0</v>
      </c>
    </row>
    <row r="203" spans="2:11" ht="15" customHeight="1" x14ac:dyDescent="0.35">
      <c r="B203" s="14" t="s">
        <v>635</v>
      </c>
      <c r="C203" s="14" t="s">
        <v>636</v>
      </c>
      <c r="D203" s="61"/>
      <c r="E203" s="15">
        <v>-1.796</v>
      </c>
      <c r="F203" s="61"/>
      <c r="G203" s="15">
        <v>29.867999999999999</v>
      </c>
      <c r="H203" s="61"/>
      <c r="I203" s="15">
        <f t="shared" si="8"/>
        <v>-31.663999999999998</v>
      </c>
      <c r="J203" s="61"/>
      <c r="K203" s="45">
        <f t="shared" si="9"/>
        <v>-1.0601312441408866</v>
      </c>
    </row>
    <row r="204" spans="2:11" ht="15" customHeight="1" x14ac:dyDescent="0.35">
      <c r="B204" s="16" t="s">
        <v>637</v>
      </c>
      <c r="C204" s="16" t="s">
        <v>638</v>
      </c>
      <c r="D204" s="64"/>
      <c r="E204" s="17">
        <f>-(-(E190+E191)-E192-E193-E194-E195-E196-E197-E198-E200-E202-E201-E203-E199)</f>
        <v>137790.31400000001</v>
      </c>
      <c r="F204" s="64"/>
      <c r="G204" s="17">
        <f>-(-(G190+G191)-G192-G193-G194-G195-G196-G197-G198-G200-G202-G201-G203-G199)</f>
        <v>146643.52584000002</v>
      </c>
      <c r="H204" s="64"/>
      <c r="I204" s="17">
        <f>-(-(I190+I191)-I192-I193-I194-I195-I196-I197-I198-I200-I202-I201-I203-I199)</f>
        <v>-8853.2118399999963</v>
      </c>
      <c r="J204" s="64"/>
      <c r="K204" s="84">
        <f t="shared" si="9"/>
        <v>-6.0372333447980299E-2</v>
      </c>
    </row>
    <row r="205" spans="2:11" ht="15" customHeight="1" x14ac:dyDescent="0.35">
      <c r="B205" s="11" t="s">
        <v>639</v>
      </c>
      <c r="C205" s="11" t="s">
        <v>22</v>
      </c>
      <c r="D205" s="29"/>
      <c r="E205" s="12"/>
      <c r="F205" s="29"/>
      <c r="G205" s="12"/>
      <c r="H205" s="29"/>
      <c r="I205" s="12"/>
      <c r="J205" s="29"/>
      <c r="K205" s="85">
        <f t="shared" si="9"/>
        <v>0</v>
      </c>
    </row>
    <row r="206" spans="2:11" ht="15" customHeight="1" x14ac:dyDescent="0.35">
      <c r="B206" s="14" t="s">
        <v>640</v>
      </c>
      <c r="C206" s="14" t="s">
        <v>641</v>
      </c>
      <c r="D206" s="61"/>
      <c r="E206" s="15">
        <v>54692.40509</v>
      </c>
      <c r="F206" s="61"/>
      <c r="G206" s="15">
        <v>41903.135540000003</v>
      </c>
      <c r="H206" s="61"/>
      <c r="I206" s="15">
        <f>E206-G206</f>
        <v>12789.269549999997</v>
      </c>
      <c r="J206" s="61"/>
      <c r="K206" s="45">
        <f t="shared" si="9"/>
        <v>0.3052103234086524</v>
      </c>
    </row>
    <row r="207" spans="2:11" ht="15" customHeight="1" x14ac:dyDescent="0.35">
      <c r="B207" s="11" t="s">
        <v>642</v>
      </c>
      <c r="C207" s="11" t="s">
        <v>22</v>
      </c>
      <c r="D207" s="29"/>
      <c r="E207" s="12"/>
      <c r="F207" s="29"/>
      <c r="G207" s="12"/>
      <c r="H207" s="29"/>
      <c r="I207" s="12"/>
      <c r="J207" s="29"/>
      <c r="K207" s="85">
        <f t="shared" si="9"/>
        <v>0</v>
      </c>
    </row>
    <row r="208" spans="2:11" ht="15" customHeight="1" x14ac:dyDescent="0.35">
      <c r="B208" s="14" t="s">
        <v>643</v>
      </c>
      <c r="C208" s="14" t="s">
        <v>644</v>
      </c>
      <c r="D208" s="61"/>
      <c r="E208" s="15"/>
      <c r="F208" s="61"/>
      <c r="G208" s="15"/>
      <c r="H208" s="61"/>
      <c r="I208" s="15">
        <f>E208-G208</f>
        <v>0</v>
      </c>
      <c r="J208" s="61"/>
      <c r="K208" s="45">
        <f t="shared" si="9"/>
        <v>0</v>
      </c>
    </row>
    <row r="209" spans="2:11" ht="15" customHeight="1" thickBot="1" x14ac:dyDescent="0.4">
      <c r="B209" s="11" t="s">
        <v>124</v>
      </c>
      <c r="C209" s="11" t="s">
        <v>22</v>
      </c>
      <c r="D209" s="29"/>
      <c r="E209" s="12"/>
      <c r="F209" s="29"/>
      <c r="G209" s="12"/>
      <c r="H209" s="29"/>
      <c r="I209" s="12"/>
      <c r="J209" s="29"/>
      <c r="K209" s="85">
        <f t="shared" si="9"/>
        <v>0</v>
      </c>
    </row>
    <row r="210" spans="2:11" ht="15" customHeight="1" thickBot="1" x14ac:dyDescent="0.4">
      <c r="B210" s="18" t="s">
        <v>645</v>
      </c>
      <c r="C210" s="18" t="s">
        <v>646</v>
      </c>
      <c r="D210" s="66"/>
      <c r="E210" s="19">
        <f>-(-(E170+E182)-E184-E188-E204-E206-E208)</f>
        <v>1329773.3718900001</v>
      </c>
      <c r="F210" s="66"/>
      <c r="G210" s="19">
        <f>-(-(G170+G182)-G184-G188-G204-G206-G208)</f>
        <v>739500.35558999993</v>
      </c>
      <c r="H210" s="66"/>
      <c r="I210" s="19">
        <f>-(-(I170+I182)-I184-I188-I204-I206-I208)</f>
        <v>590273.0162999999</v>
      </c>
      <c r="J210" s="66"/>
      <c r="K210" s="86">
        <f t="shared" si="9"/>
        <v>0.7982051825101002</v>
      </c>
    </row>
    <row r="211" spans="2:11" ht="15" customHeight="1" x14ac:dyDescent="0.35">
      <c r="B211" s="11" t="s">
        <v>647</v>
      </c>
      <c r="C211" s="11" t="s">
        <v>22</v>
      </c>
      <c r="D211" s="29"/>
      <c r="E211" s="12"/>
      <c r="F211" s="29"/>
      <c r="G211" s="12"/>
      <c r="H211" s="29"/>
      <c r="I211" s="12"/>
      <c r="J211" s="29"/>
      <c r="K211" s="85">
        <f t="shared" si="9"/>
        <v>0</v>
      </c>
    </row>
    <row r="212" spans="2:11" ht="15" customHeight="1" x14ac:dyDescent="0.35">
      <c r="B212" s="14" t="s">
        <v>648</v>
      </c>
      <c r="C212" s="14" t="s">
        <v>649</v>
      </c>
      <c r="D212" s="61"/>
      <c r="E212" s="15">
        <v>578910.09525000001</v>
      </c>
      <c r="F212" s="61"/>
      <c r="G212" s="15">
        <v>552583.19484000001</v>
      </c>
      <c r="H212" s="61"/>
      <c r="I212" s="15">
        <f t="shared" ref="I212:I217" si="10">E212-G212</f>
        <v>26326.900410000002</v>
      </c>
      <c r="J212" s="61"/>
      <c r="K212" s="45">
        <f t="shared" si="9"/>
        <v>4.7643324400451471E-2</v>
      </c>
    </row>
    <row r="213" spans="2:11" ht="15" customHeight="1" x14ac:dyDescent="0.35">
      <c r="B213" s="14" t="s">
        <v>650</v>
      </c>
      <c r="C213" s="14" t="s">
        <v>651</v>
      </c>
      <c r="D213" s="61"/>
      <c r="E213" s="15"/>
      <c r="F213" s="61"/>
      <c r="G213" s="15"/>
      <c r="H213" s="61"/>
      <c r="I213" s="15">
        <f t="shared" si="10"/>
        <v>0</v>
      </c>
      <c r="J213" s="61"/>
      <c r="K213" s="45">
        <f t="shared" si="9"/>
        <v>0</v>
      </c>
    </row>
    <row r="214" spans="2:11" ht="15" customHeight="1" x14ac:dyDescent="0.35">
      <c r="B214" s="14" t="s">
        <v>652</v>
      </c>
      <c r="C214" s="14" t="s">
        <v>653</v>
      </c>
      <c r="D214" s="61"/>
      <c r="E214" s="15"/>
      <c r="F214" s="61"/>
      <c r="G214" s="15"/>
      <c r="H214" s="61"/>
      <c r="I214" s="15">
        <f t="shared" si="10"/>
        <v>0</v>
      </c>
      <c r="J214" s="61"/>
      <c r="K214" s="45">
        <f t="shared" si="9"/>
        <v>0</v>
      </c>
    </row>
    <row r="215" spans="2:11" ht="15" customHeight="1" x14ac:dyDescent="0.35">
      <c r="B215" s="14" t="s">
        <v>654</v>
      </c>
      <c r="C215" s="14" t="s">
        <v>655</v>
      </c>
      <c r="D215" s="61"/>
      <c r="E215" s="15">
        <v>680.94407000000001</v>
      </c>
      <c r="F215" s="61"/>
      <c r="G215" s="15">
        <v>888.07653000000005</v>
      </c>
      <c r="H215" s="61"/>
      <c r="I215" s="15">
        <f t="shared" si="10"/>
        <v>-207.13246000000004</v>
      </c>
      <c r="J215" s="61"/>
      <c r="K215" s="45">
        <f t="shared" si="9"/>
        <v>-0.23323717382780065</v>
      </c>
    </row>
    <row r="216" spans="2:11" ht="15" customHeight="1" x14ac:dyDescent="0.35">
      <c r="B216" s="14" t="s">
        <v>656</v>
      </c>
      <c r="C216" s="14" t="s">
        <v>657</v>
      </c>
      <c r="D216" s="61"/>
      <c r="E216" s="15">
        <v>70453.889330000005</v>
      </c>
      <c r="F216" s="61"/>
      <c r="G216" s="15">
        <v>81381.291989999998</v>
      </c>
      <c r="H216" s="61"/>
      <c r="I216" s="15">
        <f t="shared" si="10"/>
        <v>-10927.402659999992</v>
      </c>
      <c r="J216" s="61"/>
      <c r="K216" s="45">
        <f t="shared" si="9"/>
        <v>-0.1342741358952956</v>
      </c>
    </row>
    <row r="217" spans="2:11" ht="15" customHeight="1" x14ac:dyDescent="0.35">
      <c r="B217" s="14" t="s">
        <v>658</v>
      </c>
      <c r="C217" s="14" t="s">
        <v>659</v>
      </c>
      <c r="D217" s="61"/>
      <c r="E217" s="15">
        <v>-29.22</v>
      </c>
      <c r="F217" s="61"/>
      <c r="G217" s="15">
        <v>41.078000000000003</v>
      </c>
      <c r="H217" s="61"/>
      <c r="I217" s="15">
        <f t="shared" si="10"/>
        <v>-70.298000000000002</v>
      </c>
      <c r="J217" s="61"/>
      <c r="K217" s="45">
        <f t="shared" si="9"/>
        <v>-1.7113296655143873</v>
      </c>
    </row>
    <row r="218" spans="2:11" ht="15" customHeight="1" x14ac:dyDescent="0.35">
      <c r="B218" s="16" t="s">
        <v>660</v>
      </c>
      <c r="C218" s="16" t="s">
        <v>661</v>
      </c>
      <c r="D218" s="64"/>
      <c r="E218" s="17">
        <f>-(-(E212+E213)-E214-E215-E216-E217)</f>
        <v>650015.70865000004</v>
      </c>
      <c r="F218" s="64"/>
      <c r="G218" s="17">
        <f>-(-(G212+G213)-G214-G215-G216-G217)</f>
        <v>634893.64136000001</v>
      </c>
      <c r="H218" s="64"/>
      <c r="I218" s="17">
        <f>-(-(I212+I213)-I214-I215-I216-I217)</f>
        <v>15122.067290000008</v>
      </c>
      <c r="J218" s="64"/>
      <c r="K218" s="84">
        <f t="shared" si="9"/>
        <v>2.3818268612057859E-2</v>
      </c>
    </row>
    <row r="219" spans="2:11" ht="15" customHeight="1" x14ac:dyDescent="0.35">
      <c r="B219" s="11" t="s">
        <v>662</v>
      </c>
      <c r="C219" s="11" t="s">
        <v>22</v>
      </c>
      <c r="D219" s="29"/>
      <c r="E219" s="12"/>
      <c r="F219" s="29"/>
      <c r="G219" s="12"/>
      <c r="H219" s="29"/>
      <c r="I219" s="12"/>
      <c r="J219" s="29"/>
      <c r="K219" s="85">
        <f t="shared" si="9"/>
        <v>0</v>
      </c>
    </row>
    <row r="220" spans="2:11" ht="15" customHeight="1" x14ac:dyDescent="0.35">
      <c r="B220" s="14" t="s">
        <v>663</v>
      </c>
      <c r="C220" s="14" t="s">
        <v>664</v>
      </c>
      <c r="D220" s="61"/>
      <c r="E220" s="15">
        <v>24.42088</v>
      </c>
      <c r="F220" s="61"/>
      <c r="G220" s="15">
        <v>40.064639999999997</v>
      </c>
      <c r="H220" s="61"/>
      <c r="I220" s="15">
        <f>E220-G220</f>
        <v>-15.643759999999997</v>
      </c>
      <c r="J220" s="61"/>
      <c r="K220" s="45">
        <f t="shared" si="9"/>
        <v>-0.39046301177297482</v>
      </c>
    </row>
    <row r="221" spans="2:11" ht="15" customHeight="1" x14ac:dyDescent="0.35">
      <c r="B221" s="11" t="s">
        <v>665</v>
      </c>
      <c r="C221" s="11" t="s">
        <v>22</v>
      </c>
      <c r="D221" s="29"/>
      <c r="E221" s="12"/>
      <c r="F221" s="29"/>
      <c r="G221" s="12"/>
      <c r="H221" s="29"/>
      <c r="I221" s="12"/>
      <c r="J221" s="29"/>
      <c r="K221" s="85">
        <f t="shared" si="9"/>
        <v>0</v>
      </c>
    </row>
    <row r="222" spans="2:11" ht="15" customHeight="1" x14ac:dyDescent="0.35">
      <c r="B222" s="14" t="s">
        <v>666</v>
      </c>
      <c r="C222" s="14" t="s">
        <v>667</v>
      </c>
      <c r="D222" s="61"/>
      <c r="E222" s="15">
        <v>0</v>
      </c>
      <c r="F222" s="61"/>
      <c r="G222" s="15">
        <v>0</v>
      </c>
      <c r="H222" s="61"/>
      <c r="I222" s="15">
        <f>E222-G222</f>
        <v>0</v>
      </c>
      <c r="J222" s="61"/>
      <c r="K222" s="45">
        <f t="shared" si="9"/>
        <v>0</v>
      </c>
    </row>
    <row r="223" spans="2:11" ht="15" customHeight="1" x14ac:dyDescent="0.35">
      <c r="B223" s="11" t="s">
        <v>668</v>
      </c>
      <c r="C223" s="11" t="s">
        <v>22</v>
      </c>
      <c r="D223" s="29"/>
      <c r="E223" s="12"/>
      <c r="F223" s="29"/>
      <c r="G223" s="12"/>
      <c r="H223" s="29"/>
      <c r="I223" s="12"/>
      <c r="J223" s="29"/>
      <c r="K223" s="85">
        <f t="shared" si="9"/>
        <v>0</v>
      </c>
    </row>
    <row r="224" spans="2:11" ht="15" customHeight="1" x14ac:dyDescent="0.35">
      <c r="B224" s="14" t="s">
        <v>669</v>
      </c>
      <c r="C224" s="14" t="s">
        <v>670</v>
      </c>
      <c r="D224" s="61"/>
      <c r="E224" s="15">
        <v>260735.81271999999</v>
      </c>
      <c r="F224" s="61"/>
      <c r="G224" s="15">
        <v>191882.02361999999</v>
      </c>
      <c r="H224" s="61"/>
      <c r="I224" s="15">
        <f>E224-G224</f>
        <v>68853.789099999995</v>
      </c>
      <c r="J224" s="61"/>
      <c r="K224" s="45">
        <f t="shared" si="9"/>
        <v>0.35883397413171392</v>
      </c>
    </row>
    <row r="225" spans="2:11" ht="15" customHeight="1" x14ac:dyDescent="0.35">
      <c r="B225" s="11" t="s">
        <v>136</v>
      </c>
      <c r="C225" s="11" t="s">
        <v>22</v>
      </c>
      <c r="D225" s="29"/>
      <c r="E225" s="12"/>
      <c r="F225" s="29"/>
      <c r="G225" s="12"/>
      <c r="H225" s="29"/>
      <c r="I225" s="12"/>
      <c r="J225" s="29"/>
      <c r="K225" s="85">
        <f t="shared" si="9"/>
        <v>0</v>
      </c>
    </row>
    <row r="226" spans="2:11" ht="15" customHeight="1" x14ac:dyDescent="0.35">
      <c r="B226" s="14" t="s">
        <v>671</v>
      </c>
      <c r="C226" s="14" t="s">
        <v>672</v>
      </c>
      <c r="D226" s="61"/>
      <c r="E226" s="15">
        <v>165716.98688000001</v>
      </c>
      <c r="F226" s="61"/>
      <c r="G226" s="15">
        <v>181585.99651999999</v>
      </c>
      <c r="H226" s="61"/>
      <c r="I226" s="15">
        <f>E226-G226</f>
        <v>-15869.009639999975</v>
      </c>
      <c r="J226" s="61"/>
      <c r="K226" s="45">
        <f t="shared" si="9"/>
        <v>-8.7391153195296931E-2</v>
      </c>
    </row>
    <row r="227" spans="2:11" ht="15" customHeight="1" x14ac:dyDescent="0.35">
      <c r="B227" s="11" t="s">
        <v>673</v>
      </c>
      <c r="C227" s="11" t="s">
        <v>22</v>
      </c>
      <c r="D227" s="29"/>
      <c r="E227" s="12"/>
      <c r="F227" s="29"/>
      <c r="G227" s="12"/>
      <c r="H227" s="29"/>
      <c r="I227" s="12"/>
      <c r="J227" s="29"/>
      <c r="K227" s="85">
        <f t="shared" si="9"/>
        <v>0</v>
      </c>
    </row>
    <row r="228" spans="2:11" ht="15" customHeight="1" x14ac:dyDescent="0.35">
      <c r="B228" s="14" t="s">
        <v>674</v>
      </c>
      <c r="C228" s="14" t="s">
        <v>675</v>
      </c>
      <c r="D228" s="61"/>
      <c r="E228" s="15">
        <v>80414.377729999993</v>
      </c>
      <c r="F228" s="61"/>
      <c r="G228" s="15">
        <v>80976.490099999995</v>
      </c>
      <c r="H228" s="61"/>
      <c r="I228" s="15">
        <f>E228-G228</f>
        <v>-562.11237000000256</v>
      </c>
      <c r="J228" s="61"/>
      <c r="K228" s="45">
        <f t="shared" si="9"/>
        <v>-6.9416736796795615E-3</v>
      </c>
    </row>
    <row r="229" spans="2:11" ht="15" customHeight="1" x14ac:dyDescent="0.35">
      <c r="B229" s="11" t="s">
        <v>676</v>
      </c>
      <c r="C229" s="11" t="s">
        <v>22</v>
      </c>
      <c r="D229" s="29"/>
      <c r="E229" s="12"/>
      <c r="F229" s="29"/>
      <c r="G229" s="12"/>
      <c r="H229" s="29"/>
      <c r="I229" s="12"/>
      <c r="J229" s="29"/>
      <c r="K229" s="85">
        <f t="shared" si="9"/>
        <v>0</v>
      </c>
    </row>
    <row r="230" spans="2:11" ht="15" customHeight="1" x14ac:dyDescent="0.35">
      <c r="B230" s="14" t="s">
        <v>677</v>
      </c>
      <c r="C230" s="14" t="s">
        <v>678</v>
      </c>
      <c r="D230" s="61"/>
      <c r="E230" s="15">
        <v>-1.6670000000000001E-2</v>
      </c>
      <c r="F230" s="61"/>
      <c r="G230" s="15"/>
      <c r="H230" s="61"/>
      <c r="I230" s="15">
        <f>E230-G230</f>
        <v>-1.6670000000000001E-2</v>
      </c>
      <c r="J230" s="61"/>
      <c r="K230" s="45">
        <f t="shared" si="9"/>
        <v>-1</v>
      </c>
    </row>
    <row r="231" spans="2:11" ht="15" customHeight="1" thickBot="1" x14ac:dyDescent="0.4">
      <c r="B231" s="11" t="s">
        <v>679</v>
      </c>
      <c r="C231" s="11" t="s">
        <v>22</v>
      </c>
      <c r="D231" s="29"/>
      <c r="E231" s="12"/>
      <c r="F231" s="29"/>
      <c r="G231" s="12"/>
      <c r="H231" s="29"/>
      <c r="I231" s="12"/>
      <c r="J231" s="29"/>
      <c r="K231" s="85">
        <f t="shared" si="9"/>
        <v>0</v>
      </c>
    </row>
    <row r="232" spans="2:11" ht="15" customHeight="1" thickBot="1" x14ac:dyDescent="0.4">
      <c r="B232" s="18" t="s">
        <v>680</v>
      </c>
      <c r="C232" s="18" t="s">
        <v>681</v>
      </c>
      <c r="D232" s="66"/>
      <c r="E232" s="19">
        <f>-(-(E218+E220)-E222-E224-E226-E200-E228-E230)</f>
        <v>1156907.2901900001</v>
      </c>
      <c r="F232" s="66"/>
      <c r="G232" s="19">
        <f>-(-(G218+G220)-G222-G224-G226-G200-G228-G230)</f>
        <v>1089378.21624</v>
      </c>
      <c r="H232" s="66"/>
      <c r="I232" s="19">
        <f>-(-(I218+I220)-I222-I224-I226-I200-I228-I230)</f>
        <v>67529.07395000002</v>
      </c>
      <c r="J232" s="66"/>
      <c r="K232" s="86">
        <f t="shared" si="9"/>
        <v>6.1988639889530107E-2</v>
      </c>
    </row>
    <row r="233" spans="2:11" ht="15" customHeight="1" thickBot="1" x14ac:dyDescent="0.4">
      <c r="B233" s="11" t="s">
        <v>682</v>
      </c>
      <c r="C233" s="11" t="s">
        <v>22</v>
      </c>
      <c r="D233" s="29"/>
      <c r="E233" s="12"/>
      <c r="F233" s="29"/>
      <c r="G233" s="12"/>
      <c r="H233" s="29"/>
      <c r="I233" s="12"/>
      <c r="J233" s="29"/>
      <c r="K233" s="85">
        <f t="shared" si="9"/>
        <v>0</v>
      </c>
    </row>
    <row r="234" spans="2:11" ht="15" customHeight="1" thickBot="1" x14ac:dyDescent="0.4">
      <c r="B234" s="18" t="s">
        <v>683</v>
      </c>
      <c r="C234" s="18" t="s">
        <v>684</v>
      </c>
      <c r="D234" s="66"/>
      <c r="E234" s="19">
        <f>E210+E232</f>
        <v>2486680.6620800002</v>
      </c>
      <c r="F234" s="66"/>
      <c r="G234" s="19">
        <f>G210+G232</f>
        <v>1828878.5718299998</v>
      </c>
      <c r="H234" s="66"/>
      <c r="I234" s="19">
        <f>I210+I232</f>
        <v>657802.09024999989</v>
      </c>
      <c r="J234" s="66"/>
      <c r="K234" s="86">
        <f t="shared" si="9"/>
        <v>0.35967510384890916</v>
      </c>
    </row>
    <row r="235" spans="2:11" ht="15" customHeight="1" x14ac:dyDescent="0.35">
      <c r="B235" s="11" t="s">
        <v>685</v>
      </c>
      <c r="C235" s="11" t="s">
        <v>22</v>
      </c>
      <c r="D235" s="29"/>
      <c r="E235" s="12"/>
      <c r="F235" s="29"/>
      <c r="G235" s="12"/>
      <c r="H235" s="29"/>
      <c r="I235" s="12"/>
      <c r="J235" s="29"/>
      <c r="K235" s="85">
        <f t="shared" si="9"/>
        <v>0</v>
      </c>
    </row>
    <row r="236" spans="2:11" ht="15" customHeight="1" x14ac:dyDescent="0.35">
      <c r="B236" s="14" t="s">
        <v>686</v>
      </c>
      <c r="C236" s="14" t="s">
        <v>687</v>
      </c>
      <c r="D236" s="61"/>
      <c r="E236" s="15">
        <v>9842.5452600000008</v>
      </c>
      <c r="F236" s="61"/>
      <c r="G236" s="15">
        <v>10012.494769999999</v>
      </c>
      <c r="H236" s="61"/>
      <c r="I236" s="15">
        <f>E236-G236</f>
        <v>-169.94950999999855</v>
      </c>
      <c r="J236" s="61"/>
      <c r="K236" s="45">
        <f t="shared" si="9"/>
        <v>-1.6973742698893672E-2</v>
      </c>
    </row>
    <row r="237" spans="2:11" ht="15" customHeight="1" x14ac:dyDescent="0.35">
      <c r="B237" s="11" t="s">
        <v>152</v>
      </c>
      <c r="C237" s="11" t="s">
        <v>22</v>
      </c>
      <c r="D237" s="29"/>
      <c r="E237" s="12"/>
      <c r="F237" s="29"/>
      <c r="G237" s="12"/>
      <c r="H237" s="29"/>
      <c r="I237" s="12"/>
      <c r="J237" s="29"/>
      <c r="K237" s="85">
        <f t="shared" si="9"/>
        <v>0</v>
      </c>
    </row>
    <row r="238" spans="2:11" ht="15" customHeight="1" x14ac:dyDescent="0.35">
      <c r="B238" s="14" t="s">
        <v>688</v>
      </c>
      <c r="C238" s="14" t="s">
        <v>689</v>
      </c>
      <c r="D238" s="61"/>
      <c r="E238" s="15">
        <v>1982351.60784</v>
      </c>
      <c r="F238" s="61"/>
      <c r="G238" s="15">
        <v>1982351.6079200001</v>
      </c>
      <c r="H238" s="61"/>
      <c r="I238" s="15">
        <f>E238-G238</f>
        <v>-8.0000143498182297E-5</v>
      </c>
      <c r="J238" s="61"/>
      <c r="K238" s="45">
        <f t="shared" si="9"/>
        <v>0</v>
      </c>
    </row>
    <row r="239" spans="2:11" ht="15" customHeight="1" x14ac:dyDescent="0.35">
      <c r="B239" s="11" t="s">
        <v>690</v>
      </c>
      <c r="C239" s="11" t="s">
        <v>22</v>
      </c>
      <c r="D239" s="29"/>
      <c r="E239" s="12"/>
      <c r="F239" s="29"/>
      <c r="G239" s="12"/>
      <c r="H239" s="29"/>
      <c r="I239" s="12"/>
      <c r="J239" s="29"/>
      <c r="K239" s="85">
        <f t="shared" si="9"/>
        <v>0</v>
      </c>
    </row>
    <row r="240" spans="2:11" ht="15" customHeight="1" x14ac:dyDescent="0.35">
      <c r="B240" s="14" t="s">
        <v>691</v>
      </c>
      <c r="C240" s="14" t="s">
        <v>692</v>
      </c>
      <c r="D240" s="61"/>
      <c r="E240" s="15"/>
      <c r="F240" s="61"/>
      <c r="G240" s="15"/>
      <c r="H240" s="61"/>
      <c r="I240" s="15">
        <f>E240-G240</f>
        <v>0</v>
      </c>
      <c r="J240" s="61"/>
      <c r="K240" s="45">
        <f t="shared" si="9"/>
        <v>0</v>
      </c>
    </row>
    <row r="241" spans="2:11" ht="15" customHeight="1" x14ac:dyDescent="0.35">
      <c r="B241" s="11" t="s">
        <v>693</v>
      </c>
      <c r="C241" s="11" t="s">
        <v>22</v>
      </c>
      <c r="D241" s="29"/>
      <c r="E241" s="12"/>
      <c r="F241" s="29"/>
      <c r="G241" s="12"/>
      <c r="H241" s="29"/>
      <c r="I241" s="12"/>
      <c r="J241" s="29"/>
      <c r="K241" s="85">
        <f t="shared" si="9"/>
        <v>0</v>
      </c>
    </row>
    <row r="242" spans="2:11" ht="15" customHeight="1" x14ac:dyDescent="0.35">
      <c r="B242" s="14" t="s">
        <v>694</v>
      </c>
      <c r="C242" s="14" t="s">
        <v>695</v>
      </c>
      <c r="D242" s="61"/>
      <c r="E242" s="15">
        <v>2726.6811400000001</v>
      </c>
      <c r="F242" s="61"/>
      <c r="G242" s="15">
        <v>890.67391999999995</v>
      </c>
      <c r="H242" s="61"/>
      <c r="I242" s="15">
        <f t="shared" ref="I242:I263" si="11">E242-G242</f>
        <v>1836.0072200000002</v>
      </c>
      <c r="J242" s="61"/>
      <c r="K242" s="45">
        <f t="shared" si="9"/>
        <v>2.0613685646033066</v>
      </c>
    </row>
    <row r="243" spans="2:11" ht="15" customHeight="1" x14ac:dyDescent="0.35">
      <c r="B243" s="14" t="s">
        <v>696</v>
      </c>
      <c r="C243" s="14" t="s">
        <v>697</v>
      </c>
      <c r="D243" s="61"/>
      <c r="E243" s="15">
        <v>-473965.39189999999</v>
      </c>
      <c r="F243" s="61"/>
      <c r="G243" s="15">
        <v>-632797.22594000003</v>
      </c>
      <c r="H243" s="61"/>
      <c r="I243" s="15">
        <f t="shared" si="11"/>
        <v>158831.83404000005</v>
      </c>
      <c r="J243" s="61"/>
      <c r="K243" s="45">
        <f t="shared" si="9"/>
        <v>0.25099957384304339</v>
      </c>
    </row>
    <row r="244" spans="2:11" ht="15" customHeight="1" x14ac:dyDescent="0.35">
      <c r="B244" s="14" t="s">
        <v>698</v>
      </c>
      <c r="C244" s="14" t="s">
        <v>699</v>
      </c>
      <c r="D244" s="61"/>
      <c r="E244" s="15">
        <v>-24896.02706</v>
      </c>
      <c r="F244" s="61"/>
      <c r="G244" s="15">
        <v>160240.02882000001</v>
      </c>
      <c r="H244" s="61"/>
      <c r="I244" s="15">
        <f t="shared" si="11"/>
        <v>-185136.05588</v>
      </c>
      <c r="J244" s="61"/>
      <c r="K244" s="45">
        <f t="shared" si="9"/>
        <v>-1.1553670905037472</v>
      </c>
    </row>
    <row r="245" spans="2:11" ht="15" customHeight="1" x14ac:dyDescent="0.35">
      <c r="B245" s="14" t="s">
        <v>700</v>
      </c>
      <c r="C245" s="14" t="s">
        <v>701</v>
      </c>
      <c r="D245" s="61"/>
      <c r="E245" s="15">
        <v>1624414</v>
      </c>
      <c r="F245" s="61"/>
      <c r="G245" s="15">
        <v>1624945.0943499999</v>
      </c>
      <c r="H245" s="61"/>
      <c r="I245" s="15">
        <f t="shared" si="11"/>
        <v>-531.09434999991208</v>
      </c>
      <c r="J245" s="61"/>
      <c r="K245" s="45">
        <f t="shared" si="9"/>
        <v>-3.2683833555148951E-4</v>
      </c>
    </row>
    <row r="246" spans="2:11" ht="15" customHeight="1" x14ac:dyDescent="0.35">
      <c r="B246" s="14" t="s">
        <v>702</v>
      </c>
      <c r="C246" s="14" t="s">
        <v>703</v>
      </c>
      <c r="D246" s="61"/>
      <c r="E246" s="15">
        <v>-519.91142000000002</v>
      </c>
      <c r="F246" s="61"/>
      <c r="G246" s="15">
        <v>-304.80479000000003</v>
      </c>
      <c r="H246" s="61"/>
      <c r="I246" s="15">
        <f t="shared" si="11"/>
        <v>-215.10663</v>
      </c>
      <c r="J246" s="61"/>
      <c r="K246" s="45">
        <f t="shared" si="9"/>
        <v>-0.70571932284922423</v>
      </c>
    </row>
    <row r="247" spans="2:11" ht="15" customHeight="1" x14ac:dyDescent="0.35">
      <c r="B247" s="14" t="s">
        <v>704</v>
      </c>
      <c r="C247" s="14" t="s">
        <v>705</v>
      </c>
      <c r="D247" s="61"/>
      <c r="E247" s="15"/>
      <c r="F247" s="61"/>
      <c r="G247" s="15"/>
      <c r="H247" s="61"/>
      <c r="I247" s="15">
        <f t="shared" si="11"/>
        <v>0</v>
      </c>
      <c r="J247" s="61"/>
      <c r="K247" s="45">
        <f t="shared" si="9"/>
        <v>0</v>
      </c>
    </row>
    <row r="248" spans="2:11" ht="15" customHeight="1" x14ac:dyDescent="0.35">
      <c r="B248" s="14" t="s">
        <v>706</v>
      </c>
      <c r="C248" s="14" t="s">
        <v>707</v>
      </c>
      <c r="D248" s="61"/>
      <c r="E248" s="15"/>
      <c r="F248" s="61"/>
      <c r="G248" s="15"/>
      <c r="H248" s="61"/>
      <c r="I248" s="15">
        <f t="shared" si="11"/>
        <v>0</v>
      </c>
      <c r="J248" s="61"/>
      <c r="K248" s="45">
        <f t="shared" si="9"/>
        <v>0</v>
      </c>
    </row>
    <row r="249" spans="2:11" ht="15" customHeight="1" x14ac:dyDescent="0.35">
      <c r="B249" s="14" t="s">
        <v>708</v>
      </c>
      <c r="C249" s="14" t="s">
        <v>709</v>
      </c>
      <c r="D249" s="61"/>
      <c r="E249" s="15"/>
      <c r="F249" s="61"/>
      <c r="G249" s="15"/>
      <c r="H249" s="61"/>
      <c r="I249" s="15">
        <f t="shared" si="11"/>
        <v>0</v>
      </c>
      <c r="J249" s="61"/>
      <c r="K249" s="45">
        <f t="shared" si="9"/>
        <v>0</v>
      </c>
    </row>
    <row r="250" spans="2:11" ht="15" customHeight="1" x14ac:dyDescent="0.35">
      <c r="B250" s="14" t="s">
        <v>710</v>
      </c>
      <c r="C250" s="14" t="s">
        <v>711</v>
      </c>
      <c r="D250" s="61"/>
      <c r="E250" s="15"/>
      <c r="F250" s="61"/>
      <c r="G250" s="15"/>
      <c r="H250" s="61"/>
      <c r="I250" s="15">
        <f t="shared" si="11"/>
        <v>0</v>
      </c>
      <c r="J250" s="61"/>
      <c r="K250" s="45">
        <f t="shared" si="9"/>
        <v>0</v>
      </c>
    </row>
    <row r="251" spans="2:11" ht="15" customHeight="1" x14ac:dyDescent="0.35">
      <c r="B251" s="14" t="s">
        <v>712</v>
      </c>
      <c r="C251" s="14" t="s">
        <v>713</v>
      </c>
      <c r="D251" s="61"/>
      <c r="E251" s="15"/>
      <c r="F251" s="61"/>
      <c r="G251" s="15"/>
      <c r="H251" s="61"/>
      <c r="I251" s="15">
        <f t="shared" si="11"/>
        <v>0</v>
      </c>
      <c r="J251" s="61"/>
      <c r="K251" s="45">
        <f t="shared" si="9"/>
        <v>0</v>
      </c>
    </row>
    <row r="252" spans="2:11" ht="15" customHeight="1" x14ac:dyDescent="0.35">
      <c r="B252" s="14" t="s">
        <v>714</v>
      </c>
      <c r="C252" s="14" t="s">
        <v>715</v>
      </c>
      <c r="D252" s="61"/>
      <c r="E252" s="15">
        <v>0</v>
      </c>
      <c r="F252" s="61"/>
      <c r="G252" s="15">
        <v>-17</v>
      </c>
      <c r="H252" s="61"/>
      <c r="I252" s="15">
        <f t="shared" si="11"/>
        <v>17</v>
      </c>
      <c r="J252" s="61"/>
      <c r="K252" s="45">
        <f t="shared" si="9"/>
        <v>1</v>
      </c>
    </row>
    <row r="253" spans="2:11" ht="15" customHeight="1" x14ac:dyDescent="0.35">
      <c r="B253" s="14" t="s">
        <v>716</v>
      </c>
      <c r="C253" s="14" t="s">
        <v>717</v>
      </c>
      <c r="D253" s="61"/>
      <c r="E253" s="15"/>
      <c r="F253" s="61"/>
      <c r="G253" s="15"/>
      <c r="H253" s="61"/>
      <c r="I253" s="15">
        <f t="shared" si="11"/>
        <v>0</v>
      </c>
      <c r="J253" s="61"/>
      <c r="K253" s="45">
        <f t="shared" si="9"/>
        <v>0</v>
      </c>
    </row>
    <row r="254" spans="2:11" ht="15" customHeight="1" x14ac:dyDescent="0.35">
      <c r="B254" s="14" t="s">
        <v>718</v>
      </c>
      <c r="C254" s="14" t="s">
        <v>719</v>
      </c>
      <c r="D254" s="61"/>
      <c r="E254" s="15"/>
      <c r="F254" s="61"/>
      <c r="G254" s="15"/>
      <c r="H254" s="61"/>
      <c r="I254" s="15">
        <f t="shared" si="11"/>
        <v>0</v>
      </c>
      <c r="J254" s="61"/>
      <c r="K254" s="45">
        <f t="shared" si="9"/>
        <v>0</v>
      </c>
    </row>
    <row r="255" spans="2:11" ht="15" customHeight="1" x14ac:dyDescent="0.35">
      <c r="B255" s="14" t="s">
        <v>720</v>
      </c>
      <c r="C255" s="14" t="s">
        <v>721</v>
      </c>
      <c r="D255" s="61"/>
      <c r="E255" s="15">
        <v>7641.9060399999998</v>
      </c>
      <c r="F255" s="61"/>
      <c r="G255" s="15">
        <v>30.051819999999999</v>
      </c>
      <c r="H255" s="61"/>
      <c r="I255" s="15">
        <f t="shared" si="11"/>
        <v>7611.8542200000002</v>
      </c>
      <c r="J255" s="61"/>
      <c r="K255" s="45">
        <f t="shared" si="9"/>
        <v>253.29095608851645</v>
      </c>
    </row>
    <row r="256" spans="2:11" ht="15" customHeight="1" x14ac:dyDescent="0.35">
      <c r="B256" s="14" t="s">
        <v>722</v>
      </c>
      <c r="C256" s="14" t="s">
        <v>723</v>
      </c>
      <c r="D256" s="61"/>
      <c r="E256" s="15">
        <v>-1776.82339</v>
      </c>
      <c r="F256" s="61"/>
      <c r="G256" s="15">
        <v>-9.1590500000000006</v>
      </c>
      <c r="H256" s="61"/>
      <c r="I256" s="15">
        <f t="shared" si="11"/>
        <v>-1767.66434</v>
      </c>
      <c r="J256" s="61"/>
      <c r="K256" s="45">
        <f t="shared" si="9"/>
        <v>-192.99647234156379</v>
      </c>
    </row>
    <row r="257" spans="2:11" ht="15" customHeight="1" x14ac:dyDescent="0.35">
      <c r="B257" s="14" t="s">
        <v>724</v>
      </c>
      <c r="C257" s="14" t="s">
        <v>725</v>
      </c>
      <c r="D257" s="61"/>
      <c r="E257" s="15"/>
      <c r="F257" s="61"/>
      <c r="G257" s="15"/>
      <c r="H257" s="61"/>
      <c r="I257" s="15">
        <f t="shared" si="11"/>
        <v>0</v>
      </c>
      <c r="J257" s="61"/>
      <c r="K257" s="45">
        <f t="shared" si="9"/>
        <v>0</v>
      </c>
    </row>
    <row r="258" spans="2:11" ht="15" customHeight="1" x14ac:dyDescent="0.35">
      <c r="B258" s="14" t="s">
        <v>726</v>
      </c>
      <c r="C258" s="14" t="s">
        <v>727</v>
      </c>
      <c r="D258" s="61"/>
      <c r="E258" s="15"/>
      <c r="F258" s="61"/>
      <c r="G258" s="15"/>
      <c r="H258" s="61"/>
      <c r="I258" s="15">
        <f t="shared" si="11"/>
        <v>0</v>
      </c>
      <c r="J258" s="61"/>
      <c r="K258" s="45">
        <f t="shared" si="9"/>
        <v>0</v>
      </c>
    </row>
    <row r="259" spans="2:11" ht="15" customHeight="1" x14ac:dyDescent="0.35">
      <c r="B259" s="14" t="s">
        <v>728</v>
      </c>
      <c r="C259" s="14" t="s">
        <v>729</v>
      </c>
      <c r="D259" s="61"/>
      <c r="E259" s="15"/>
      <c r="F259" s="61"/>
      <c r="G259" s="15"/>
      <c r="H259" s="61"/>
      <c r="I259" s="15">
        <f t="shared" si="11"/>
        <v>0</v>
      </c>
      <c r="J259" s="61"/>
      <c r="K259" s="45">
        <f t="shared" si="9"/>
        <v>0</v>
      </c>
    </row>
    <row r="260" spans="2:11" ht="15" customHeight="1" x14ac:dyDescent="0.35">
      <c r="B260" s="14" t="s">
        <v>730</v>
      </c>
      <c r="C260" s="14" t="s">
        <v>731</v>
      </c>
      <c r="D260" s="61"/>
      <c r="E260" s="15"/>
      <c r="F260" s="61"/>
      <c r="G260" s="15"/>
      <c r="H260" s="61"/>
      <c r="I260" s="15">
        <f t="shared" si="11"/>
        <v>0</v>
      </c>
      <c r="J260" s="61"/>
      <c r="K260" s="45">
        <f t="shared" si="9"/>
        <v>0</v>
      </c>
    </row>
    <row r="261" spans="2:11" ht="15" customHeight="1" x14ac:dyDescent="0.35">
      <c r="B261" s="14" t="s">
        <v>732</v>
      </c>
      <c r="C261" s="14" t="s">
        <v>733</v>
      </c>
      <c r="D261" s="61"/>
      <c r="E261" s="15">
        <v>-46148.600780000001</v>
      </c>
      <c r="F261" s="61"/>
      <c r="G261" s="15">
        <v>-46148.600780000001</v>
      </c>
      <c r="H261" s="61"/>
      <c r="I261" s="15">
        <f t="shared" si="11"/>
        <v>0</v>
      </c>
      <c r="J261" s="61"/>
      <c r="K261" s="45">
        <f t="shared" si="9"/>
        <v>0</v>
      </c>
    </row>
    <row r="262" spans="2:11" ht="15" customHeight="1" x14ac:dyDescent="0.35">
      <c r="B262" s="14" t="s">
        <v>734</v>
      </c>
      <c r="C262" s="14" t="s">
        <v>735</v>
      </c>
      <c r="D262" s="61"/>
      <c r="E262" s="15"/>
      <c r="F262" s="61"/>
      <c r="G262" s="15"/>
      <c r="H262" s="61"/>
      <c r="I262" s="15">
        <f t="shared" si="11"/>
        <v>0</v>
      </c>
      <c r="J262" s="61"/>
      <c r="K262" s="45">
        <f t="shared" si="9"/>
        <v>0</v>
      </c>
    </row>
    <row r="263" spans="2:11" ht="15" customHeight="1" x14ac:dyDescent="0.35">
      <c r="B263" s="14" t="s">
        <v>736</v>
      </c>
      <c r="C263" s="14" t="s">
        <v>737</v>
      </c>
      <c r="D263" s="61"/>
      <c r="E263" s="15"/>
      <c r="F263" s="61"/>
      <c r="G263" s="15"/>
      <c r="H263" s="61"/>
      <c r="I263" s="15">
        <f t="shared" si="11"/>
        <v>0</v>
      </c>
      <c r="J263" s="61"/>
      <c r="K263" s="45">
        <f t="shared" si="9"/>
        <v>0</v>
      </c>
    </row>
    <row r="264" spans="2:11" ht="15" customHeight="1" x14ac:dyDescent="0.35">
      <c r="B264" s="16" t="s">
        <v>738</v>
      </c>
      <c r="C264" s="16" t="s">
        <v>739</v>
      </c>
      <c r="D264" s="64"/>
      <c r="E264" s="17">
        <f>-(-(E242+E243)-E244-E245-E246-E247-E248-E249-E250-E251-E252-E253-E254-E255-E256-E257-E258-E259-E260-E261-E262-E263)</f>
        <v>1087475.8326300001</v>
      </c>
      <c r="F264" s="64"/>
      <c r="G264" s="17">
        <f>-(-(G242+G243)-G244-G245-G246-G247-G248-G249-G250-G251-G252-G253-G254-G255-G256-G257-G258-G259-G260-G261-G262-G263)</f>
        <v>1106829.0583499998</v>
      </c>
      <c r="H264" s="64"/>
      <c r="I264" s="17">
        <f>-(-(I242+I243)-I244-I245-I246-I247-I248-I249-I250-I251-I252-I253-I254-I255-I256-I257-I258-I259-I260-I261-I262-I263)</f>
        <v>-19353.225719999864</v>
      </c>
      <c r="J264" s="64"/>
      <c r="K264" s="84">
        <f t="shared" si="9"/>
        <v>-1.748528878420539E-2</v>
      </c>
    </row>
    <row r="265" spans="2:11" ht="15" customHeight="1" x14ac:dyDescent="0.35">
      <c r="B265" s="11" t="s">
        <v>740</v>
      </c>
      <c r="C265" s="11" t="s">
        <v>22</v>
      </c>
      <c r="D265" s="29"/>
      <c r="E265" s="12"/>
      <c r="F265" s="29"/>
      <c r="G265" s="12"/>
      <c r="H265" s="29"/>
      <c r="I265" s="12"/>
      <c r="J265" s="29"/>
      <c r="K265" s="85">
        <f t="shared" si="9"/>
        <v>0</v>
      </c>
    </row>
    <row r="266" spans="2:11" ht="15" customHeight="1" x14ac:dyDescent="0.35">
      <c r="B266" s="16" t="s">
        <v>741</v>
      </c>
      <c r="C266" s="16" t="s">
        <v>742</v>
      </c>
      <c r="D266" s="64"/>
      <c r="E266" s="17">
        <v>-10.532999999999999</v>
      </c>
      <c r="F266" s="64"/>
      <c r="G266" s="17">
        <v>-10.532999999999999</v>
      </c>
      <c r="H266" s="64"/>
      <c r="I266" s="17">
        <f>E266-G266</f>
        <v>0</v>
      </c>
      <c r="J266" s="64"/>
      <c r="K266" s="84">
        <f t="shared" ref="K266:K273" si="12">IF(ROUND(I266, 2)=0, 0, IFERROR(I266/ABS(G266), IF(I266&lt;0, -1, 1)))</f>
        <v>0</v>
      </c>
    </row>
    <row r="267" spans="2:11" ht="15" customHeight="1" thickBot="1" x14ac:dyDescent="0.4">
      <c r="B267" s="11" t="s">
        <v>743</v>
      </c>
      <c r="C267" s="11" t="s">
        <v>22</v>
      </c>
      <c r="D267" s="29"/>
      <c r="E267" s="12"/>
      <c r="F267" s="29"/>
      <c r="G267" s="12"/>
      <c r="H267" s="29"/>
      <c r="I267" s="12"/>
      <c r="J267" s="29"/>
      <c r="K267" s="85">
        <f t="shared" si="12"/>
        <v>0</v>
      </c>
    </row>
    <row r="268" spans="2:11" ht="15" customHeight="1" thickBot="1" x14ac:dyDescent="0.4">
      <c r="B268" s="18" t="s">
        <v>744</v>
      </c>
      <c r="C268" s="18" t="s">
        <v>745</v>
      </c>
      <c r="D268" s="66"/>
      <c r="E268" s="19">
        <f>-(-(E236+E238)-E240-E264-E266)</f>
        <v>3079659.45273</v>
      </c>
      <c r="F268" s="66"/>
      <c r="G268" s="19">
        <f>-(-(G236+G238)-G240-G264-G266)</f>
        <v>3099182.6280399999</v>
      </c>
      <c r="H268" s="66"/>
      <c r="I268" s="19">
        <f>-(-(I236+I238)-I240-I264-I266)</f>
        <v>-19523.175310000006</v>
      </c>
      <c r="J268" s="66"/>
      <c r="K268" s="86">
        <f t="shared" si="12"/>
        <v>-6.2994594553296614E-3</v>
      </c>
    </row>
    <row r="269" spans="2:11" ht="15" customHeight="1" thickBot="1" x14ac:dyDescent="0.4">
      <c r="B269" s="11" t="s">
        <v>171</v>
      </c>
      <c r="C269" s="11" t="s">
        <v>22</v>
      </c>
      <c r="D269" s="29"/>
      <c r="E269" s="12"/>
      <c r="F269" s="29"/>
      <c r="G269" s="12"/>
      <c r="H269" s="29"/>
      <c r="I269" s="12"/>
      <c r="J269" s="29"/>
      <c r="K269" s="85">
        <f t="shared" si="12"/>
        <v>0</v>
      </c>
    </row>
    <row r="270" spans="2:11" ht="15" customHeight="1" thickBot="1" x14ac:dyDescent="0.4">
      <c r="B270" s="18" t="s">
        <v>746</v>
      </c>
      <c r="C270" s="18" t="s">
        <v>747</v>
      </c>
      <c r="D270" s="66"/>
      <c r="E270" s="19">
        <f>E234+E268</f>
        <v>5566340.1148100002</v>
      </c>
      <c r="F270" s="66"/>
      <c r="G270" s="19">
        <f>G234+G268</f>
        <v>4928061.1998699997</v>
      </c>
      <c r="H270" s="66"/>
      <c r="I270" s="19">
        <f>I234+I268</f>
        <v>638278.91493999993</v>
      </c>
      <c r="J270" s="66"/>
      <c r="K270" s="86">
        <f t="shared" si="12"/>
        <v>0.12951927523887843</v>
      </c>
    </row>
    <row r="271" spans="2:11" ht="15" customHeight="1" x14ac:dyDescent="0.35">
      <c r="B271" s="11" t="s">
        <v>748</v>
      </c>
      <c r="C271" s="11" t="s">
        <v>22</v>
      </c>
      <c r="D271" s="29"/>
      <c r="E271" s="12"/>
      <c r="F271" s="29"/>
      <c r="G271" s="12"/>
      <c r="H271" s="29"/>
      <c r="I271" s="12"/>
      <c r="J271" s="29"/>
      <c r="K271" s="85">
        <f t="shared" si="12"/>
        <v>0</v>
      </c>
    </row>
    <row r="272" spans="2:11" ht="15" customHeight="1" x14ac:dyDescent="0.35">
      <c r="B272" s="11" t="s">
        <v>749</v>
      </c>
      <c r="C272" s="11" t="s">
        <v>22</v>
      </c>
      <c r="D272" s="29"/>
      <c r="E272" s="12"/>
      <c r="F272" s="29"/>
      <c r="G272" s="12"/>
      <c r="H272" s="29"/>
      <c r="I272" s="12"/>
      <c r="J272" s="29"/>
      <c r="K272" s="85">
        <f t="shared" si="12"/>
        <v>0</v>
      </c>
    </row>
    <row r="273" spans="2:11" ht="15" customHeight="1" x14ac:dyDescent="0.35">
      <c r="B273" s="36" t="s">
        <v>750</v>
      </c>
      <c r="C273" s="36" t="s">
        <v>751</v>
      </c>
      <c r="D273" s="91"/>
      <c r="E273" s="37">
        <f>E164-E270</f>
        <v>-4.1200006380677223E-3</v>
      </c>
      <c r="F273" s="91"/>
      <c r="G273" s="37">
        <f>G164-G270</f>
        <v>-0.33940999954938889</v>
      </c>
      <c r="H273" s="91"/>
      <c r="I273" s="37">
        <f>I164-I270</f>
        <v>0.33529000042472035</v>
      </c>
      <c r="J273" s="91"/>
      <c r="K273" s="92">
        <f t="shared" si="12"/>
        <v>0.98786129126973754</v>
      </c>
    </row>
  </sheetData>
  <mergeCells count="2">
    <mergeCell ref="B4:C4"/>
    <mergeCell ref="B6:C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14BC-72E7-4213-86EB-07044CF74AD5}">
  <dimension ref="B3:X239"/>
  <sheetViews>
    <sheetView showGridLines="0" workbookViewId="0">
      <pane ySplit="8" topLeftCell="A9" activePane="bottomLeft" state="frozen"/>
      <selection pane="bottomLeft" activeCell="B4" sqref="B4:C4"/>
    </sheetView>
  </sheetViews>
  <sheetFormatPr defaultColWidth="9.1796875" defaultRowHeight="15" customHeight="1" x14ac:dyDescent="0.35"/>
  <cols>
    <col min="1" max="1" width="2.1796875" style="1" customWidth="1"/>
    <col min="2" max="2" width="10.7265625" style="1" customWidth="1"/>
    <col min="3" max="3" width="65.7265625" style="1" customWidth="1"/>
    <col min="4" max="4" width="1.54296875" style="1" customWidth="1"/>
    <col min="5" max="5" width="15.7265625" style="1" customWidth="1"/>
    <col min="6" max="6" width="1.54296875" style="1" customWidth="1"/>
    <col min="7" max="7" width="15.7265625" style="1" customWidth="1"/>
    <col min="8" max="8" width="1.54296875" style="1" customWidth="1"/>
    <col min="9" max="9" width="15.7265625" style="1" customWidth="1"/>
    <col min="10" max="10" width="1.54296875" style="1" customWidth="1"/>
    <col min="11" max="17" width="15.7265625" style="1" customWidth="1"/>
    <col min="18" max="30" width="12.7265625" style="1" customWidth="1"/>
    <col min="31" max="16384" width="9.1796875" style="1"/>
  </cols>
  <sheetData>
    <row r="3" spans="2:24" ht="15" customHeight="1" x14ac:dyDescent="0.35">
      <c r="B3" s="2" t="s">
        <v>1505</v>
      </c>
    </row>
    <row r="4" spans="2:24" ht="15" customHeight="1" x14ac:dyDescent="0.35">
      <c r="B4" s="88" t="s">
        <v>270</v>
      </c>
      <c r="C4" s="88"/>
    </row>
    <row r="5" spans="2:24" ht="15" customHeight="1" x14ac:dyDescent="0.35">
      <c r="B5" s="89" t="s">
        <v>1016</v>
      </c>
    </row>
    <row r="6" spans="2:24" ht="15" customHeight="1" x14ac:dyDescent="0.35">
      <c r="B6" s="56">
        <v>46194.594494328703</v>
      </c>
      <c r="C6" s="56"/>
    </row>
    <row r="8" spans="2:24" ht="39.5" thickBot="1" x14ac:dyDescent="0.5">
      <c r="B8" s="7"/>
      <c r="C8" s="28"/>
      <c r="D8" s="59"/>
      <c r="E8" s="8" t="s">
        <v>1501</v>
      </c>
      <c r="F8" s="59"/>
      <c r="G8" s="8" t="s">
        <v>1502</v>
      </c>
      <c r="H8" s="59"/>
      <c r="I8" s="8" t="s">
        <v>1503</v>
      </c>
      <c r="J8" s="59"/>
      <c r="K8" s="8" t="s">
        <v>1504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 spans="2:24" ht="15" customHeight="1" x14ac:dyDescent="0.45">
      <c r="B9" s="11"/>
      <c r="C9" s="11"/>
      <c r="D9" s="29"/>
      <c r="E9" s="29"/>
      <c r="F9" s="29"/>
      <c r="G9" s="29"/>
      <c r="H9" s="29"/>
      <c r="I9" s="29"/>
      <c r="J9" s="29"/>
      <c r="K9" s="93">
        <f t="shared" ref="K9:K72" si="0">IF(ROUND(I9, 2)=0, 0, IFERROR(I9/ABS(G9), IF(I9&lt;0, -1, 1)))</f>
        <v>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spans="2:24" ht="15" customHeight="1" x14ac:dyDescent="0.45">
      <c r="B10" s="34"/>
      <c r="C10" s="34" t="s">
        <v>754</v>
      </c>
      <c r="D10" s="69"/>
      <c r="E10" s="52"/>
      <c r="F10" s="69"/>
      <c r="G10" s="52"/>
      <c r="H10" s="69"/>
      <c r="I10" s="52"/>
      <c r="J10" s="69"/>
      <c r="K10" s="94">
        <f t="shared" si="0"/>
        <v>0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2:24" ht="15" customHeight="1" x14ac:dyDescent="0.35">
      <c r="B11" s="11"/>
      <c r="C11" s="11" t="s">
        <v>22</v>
      </c>
      <c r="D11" s="29"/>
      <c r="E11" s="29"/>
      <c r="F11" s="29"/>
      <c r="G11" s="29"/>
      <c r="H11" s="29"/>
      <c r="I11" s="29"/>
      <c r="J11" s="29"/>
      <c r="K11" s="93">
        <f t="shared" si="0"/>
        <v>0</v>
      </c>
    </row>
    <row r="12" spans="2:24" ht="15" customHeight="1" x14ac:dyDescent="0.35">
      <c r="B12" s="14" t="s">
        <v>755</v>
      </c>
      <c r="C12" s="14" t="s">
        <v>138</v>
      </c>
      <c r="D12" s="61"/>
      <c r="E12" s="30">
        <v>730.27642000000003</v>
      </c>
      <c r="F12" s="61"/>
      <c r="G12" s="30">
        <v>20105.96991</v>
      </c>
      <c r="H12" s="61"/>
      <c r="I12" s="30">
        <f>E12-G12</f>
        <v>-19375.693490000001</v>
      </c>
      <c r="J12" s="61"/>
      <c r="K12" s="55">
        <f t="shared" si="0"/>
        <v>-0.96367862762806655</v>
      </c>
    </row>
    <row r="13" spans="2:24" ht="15" customHeight="1" x14ac:dyDescent="0.35">
      <c r="B13" s="11"/>
      <c r="C13" s="11" t="s">
        <v>22</v>
      </c>
      <c r="D13" s="29"/>
      <c r="E13" s="29"/>
      <c r="F13" s="29"/>
      <c r="G13" s="29"/>
      <c r="H13" s="29"/>
      <c r="I13" s="29"/>
      <c r="J13" s="29"/>
      <c r="K13" s="93">
        <f t="shared" si="0"/>
        <v>0</v>
      </c>
    </row>
    <row r="14" spans="2:24" ht="15" customHeight="1" x14ac:dyDescent="0.35">
      <c r="B14" s="14" t="s">
        <v>756</v>
      </c>
      <c r="C14" s="14" t="s">
        <v>757</v>
      </c>
      <c r="D14" s="61"/>
      <c r="E14" s="30">
        <v>59403.00434</v>
      </c>
      <c r="F14" s="61"/>
      <c r="G14" s="30">
        <v>43734.417220000003</v>
      </c>
      <c r="H14" s="61"/>
      <c r="I14" s="30">
        <f>E14-G14</f>
        <v>15668.587119999997</v>
      </c>
      <c r="J14" s="61"/>
      <c r="K14" s="55">
        <f t="shared" si="0"/>
        <v>0.35826674084123067</v>
      </c>
    </row>
    <row r="15" spans="2:24" ht="15" customHeight="1" x14ac:dyDescent="0.35">
      <c r="B15" s="11"/>
      <c r="C15" s="11" t="s">
        <v>22</v>
      </c>
      <c r="D15" s="29"/>
      <c r="E15" s="29"/>
      <c r="F15" s="29"/>
      <c r="G15" s="29"/>
      <c r="H15" s="29"/>
      <c r="I15" s="29"/>
      <c r="J15" s="29"/>
      <c r="K15" s="93">
        <f t="shared" si="0"/>
        <v>0</v>
      </c>
    </row>
    <row r="16" spans="2:24" ht="15" customHeight="1" x14ac:dyDescent="0.35">
      <c r="B16" s="34" t="s">
        <v>758</v>
      </c>
      <c r="C16" s="34" t="s">
        <v>126</v>
      </c>
      <c r="D16" s="69"/>
      <c r="E16" s="52">
        <f>E12+E14</f>
        <v>60133.280760000001</v>
      </c>
      <c r="F16" s="69"/>
      <c r="G16" s="52">
        <f>G12+G14</f>
        <v>63840.387130000003</v>
      </c>
      <c r="H16" s="69"/>
      <c r="I16" s="52">
        <f>I12+I14</f>
        <v>-3707.106370000005</v>
      </c>
      <c r="J16" s="69"/>
      <c r="K16" s="94">
        <f t="shared" si="0"/>
        <v>-5.8068356672886685E-2</v>
      </c>
    </row>
    <row r="17" spans="2:11" ht="15" customHeight="1" x14ac:dyDescent="0.35">
      <c r="B17" s="11"/>
      <c r="C17" s="11" t="s">
        <v>22</v>
      </c>
      <c r="D17" s="29"/>
      <c r="E17" s="29"/>
      <c r="F17" s="29"/>
      <c r="G17" s="29"/>
      <c r="H17" s="29"/>
      <c r="I17" s="29"/>
      <c r="J17" s="29"/>
      <c r="K17" s="93">
        <f t="shared" si="0"/>
        <v>0</v>
      </c>
    </row>
    <row r="18" spans="2:11" ht="15" customHeight="1" x14ac:dyDescent="0.35">
      <c r="B18" s="14" t="s">
        <v>759</v>
      </c>
      <c r="C18" s="14" t="s">
        <v>760</v>
      </c>
      <c r="D18" s="61"/>
      <c r="E18" s="30">
        <v>22084.158899999999</v>
      </c>
      <c r="F18" s="61"/>
      <c r="G18" s="30">
        <v>34525.533929999998</v>
      </c>
      <c r="H18" s="61"/>
      <c r="I18" s="30">
        <f>E18-G18</f>
        <v>-12441.375029999999</v>
      </c>
      <c r="J18" s="61"/>
      <c r="K18" s="55">
        <f t="shared" si="0"/>
        <v>-0.3603528639187652</v>
      </c>
    </row>
    <row r="19" spans="2:11" ht="15" customHeight="1" x14ac:dyDescent="0.35">
      <c r="B19" s="14" t="s">
        <v>761</v>
      </c>
      <c r="C19" s="14" t="s">
        <v>762</v>
      </c>
      <c r="D19" s="61"/>
      <c r="E19" s="30">
        <v>20275.206399999999</v>
      </c>
      <c r="F19" s="61"/>
      <c r="G19" s="30"/>
      <c r="H19" s="61"/>
      <c r="I19" s="30">
        <f>E19-G19</f>
        <v>20275.206399999999</v>
      </c>
      <c r="J19" s="61"/>
      <c r="K19" s="55">
        <f t="shared" si="0"/>
        <v>1</v>
      </c>
    </row>
    <row r="20" spans="2:11" ht="15" customHeight="1" x14ac:dyDescent="0.35">
      <c r="B20" s="11"/>
      <c r="C20" s="11" t="s">
        <v>22</v>
      </c>
      <c r="D20" s="29"/>
      <c r="E20" s="29"/>
      <c r="F20" s="29"/>
      <c r="G20" s="29"/>
      <c r="H20" s="29"/>
      <c r="I20" s="29"/>
      <c r="J20" s="29"/>
      <c r="K20" s="93">
        <f t="shared" si="0"/>
        <v>0</v>
      </c>
    </row>
    <row r="21" spans="2:11" ht="15" customHeight="1" x14ac:dyDescent="0.35">
      <c r="B21" s="34"/>
      <c r="C21" s="34" t="s">
        <v>763</v>
      </c>
      <c r="D21" s="69"/>
      <c r="E21" s="52">
        <f>E22+E23</f>
        <v>0</v>
      </c>
      <c r="F21" s="69"/>
      <c r="G21" s="52">
        <f>G22+G23</f>
        <v>0</v>
      </c>
      <c r="H21" s="69"/>
      <c r="I21" s="52">
        <f>I22+I23</f>
        <v>0</v>
      </c>
      <c r="J21" s="69"/>
      <c r="K21" s="94">
        <f t="shared" si="0"/>
        <v>0</v>
      </c>
    </row>
    <row r="22" spans="2:11" ht="15" customHeight="1" x14ac:dyDescent="0.35">
      <c r="B22" s="14" t="s">
        <v>764</v>
      </c>
      <c r="C22" s="14" t="s">
        <v>112</v>
      </c>
      <c r="D22" s="61"/>
      <c r="E22" s="30"/>
      <c r="F22" s="61"/>
      <c r="G22" s="30"/>
      <c r="H22" s="61"/>
      <c r="I22" s="30">
        <f>E22-G22</f>
        <v>0</v>
      </c>
      <c r="J22" s="61"/>
      <c r="K22" s="55">
        <f t="shared" si="0"/>
        <v>0</v>
      </c>
    </row>
    <row r="23" spans="2:11" ht="15" customHeight="1" x14ac:dyDescent="0.35">
      <c r="B23" s="14" t="s">
        <v>765</v>
      </c>
      <c r="C23" s="14" t="s">
        <v>110</v>
      </c>
      <c r="D23" s="61"/>
      <c r="E23" s="30"/>
      <c r="F23" s="61"/>
      <c r="G23" s="30"/>
      <c r="H23" s="61"/>
      <c r="I23" s="30">
        <f>E23-G23</f>
        <v>0</v>
      </c>
      <c r="J23" s="61"/>
      <c r="K23" s="55">
        <f t="shared" si="0"/>
        <v>0</v>
      </c>
    </row>
    <row r="24" spans="2:11" ht="15" customHeight="1" x14ac:dyDescent="0.35">
      <c r="B24" s="11"/>
      <c r="C24" s="11" t="s">
        <v>22</v>
      </c>
      <c r="D24" s="29"/>
      <c r="E24" s="29"/>
      <c r="F24" s="29"/>
      <c r="G24" s="29"/>
      <c r="H24" s="29"/>
      <c r="I24" s="29"/>
      <c r="J24" s="29"/>
      <c r="K24" s="93">
        <f t="shared" si="0"/>
        <v>0</v>
      </c>
    </row>
    <row r="25" spans="2:11" ht="15" customHeight="1" x14ac:dyDescent="0.35">
      <c r="B25" s="34"/>
      <c r="C25" s="34" t="s">
        <v>766</v>
      </c>
      <c r="D25" s="69"/>
      <c r="E25" s="52">
        <f>E26+E27</f>
        <v>-7544.4553499999993</v>
      </c>
      <c r="F25" s="69"/>
      <c r="G25" s="52">
        <f>G26+G27</f>
        <v>-1487.4848500000001</v>
      </c>
      <c r="H25" s="69"/>
      <c r="I25" s="52">
        <f>I26+I27</f>
        <v>-6056.9704999999994</v>
      </c>
      <c r="J25" s="69"/>
      <c r="K25" s="94">
        <f t="shared" si="0"/>
        <v>-4.0719544135188999</v>
      </c>
    </row>
    <row r="26" spans="2:11" ht="15" customHeight="1" x14ac:dyDescent="0.35">
      <c r="B26" s="14" t="s">
        <v>767</v>
      </c>
      <c r="C26" s="14" t="s">
        <v>768</v>
      </c>
      <c r="D26" s="61"/>
      <c r="E26" s="30">
        <v>-8289.9253499999995</v>
      </c>
      <c r="F26" s="61"/>
      <c r="G26" s="30">
        <v>-1652.4848500000001</v>
      </c>
      <c r="H26" s="61"/>
      <c r="I26" s="30">
        <f>E26-G26</f>
        <v>-6637.4404999999997</v>
      </c>
      <c r="J26" s="61"/>
      <c r="K26" s="55">
        <f t="shared" si="0"/>
        <v>-4.0166422705781537</v>
      </c>
    </row>
    <row r="27" spans="2:11" ht="15" customHeight="1" x14ac:dyDescent="0.35">
      <c r="B27" s="14" t="s">
        <v>769</v>
      </c>
      <c r="C27" s="14" t="s">
        <v>770</v>
      </c>
      <c r="D27" s="61"/>
      <c r="E27" s="30">
        <v>745.47</v>
      </c>
      <c r="F27" s="61"/>
      <c r="G27" s="30">
        <v>165</v>
      </c>
      <c r="H27" s="61"/>
      <c r="I27" s="30">
        <f>E27-G27</f>
        <v>580.47</v>
      </c>
      <c r="J27" s="61"/>
      <c r="K27" s="55">
        <f t="shared" si="0"/>
        <v>3.5180000000000002</v>
      </c>
    </row>
    <row r="28" spans="2:11" ht="15" customHeight="1" x14ac:dyDescent="0.35">
      <c r="B28" s="11"/>
      <c r="C28" s="11" t="s">
        <v>22</v>
      </c>
      <c r="D28" s="29"/>
      <c r="E28" s="29"/>
      <c r="F28" s="29"/>
      <c r="G28" s="29"/>
      <c r="H28" s="29"/>
      <c r="I28" s="29"/>
      <c r="J28" s="29"/>
      <c r="K28" s="93">
        <f t="shared" si="0"/>
        <v>0</v>
      </c>
    </row>
    <row r="29" spans="2:11" ht="15" customHeight="1" x14ac:dyDescent="0.35">
      <c r="B29" s="34"/>
      <c r="C29" s="34" t="s">
        <v>771</v>
      </c>
      <c r="D29" s="69"/>
      <c r="E29" s="52">
        <f>E30+E31+E32+E33+E34+E35+E36</f>
        <v>692.4393500000001</v>
      </c>
      <c r="F29" s="69"/>
      <c r="G29" s="52">
        <f>G30+G31+G32+G33+G34+G35+G36</f>
        <v>5.9203400000001238</v>
      </c>
      <c r="H29" s="69"/>
      <c r="I29" s="52">
        <f>I30+I31+I32+I33+I34+I35+I36</f>
        <v>686.51900999999987</v>
      </c>
      <c r="J29" s="69"/>
      <c r="K29" s="94">
        <f t="shared" si="0"/>
        <v>115.95938915670139</v>
      </c>
    </row>
    <row r="30" spans="2:11" ht="15" customHeight="1" x14ac:dyDescent="0.35">
      <c r="B30" s="14" t="s">
        <v>772</v>
      </c>
      <c r="C30" s="14" t="s">
        <v>88</v>
      </c>
      <c r="D30" s="61"/>
      <c r="E30" s="30">
        <v>-2350.6073999999999</v>
      </c>
      <c r="F30" s="61"/>
      <c r="G30" s="30">
        <v>-2565.2285299999999</v>
      </c>
      <c r="H30" s="61"/>
      <c r="I30" s="30">
        <f t="shared" ref="I30:I36" si="1">E30-G30</f>
        <v>214.62112999999999</v>
      </c>
      <c r="J30" s="61"/>
      <c r="K30" s="55">
        <f t="shared" si="0"/>
        <v>8.3665500944666321E-2</v>
      </c>
    </row>
    <row r="31" spans="2:11" ht="15" customHeight="1" x14ac:dyDescent="0.35">
      <c r="B31" s="14" t="s">
        <v>773</v>
      </c>
      <c r="C31" s="14" t="s">
        <v>774</v>
      </c>
      <c r="D31" s="61"/>
      <c r="E31" s="30">
        <v>154.20959999999999</v>
      </c>
      <c r="F31" s="61"/>
      <c r="G31" s="30">
        <v>-7.80253</v>
      </c>
      <c r="H31" s="61"/>
      <c r="I31" s="30">
        <f t="shared" si="1"/>
        <v>162.01212999999998</v>
      </c>
      <c r="J31" s="61"/>
      <c r="K31" s="55">
        <f t="shared" si="0"/>
        <v>20.764050891185292</v>
      </c>
    </row>
    <row r="32" spans="2:11" ht="15" customHeight="1" x14ac:dyDescent="0.35">
      <c r="B32" s="14" t="s">
        <v>775</v>
      </c>
      <c r="C32" s="14" t="s">
        <v>776</v>
      </c>
      <c r="D32" s="61"/>
      <c r="E32" s="30">
        <v>-358</v>
      </c>
      <c r="F32" s="61"/>
      <c r="G32" s="30">
        <v>-950</v>
      </c>
      <c r="H32" s="61"/>
      <c r="I32" s="30">
        <f t="shared" si="1"/>
        <v>592</v>
      </c>
      <c r="J32" s="61"/>
      <c r="K32" s="55">
        <f t="shared" si="0"/>
        <v>0.62315789473684213</v>
      </c>
    </row>
    <row r="33" spans="2:11" ht="15" customHeight="1" x14ac:dyDescent="0.35">
      <c r="B33" s="14" t="s">
        <v>777</v>
      </c>
      <c r="C33" s="14" t="s">
        <v>778</v>
      </c>
      <c r="D33" s="61"/>
      <c r="E33" s="30"/>
      <c r="F33" s="61"/>
      <c r="G33" s="30"/>
      <c r="H33" s="61"/>
      <c r="I33" s="30">
        <f t="shared" si="1"/>
        <v>0</v>
      </c>
      <c r="J33" s="61"/>
      <c r="K33" s="55">
        <f t="shared" si="0"/>
        <v>0</v>
      </c>
    </row>
    <row r="34" spans="2:11" ht="15" customHeight="1" x14ac:dyDescent="0.35">
      <c r="B34" s="14" t="s">
        <v>779</v>
      </c>
      <c r="C34" s="14" t="s">
        <v>780</v>
      </c>
      <c r="D34" s="61"/>
      <c r="E34" s="30"/>
      <c r="F34" s="61"/>
      <c r="G34" s="30"/>
      <c r="H34" s="61"/>
      <c r="I34" s="30">
        <f t="shared" si="1"/>
        <v>0</v>
      </c>
      <c r="J34" s="61"/>
      <c r="K34" s="55">
        <f t="shared" si="0"/>
        <v>0</v>
      </c>
    </row>
    <row r="35" spans="2:11" ht="15" customHeight="1" x14ac:dyDescent="0.35">
      <c r="B35" s="14" t="s">
        <v>781</v>
      </c>
      <c r="C35" s="14" t="s">
        <v>782</v>
      </c>
      <c r="D35" s="61"/>
      <c r="E35" s="30">
        <v>3246.8371499999998</v>
      </c>
      <c r="F35" s="61"/>
      <c r="G35" s="30">
        <v>3528.9513999999999</v>
      </c>
      <c r="H35" s="61"/>
      <c r="I35" s="30">
        <f t="shared" si="1"/>
        <v>-282.11425000000008</v>
      </c>
      <c r="J35" s="61"/>
      <c r="K35" s="55">
        <f t="shared" si="0"/>
        <v>-7.9942798305468327E-2</v>
      </c>
    </row>
    <row r="36" spans="2:11" ht="15" customHeight="1" x14ac:dyDescent="0.35">
      <c r="B36" s="14" t="s">
        <v>783</v>
      </c>
      <c r="C36" s="14" t="s">
        <v>784</v>
      </c>
      <c r="D36" s="61"/>
      <c r="E36" s="30"/>
      <c r="F36" s="61"/>
      <c r="G36" s="30"/>
      <c r="H36" s="61"/>
      <c r="I36" s="30">
        <f t="shared" si="1"/>
        <v>0</v>
      </c>
      <c r="J36" s="61"/>
      <c r="K36" s="55">
        <f t="shared" si="0"/>
        <v>0</v>
      </c>
    </row>
    <row r="37" spans="2:11" ht="15" customHeight="1" x14ac:dyDescent="0.35">
      <c r="B37" s="11"/>
      <c r="C37" s="11" t="s">
        <v>22</v>
      </c>
      <c r="D37" s="29"/>
      <c r="E37" s="29"/>
      <c r="F37" s="29"/>
      <c r="G37" s="29"/>
      <c r="H37" s="29"/>
      <c r="I37" s="29"/>
      <c r="J37" s="29"/>
      <c r="K37" s="93">
        <f t="shared" si="0"/>
        <v>0</v>
      </c>
    </row>
    <row r="38" spans="2:11" ht="15" customHeight="1" x14ac:dyDescent="0.35">
      <c r="B38" s="34"/>
      <c r="C38" s="34" t="s">
        <v>785</v>
      </c>
      <c r="D38" s="69"/>
      <c r="E38" s="52">
        <f>-(-(E39+E40)-E41)</f>
        <v>0</v>
      </c>
      <c r="F38" s="69"/>
      <c r="G38" s="52">
        <f>-(-(G39+G40)-G41)</f>
        <v>0</v>
      </c>
      <c r="H38" s="69"/>
      <c r="I38" s="52">
        <f>-(-(I39+I40)-I41)</f>
        <v>0</v>
      </c>
      <c r="J38" s="69"/>
      <c r="K38" s="94">
        <f t="shared" si="0"/>
        <v>0</v>
      </c>
    </row>
    <row r="39" spans="2:11" ht="15" customHeight="1" x14ac:dyDescent="0.35">
      <c r="B39" s="14" t="s">
        <v>786</v>
      </c>
      <c r="C39" s="14" t="s">
        <v>787</v>
      </c>
      <c r="D39" s="61"/>
      <c r="E39" s="30"/>
      <c r="F39" s="61"/>
      <c r="G39" s="30"/>
      <c r="H39" s="61"/>
      <c r="I39" s="30">
        <f>E39-G39</f>
        <v>0</v>
      </c>
      <c r="J39" s="61"/>
      <c r="K39" s="55">
        <f t="shared" si="0"/>
        <v>0</v>
      </c>
    </row>
    <row r="40" spans="2:11" ht="15" customHeight="1" x14ac:dyDescent="0.35">
      <c r="B40" s="14" t="s">
        <v>788</v>
      </c>
      <c r="C40" s="14" t="s">
        <v>789</v>
      </c>
      <c r="D40" s="61"/>
      <c r="E40" s="30"/>
      <c r="F40" s="61"/>
      <c r="G40" s="30"/>
      <c r="H40" s="61"/>
      <c r="I40" s="30">
        <f>E40-G40</f>
        <v>0</v>
      </c>
      <c r="J40" s="61"/>
      <c r="K40" s="55">
        <f t="shared" si="0"/>
        <v>0</v>
      </c>
    </row>
    <row r="41" spans="2:11" ht="15" customHeight="1" x14ac:dyDescent="0.35">
      <c r="B41" s="14" t="s">
        <v>790</v>
      </c>
      <c r="C41" s="14" t="s">
        <v>791</v>
      </c>
      <c r="D41" s="61"/>
      <c r="E41" s="30"/>
      <c r="F41" s="61"/>
      <c r="G41" s="30"/>
      <c r="H41" s="61"/>
      <c r="I41" s="30">
        <f>E41-G41</f>
        <v>0</v>
      </c>
      <c r="J41" s="61"/>
      <c r="K41" s="55">
        <f t="shared" si="0"/>
        <v>0</v>
      </c>
    </row>
    <row r="42" spans="2:11" ht="15" customHeight="1" x14ac:dyDescent="0.35">
      <c r="B42" s="11"/>
      <c r="C42" s="11" t="s">
        <v>22</v>
      </c>
      <c r="D42" s="29"/>
      <c r="E42" s="29"/>
      <c r="F42" s="29"/>
      <c r="G42" s="29"/>
      <c r="H42" s="29"/>
      <c r="I42" s="29"/>
      <c r="J42" s="29"/>
      <c r="K42" s="93">
        <f t="shared" si="0"/>
        <v>0</v>
      </c>
    </row>
    <row r="43" spans="2:11" ht="15" customHeight="1" x14ac:dyDescent="0.35">
      <c r="B43" s="34"/>
      <c r="C43" s="34" t="s">
        <v>792</v>
      </c>
      <c r="D43" s="69"/>
      <c r="E43" s="52">
        <f>E45+E49</f>
        <v>-14700.600719999999</v>
      </c>
      <c r="F43" s="69"/>
      <c r="G43" s="52">
        <f>G45+G49</f>
        <v>-19462.103709999999</v>
      </c>
      <c r="H43" s="69"/>
      <c r="I43" s="52">
        <f>I45+I49</f>
        <v>4761.50299</v>
      </c>
      <c r="J43" s="69"/>
      <c r="K43" s="94">
        <f t="shared" si="0"/>
        <v>0.24465510311474956</v>
      </c>
    </row>
    <row r="44" spans="2:11" ht="15" customHeight="1" x14ac:dyDescent="0.35">
      <c r="B44" s="11"/>
      <c r="C44" s="11" t="s">
        <v>22</v>
      </c>
      <c r="D44" s="29"/>
      <c r="E44" s="29"/>
      <c r="F44" s="29"/>
      <c r="G44" s="29"/>
      <c r="H44" s="29"/>
      <c r="I44" s="29"/>
      <c r="J44" s="29"/>
      <c r="K44" s="93">
        <f t="shared" si="0"/>
        <v>0</v>
      </c>
    </row>
    <row r="45" spans="2:11" ht="15" customHeight="1" x14ac:dyDescent="0.35">
      <c r="B45" s="34"/>
      <c r="C45" s="34" t="s">
        <v>793</v>
      </c>
      <c r="D45" s="69"/>
      <c r="E45" s="52">
        <f>E46+E47</f>
        <v>3.88246</v>
      </c>
      <c r="F45" s="69"/>
      <c r="G45" s="52">
        <f>G46+G47</f>
        <v>0.36046</v>
      </c>
      <c r="H45" s="69"/>
      <c r="I45" s="52">
        <f>I46+I47</f>
        <v>3.5220000000000002</v>
      </c>
      <c r="J45" s="69"/>
      <c r="K45" s="94">
        <f t="shared" si="0"/>
        <v>9.7708483604283423</v>
      </c>
    </row>
    <row r="46" spans="2:11" ht="15" customHeight="1" x14ac:dyDescent="0.35">
      <c r="B46" s="14" t="s">
        <v>794</v>
      </c>
      <c r="C46" s="14" t="s">
        <v>795</v>
      </c>
      <c r="D46" s="61"/>
      <c r="E46" s="30"/>
      <c r="F46" s="61"/>
      <c r="G46" s="30"/>
      <c r="H46" s="61"/>
      <c r="I46" s="30">
        <f>E46-G46</f>
        <v>0</v>
      </c>
      <c r="J46" s="61"/>
      <c r="K46" s="55">
        <f t="shared" si="0"/>
        <v>0</v>
      </c>
    </row>
    <row r="47" spans="2:11" ht="15" customHeight="1" x14ac:dyDescent="0.35">
      <c r="B47" s="14" t="s">
        <v>796</v>
      </c>
      <c r="C47" s="14" t="s">
        <v>797</v>
      </c>
      <c r="D47" s="61"/>
      <c r="E47" s="30">
        <v>3.88246</v>
      </c>
      <c r="F47" s="61"/>
      <c r="G47" s="30">
        <v>0.36046</v>
      </c>
      <c r="H47" s="61"/>
      <c r="I47" s="30">
        <f>E47-G47</f>
        <v>3.5220000000000002</v>
      </c>
      <c r="J47" s="61"/>
      <c r="K47" s="55">
        <f t="shared" si="0"/>
        <v>9.7708483604283423</v>
      </c>
    </row>
    <row r="48" spans="2:11" ht="15" customHeight="1" x14ac:dyDescent="0.35">
      <c r="B48" s="11"/>
      <c r="C48" s="11" t="s">
        <v>22</v>
      </c>
      <c r="D48" s="29"/>
      <c r="E48" s="29"/>
      <c r="F48" s="29"/>
      <c r="G48" s="29"/>
      <c r="H48" s="29"/>
      <c r="I48" s="29"/>
      <c r="J48" s="29"/>
      <c r="K48" s="93">
        <f t="shared" si="0"/>
        <v>0</v>
      </c>
    </row>
    <row r="49" spans="2:11" ht="15" customHeight="1" x14ac:dyDescent="0.35">
      <c r="B49" s="34"/>
      <c r="C49" s="34" t="s">
        <v>798</v>
      </c>
      <c r="D49" s="69"/>
      <c r="E49" s="52">
        <f>-(-(E50+E51)-E52)</f>
        <v>-14704.483179999999</v>
      </c>
      <c r="F49" s="69"/>
      <c r="G49" s="52">
        <f>-(-(G50+G51)-G52)</f>
        <v>-19462.464169999999</v>
      </c>
      <c r="H49" s="69"/>
      <c r="I49" s="52">
        <f>-(-(I50+I51)-I52)</f>
        <v>4757.98099</v>
      </c>
      <c r="J49" s="69"/>
      <c r="K49" s="94">
        <f t="shared" si="0"/>
        <v>0.24446960818733779</v>
      </c>
    </row>
    <row r="50" spans="2:11" ht="15" customHeight="1" x14ac:dyDescent="0.35">
      <c r="B50" s="14" t="s">
        <v>799</v>
      </c>
      <c r="C50" s="14" t="s">
        <v>800</v>
      </c>
      <c r="D50" s="61"/>
      <c r="E50" s="30">
        <v>-8988.1359900000007</v>
      </c>
      <c r="F50" s="61"/>
      <c r="G50" s="30">
        <v>-11460.755370000001</v>
      </c>
      <c r="H50" s="61"/>
      <c r="I50" s="30">
        <f>E50-G50</f>
        <v>2472.6193800000001</v>
      </c>
      <c r="J50" s="61"/>
      <c r="K50" s="55">
        <f t="shared" si="0"/>
        <v>0.2157466327631771</v>
      </c>
    </row>
    <row r="51" spans="2:11" ht="15" customHeight="1" x14ac:dyDescent="0.35">
      <c r="B51" s="14" t="s">
        <v>801</v>
      </c>
      <c r="C51" s="14" t="s">
        <v>802</v>
      </c>
      <c r="D51" s="61"/>
      <c r="E51" s="30">
        <v>-3106.40103</v>
      </c>
      <c r="F51" s="61"/>
      <c r="G51" s="30">
        <v>-2954.4613899999999</v>
      </c>
      <c r="H51" s="61"/>
      <c r="I51" s="30">
        <f>E51-G51</f>
        <v>-151.93964000000005</v>
      </c>
      <c r="J51" s="61"/>
      <c r="K51" s="55">
        <f t="shared" si="0"/>
        <v>-5.1427187545679875E-2</v>
      </c>
    </row>
    <row r="52" spans="2:11" ht="15" customHeight="1" x14ac:dyDescent="0.35">
      <c r="B52" s="14" t="s">
        <v>803</v>
      </c>
      <c r="C52" s="14" t="s">
        <v>804</v>
      </c>
      <c r="D52" s="61"/>
      <c r="E52" s="30">
        <v>-2609.94616</v>
      </c>
      <c r="F52" s="61"/>
      <c r="G52" s="30">
        <v>-5047.2474099999999</v>
      </c>
      <c r="H52" s="61"/>
      <c r="I52" s="30">
        <f>E52-G52</f>
        <v>2437.30125</v>
      </c>
      <c r="J52" s="61"/>
      <c r="K52" s="55">
        <f t="shared" si="0"/>
        <v>0.48289712233464693</v>
      </c>
    </row>
    <row r="53" spans="2:11" ht="15" customHeight="1" x14ac:dyDescent="0.35">
      <c r="B53" s="11"/>
      <c r="C53" s="11" t="s">
        <v>22</v>
      </c>
      <c r="D53" s="29"/>
      <c r="E53" s="29"/>
      <c r="F53" s="29"/>
      <c r="G53" s="29"/>
      <c r="H53" s="29"/>
      <c r="I53" s="29"/>
      <c r="J53" s="29"/>
      <c r="K53" s="93">
        <f t="shared" si="0"/>
        <v>0</v>
      </c>
    </row>
    <row r="54" spans="2:11" ht="15" customHeight="1" x14ac:dyDescent="0.35">
      <c r="B54" s="34"/>
      <c r="C54" s="34" t="s">
        <v>805</v>
      </c>
      <c r="D54" s="69"/>
      <c r="E54" s="52">
        <f>E55+E56</f>
        <v>-74.426760000000002</v>
      </c>
      <c r="F54" s="69"/>
      <c r="G54" s="52">
        <f>G55+G56</f>
        <v>205.61</v>
      </c>
      <c r="H54" s="69"/>
      <c r="I54" s="52">
        <f>I55+I56</f>
        <v>-280.03676000000002</v>
      </c>
      <c r="J54" s="69"/>
      <c r="K54" s="94">
        <f t="shared" si="0"/>
        <v>-1.3619802538787025</v>
      </c>
    </row>
    <row r="55" spans="2:11" ht="15" customHeight="1" x14ac:dyDescent="0.35">
      <c r="B55" s="14" t="s">
        <v>806</v>
      </c>
      <c r="C55" s="14" t="s">
        <v>805</v>
      </c>
      <c r="D55" s="61"/>
      <c r="E55" s="30">
        <v>-74.426760000000002</v>
      </c>
      <c r="F55" s="61"/>
      <c r="G55" s="30">
        <v>205.61</v>
      </c>
      <c r="H55" s="61"/>
      <c r="I55" s="30">
        <f>E55-G55</f>
        <v>-280.03676000000002</v>
      </c>
      <c r="J55" s="61"/>
      <c r="K55" s="55">
        <f t="shared" si="0"/>
        <v>-1.3619802538787025</v>
      </c>
    </row>
    <row r="56" spans="2:11" ht="15" customHeight="1" x14ac:dyDescent="0.35">
      <c r="B56" s="14" t="s">
        <v>807</v>
      </c>
      <c r="C56" s="14" t="s">
        <v>808</v>
      </c>
      <c r="D56" s="61"/>
      <c r="E56" s="30"/>
      <c r="F56" s="61"/>
      <c r="G56" s="30"/>
      <c r="H56" s="61"/>
      <c r="I56" s="30">
        <f>E56-G56</f>
        <v>0</v>
      </c>
      <c r="J56" s="61"/>
      <c r="K56" s="55">
        <f t="shared" si="0"/>
        <v>0</v>
      </c>
    </row>
    <row r="57" spans="2:11" ht="15" customHeight="1" x14ac:dyDescent="0.35">
      <c r="B57" s="11"/>
      <c r="C57" s="11" t="s">
        <v>22</v>
      </c>
      <c r="D57" s="29"/>
      <c r="E57" s="29"/>
      <c r="F57" s="29"/>
      <c r="G57" s="29"/>
      <c r="H57" s="29"/>
      <c r="I57" s="29"/>
      <c r="J57" s="29"/>
      <c r="K57" s="93">
        <f t="shared" si="0"/>
        <v>0</v>
      </c>
    </row>
    <row r="58" spans="2:11" ht="15" customHeight="1" x14ac:dyDescent="0.35">
      <c r="B58" s="14" t="s">
        <v>809</v>
      </c>
      <c r="C58" s="14" t="s">
        <v>810</v>
      </c>
      <c r="D58" s="61"/>
      <c r="E58" s="30">
        <v>-4108.8074999999999</v>
      </c>
      <c r="F58" s="61"/>
      <c r="G58" s="30">
        <v>-4822.1412399999999</v>
      </c>
      <c r="H58" s="61"/>
      <c r="I58" s="30">
        <f>E58-G58</f>
        <v>713.33374000000003</v>
      </c>
      <c r="J58" s="61"/>
      <c r="K58" s="55">
        <f t="shared" si="0"/>
        <v>0.14792883586296615</v>
      </c>
    </row>
    <row r="59" spans="2:11" ht="15" customHeight="1" x14ac:dyDescent="0.35">
      <c r="B59" s="11"/>
      <c r="C59" s="11" t="s">
        <v>22</v>
      </c>
      <c r="D59" s="29"/>
      <c r="E59" s="29"/>
      <c r="F59" s="29"/>
      <c r="G59" s="29"/>
      <c r="H59" s="29"/>
      <c r="I59" s="29"/>
      <c r="J59" s="29"/>
      <c r="K59" s="93">
        <f t="shared" si="0"/>
        <v>0</v>
      </c>
    </row>
    <row r="60" spans="2:11" ht="15" customHeight="1" x14ac:dyDescent="0.35">
      <c r="B60" s="34"/>
      <c r="C60" s="34" t="s">
        <v>811</v>
      </c>
      <c r="D60" s="69"/>
      <c r="E60" s="52">
        <f>-(-(E61+E62)-E63)</f>
        <v>-24809.41908</v>
      </c>
      <c r="F60" s="69"/>
      <c r="G60" s="52">
        <f>-(-(G61+G62)-G63)</f>
        <v>-33010.334620000001</v>
      </c>
      <c r="H60" s="69"/>
      <c r="I60" s="52">
        <f>-(-(I61+I62)-I63)</f>
        <v>8200.91554</v>
      </c>
      <c r="J60" s="69"/>
      <c r="K60" s="94">
        <f t="shared" si="0"/>
        <v>0.24843478972283134</v>
      </c>
    </row>
    <row r="61" spans="2:11" ht="15" customHeight="1" x14ac:dyDescent="0.35">
      <c r="B61" s="14" t="s">
        <v>812</v>
      </c>
      <c r="C61" s="14" t="s">
        <v>813</v>
      </c>
      <c r="D61" s="61"/>
      <c r="E61" s="30">
        <v>-24809.41908</v>
      </c>
      <c r="F61" s="61"/>
      <c r="G61" s="30">
        <v>-31423.382389999999</v>
      </c>
      <c r="H61" s="61"/>
      <c r="I61" s="30">
        <f>E61-G61</f>
        <v>6613.9633099999992</v>
      </c>
      <c r="J61" s="61"/>
      <c r="K61" s="55">
        <f t="shared" si="0"/>
        <v>0.21047903844064825</v>
      </c>
    </row>
    <row r="62" spans="2:11" ht="15" customHeight="1" x14ac:dyDescent="0.35">
      <c r="B62" s="14" t="s">
        <v>814</v>
      </c>
      <c r="C62" s="14" t="s">
        <v>815</v>
      </c>
      <c r="D62" s="61"/>
      <c r="E62" s="30"/>
      <c r="F62" s="61"/>
      <c r="G62" s="30"/>
      <c r="H62" s="61"/>
      <c r="I62" s="30">
        <f>E62-G62</f>
        <v>0</v>
      </c>
      <c r="J62" s="61"/>
      <c r="K62" s="55">
        <f t="shared" si="0"/>
        <v>0</v>
      </c>
    </row>
    <row r="63" spans="2:11" ht="15" customHeight="1" x14ac:dyDescent="0.35">
      <c r="B63" s="14" t="s">
        <v>816</v>
      </c>
      <c r="C63" s="14" t="s">
        <v>817</v>
      </c>
      <c r="D63" s="61"/>
      <c r="E63" s="30"/>
      <c r="F63" s="61"/>
      <c r="G63" s="30">
        <v>-1586.9522300000001</v>
      </c>
      <c r="H63" s="61"/>
      <c r="I63" s="30">
        <f>E63-G63</f>
        <v>1586.9522300000001</v>
      </c>
      <c r="J63" s="61"/>
      <c r="K63" s="55">
        <f t="shared" si="0"/>
        <v>1</v>
      </c>
    </row>
    <row r="64" spans="2:11" ht="15" customHeight="1" x14ac:dyDescent="0.35">
      <c r="B64" s="11"/>
      <c r="C64" s="11" t="s">
        <v>22</v>
      </c>
      <c r="D64" s="29"/>
      <c r="E64" s="29"/>
      <c r="F64" s="29"/>
      <c r="G64" s="29"/>
      <c r="H64" s="29"/>
      <c r="I64" s="29"/>
      <c r="J64" s="29"/>
      <c r="K64" s="93">
        <f t="shared" si="0"/>
        <v>0</v>
      </c>
    </row>
    <row r="65" spans="2:11" ht="15" customHeight="1" x14ac:dyDescent="0.35">
      <c r="B65" s="34" t="s">
        <v>818</v>
      </c>
      <c r="C65" s="34" t="s">
        <v>819</v>
      </c>
      <c r="D65" s="69"/>
      <c r="E65" s="52">
        <f>E66+E67</f>
        <v>-29130.592549999998</v>
      </c>
      <c r="F65" s="69"/>
      <c r="G65" s="52">
        <f>G66+G67</f>
        <v>-16951.07691</v>
      </c>
      <c r="H65" s="69"/>
      <c r="I65" s="52">
        <f>I66+I67</f>
        <v>-12179.515639999998</v>
      </c>
      <c r="J65" s="69"/>
      <c r="K65" s="94">
        <f t="shared" si="0"/>
        <v>-0.71850984481197766</v>
      </c>
    </row>
    <row r="66" spans="2:11" ht="15" customHeight="1" x14ac:dyDescent="0.35">
      <c r="B66" s="14" t="s">
        <v>820</v>
      </c>
      <c r="C66" s="14" t="s">
        <v>821</v>
      </c>
      <c r="D66" s="61"/>
      <c r="E66" s="30">
        <v>-25577.179359999998</v>
      </c>
      <c r="F66" s="61"/>
      <c r="G66" s="30">
        <v>-16988.747380000001</v>
      </c>
      <c r="H66" s="61"/>
      <c r="I66" s="30">
        <f>E66-G66</f>
        <v>-8588.4319799999976</v>
      </c>
      <c r="J66" s="61"/>
      <c r="K66" s="55">
        <f t="shared" si="0"/>
        <v>-0.50553650530531324</v>
      </c>
    </row>
    <row r="67" spans="2:11" ht="15" customHeight="1" x14ac:dyDescent="0.35">
      <c r="B67" s="14" t="s">
        <v>822</v>
      </c>
      <c r="C67" s="14" t="s">
        <v>823</v>
      </c>
      <c r="D67" s="61"/>
      <c r="E67" s="30">
        <v>-3553.4131900000002</v>
      </c>
      <c r="F67" s="61"/>
      <c r="G67" s="30">
        <v>37.670470000000002</v>
      </c>
      <c r="H67" s="61"/>
      <c r="I67" s="30">
        <f>E67-G67</f>
        <v>-3591.0836600000002</v>
      </c>
      <c r="J67" s="61"/>
      <c r="K67" s="55">
        <f t="shared" si="0"/>
        <v>-95.328878561908041</v>
      </c>
    </row>
    <row r="68" spans="2:11" ht="15" customHeight="1" x14ac:dyDescent="0.35">
      <c r="B68" s="11"/>
      <c r="C68" s="11" t="s">
        <v>22</v>
      </c>
      <c r="D68" s="29"/>
      <c r="E68" s="29"/>
      <c r="F68" s="29"/>
      <c r="G68" s="29"/>
      <c r="H68" s="29"/>
      <c r="I68" s="29"/>
      <c r="J68" s="29"/>
      <c r="K68" s="93">
        <f t="shared" si="0"/>
        <v>0</v>
      </c>
    </row>
    <row r="69" spans="2:11" ht="15" customHeight="1" x14ac:dyDescent="0.35">
      <c r="B69" s="34"/>
      <c r="C69" s="34" t="s">
        <v>824</v>
      </c>
      <c r="D69" s="69"/>
      <c r="E69" s="52">
        <f>-(-(E70+E71)-E72)</f>
        <v>-78503.521380000006</v>
      </c>
      <c r="F69" s="69"/>
      <c r="G69" s="52">
        <f>-(-(G70+G71)-G72)</f>
        <v>-67863.663159999996</v>
      </c>
      <c r="H69" s="69"/>
      <c r="I69" s="52">
        <f>-(-(I70+I71)-I72)</f>
        <v>-10639.858220000011</v>
      </c>
      <c r="J69" s="69"/>
      <c r="K69" s="94">
        <f t="shared" si="0"/>
        <v>-0.15678284555484068</v>
      </c>
    </row>
    <row r="70" spans="2:11" ht="15" customHeight="1" x14ac:dyDescent="0.35">
      <c r="B70" s="14" t="s">
        <v>825</v>
      </c>
      <c r="C70" s="14" t="s">
        <v>826</v>
      </c>
      <c r="D70" s="61"/>
      <c r="E70" s="30">
        <v>-418.37396999999999</v>
      </c>
      <c r="F70" s="61"/>
      <c r="G70" s="30">
        <v>274.33985999999999</v>
      </c>
      <c r="H70" s="61"/>
      <c r="I70" s="30">
        <f>E70-G70</f>
        <v>-692.71382999999992</v>
      </c>
      <c r="J70" s="61"/>
      <c r="K70" s="55">
        <f t="shared" si="0"/>
        <v>-2.5250207170040837</v>
      </c>
    </row>
    <row r="71" spans="2:11" ht="15" customHeight="1" x14ac:dyDescent="0.35">
      <c r="B71" s="14" t="s">
        <v>827</v>
      </c>
      <c r="C71" s="14" t="s">
        <v>828</v>
      </c>
      <c r="D71" s="61"/>
      <c r="E71" s="30">
        <v>-79418.081940000004</v>
      </c>
      <c r="F71" s="61"/>
      <c r="G71" s="30">
        <v>-68930.678969999994</v>
      </c>
      <c r="H71" s="61"/>
      <c r="I71" s="30">
        <f>E71-G71</f>
        <v>-10487.40297000001</v>
      </c>
      <c r="J71" s="61"/>
      <c r="K71" s="55">
        <f t="shared" si="0"/>
        <v>-0.15214419945818808</v>
      </c>
    </row>
    <row r="72" spans="2:11" ht="15" customHeight="1" x14ac:dyDescent="0.35">
      <c r="B72" s="14" t="s">
        <v>829</v>
      </c>
      <c r="C72" s="14" t="s">
        <v>830</v>
      </c>
      <c r="D72" s="61"/>
      <c r="E72" s="30">
        <v>1332.93453</v>
      </c>
      <c r="F72" s="61"/>
      <c r="G72" s="30">
        <v>792.67594999999994</v>
      </c>
      <c r="H72" s="61"/>
      <c r="I72" s="30">
        <f>E72-G72</f>
        <v>540.25858000000005</v>
      </c>
      <c r="J72" s="61"/>
      <c r="K72" s="55">
        <f t="shared" si="0"/>
        <v>0.68156297664890686</v>
      </c>
    </row>
    <row r="73" spans="2:11" ht="15" customHeight="1" x14ac:dyDescent="0.35">
      <c r="B73" s="11"/>
      <c r="C73" s="11" t="s">
        <v>22</v>
      </c>
      <c r="D73" s="29"/>
      <c r="E73" s="29"/>
      <c r="F73" s="29"/>
      <c r="G73" s="29"/>
      <c r="H73" s="29"/>
      <c r="I73" s="29"/>
      <c r="J73" s="29"/>
      <c r="K73" s="93">
        <f t="shared" ref="K73:K136" si="2">IF(ROUND(I73, 2)=0, 0, IFERROR(I73/ABS(G73), IF(I73&lt;0, -1, 1)))</f>
        <v>0</v>
      </c>
    </row>
    <row r="74" spans="2:11" ht="15" customHeight="1" x14ac:dyDescent="0.35">
      <c r="B74" s="34"/>
      <c r="C74" s="34" t="s">
        <v>831</v>
      </c>
      <c r="D74" s="69"/>
      <c r="E74" s="52">
        <f>E75+E76</f>
        <v>-42522.774440000001</v>
      </c>
      <c r="F74" s="69"/>
      <c r="G74" s="52">
        <f>G75+G76</f>
        <v>-44335.597679999999</v>
      </c>
      <c r="H74" s="69"/>
      <c r="I74" s="52">
        <f>I75+I76</f>
        <v>1812.823239999997</v>
      </c>
      <c r="J74" s="69"/>
      <c r="K74" s="94">
        <f t="shared" si="2"/>
        <v>4.0888661366073574E-2</v>
      </c>
    </row>
    <row r="75" spans="2:11" ht="15" customHeight="1" x14ac:dyDescent="0.35">
      <c r="B75" s="14" t="s">
        <v>832</v>
      </c>
      <c r="C75" s="14" t="s">
        <v>833</v>
      </c>
      <c r="D75" s="61"/>
      <c r="E75" s="30">
        <v>8596.7953899999993</v>
      </c>
      <c r="F75" s="61"/>
      <c r="G75" s="30">
        <v>7925.99658</v>
      </c>
      <c r="H75" s="61"/>
      <c r="I75" s="30">
        <f>E75-G75</f>
        <v>670.79880999999932</v>
      </c>
      <c r="J75" s="61"/>
      <c r="K75" s="55">
        <f t="shared" si="2"/>
        <v>8.4632740278068525E-2</v>
      </c>
    </row>
    <row r="76" spans="2:11" ht="15" customHeight="1" x14ac:dyDescent="0.35">
      <c r="B76" s="14" t="s">
        <v>834</v>
      </c>
      <c r="C76" s="14" t="s">
        <v>835</v>
      </c>
      <c r="D76" s="61"/>
      <c r="E76" s="30">
        <v>-51119.56983</v>
      </c>
      <c r="F76" s="61"/>
      <c r="G76" s="30">
        <v>-52261.594259999998</v>
      </c>
      <c r="H76" s="61"/>
      <c r="I76" s="30">
        <f>E76-G76</f>
        <v>1142.0244299999977</v>
      </c>
      <c r="J76" s="61"/>
      <c r="K76" s="55">
        <f t="shared" si="2"/>
        <v>2.1852077920134955E-2</v>
      </c>
    </row>
    <row r="77" spans="2:11" ht="15" customHeight="1" x14ac:dyDescent="0.35">
      <c r="B77" s="11"/>
      <c r="C77" s="11" t="s">
        <v>22</v>
      </c>
      <c r="D77" s="29"/>
      <c r="E77" s="29"/>
      <c r="F77" s="29"/>
      <c r="G77" s="29"/>
      <c r="H77" s="29"/>
      <c r="I77" s="29"/>
      <c r="J77" s="29"/>
      <c r="K77" s="93">
        <f t="shared" si="2"/>
        <v>0</v>
      </c>
    </row>
    <row r="78" spans="2:11" ht="15" customHeight="1" x14ac:dyDescent="0.35">
      <c r="B78" s="34"/>
      <c r="C78" s="34" t="s">
        <v>836</v>
      </c>
      <c r="D78" s="69"/>
      <c r="E78" s="52">
        <f>-(-(E65+E69)-E74)</f>
        <v>-150156.88837</v>
      </c>
      <c r="F78" s="69"/>
      <c r="G78" s="52">
        <f>-(-(G65+G69)-G74)</f>
        <v>-129150.33775000001</v>
      </c>
      <c r="H78" s="69"/>
      <c r="I78" s="52">
        <f>-(-(I65+I69)-I74)</f>
        <v>-21006.550620000009</v>
      </c>
      <c r="J78" s="69"/>
      <c r="K78" s="94">
        <f t="shared" si="2"/>
        <v>-0.16265192167490097</v>
      </c>
    </row>
    <row r="79" spans="2:11" ht="15" customHeight="1" x14ac:dyDescent="0.35">
      <c r="B79" s="11"/>
      <c r="C79" s="11" t="s">
        <v>22</v>
      </c>
      <c r="D79" s="29"/>
      <c r="E79" s="29"/>
      <c r="F79" s="29"/>
      <c r="G79" s="29"/>
      <c r="H79" s="29"/>
      <c r="I79" s="29"/>
      <c r="J79" s="29"/>
      <c r="K79" s="93">
        <f t="shared" si="2"/>
        <v>0</v>
      </c>
    </row>
    <row r="80" spans="2:11" ht="15" customHeight="1" x14ac:dyDescent="0.35">
      <c r="B80" s="34"/>
      <c r="C80" s="34" t="s">
        <v>837</v>
      </c>
      <c r="D80" s="69"/>
      <c r="E80" s="52">
        <f>-(-(E82+E84)-E89-E94-E96)</f>
        <v>-9139.5804200000002</v>
      </c>
      <c r="F80" s="69"/>
      <c r="G80" s="52">
        <f>-(-(G82+G84)-G89-G94-G96)</f>
        <v>-27014.906560000003</v>
      </c>
      <c r="H80" s="69"/>
      <c r="I80" s="52">
        <f>-(-(I82+I84)-I89-I94-I96)</f>
        <v>17875.326140000001</v>
      </c>
      <c r="J80" s="69"/>
      <c r="K80" s="94">
        <f t="shared" si="2"/>
        <v>0.66168380409900629</v>
      </c>
    </row>
    <row r="81" spans="2:11" ht="15" customHeight="1" x14ac:dyDescent="0.35">
      <c r="B81" s="11"/>
      <c r="C81" s="11" t="s">
        <v>22</v>
      </c>
      <c r="D81" s="29"/>
      <c r="E81" s="29"/>
      <c r="F81" s="29"/>
      <c r="G81" s="29"/>
      <c r="H81" s="29"/>
      <c r="I81" s="29"/>
      <c r="J81" s="29"/>
      <c r="K81" s="93">
        <f t="shared" si="2"/>
        <v>0</v>
      </c>
    </row>
    <row r="82" spans="2:11" ht="15" customHeight="1" x14ac:dyDescent="0.35">
      <c r="B82" s="14" t="s">
        <v>838</v>
      </c>
      <c r="C82" s="14" t="s">
        <v>839</v>
      </c>
      <c r="D82" s="61"/>
      <c r="E82" s="30"/>
      <c r="F82" s="61"/>
      <c r="G82" s="30"/>
      <c r="H82" s="61"/>
      <c r="I82" s="30">
        <f>E82-G82</f>
        <v>0</v>
      </c>
      <c r="J82" s="61"/>
      <c r="K82" s="55">
        <f t="shared" si="2"/>
        <v>0</v>
      </c>
    </row>
    <row r="83" spans="2:11" ht="15" customHeight="1" x14ac:dyDescent="0.35">
      <c r="B83" s="11"/>
      <c r="C83" s="11" t="s">
        <v>22</v>
      </c>
      <c r="D83" s="29"/>
      <c r="E83" s="29"/>
      <c r="F83" s="29"/>
      <c r="G83" s="29"/>
      <c r="H83" s="29"/>
      <c r="I83" s="29"/>
      <c r="J83" s="29"/>
      <c r="K83" s="93">
        <f t="shared" si="2"/>
        <v>0</v>
      </c>
    </row>
    <row r="84" spans="2:11" ht="15" customHeight="1" x14ac:dyDescent="0.35">
      <c r="B84" s="34"/>
      <c r="C84" s="34" t="s">
        <v>840</v>
      </c>
      <c r="D84" s="69"/>
      <c r="E84" s="52">
        <f>-(-(E85+E86)-E87)</f>
        <v>6782.0288200000005</v>
      </c>
      <c r="F84" s="69"/>
      <c r="G84" s="52">
        <f>-(-(G85+G86)-G87)</f>
        <v>-6056.9702099999995</v>
      </c>
      <c r="H84" s="69"/>
      <c r="I84" s="52">
        <f>-(-(I85+I86)-I87)</f>
        <v>12838.999030000001</v>
      </c>
      <c r="J84" s="69"/>
      <c r="K84" s="94">
        <f t="shared" si="2"/>
        <v>2.1197064844074909</v>
      </c>
    </row>
    <row r="85" spans="2:11" ht="15" customHeight="1" x14ac:dyDescent="0.35">
      <c r="B85" s="14" t="s">
        <v>841</v>
      </c>
      <c r="C85" s="14" t="s">
        <v>842</v>
      </c>
      <c r="D85" s="61"/>
      <c r="E85" s="30">
        <v>-1057.03828</v>
      </c>
      <c r="F85" s="61"/>
      <c r="G85" s="30">
        <v>-74.456220000000002</v>
      </c>
      <c r="H85" s="61"/>
      <c r="I85" s="30">
        <f>E85-G85</f>
        <v>-982.58205999999996</v>
      </c>
      <c r="J85" s="61"/>
      <c r="K85" s="55">
        <f t="shared" si="2"/>
        <v>-13.196776038321579</v>
      </c>
    </row>
    <row r="86" spans="2:11" ht="15" customHeight="1" x14ac:dyDescent="0.35">
      <c r="B86" s="14" t="s">
        <v>843</v>
      </c>
      <c r="C86" s="14" t="s">
        <v>844</v>
      </c>
      <c r="D86" s="61"/>
      <c r="E86" s="30">
        <v>2936.8966799999998</v>
      </c>
      <c r="F86" s="61"/>
      <c r="G86" s="30">
        <v>3594.7302500000001</v>
      </c>
      <c r="H86" s="61"/>
      <c r="I86" s="30">
        <f>E86-G86</f>
        <v>-657.83357000000024</v>
      </c>
      <c r="J86" s="61"/>
      <c r="K86" s="55">
        <f t="shared" si="2"/>
        <v>-0.1829994253393562</v>
      </c>
    </row>
    <row r="87" spans="2:11" ht="15" customHeight="1" x14ac:dyDescent="0.35">
      <c r="B87" s="14" t="s">
        <v>845</v>
      </c>
      <c r="C87" s="14" t="s">
        <v>846</v>
      </c>
      <c r="D87" s="61"/>
      <c r="E87" s="30">
        <v>4902.1704200000004</v>
      </c>
      <c r="F87" s="61"/>
      <c r="G87" s="30">
        <v>-9577.24424</v>
      </c>
      <c r="H87" s="61"/>
      <c r="I87" s="30">
        <f>E87-G87</f>
        <v>14479.41466</v>
      </c>
      <c r="J87" s="61"/>
      <c r="K87" s="55">
        <f t="shared" si="2"/>
        <v>1.5118560514021098</v>
      </c>
    </row>
    <row r="88" spans="2:11" ht="15" customHeight="1" x14ac:dyDescent="0.35">
      <c r="B88" s="11"/>
      <c r="C88" s="11" t="s">
        <v>22</v>
      </c>
      <c r="D88" s="29"/>
      <c r="E88" s="29"/>
      <c r="F88" s="29"/>
      <c r="G88" s="29"/>
      <c r="H88" s="29"/>
      <c r="I88" s="29"/>
      <c r="J88" s="29"/>
      <c r="K88" s="93">
        <f t="shared" si="2"/>
        <v>0</v>
      </c>
    </row>
    <row r="89" spans="2:11" ht="15" customHeight="1" x14ac:dyDescent="0.35">
      <c r="B89" s="34"/>
      <c r="C89" s="34" t="s">
        <v>847</v>
      </c>
      <c r="D89" s="69"/>
      <c r="E89" s="52">
        <f>-(-(E90+E91)-E92)</f>
        <v>-5662.8189600000005</v>
      </c>
      <c r="F89" s="69"/>
      <c r="G89" s="52">
        <f>-(-(G90+G91)-G92)</f>
        <v>-13896.636980000001</v>
      </c>
      <c r="H89" s="69"/>
      <c r="I89" s="52">
        <f>-(-(I90+I91)-I92)</f>
        <v>8233.8180200000006</v>
      </c>
      <c r="J89" s="69"/>
      <c r="K89" s="94">
        <f t="shared" si="2"/>
        <v>0.59250436144011587</v>
      </c>
    </row>
    <row r="90" spans="2:11" ht="15" customHeight="1" x14ac:dyDescent="0.35">
      <c r="B90" s="14" t="s">
        <v>848</v>
      </c>
      <c r="C90" s="14" t="s">
        <v>849</v>
      </c>
      <c r="D90" s="61"/>
      <c r="E90" s="30">
        <v>4494.4689399999997</v>
      </c>
      <c r="F90" s="61"/>
      <c r="G90" s="30">
        <v>3136.3300899999999</v>
      </c>
      <c r="H90" s="61"/>
      <c r="I90" s="30">
        <f>E90-G90</f>
        <v>1358.1388499999998</v>
      </c>
      <c r="J90" s="61"/>
      <c r="K90" s="55">
        <f t="shared" si="2"/>
        <v>0.43303440997181514</v>
      </c>
    </row>
    <row r="91" spans="2:11" ht="15" customHeight="1" x14ac:dyDescent="0.35">
      <c r="B91" s="14" t="s">
        <v>850</v>
      </c>
      <c r="C91" s="14" t="s">
        <v>636</v>
      </c>
      <c r="D91" s="61"/>
      <c r="E91" s="30">
        <v>-29.824999999999999</v>
      </c>
      <c r="F91" s="61"/>
      <c r="G91" s="30">
        <v>-72.078000000000003</v>
      </c>
      <c r="H91" s="61"/>
      <c r="I91" s="30">
        <f>E91-G91</f>
        <v>42.253</v>
      </c>
      <c r="J91" s="61"/>
      <c r="K91" s="55">
        <f t="shared" si="2"/>
        <v>0.58621215904991808</v>
      </c>
    </row>
    <row r="92" spans="2:11" ht="15" customHeight="1" x14ac:dyDescent="0.35">
      <c r="B92" s="14" t="s">
        <v>851</v>
      </c>
      <c r="C92" s="14" t="s">
        <v>852</v>
      </c>
      <c r="D92" s="61"/>
      <c r="E92" s="30">
        <v>-10127.4629</v>
      </c>
      <c r="F92" s="61"/>
      <c r="G92" s="30">
        <v>-16960.889070000001</v>
      </c>
      <c r="H92" s="61"/>
      <c r="I92" s="30">
        <f>E92-G92</f>
        <v>6833.4261700000006</v>
      </c>
      <c r="J92" s="61"/>
      <c r="K92" s="55">
        <f t="shared" si="2"/>
        <v>0.40289315859548869</v>
      </c>
    </row>
    <row r="93" spans="2:11" ht="15" customHeight="1" x14ac:dyDescent="0.35">
      <c r="B93" s="11"/>
      <c r="C93" s="11" t="s">
        <v>22</v>
      </c>
      <c r="D93" s="29"/>
      <c r="E93" s="29"/>
      <c r="F93" s="29"/>
      <c r="G93" s="29"/>
      <c r="H93" s="29"/>
      <c r="I93" s="29"/>
      <c r="J93" s="29"/>
      <c r="K93" s="93">
        <f t="shared" si="2"/>
        <v>0</v>
      </c>
    </row>
    <row r="94" spans="2:11" ht="15" customHeight="1" x14ac:dyDescent="0.35">
      <c r="B94" s="14" t="s">
        <v>853</v>
      </c>
      <c r="C94" s="14" t="s">
        <v>854</v>
      </c>
      <c r="D94" s="61"/>
      <c r="E94" s="30">
        <v>-4916.4663200000005</v>
      </c>
      <c r="F94" s="61"/>
      <c r="G94" s="30">
        <v>-3863.8289399999999</v>
      </c>
      <c r="H94" s="61"/>
      <c r="I94" s="30">
        <f>E94-G94</f>
        <v>-1052.6373800000006</v>
      </c>
      <c r="J94" s="61"/>
      <c r="K94" s="55">
        <f t="shared" si="2"/>
        <v>-0.27243374288717881</v>
      </c>
    </row>
    <row r="95" spans="2:11" ht="15" customHeight="1" x14ac:dyDescent="0.35">
      <c r="B95" s="11"/>
      <c r="C95" s="11" t="s">
        <v>22</v>
      </c>
      <c r="D95" s="29"/>
      <c r="E95" s="29"/>
      <c r="F95" s="29"/>
      <c r="G95" s="29"/>
      <c r="H95" s="29"/>
      <c r="I95" s="29"/>
      <c r="J95" s="29"/>
      <c r="K95" s="93">
        <f t="shared" si="2"/>
        <v>0</v>
      </c>
    </row>
    <row r="96" spans="2:11" ht="15" customHeight="1" x14ac:dyDescent="0.35">
      <c r="B96" s="14" t="s">
        <v>855</v>
      </c>
      <c r="C96" s="14" t="s">
        <v>856</v>
      </c>
      <c r="D96" s="61"/>
      <c r="E96" s="30">
        <v>-5342.3239599999997</v>
      </c>
      <c r="F96" s="61"/>
      <c r="G96" s="30">
        <v>-3197.4704299999999</v>
      </c>
      <c r="H96" s="61"/>
      <c r="I96" s="30">
        <f>E96-G96</f>
        <v>-2144.8535299999999</v>
      </c>
      <c r="J96" s="61"/>
      <c r="K96" s="55">
        <f t="shared" si="2"/>
        <v>-0.6707969868543866</v>
      </c>
    </row>
    <row r="97" spans="2:11" ht="15" customHeight="1" x14ac:dyDescent="0.35">
      <c r="B97" s="11"/>
      <c r="C97" s="11" t="s">
        <v>22</v>
      </c>
      <c r="D97" s="29"/>
      <c r="E97" s="29"/>
      <c r="F97" s="29"/>
      <c r="G97" s="29"/>
      <c r="H97" s="29"/>
      <c r="I97" s="29"/>
      <c r="J97" s="29"/>
      <c r="K97" s="93">
        <f t="shared" si="2"/>
        <v>0</v>
      </c>
    </row>
    <row r="98" spans="2:11" ht="15" customHeight="1" x14ac:dyDescent="0.35">
      <c r="B98" s="34"/>
      <c r="C98" s="34" t="s">
        <v>857</v>
      </c>
      <c r="D98" s="69"/>
      <c r="E98" s="52">
        <f>E78+E80</f>
        <v>-159296.46879000001</v>
      </c>
      <c r="F98" s="69"/>
      <c r="G98" s="52">
        <f>G78+G80</f>
        <v>-156165.24431000001</v>
      </c>
      <c r="H98" s="69"/>
      <c r="I98" s="52">
        <f>I78+I80</f>
        <v>-3131.224480000008</v>
      </c>
      <c r="J98" s="69"/>
      <c r="K98" s="94">
        <f t="shared" si="2"/>
        <v>-2.0050712908848571E-2</v>
      </c>
    </row>
    <row r="99" spans="2:11" ht="15" customHeight="1" x14ac:dyDescent="0.35">
      <c r="B99" s="11"/>
      <c r="C99" s="11" t="s">
        <v>22</v>
      </c>
      <c r="D99" s="29"/>
      <c r="E99" s="29"/>
      <c r="F99" s="29"/>
      <c r="G99" s="29"/>
      <c r="H99" s="29"/>
      <c r="I99" s="29"/>
      <c r="J99" s="29"/>
      <c r="K99" s="93">
        <f t="shared" si="2"/>
        <v>0</v>
      </c>
    </row>
    <row r="100" spans="2:11" ht="15" customHeight="1" x14ac:dyDescent="0.35">
      <c r="B100" s="14" t="s">
        <v>858</v>
      </c>
      <c r="C100" s="14" t="s">
        <v>859</v>
      </c>
      <c r="D100" s="61"/>
      <c r="E100" s="30">
        <v>-21114.303</v>
      </c>
      <c r="F100" s="61"/>
      <c r="G100" s="30"/>
      <c r="H100" s="61"/>
      <c r="I100" s="30">
        <f>E100-G100</f>
        <v>-21114.303</v>
      </c>
      <c r="J100" s="61"/>
      <c r="K100" s="55">
        <f t="shared" si="2"/>
        <v>-1</v>
      </c>
    </row>
    <row r="101" spans="2:11" ht="15" customHeight="1" x14ac:dyDescent="0.35">
      <c r="B101" s="11"/>
      <c r="C101" s="11" t="s">
        <v>22</v>
      </c>
      <c r="D101" s="29"/>
      <c r="E101" s="29"/>
      <c r="F101" s="29"/>
      <c r="G101" s="29"/>
      <c r="H101" s="29"/>
      <c r="I101" s="29"/>
      <c r="J101" s="29"/>
      <c r="K101" s="93">
        <f t="shared" si="2"/>
        <v>0</v>
      </c>
    </row>
    <row r="102" spans="2:11" ht="15" customHeight="1" x14ac:dyDescent="0.35">
      <c r="B102" s="40"/>
      <c r="C102" s="40" t="s">
        <v>860</v>
      </c>
      <c r="D102" s="53"/>
      <c r="E102" s="53">
        <f>E16+E18+E19+E21+E25+E29+E38+E43+E54+E58+E60+E98+E100</f>
        <v>-128463.39579000002</v>
      </c>
      <c r="F102" s="53"/>
      <c r="G102" s="53">
        <f>G16+G18+G19+G21+G25+G29+G38+G43+G54+G58+G60+G98+G100</f>
        <v>-116369.85733</v>
      </c>
      <c r="H102" s="53"/>
      <c r="I102" s="53">
        <f>I16+I18+I19+I21+I25+I29+I38+I43+I54+I58+I60+I98+I100</f>
        <v>-12093.538460000012</v>
      </c>
      <c r="J102" s="53"/>
      <c r="K102" s="95">
        <f t="shared" si="2"/>
        <v>-0.10392329025295036</v>
      </c>
    </row>
    <row r="103" spans="2:11" ht="15" customHeight="1" x14ac:dyDescent="0.35">
      <c r="B103" s="11"/>
      <c r="C103" s="11" t="s">
        <v>22</v>
      </c>
      <c r="D103" s="29"/>
      <c r="E103" s="29"/>
      <c r="F103" s="29"/>
      <c r="G103" s="29"/>
      <c r="H103" s="29"/>
      <c r="I103" s="29"/>
      <c r="J103" s="29"/>
      <c r="K103" s="93">
        <f t="shared" si="2"/>
        <v>0</v>
      </c>
    </row>
    <row r="104" spans="2:11" ht="15" customHeight="1" x14ac:dyDescent="0.35">
      <c r="B104" s="34"/>
      <c r="C104" s="34" t="s">
        <v>861</v>
      </c>
      <c r="D104" s="69"/>
      <c r="E104" s="52"/>
      <c r="F104" s="69"/>
      <c r="G104" s="52"/>
      <c r="H104" s="69"/>
      <c r="I104" s="52"/>
      <c r="J104" s="69"/>
      <c r="K104" s="94">
        <f t="shared" si="2"/>
        <v>0</v>
      </c>
    </row>
    <row r="105" spans="2:11" ht="15" customHeight="1" x14ac:dyDescent="0.35">
      <c r="B105" s="11"/>
      <c r="C105" s="11" t="s">
        <v>22</v>
      </c>
      <c r="D105" s="29"/>
      <c r="E105" s="29"/>
      <c r="F105" s="29"/>
      <c r="G105" s="29"/>
      <c r="H105" s="29"/>
      <c r="I105" s="29"/>
      <c r="J105" s="29"/>
      <c r="K105" s="93">
        <f t="shared" si="2"/>
        <v>0</v>
      </c>
    </row>
    <row r="106" spans="2:11" ht="15" customHeight="1" x14ac:dyDescent="0.35">
      <c r="B106" s="34"/>
      <c r="C106" s="34" t="s">
        <v>862</v>
      </c>
      <c r="D106" s="69"/>
      <c r="E106" s="52">
        <f>-(-(E107+E108)-E109-E110-E111-E112)</f>
        <v>-51492.21286</v>
      </c>
      <c r="F106" s="69"/>
      <c r="G106" s="52">
        <f>-(-(G107+G108)-G109-G110-G111-G112)</f>
        <v>-34813.16691</v>
      </c>
      <c r="H106" s="69"/>
      <c r="I106" s="52">
        <f>-(-(I107+I108)-I109-I110-I111-I112)</f>
        <v>-16679.045950000007</v>
      </c>
      <c r="J106" s="69"/>
      <c r="K106" s="94">
        <f t="shared" si="2"/>
        <v>-0.47910165694259177</v>
      </c>
    </row>
    <row r="107" spans="2:11" ht="15" customHeight="1" x14ac:dyDescent="0.35">
      <c r="B107" s="14" t="s">
        <v>863</v>
      </c>
      <c r="C107" s="14" t="s">
        <v>864</v>
      </c>
      <c r="D107" s="61"/>
      <c r="E107" s="30">
        <v>-19819.449710000001</v>
      </c>
      <c r="F107" s="61"/>
      <c r="G107" s="30">
        <v>-7634.0255399999996</v>
      </c>
      <c r="H107" s="61"/>
      <c r="I107" s="30">
        <f t="shared" ref="I107:I112" si="3">E107-G107</f>
        <v>-12185.424170000002</v>
      </c>
      <c r="J107" s="61"/>
      <c r="K107" s="55">
        <f t="shared" si="2"/>
        <v>-1.5961990310553771</v>
      </c>
    </row>
    <row r="108" spans="2:11" ht="15" customHeight="1" x14ac:dyDescent="0.35">
      <c r="B108" s="14" t="s">
        <v>865</v>
      </c>
      <c r="C108" s="14" t="s">
        <v>866</v>
      </c>
      <c r="D108" s="61"/>
      <c r="E108" s="30">
        <v>-2215.3391200000001</v>
      </c>
      <c r="F108" s="61"/>
      <c r="G108" s="30">
        <v>-1185.78629</v>
      </c>
      <c r="H108" s="61"/>
      <c r="I108" s="30">
        <f t="shared" si="3"/>
        <v>-1029.5528300000001</v>
      </c>
      <c r="J108" s="61"/>
      <c r="K108" s="55">
        <f t="shared" si="2"/>
        <v>-0.86824484199425178</v>
      </c>
    </row>
    <row r="109" spans="2:11" ht="15" customHeight="1" x14ac:dyDescent="0.35">
      <c r="B109" s="14" t="s">
        <v>867</v>
      </c>
      <c r="C109" s="14" t="s">
        <v>868</v>
      </c>
      <c r="D109" s="61"/>
      <c r="E109" s="30">
        <v>-2154.8672900000001</v>
      </c>
      <c r="F109" s="61"/>
      <c r="G109" s="30">
        <v>-1089.0609999999999</v>
      </c>
      <c r="H109" s="61"/>
      <c r="I109" s="30">
        <f t="shared" si="3"/>
        <v>-1065.8062900000002</v>
      </c>
      <c r="J109" s="61"/>
      <c r="K109" s="55">
        <f t="shared" si="2"/>
        <v>-0.9786470087534126</v>
      </c>
    </row>
    <row r="110" spans="2:11" ht="15" customHeight="1" x14ac:dyDescent="0.35">
      <c r="B110" s="14" t="s">
        <v>869</v>
      </c>
      <c r="C110" s="14" t="s">
        <v>870</v>
      </c>
      <c r="D110" s="61"/>
      <c r="E110" s="30">
        <v>-1943.0861600000001</v>
      </c>
      <c r="F110" s="61"/>
      <c r="G110" s="30">
        <v>-5301.5503600000002</v>
      </c>
      <c r="H110" s="61"/>
      <c r="I110" s="30">
        <f t="shared" si="3"/>
        <v>3358.4642000000003</v>
      </c>
      <c r="J110" s="61"/>
      <c r="K110" s="55">
        <f t="shared" si="2"/>
        <v>0.63348718241733348</v>
      </c>
    </row>
    <row r="111" spans="2:11" ht="15" customHeight="1" x14ac:dyDescent="0.35">
      <c r="B111" s="14" t="s">
        <v>871</v>
      </c>
      <c r="C111" s="14" t="s">
        <v>872</v>
      </c>
      <c r="D111" s="61"/>
      <c r="E111" s="30">
        <v>-25359.470580000001</v>
      </c>
      <c r="F111" s="61"/>
      <c r="G111" s="30">
        <v>-19602.743719999999</v>
      </c>
      <c r="H111" s="61"/>
      <c r="I111" s="30">
        <f t="shared" si="3"/>
        <v>-5756.7268600000025</v>
      </c>
      <c r="J111" s="61"/>
      <c r="K111" s="55">
        <f t="shared" si="2"/>
        <v>-0.29366944455467292</v>
      </c>
    </row>
    <row r="112" spans="2:11" ht="15" customHeight="1" x14ac:dyDescent="0.35">
      <c r="B112" s="14" t="s">
        <v>873</v>
      </c>
      <c r="C112" s="14" t="s">
        <v>874</v>
      </c>
      <c r="D112" s="61"/>
      <c r="E112" s="30"/>
      <c r="F112" s="61"/>
      <c r="G112" s="30"/>
      <c r="H112" s="61"/>
      <c r="I112" s="30">
        <f t="shared" si="3"/>
        <v>0</v>
      </c>
      <c r="J112" s="61"/>
      <c r="K112" s="55">
        <f t="shared" si="2"/>
        <v>0</v>
      </c>
    </row>
    <row r="113" spans="2:11" ht="15" customHeight="1" x14ac:dyDescent="0.35">
      <c r="B113" s="11"/>
      <c r="C113" s="11" t="s">
        <v>22</v>
      </c>
      <c r="D113" s="29"/>
      <c r="E113" s="29"/>
      <c r="F113" s="29"/>
      <c r="G113" s="29"/>
      <c r="H113" s="29"/>
      <c r="I113" s="29"/>
      <c r="J113" s="29"/>
      <c r="K113" s="93">
        <f t="shared" si="2"/>
        <v>0</v>
      </c>
    </row>
    <row r="114" spans="2:11" ht="15" customHeight="1" x14ac:dyDescent="0.35">
      <c r="B114" s="34"/>
      <c r="C114" s="34" t="s">
        <v>875</v>
      </c>
      <c r="D114" s="69"/>
      <c r="E114" s="52">
        <f>-(-(E115+E116)-E117-E118)</f>
        <v>-10639.06919</v>
      </c>
      <c r="F114" s="69"/>
      <c r="G114" s="52">
        <f>-(-(G115+G116)-G117-G118)</f>
        <v>-4647.8078800000003</v>
      </c>
      <c r="H114" s="69"/>
      <c r="I114" s="52">
        <f>-(-(I115+I116)-I117-I118)</f>
        <v>-5991.2613099999999</v>
      </c>
      <c r="J114" s="69"/>
      <c r="K114" s="94">
        <f t="shared" si="2"/>
        <v>-1.2890509815995232</v>
      </c>
    </row>
    <row r="115" spans="2:11" ht="15" customHeight="1" x14ac:dyDescent="0.35">
      <c r="B115" s="14" t="s">
        <v>876</v>
      </c>
      <c r="C115" s="14" t="s">
        <v>877</v>
      </c>
      <c r="D115" s="61"/>
      <c r="E115" s="30">
        <v>-586.46839999999997</v>
      </c>
      <c r="F115" s="61"/>
      <c r="G115" s="30"/>
      <c r="H115" s="61"/>
      <c r="I115" s="30">
        <f>E115-G115</f>
        <v>-586.46839999999997</v>
      </c>
      <c r="J115" s="61"/>
      <c r="K115" s="55">
        <f t="shared" si="2"/>
        <v>-1</v>
      </c>
    </row>
    <row r="116" spans="2:11" ht="15" customHeight="1" x14ac:dyDescent="0.35">
      <c r="B116" s="14" t="s">
        <v>878</v>
      </c>
      <c r="C116" s="14" t="s">
        <v>879</v>
      </c>
      <c r="D116" s="61"/>
      <c r="E116" s="30">
        <v>-6961.8361800000002</v>
      </c>
      <c r="F116" s="61"/>
      <c r="G116" s="30">
        <v>-282.19531000000001</v>
      </c>
      <c r="H116" s="61"/>
      <c r="I116" s="30">
        <f>E116-G116</f>
        <v>-6679.6408700000002</v>
      </c>
      <c r="J116" s="61"/>
      <c r="K116" s="55">
        <f t="shared" si="2"/>
        <v>-23.670275987223174</v>
      </c>
    </row>
    <row r="117" spans="2:11" ht="15" customHeight="1" x14ac:dyDescent="0.35">
      <c r="B117" s="14" t="s">
        <v>880</v>
      </c>
      <c r="C117" s="14" t="s">
        <v>881</v>
      </c>
      <c r="D117" s="61"/>
      <c r="E117" s="30">
        <v>-291.3125</v>
      </c>
      <c r="F117" s="61"/>
      <c r="G117" s="30"/>
      <c r="H117" s="61"/>
      <c r="I117" s="30">
        <f>E117-G117</f>
        <v>-291.3125</v>
      </c>
      <c r="J117" s="61"/>
      <c r="K117" s="55">
        <f t="shared" si="2"/>
        <v>-1</v>
      </c>
    </row>
    <row r="118" spans="2:11" ht="15" customHeight="1" x14ac:dyDescent="0.35">
      <c r="B118" s="14" t="s">
        <v>882</v>
      </c>
      <c r="C118" s="14" t="s">
        <v>883</v>
      </c>
      <c r="D118" s="61"/>
      <c r="E118" s="30">
        <v>-2799.4521100000002</v>
      </c>
      <c r="F118" s="61"/>
      <c r="G118" s="30">
        <v>-4365.6125700000002</v>
      </c>
      <c r="H118" s="61"/>
      <c r="I118" s="30">
        <f>E118-G118</f>
        <v>1566.1604600000001</v>
      </c>
      <c r="J118" s="61"/>
      <c r="K118" s="55">
        <f t="shared" si="2"/>
        <v>0.3587493014754628</v>
      </c>
    </row>
    <row r="119" spans="2:11" ht="15" customHeight="1" x14ac:dyDescent="0.35">
      <c r="B119" s="11"/>
      <c r="C119" s="11" t="s">
        <v>22</v>
      </c>
      <c r="D119" s="29"/>
      <c r="E119" s="29"/>
      <c r="F119" s="29"/>
      <c r="G119" s="29"/>
      <c r="H119" s="29"/>
      <c r="I119" s="29"/>
      <c r="J119" s="29"/>
      <c r="K119" s="93">
        <f t="shared" si="2"/>
        <v>0</v>
      </c>
    </row>
    <row r="120" spans="2:11" ht="15" customHeight="1" x14ac:dyDescent="0.35">
      <c r="B120" s="34"/>
      <c r="C120" s="34" t="s">
        <v>884</v>
      </c>
      <c r="D120" s="69"/>
      <c r="E120" s="52">
        <f>E106+E114</f>
        <v>-62131.282050000002</v>
      </c>
      <c r="F120" s="69"/>
      <c r="G120" s="52">
        <f>G106+G114</f>
        <v>-39460.97479</v>
      </c>
      <c r="H120" s="69"/>
      <c r="I120" s="52">
        <f>I106+I114</f>
        <v>-22670.307260000009</v>
      </c>
      <c r="J120" s="69"/>
      <c r="K120" s="94">
        <f t="shared" si="2"/>
        <v>-0.57449942330732795</v>
      </c>
    </row>
    <row r="121" spans="2:11" ht="15" customHeight="1" x14ac:dyDescent="0.35">
      <c r="B121" s="11"/>
      <c r="C121" s="11" t="s">
        <v>22</v>
      </c>
      <c r="D121" s="29"/>
      <c r="E121" s="29"/>
      <c r="F121" s="29"/>
      <c r="G121" s="29"/>
      <c r="H121" s="29"/>
      <c r="I121" s="29"/>
      <c r="J121" s="29"/>
      <c r="K121" s="93">
        <f t="shared" si="2"/>
        <v>0</v>
      </c>
    </row>
    <row r="122" spans="2:11" ht="15" customHeight="1" x14ac:dyDescent="0.35">
      <c r="B122" s="34"/>
      <c r="C122" s="34" t="s">
        <v>885</v>
      </c>
      <c r="D122" s="69"/>
      <c r="E122" s="52">
        <f>E123+E124</f>
        <v>0</v>
      </c>
      <c r="F122" s="69"/>
      <c r="G122" s="52">
        <f>G123+G124</f>
        <v>0</v>
      </c>
      <c r="H122" s="69"/>
      <c r="I122" s="52">
        <f>I123+I124</f>
        <v>0</v>
      </c>
      <c r="J122" s="69"/>
      <c r="K122" s="94">
        <f t="shared" si="2"/>
        <v>0</v>
      </c>
    </row>
    <row r="123" spans="2:11" ht="15" customHeight="1" x14ac:dyDescent="0.35">
      <c r="B123" s="14" t="s">
        <v>886</v>
      </c>
      <c r="C123" s="14" t="s">
        <v>887</v>
      </c>
      <c r="D123" s="61"/>
      <c r="E123" s="30"/>
      <c r="F123" s="61"/>
      <c r="G123" s="30"/>
      <c r="H123" s="61"/>
      <c r="I123" s="30">
        <f>E123-G123</f>
        <v>0</v>
      </c>
      <c r="J123" s="61"/>
      <c r="K123" s="55">
        <f t="shared" si="2"/>
        <v>0</v>
      </c>
    </row>
    <row r="124" spans="2:11" ht="15" customHeight="1" x14ac:dyDescent="0.35">
      <c r="B124" s="14" t="s">
        <v>888</v>
      </c>
      <c r="C124" s="14" t="s">
        <v>889</v>
      </c>
      <c r="D124" s="61"/>
      <c r="E124" s="30"/>
      <c r="F124" s="61"/>
      <c r="G124" s="30"/>
      <c r="H124" s="61"/>
      <c r="I124" s="30">
        <f>E124-G124</f>
        <v>0</v>
      </c>
      <c r="J124" s="61"/>
      <c r="K124" s="55">
        <f t="shared" si="2"/>
        <v>0</v>
      </c>
    </row>
    <row r="125" spans="2:11" ht="15" customHeight="1" x14ac:dyDescent="0.35">
      <c r="B125" s="11"/>
      <c r="C125" s="11" t="s">
        <v>22</v>
      </c>
      <c r="D125" s="29"/>
      <c r="E125" s="29"/>
      <c r="F125" s="29"/>
      <c r="G125" s="29"/>
      <c r="H125" s="29"/>
      <c r="I125" s="29"/>
      <c r="J125" s="29"/>
      <c r="K125" s="93">
        <f t="shared" si="2"/>
        <v>0</v>
      </c>
    </row>
    <row r="126" spans="2:11" ht="15" customHeight="1" x14ac:dyDescent="0.35">
      <c r="B126" s="34"/>
      <c r="C126" s="34" t="s">
        <v>890</v>
      </c>
      <c r="D126" s="69"/>
      <c r="E126" s="52">
        <f>E120+E122</f>
        <v>-62131.282050000002</v>
      </c>
      <c r="F126" s="69"/>
      <c r="G126" s="52">
        <f>G120+G122</f>
        <v>-39460.97479</v>
      </c>
      <c r="H126" s="69"/>
      <c r="I126" s="52">
        <f>I120+I122</f>
        <v>-22670.307260000009</v>
      </c>
      <c r="J126" s="69"/>
      <c r="K126" s="94">
        <f t="shared" si="2"/>
        <v>-0.57449942330732795</v>
      </c>
    </row>
    <row r="127" spans="2:11" ht="15" customHeight="1" x14ac:dyDescent="0.35">
      <c r="B127" s="11"/>
      <c r="C127" s="11" t="s">
        <v>22</v>
      </c>
      <c r="D127" s="29"/>
      <c r="E127" s="29"/>
      <c r="F127" s="29"/>
      <c r="G127" s="29"/>
      <c r="H127" s="29"/>
      <c r="I127" s="29"/>
      <c r="J127" s="29"/>
      <c r="K127" s="93">
        <f t="shared" si="2"/>
        <v>0</v>
      </c>
    </row>
    <row r="128" spans="2:11" ht="15" customHeight="1" x14ac:dyDescent="0.35">
      <c r="B128" s="34" t="s">
        <v>891</v>
      </c>
      <c r="C128" s="34" t="s">
        <v>892</v>
      </c>
      <c r="D128" s="69"/>
      <c r="E128" s="52">
        <f>E129+E130</f>
        <v>3192.2789400000001</v>
      </c>
      <c r="F128" s="69"/>
      <c r="G128" s="52">
        <f>G129+G130</f>
        <v>3252.0635299999999</v>
      </c>
      <c r="H128" s="69"/>
      <c r="I128" s="52">
        <f>I129+I130</f>
        <v>-59.784589999999753</v>
      </c>
      <c r="J128" s="69"/>
      <c r="K128" s="94">
        <f t="shared" si="2"/>
        <v>-1.8383586128773985E-2</v>
      </c>
    </row>
    <row r="129" spans="2:11" ht="15" customHeight="1" x14ac:dyDescent="0.35">
      <c r="B129" s="14" t="s">
        <v>893</v>
      </c>
      <c r="C129" s="14" t="s">
        <v>894</v>
      </c>
      <c r="D129" s="61"/>
      <c r="E129" s="30"/>
      <c r="F129" s="61"/>
      <c r="G129" s="30"/>
      <c r="H129" s="61"/>
      <c r="I129" s="30">
        <f>E129-G129</f>
        <v>0</v>
      </c>
      <c r="J129" s="61"/>
      <c r="K129" s="55">
        <f t="shared" si="2"/>
        <v>0</v>
      </c>
    </row>
    <row r="130" spans="2:11" ht="15" customHeight="1" x14ac:dyDescent="0.35">
      <c r="B130" s="14" t="s">
        <v>895</v>
      </c>
      <c r="C130" s="14" t="s">
        <v>896</v>
      </c>
      <c r="D130" s="61"/>
      <c r="E130" s="30">
        <v>3192.2789400000001</v>
      </c>
      <c r="F130" s="61"/>
      <c r="G130" s="30">
        <v>3252.0635299999999</v>
      </c>
      <c r="H130" s="61"/>
      <c r="I130" s="30">
        <f>E130-G130</f>
        <v>-59.784589999999753</v>
      </c>
      <c r="J130" s="61"/>
      <c r="K130" s="55">
        <f t="shared" si="2"/>
        <v>-1.8383586128773985E-2</v>
      </c>
    </row>
    <row r="131" spans="2:11" ht="15" customHeight="1" x14ac:dyDescent="0.35">
      <c r="B131" s="11"/>
      <c r="C131" s="11" t="s">
        <v>22</v>
      </c>
      <c r="D131" s="29"/>
      <c r="E131" s="29"/>
      <c r="F131" s="29"/>
      <c r="G131" s="29"/>
      <c r="H131" s="29"/>
      <c r="I131" s="29"/>
      <c r="J131" s="29"/>
      <c r="K131" s="93">
        <f t="shared" si="2"/>
        <v>0</v>
      </c>
    </row>
    <row r="132" spans="2:11" ht="15" customHeight="1" x14ac:dyDescent="0.35">
      <c r="B132" s="34"/>
      <c r="C132" s="34" t="s">
        <v>897</v>
      </c>
      <c r="D132" s="69"/>
      <c r="E132" s="52">
        <f>E126+E128</f>
        <v>-58939.003110000005</v>
      </c>
      <c r="F132" s="69"/>
      <c r="G132" s="52">
        <f>G126+G128</f>
        <v>-36208.911260000001</v>
      </c>
      <c r="H132" s="69"/>
      <c r="I132" s="52">
        <f>I126+I128</f>
        <v>-22730.091850000008</v>
      </c>
      <c r="J132" s="69"/>
      <c r="K132" s="94">
        <f t="shared" si="2"/>
        <v>-0.62774855854641365</v>
      </c>
    </row>
    <row r="133" spans="2:11" ht="15" customHeight="1" x14ac:dyDescent="0.35">
      <c r="B133" s="11"/>
      <c r="C133" s="11" t="s">
        <v>22</v>
      </c>
      <c r="D133" s="29"/>
      <c r="E133" s="29"/>
      <c r="F133" s="29"/>
      <c r="G133" s="29"/>
      <c r="H133" s="29"/>
      <c r="I133" s="29"/>
      <c r="J133" s="29"/>
      <c r="K133" s="93">
        <f t="shared" si="2"/>
        <v>0</v>
      </c>
    </row>
    <row r="134" spans="2:11" ht="15" customHeight="1" x14ac:dyDescent="0.35">
      <c r="B134" s="34"/>
      <c r="C134" s="34" t="s">
        <v>898</v>
      </c>
      <c r="D134" s="69"/>
      <c r="E134" s="52">
        <f>E135+E136</f>
        <v>-426391.13639</v>
      </c>
      <c r="F134" s="69"/>
      <c r="G134" s="52">
        <f>G135+G136</f>
        <v>1096.5754199999999</v>
      </c>
      <c r="H134" s="69"/>
      <c r="I134" s="52">
        <f>I135+I136</f>
        <v>-427487.71181000001</v>
      </c>
      <c r="J134" s="69"/>
      <c r="K134" s="94">
        <f t="shared" si="2"/>
        <v>-389.838860157927</v>
      </c>
    </row>
    <row r="135" spans="2:11" ht="15" customHeight="1" x14ac:dyDescent="0.35">
      <c r="B135" s="14" t="s">
        <v>899</v>
      </c>
      <c r="C135" s="14" t="s">
        <v>900</v>
      </c>
      <c r="D135" s="61"/>
      <c r="E135" s="30"/>
      <c r="F135" s="61"/>
      <c r="G135" s="30"/>
      <c r="H135" s="61"/>
      <c r="I135" s="30">
        <f>E135-G135</f>
        <v>0</v>
      </c>
      <c r="J135" s="61"/>
      <c r="K135" s="55">
        <f t="shared" si="2"/>
        <v>0</v>
      </c>
    </row>
    <row r="136" spans="2:11" ht="15" customHeight="1" x14ac:dyDescent="0.35">
      <c r="B136" s="14" t="s">
        <v>901</v>
      </c>
      <c r="C136" s="14" t="s">
        <v>902</v>
      </c>
      <c r="D136" s="61"/>
      <c r="E136" s="30">
        <v>-426391.13639</v>
      </c>
      <c r="F136" s="61"/>
      <c r="G136" s="30">
        <v>1096.5754199999999</v>
      </c>
      <c r="H136" s="61"/>
      <c r="I136" s="30">
        <f>E136-G136</f>
        <v>-427487.71181000001</v>
      </c>
      <c r="J136" s="61"/>
      <c r="K136" s="55">
        <f t="shared" si="2"/>
        <v>-389.838860157927</v>
      </c>
    </row>
    <row r="137" spans="2:11" ht="15" customHeight="1" x14ac:dyDescent="0.35">
      <c r="B137" s="11"/>
      <c r="C137" s="11" t="s">
        <v>22</v>
      </c>
      <c r="D137" s="29"/>
      <c r="E137" s="29"/>
      <c r="F137" s="29"/>
      <c r="G137" s="29"/>
      <c r="H137" s="29"/>
      <c r="I137" s="29"/>
      <c r="J137" s="29"/>
      <c r="K137" s="93">
        <f t="shared" ref="K137:K200" si="4">IF(ROUND(I137, 2)=0, 0, IFERROR(I137/ABS(G137), IF(I137&lt;0, -1, 1)))</f>
        <v>0</v>
      </c>
    </row>
    <row r="138" spans="2:11" ht="15" customHeight="1" x14ac:dyDescent="0.35">
      <c r="B138" s="34"/>
      <c r="C138" s="34" t="s">
        <v>903</v>
      </c>
      <c r="D138" s="69"/>
      <c r="E138" s="52">
        <f>E139+E140</f>
        <v>0</v>
      </c>
      <c r="F138" s="69"/>
      <c r="G138" s="52">
        <f>G139+G140</f>
        <v>0</v>
      </c>
      <c r="H138" s="69"/>
      <c r="I138" s="52">
        <f>I139+I140</f>
        <v>0</v>
      </c>
      <c r="J138" s="69"/>
      <c r="K138" s="94">
        <f t="shared" si="4"/>
        <v>0</v>
      </c>
    </row>
    <row r="139" spans="2:11" ht="15" customHeight="1" x14ac:dyDescent="0.35">
      <c r="B139" s="14" t="s">
        <v>904</v>
      </c>
      <c r="C139" s="14" t="s">
        <v>905</v>
      </c>
      <c r="D139" s="61"/>
      <c r="E139" s="30"/>
      <c r="F139" s="61"/>
      <c r="G139" s="30"/>
      <c r="H139" s="61"/>
      <c r="I139" s="30">
        <f>E139-G139</f>
        <v>0</v>
      </c>
      <c r="J139" s="61"/>
      <c r="K139" s="55">
        <f t="shared" si="4"/>
        <v>0</v>
      </c>
    </row>
    <row r="140" spans="2:11" ht="15" customHeight="1" x14ac:dyDescent="0.35">
      <c r="B140" s="14" t="s">
        <v>906</v>
      </c>
      <c r="C140" s="14" t="s">
        <v>907</v>
      </c>
      <c r="D140" s="61"/>
      <c r="E140" s="30">
        <f>E141+E142</f>
        <v>0</v>
      </c>
      <c r="F140" s="61"/>
      <c r="G140" s="30">
        <f>G141+G142</f>
        <v>0</v>
      </c>
      <c r="H140" s="61"/>
      <c r="I140" s="30">
        <f>I141+I142</f>
        <v>0</v>
      </c>
      <c r="J140" s="61"/>
      <c r="K140" s="55">
        <f t="shared" si="4"/>
        <v>0</v>
      </c>
    </row>
    <row r="141" spans="2:11" ht="15" customHeight="1" x14ac:dyDescent="0.35">
      <c r="B141" s="14" t="s">
        <v>908</v>
      </c>
      <c r="C141" s="14" t="s">
        <v>909</v>
      </c>
      <c r="D141" s="61"/>
      <c r="E141" s="30"/>
      <c r="F141" s="61"/>
      <c r="G141" s="30"/>
      <c r="H141" s="61"/>
      <c r="I141" s="30">
        <f>E141-G141</f>
        <v>0</v>
      </c>
      <c r="J141" s="61"/>
      <c r="K141" s="55">
        <f t="shared" si="4"/>
        <v>0</v>
      </c>
    </row>
    <row r="142" spans="2:11" ht="15" customHeight="1" x14ac:dyDescent="0.35">
      <c r="B142" s="14" t="s">
        <v>910</v>
      </c>
      <c r="C142" s="14" t="s">
        <v>911</v>
      </c>
      <c r="D142" s="61"/>
      <c r="E142" s="30"/>
      <c r="F142" s="61"/>
      <c r="G142" s="30"/>
      <c r="H142" s="61"/>
      <c r="I142" s="30">
        <f>E142-G142</f>
        <v>0</v>
      </c>
      <c r="J142" s="61"/>
      <c r="K142" s="55">
        <f t="shared" si="4"/>
        <v>0</v>
      </c>
    </row>
    <row r="143" spans="2:11" ht="15" customHeight="1" x14ac:dyDescent="0.35">
      <c r="B143" s="11"/>
      <c r="C143" s="11" t="s">
        <v>22</v>
      </c>
      <c r="D143" s="29"/>
      <c r="E143" s="29"/>
      <c r="F143" s="29"/>
      <c r="G143" s="29"/>
      <c r="H143" s="29"/>
      <c r="I143" s="29"/>
      <c r="J143" s="29"/>
      <c r="K143" s="93">
        <f t="shared" si="4"/>
        <v>0</v>
      </c>
    </row>
    <row r="144" spans="2:11" ht="15" customHeight="1" x14ac:dyDescent="0.35">
      <c r="B144" s="34"/>
      <c r="C144" s="34" t="s">
        <v>912</v>
      </c>
      <c r="D144" s="69"/>
      <c r="E144" s="52">
        <f>E145+E146</f>
        <v>-32.159999999999997</v>
      </c>
      <c r="F144" s="69"/>
      <c r="G144" s="52">
        <f>G145+G146</f>
        <v>760.41231000000005</v>
      </c>
      <c r="H144" s="69"/>
      <c r="I144" s="52">
        <f>I145+I146</f>
        <v>-792.57231000000002</v>
      </c>
      <c r="J144" s="69"/>
      <c r="K144" s="94">
        <f t="shared" si="4"/>
        <v>-1.0422928450487605</v>
      </c>
    </row>
    <row r="145" spans="2:11" ht="15" customHeight="1" x14ac:dyDescent="0.35">
      <c r="B145" s="14" t="s">
        <v>913</v>
      </c>
      <c r="C145" s="14" t="s">
        <v>914</v>
      </c>
      <c r="D145" s="61"/>
      <c r="E145" s="30">
        <v>0</v>
      </c>
      <c r="F145" s="61"/>
      <c r="G145" s="30"/>
      <c r="H145" s="61"/>
      <c r="I145" s="30">
        <f>E145-G145</f>
        <v>0</v>
      </c>
      <c r="J145" s="61"/>
      <c r="K145" s="55">
        <f t="shared" si="4"/>
        <v>0</v>
      </c>
    </row>
    <row r="146" spans="2:11" ht="15" customHeight="1" x14ac:dyDescent="0.35">
      <c r="B146" s="14" t="s">
        <v>915</v>
      </c>
      <c r="C146" s="14" t="s">
        <v>916</v>
      </c>
      <c r="D146" s="61"/>
      <c r="E146" s="30">
        <v>-32.159999999999997</v>
      </c>
      <c r="F146" s="61"/>
      <c r="G146" s="30">
        <v>760.41231000000005</v>
      </c>
      <c r="H146" s="61"/>
      <c r="I146" s="30">
        <f>E146-G146</f>
        <v>-792.57231000000002</v>
      </c>
      <c r="J146" s="61"/>
      <c r="K146" s="55">
        <f t="shared" si="4"/>
        <v>-1.0422928450487605</v>
      </c>
    </row>
    <row r="147" spans="2:11" ht="15" customHeight="1" x14ac:dyDescent="0.35">
      <c r="B147" s="11"/>
      <c r="C147" s="11" t="s">
        <v>22</v>
      </c>
      <c r="D147" s="29"/>
      <c r="E147" s="29"/>
      <c r="F147" s="29"/>
      <c r="G147" s="29"/>
      <c r="H147" s="29"/>
      <c r="I147" s="29"/>
      <c r="J147" s="29"/>
      <c r="K147" s="93">
        <f t="shared" si="4"/>
        <v>0</v>
      </c>
    </row>
    <row r="148" spans="2:11" ht="15" customHeight="1" x14ac:dyDescent="0.35">
      <c r="B148" s="34"/>
      <c r="C148" s="34" t="s">
        <v>917</v>
      </c>
      <c r="D148" s="69"/>
      <c r="E148" s="52">
        <f>E149+E150</f>
        <v>-22554.72525</v>
      </c>
      <c r="F148" s="69"/>
      <c r="G148" s="52">
        <f>G149+G150</f>
        <v>-24371.244989999999</v>
      </c>
      <c r="H148" s="69"/>
      <c r="I148" s="52">
        <f>I149+I150</f>
        <v>1816.5197399999997</v>
      </c>
      <c r="J148" s="69"/>
      <c r="K148" s="94">
        <f t="shared" si="4"/>
        <v>7.4535369068972609E-2</v>
      </c>
    </row>
    <row r="149" spans="2:11" ht="15" customHeight="1" x14ac:dyDescent="0.35">
      <c r="B149" s="14" t="s">
        <v>918</v>
      </c>
      <c r="C149" s="14" t="s">
        <v>919</v>
      </c>
      <c r="D149" s="61"/>
      <c r="E149" s="30">
        <v>-22679.72525</v>
      </c>
      <c r="F149" s="61"/>
      <c r="G149" s="30">
        <v>-24371.244989999999</v>
      </c>
      <c r="H149" s="61"/>
      <c r="I149" s="30">
        <f>E149-G149</f>
        <v>1691.5197399999997</v>
      </c>
      <c r="J149" s="61"/>
      <c r="K149" s="55">
        <f t="shared" si="4"/>
        <v>6.9406373810368058E-2</v>
      </c>
    </row>
    <row r="150" spans="2:11" ht="15" customHeight="1" x14ac:dyDescent="0.35">
      <c r="B150" s="14" t="s">
        <v>920</v>
      </c>
      <c r="C150" s="14" t="s">
        <v>921</v>
      </c>
      <c r="D150" s="61"/>
      <c r="E150" s="30">
        <v>125</v>
      </c>
      <c r="F150" s="61"/>
      <c r="G150" s="30"/>
      <c r="H150" s="61"/>
      <c r="I150" s="30">
        <f>E150-G150</f>
        <v>125</v>
      </c>
      <c r="J150" s="61"/>
      <c r="K150" s="55">
        <f t="shared" si="4"/>
        <v>1</v>
      </c>
    </row>
    <row r="151" spans="2:11" ht="15" customHeight="1" x14ac:dyDescent="0.35">
      <c r="B151" s="11"/>
      <c r="C151" s="11" t="s">
        <v>22</v>
      </c>
      <c r="D151" s="29"/>
      <c r="E151" s="29"/>
      <c r="F151" s="29"/>
      <c r="G151" s="29"/>
      <c r="H151" s="29"/>
      <c r="I151" s="29"/>
      <c r="J151" s="29"/>
      <c r="K151" s="93">
        <f t="shared" si="4"/>
        <v>0</v>
      </c>
    </row>
    <row r="152" spans="2:11" ht="15" customHeight="1" x14ac:dyDescent="0.35">
      <c r="B152" s="34"/>
      <c r="C152" s="34" t="s">
        <v>922</v>
      </c>
      <c r="D152" s="69"/>
      <c r="E152" s="52">
        <f>-(-E153)</f>
        <v>-343.81135</v>
      </c>
      <c r="F152" s="69"/>
      <c r="G152" s="52">
        <f>-(-G153)</f>
        <v>-5113.4829300000001</v>
      </c>
      <c r="H152" s="69"/>
      <c r="I152" s="52">
        <f>-(-I153)</f>
        <v>4769.6715800000002</v>
      </c>
      <c r="J152" s="69"/>
      <c r="K152" s="94">
        <f t="shared" si="4"/>
        <v>0.93276376303460151</v>
      </c>
    </row>
    <row r="153" spans="2:11" ht="15" customHeight="1" x14ac:dyDescent="0.35">
      <c r="B153" s="14" t="s">
        <v>923</v>
      </c>
      <c r="C153" s="14" t="s">
        <v>924</v>
      </c>
      <c r="D153" s="61"/>
      <c r="E153" s="30">
        <v>-343.81135</v>
      </c>
      <c r="F153" s="61"/>
      <c r="G153" s="30">
        <v>-5113.4829300000001</v>
      </c>
      <c r="H153" s="61"/>
      <c r="I153" s="30">
        <f>E153-G153</f>
        <v>4769.6715800000002</v>
      </c>
      <c r="J153" s="61"/>
      <c r="K153" s="55">
        <f t="shared" si="4"/>
        <v>0.93276376303460151</v>
      </c>
    </row>
    <row r="154" spans="2:11" ht="15" customHeight="1" x14ac:dyDescent="0.35">
      <c r="B154" s="11"/>
      <c r="C154" s="11" t="s">
        <v>22</v>
      </c>
      <c r="D154" s="29"/>
      <c r="E154" s="29"/>
      <c r="F154" s="29"/>
      <c r="G154" s="29"/>
      <c r="H154" s="29"/>
      <c r="I154" s="29"/>
      <c r="J154" s="29"/>
      <c r="K154" s="93">
        <f t="shared" si="4"/>
        <v>0</v>
      </c>
    </row>
    <row r="155" spans="2:11" ht="15" customHeight="1" x14ac:dyDescent="0.35">
      <c r="B155" s="34"/>
      <c r="C155" s="34" t="s">
        <v>925</v>
      </c>
      <c r="D155" s="69"/>
      <c r="E155" s="52">
        <f>E156+E157</f>
        <v>0</v>
      </c>
      <c r="F155" s="69"/>
      <c r="G155" s="52">
        <f>G156+G157</f>
        <v>0</v>
      </c>
      <c r="H155" s="69"/>
      <c r="I155" s="52">
        <f>I156+I157</f>
        <v>0</v>
      </c>
      <c r="J155" s="69"/>
      <c r="K155" s="94">
        <f t="shared" si="4"/>
        <v>0</v>
      </c>
    </row>
    <row r="156" spans="2:11" ht="15" customHeight="1" x14ac:dyDescent="0.35">
      <c r="B156" s="14" t="s">
        <v>926</v>
      </c>
      <c r="C156" s="14" t="s">
        <v>927</v>
      </c>
      <c r="D156" s="61"/>
      <c r="E156" s="30"/>
      <c r="F156" s="61"/>
      <c r="G156" s="30"/>
      <c r="H156" s="61"/>
      <c r="I156" s="30">
        <f>E156-G156</f>
        <v>0</v>
      </c>
      <c r="J156" s="61"/>
      <c r="K156" s="55">
        <f t="shared" si="4"/>
        <v>0</v>
      </c>
    </row>
    <row r="157" spans="2:11" ht="15" customHeight="1" x14ac:dyDescent="0.35">
      <c r="B157" s="14" t="s">
        <v>928</v>
      </c>
      <c r="C157" s="14" t="s">
        <v>929</v>
      </c>
      <c r="D157" s="61"/>
      <c r="E157" s="30"/>
      <c r="F157" s="61"/>
      <c r="G157" s="30"/>
      <c r="H157" s="61"/>
      <c r="I157" s="30">
        <f>E157-G157</f>
        <v>0</v>
      </c>
      <c r="J157" s="61"/>
      <c r="K157" s="55">
        <f t="shared" si="4"/>
        <v>0</v>
      </c>
    </row>
    <row r="158" spans="2:11" ht="15" customHeight="1" x14ac:dyDescent="0.35">
      <c r="B158" s="11"/>
      <c r="C158" s="11" t="s">
        <v>22</v>
      </c>
      <c r="D158" s="29"/>
      <c r="E158" s="29"/>
      <c r="F158" s="29"/>
      <c r="G158" s="29"/>
      <c r="H158" s="29"/>
      <c r="I158" s="29"/>
      <c r="J158" s="29"/>
      <c r="K158" s="93">
        <f t="shared" si="4"/>
        <v>0</v>
      </c>
    </row>
    <row r="159" spans="2:11" ht="15" customHeight="1" x14ac:dyDescent="0.35">
      <c r="B159" s="34"/>
      <c r="C159" s="34" t="s">
        <v>930</v>
      </c>
      <c r="D159" s="69"/>
      <c r="E159" s="52">
        <f>-(-E134-E138-E144-E148-E152-E155)</f>
        <v>-449321.83298999997</v>
      </c>
      <c r="F159" s="69"/>
      <c r="G159" s="52">
        <f>-(-G134-G138-G144-G148-G152-G155)</f>
        <v>-27627.740189999997</v>
      </c>
      <c r="H159" s="69"/>
      <c r="I159" s="52">
        <f>-(-I134-I138-I144-I148-I152-I155)</f>
        <v>-421694.09279999998</v>
      </c>
      <c r="J159" s="69"/>
      <c r="K159" s="94">
        <f t="shared" si="4"/>
        <v>-15.263430519468775</v>
      </c>
    </row>
    <row r="160" spans="2:11" ht="15" customHeight="1" x14ac:dyDescent="0.35">
      <c r="B160" s="11"/>
      <c r="C160" s="11" t="s">
        <v>22</v>
      </c>
      <c r="D160" s="29"/>
      <c r="E160" s="29"/>
      <c r="F160" s="29"/>
      <c r="G160" s="29"/>
      <c r="H160" s="29"/>
      <c r="I160" s="29"/>
      <c r="J160" s="29"/>
      <c r="K160" s="93">
        <f t="shared" si="4"/>
        <v>0</v>
      </c>
    </row>
    <row r="161" spans="2:11" ht="15" customHeight="1" x14ac:dyDescent="0.35">
      <c r="B161" s="40"/>
      <c r="C161" s="40" t="s">
        <v>931</v>
      </c>
      <c r="D161" s="53"/>
      <c r="E161" s="53">
        <f>E132+E159</f>
        <v>-508260.83609999996</v>
      </c>
      <c r="F161" s="53"/>
      <c r="G161" s="53">
        <f>G132+G159</f>
        <v>-63836.651449999998</v>
      </c>
      <c r="H161" s="53"/>
      <c r="I161" s="53">
        <f>I132+I159</f>
        <v>-444424.18465000001</v>
      </c>
      <c r="J161" s="53"/>
      <c r="K161" s="95">
        <f t="shared" si="4"/>
        <v>-6.961896881419209</v>
      </c>
    </row>
    <row r="162" spans="2:11" ht="15" customHeight="1" x14ac:dyDescent="0.35">
      <c r="B162" s="11"/>
      <c r="C162" s="11" t="s">
        <v>22</v>
      </c>
      <c r="D162" s="29"/>
      <c r="E162" s="29"/>
      <c r="F162" s="29"/>
      <c r="G162" s="29"/>
      <c r="H162" s="29"/>
      <c r="I162" s="29"/>
      <c r="J162" s="29"/>
      <c r="K162" s="93">
        <f t="shared" si="4"/>
        <v>0</v>
      </c>
    </row>
    <row r="163" spans="2:11" ht="15" customHeight="1" x14ac:dyDescent="0.35">
      <c r="B163" s="34"/>
      <c r="C163" s="34" t="s">
        <v>932</v>
      </c>
      <c r="D163" s="69"/>
      <c r="E163" s="52"/>
      <c r="F163" s="69"/>
      <c r="G163" s="52"/>
      <c r="H163" s="69"/>
      <c r="I163" s="52"/>
      <c r="J163" s="69"/>
      <c r="K163" s="94">
        <f t="shared" si="4"/>
        <v>0</v>
      </c>
    </row>
    <row r="164" spans="2:11" ht="15" customHeight="1" x14ac:dyDescent="0.35">
      <c r="B164" s="11"/>
      <c r="C164" s="11" t="s">
        <v>22</v>
      </c>
      <c r="D164" s="29"/>
      <c r="E164" s="29"/>
      <c r="F164" s="29"/>
      <c r="G164" s="29"/>
      <c r="H164" s="29"/>
      <c r="I164" s="29"/>
      <c r="J164" s="29"/>
      <c r="K164" s="93">
        <f t="shared" si="4"/>
        <v>0</v>
      </c>
    </row>
    <row r="165" spans="2:11" ht="15" customHeight="1" x14ac:dyDescent="0.35">
      <c r="B165" s="34"/>
      <c r="C165" s="34" t="s">
        <v>933</v>
      </c>
      <c r="D165" s="69"/>
      <c r="E165" s="52">
        <f>-(-(E166+E167)-E168)</f>
        <v>0</v>
      </c>
      <c r="F165" s="69"/>
      <c r="G165" s="52">
        <f>-(-(G166+G167)-G168)</f>
        <v>0</v>
      </c>
      <c r="H165" s="69"/>
      <c r="I165" s="52">
        <f>-(-(I166+I167)-I168)</f>
        <v>0</v>
      </c>
      <c r="J165" s="69"/>
      <c r="K165" s="94">
        <f t="shared" si="4"/>
        <v>0</v>
      </c>
    </row>
    <row r="166" spans="2:11" ht="15" customHeight="1" x14ac:dyDescent="0.35">
      <c r="B166" s="14" t="s">
        <v>934</v>
      </c>
      <c r="C166" s="14" t="s">
        <v>935</v>
      </c>
      <c r="D166" s="61"/>
      <c r="E166" s="30"/>
      <c r="F166" s="61"/>
      <c r="G166" s="30"/>
      <c r="H166" s="61"/>
      <c r="I166" s="30">
        <f>E166-G166</f>
        <v>0</v>
      </c>
      <c r="J166" s="61"/>
      <c r="K166" s="55">
        <f t="shared" si="4"/>
        <v>0</v>
      </c>
    </row>
    <row r="167" spans="2:11" ht="15" customHeight="1" x14ac:dyDescent="0.35">
      <c r="B167" s="14" t="s">
        <v>936</v>
      </c>
      <c r="C167" s="14" t="s">
        <v>937</v>
      </c>
      <c r="D167" s="61"/>
      <c r="E167" s="30"/>
      <c r="F167" s="61"/>
      <c r="G167" s="30"/>
      <c r="H167" s="61"/>
      <c r="I167" s="30">
        <f>E167-G167</f>
        <v>0</v>
      </c>
      <c r="J167" s="61"/>
      <c r="K167" s="55">
        <f t="shared" si="4"/>
        <v>0</v>
      </c>
    </row>
    <row r="168" spans="2:11" ht="15" customHeight="1" x14ac:dyDescent="0.35">
      <c r="B168" s="14" t="s">
        <v>938</v>
      </c>
      <c r="C168" s="14" t="s">
        <v>939</v>
      </c>
      <c r="D168" s="61"/>
      <c r="E168" s="30"/>
      <c r="F168" s="61"/>
      <c r="G168" s="30"/>
      <c r="H168" s="61"/>
      <c r="I168" s="30">
        <f>E168-G168</f>
        <v>0</v>
      </c>
      <c r="J168" s="61"/>
      <c r="K168" s="55">
        <f t="shared" si="4"/>
        <v>0</v>
      </c>
    </row>
    <row r="169" spans="2:11" ht="15" customHeight="1" x14ac:dyDescent="0.35">
      <c r="B169" s="11"/>
      <c r="C169" s="11" t="s">
        <v>22</v>
      </c>
      <c r="D169" s="29"/>
      <c r="E169" s="29"/>
      <c r="F169" s="29"/>
      <c r="G169" s="29"/>
      <c r="H169" s="29"/>
      <c r="I169" s="29"/>
      <c r="J169" s="29"/>
      <c r="K169" s="93">
        <f t="shared" si="4"/>
        <v>0</v>
      </c>
    </row>
    <row r="170" spans="2:11" ht="15" customHeight="1" x14ac:dyDescent="0.35">
      <c r="B170" s="34"/>
      <c r="C170" s="34" t="s">
        <v>940</v>
      </c>
      <c r="D170" s="69"/>
      <c r="E170" s="52">
        <f>E171+E172</f>
        <v>0</v>
      </c>
      <c r="F170" s="69"/>
      <c r="G170" s="52">
        <f>G171+G172</f>
        <v>0</v>
      </c>
      <c r="H170" s="69"/>
      <c r="I170" s="52">
        <f>I171+I172</f>
        <v>0</v>
      </c>
      <c r="J170" s="69"/>
      <c r="K170" s="94">
        <f t="shared" si="4"/>
        <v>0</v>
      </c>
    </row>
    <row r="171" spans="2:11" ht="15" customHeight="1" x14ac:dyDescent="0.35">
      <c r="B171" s="14" t="s">
        <v>941</v>
      </c>
      <c r="C171" s="14" t="s">
        <v>942</v>
      </c>
      <c r="D171" s="61"/>
      <c r="E171" s="30"/>
      <c r="F171" s="61"/>
      <c r="G171" s="30"/>
      <c r="H171" s="61"/>
      <c r="I171" s="30">
        <f>E171-G171</f>
        <v>0</v>
      </c>
      <c r="J171" s="61"/>
      <c r="K171" s="55">
        <f t="shared" si="4"/>
        <v>0</v>
      </c>
    </row>
    <row r="172" spans="2:11" ht="15" customHeight="1" x14ac:dyDescent="0.35">
      <c r="B172" s="14" t="s">
        <v>943</v>
      </c>
      <c r="C172" s="14" t="s">
        <v>944</v>
      </c>
      <c r="D172" s="61"/>
      <c r="E172" s="30"/>
      <c r="F172" s="61"/>
      <c r="G172" s="30"/>
      <c r="H172" s="61"/>
      <c r="I172" s="30">
        <f>E172-G172</f>
        <v>0</v>
      </c>
      <c r="J172" s="61"/>
      <c r="K172" s="55">
        <f t="shared" si="4"/>
        <v>0</v>
      </c>
    </row>
    <row r="173" spans="2:11" ht="15" customHeight="1" x14ac:dyDescent="0.35">
      <c r="B173" s="11"/>
      <c r="C173" s="11" t="s">
        <v>22</v>
      </c>
      <c r="D173" s="29"/>
      <c r="E173" s="29"/>
      <c r="F173" s="29"/>
      <c r="G173" s="29"/>
      <c r="H173" s="29"/>
      <c r="I173" s="29"/>
      <c r="J173" s="29"/>
      <c r="K173" s="93">
        <f t="shared" si="4"/>
        <v>0</v>
      </c>
    </row>
    <row r="174" spans="2:11" ht="15" customHeight="1" x14ac:dyDescent="0.35">
      <c r="B174" s="14" t="s">
        <v>945</v>
      </c>
      <c r="C174" s="14" t="s">
        <v>946</v>
      </c>
      <c r="D174" s="61"/>
      <c r="E174" s="30"/>
      <c r="F174" s="61"/>
      <c r="G174" s="30"/>
      <c r="H174" s="61"/>
      <c r="I174" s="30">
        <f>E174-G174</f>
        <v>0</v>
      </c>
      <c r="J174" s="61"/>
      <c r="K174" s="55">
        <f t="shared" si="4"/>
        <v>0</v>
      </c>
    </row>
    <row r="175" spans="2:11" ht="15" customHeight="1" x14ac:dyDescent="0.35">
      <c r="B175" s="11"/>
      <c r="C175" s="11" t="s">
        <v>22</v>
      </c>
      <c r="D175" s="29"/>
      <c r="E175" s="29"/>
      <c r="F175" s="29"/>
      <c r="G175" s="29"/>
      <c r="H175" s="29"/>
      <c r="I175" s="29"/>
      <c r="J175" s="29"/>
      <c r="K175" s="93">
        <f t="shared" si="4"/>
        <v>0</v>
      </c>
    </row>
    <row r="176" spans="2:11" ht="15" customHeight="1" x14ac:dyDescent="0.35">
      <c r="B176" s="14" t="s">
        <v>947</v>
      </c>
      <c r="C176" s="14" t="s">
        <v>948</v>
      </c>
      <c r="D176" s="61"/>
      <c r="E176" s="30"/>
      <c r="F176" s="61"/>
      <c r="G176" s="30"/>
      <c r="H176" s="61"/>
      <c r="I176" s="30">
        <f>E176-G176</f>
        <v>0</v>
      </c>
      <c r="J176" s="61"/>
      <c r="K176" s="55">
        <f t="shared" si="4"/>
        <v>0</v>
      </c>
    </row>
    <row r="177" spans="2:11" ht="15" customHeight="1" x14ac:dyDescent="0.35">
      <c r="B177" s="11"/>
      <c r="C177" s="11" t="s">
        <v>22</v>
      </c>
      <c r="D177" s="29"/>
      <c r="E177" s="29"/>
      <c r="F177" s="29"/>
      <c r="G177" s="29"/>
      <c r="H177" s="29"/>
      <c r="I177" s="29"/>
      <c r="J177" s="29"/>
      <c r="K177" s="93">
        <f t="shared" si="4"/>
        <v>0</v>
      </c>
    </row>
    <row r="178" spans="2:11" ht="15" customHeight="1" x14ac:dyDescent="0.35">
      <c r="B178" s="14" t="s">
        <v>949</v>
      </c>
      <c r="C178" s="14" t="s">
        <v>950</v>
      </c>
      <c r="D178" s="61"/>
      <c r="E178" s="30"/>
      <c r="F178" s="61"/>
      <c r="G178" s="30"/>
      <c r="H178" s="61"/>
      <c r="I178" s="30">
        <f>E178-G178</f>
        <v>0</v>
      </c>
      <c r="J178" s="61"/>
      <c r="K178" s="55">
        <f t="shared" si="4"/>
        <v>0</v>
      </c>
    </row>
    <row r="179" spans="2:11" ht="15" customHeight="1" x14ac:dyDescent="0.35">
      <c r="B179" s="11"/>
      <c r="C179" s="11" t="s">
        <v>22</v>
      </c>
      <c r="D179" s="29"/>
      <c r="E179" s="29"/>
      <c r="F179" s="29"/>
      <c r="G179" s="29"/>
      <c r="H179" s="29"/>
      <c r="I179" s="29"/>
      <c r="J179" s="29"/>
      <c r="K179" s="93">
        <f t="shared" si="4"/>
        <v>0</v>
      </c>
    </row>
    <row r="180" spans="2:11" ht="15" customHeight="1" x14ac:dyDescent="0.35">
      <c r="B180" s="34"/>
      <c r="C180" s="34" t="s">
        <v>951</v>
      </c>
      <c r="D180" s="69"/>
      <c r="E180" s="52">
        <f>E181+E182</f>
        <v>0</v>
      </c>
      <c r="F180" s="69"/>
      <c r="G180" s="52">
        <f>G181+G182</f>
        <v>700</v>
      </c>
      <c r="H180" s="69"/>
      <c r="I180" s="52">
        <f>I181+I182</f>
        <v>-700</v>
      </c>
      <c r="J180" s="69"/>
      <c r="K180" s="94">
        <f t="shared" si="4"/>
        <v>-1</v>
      </c>
    </row>
    <row r="181" spans="2:11" ht="15" customHeight="1" x14ac:dyDescent="0.35">
      <c r="B181" s="14" t="s">
        <v>952</v>
      </c>
      <c r="C181" s="14" t="s">
        <v>953</v>
      </c>
      <c r="D181" s="61"/>
      <c r="E181" s="30"/>
      <c r="F181" s="61"/>
      <c r="G181" s="30"/>
      <c r="H181" s="61"/>
      <c r="I181" s="30">
        <f>E181-G181</f>
        <v>0</v>
      </c>
      <c r="J181" s="61"/>
      <c r="K181" s="55">
        <f t="shared" si="4"/>
        <v>0</v>
      </c>
    </row>
    <row r="182" spans="2:11" ht="15" customHeight="1" x14ac:dyDescent="0.35">
      <c r="B182" s="14" t="s">
        <v>954</v>
      </c>
      <c r="C182" s="14" t="s">
        <v>955</v>
      </c>
      <c r="D182" s="61"/>
      <c r="E182" s="30"/>
      <c r="F182" s="61"/>
      <c r="G182" s="30">
        <v>700</v>
      </c>
      <c r="H182" s="61"/>
      <c r="I182" s="30">
        <f>E182-G182</f>
        <v>-700</v>
      </c>
      <c r="J182" s="61"/>
      <c r="K182" s="55">
        <f t="shared" si="4"/>
        <v>-1</v>
      </c>
    </row>
    <row r="183" spans="2:11" ht="15" customHeight="1" x14ac:dyDescent="0.35">
      <c r="B183" s="11"/>
      <c r="C183" s="11" t="s">
        <v>22</v>
      </c>
      <c r="D183" s="29"/>
      <c r="E183" s="29"/>
      <c r="F183" s="29"/>
      <c r="G183" s="29"/>
      <c r="H183" s="29"/>
      <c r="I183" s="29"/>
      <c r="J183" s="29"/>
      <c r="K183" s="93">
        <f t="shared" si="4"/>
        <v>0</v>
      </c>
    </row>
    <row r="184" spans="2:11" ht="15" customHeight="1" x14ac:dyDescent="0.35">
      <c r="B184" s="34"/>
      <c r="C184" s="34" t="s">
        <v>956</v>
      </c>
      <c r="D184" s="69"/>
      <c r="E184" s="52">
        <f>-(-(E185+E186)-E187-E188-E189)</f>
        <v>629199.91052000003</v>
      </c>
      <c r="F184" s="69"/>
      <c r="G184" s="52">
        <f>-(-(G185+G186)-G187-G188-G189)</f>
        <v>237900.00000000003</v>
      </c>
      <c r="H184" s="69"/>
      <c r="I184" s="52">
        <f>-(-(I185+I186)-I187-I188-I189)</f>
        <v>391299.91052000003</v>
      </c>
      <c r="J184" s="69"/>
      <c r="K184" s="94">
        <f t="shared" si="4"/>
        <v>1.6448083670449769</v>
      </c>
    </row>
    <row r="185" spans="2:11" ht="15" customHeight="1" x14ac:dyDescent="0.35">
      <c r="B185" s="14" t="s">
        <v>957</v>
      </c>
      <c r="C185" s="14" t="s">
        <v>958</v>
      </c>
      <c r="D185" s="61"/>
      <c r="E185" s="30">
        <v>856151</v>
      </c>
      <c r="F185" s="61"/>
      <c r="G185" s="30">
        <v>492900</v>
      </c>
      <c r="H185" s="61"/>
      <c r="I185" s="30">
        <f>E185-G185</f>
        <v>363251</v>
      </c>
      <c r="J185" s="61"/>
      <c r="K185" s="55">
        <f t="shared" si="4"/>
        <v>0.73696693041184824</v>
      </c>
    </row>
    <row r="186" spans="2:11" ht="15" customHeight="1" x14ac:dyDescent="0.35">
      <c r="B186" s="14" t="s">
        <v>959</v>
      </c>
      <c r="C186" s="14" t="s">
        <v>960</v>
      </c>
      <c r="D186" s="61"/>
      <c r="E186" s="30">
        <v>177.31700000000001</v>
      </c>
      <c r="F186" s="61"/>
      <c r="G186" s="30">
        <v>141.07900000000001</v>
      </c>
      <c r="H186" s="61"/>
      <c r="I186" s="30">
        <f>E186-G186</f>
        <v>36.238</v>
      </c>
      <c r="J186" s="61"/>
      <c r="K186" s="55">
        <f t="shared" si="4"/>
        <v>0.25686317595106284</v>
      </c>
    </row>
    <row r="187" spans="2:11" ht="15" customHeight="1" x14ac:dyDescent="0.35">
      <c r="B187" s="14" t="s">
        <v>961</v>
      </c>
      <c r="C187" s="14" t="s">
        <v>962</v>
      </c>
      <c r="D187" s="61"/>
      <c r="E187" s="30">
        <v>-226951</v>
      </c>
      <c r="F187" s="61"/>
      <c r="G187" s="30">
        <v>-255000</v>
      </c>
      <c r="H187" s="61"/>
      <c r="I187" s="30">
        <f>E187-G187</f>
        <v>28049</v>
      </c>
      <c r="J187" s="61"/>
      <c r="K187" s="55">
        <f t="shared" si="4"/>
        <v>0.10999607843137255</v>
      </c>
    </row>
    <row r="188" spans="2:11" ht="15" customHeight="1" x14ac:dyDescent="0.35">
      <c r="B188" s="14" t="s">
        <v>963</v>
      </c>
      <c r="C188" s="14" t="s">
        <v>964</v>
      </c>
      <c r="D188" s="61"/>
      <c r="E188" s="30">
        <v>-177.40647999999999</v>
      </c>
      <c r="F188" s="61"/>
      <c r="G188" s="30">
        <v>-141.07900000000001</v>
      </c>
      <c r="H188" s="61"/>
      <c r="I188" s="30">
        <f>E188-G188</f>
        <v>-36.32747999999998</v>
      </c>
      <c r="J188" s="61"/>
      <c r="K188" s="55">
        <f t="shared" si="4"/>
        <v>-0.25749743051765306</v>
      </c>
    </row>
    <row r="189" spans="2:11" ht="15" customHeight="1" x14ac:dyDescent="0.35">
      <c r="B189" s="14" t="s">
        <v>965</v>
      </c>
      <c r="C189" s="14" t="s">
        <v>966</v>
      </c>
      <c r="D189" s="61"/>
      <c r="E189" s="30">
        <v>0</v>
      </c>
      <c r="F189" s="61"/>
      <c r="G189" s="30"/>
      <c r="H189" s="61"/>
      <c r="I189" s="30">
        <f>E189-G189</f>
        <v>0</v>
      </c>
      <c r="J189" s="61"/>
      <c r="K189" s="55">
        <f t="shared" si="4"/>
        <v>0</v>
      </c>
    </row>
    <row r="190" spans="2:11" ht="15" customHeight="1" x14ac:dyDescent="0.35">
      <c r="B190" s="11"/>
      <c r="C190" s="11" t="s">
        <v>22</v>
      </c>
      <c r="D190" s="29"/>
      <c r="E190" s="29"/>
      <c r="F190" s="29"/>
      <c r="G190" s="29"/>
      <c r="H190" s="29"/>
      <c r="I190" s="29"/>
      <c r="J190" s="29"/>
      <c r="K190" s="93">
        <f t="shared" si="4"/>
        <v>0</v>
      </c>
    </row>
    <row r="191" spans="2:11" ht="15" customHeight="1" x14ac:dyDescent="0.35">
      <c r="B191" s="34"/>
      <c r="C191" s="34" t="s">
        <v>967</v>
      </c>
      <c r="D191" s="69"/>
      <c r="E191" s="52">
        <f>E193+E198+E202</f>
        <v>9251.8544899999979</v>
      </c>
      <c r="F191" s="69"/>
      <c r="G191" s="52">
        <f>G193+G198+G202</f>
        <v>-59248.655480000009</v>
      </c>
      <c r="H191" s="69"/>
      <c r="I191" s="52">
        <f>I193+I198+I202</f>
        <v>68500.509969999999</v>
      </c>
      <c r="J191" s="69"/>
      <c r="K191" s="94">
        <f t="shared" si="4"/>
        <v>1.1561529863428386</v>
      </c>
    </row>
    <row r="192" spans="2:11" ht="15" customHeight="1" x14ac:dyDescent="0.35">
      <c r="B192" s="11"/>
      <c r="C192" s="11" t="s">
        <v>22</v>
      </c>
      <c r="D192" s="29"/>
      <c r="E192" s="29"/>
      <c r="F192" s="29"/>
      <c r="G192" s="29"/>
      <c r="H192" s="29"/>
      <c r="I192" s="29"/>
      <c r="J192" s="29"/>
      <c r="K192" s="93">
        <f t="shared" si="4"/>
        <v>0</v>
      </c>
    </row>
    <row r="193" spans="2:11" ht="15" customHeight="1" x14ac:dyDescent="0.35">
      <c r="B193" s="34"/>
      <c r="C193" s="34" t="s">
        <v>968</v>
      </c>
      <c r="D193" s="69"/>
      <c r="E193" s="52">
        <f>-(-(E194+E195)-E196)</f>
        <v>31415.391970000001</v>
      </c>
      <c r="F193" s="69"/>
      <c r="G193" s="52">
        <f>-(-(G194+G195)-G196)</f>
        <v>32695.836510000001</v>
      </c>
      <c r="H193" s="69"/>
      <c r="I193" s="52">
        <f>-(-(I194+I195)-I196)</f>
        <v>-1280.4445400000018</v>
      </c>
      <c r="J193" s="69"/>
      <c r="K193" s="94">
        <f t="shared" si="4"/>
        <v>-3.9162311678686633E-2</v>
      </c>
    </row>
    <row r="194" spans="2:11" ht="15" customHeight="1" x14ac:dyDescent="0.35">
      <c r="B194" s="14" t="s">
        <v>969</v>
      </c>
      <c r="C194" s="14" t="s">
        <v>970</v>
      </c>
      <c r="D194" s="61"/>
      <c r="E194" s="30">
        <v>31694.17945</v>
      </c>
      <c r="F194" s="61"/>
      <c r="G194" s="30">
        <v>32571.838510000001</v>
      </c>
      <c r="H194" s="61"/>
      <c r="I194" s="30">
        <f>E194-G194</f>
        <v>-877.65906000000177</v>
      </c>
      <c r="J194" s="61"/>
      <c r="K194" s="55">
        <f t="shared" si="4"/>
        <v>-2.6945333765257016E-2</v>
      </c>
    </row>
    <row r="195" spans="2:11" ht="15" customHeight="1" x14ac:dyDescent="0.35">
      <c r="B195" s="14" t="s">
        <v>971</v>
      </c>
      <c r="C195" s="14" t="s">
        <v>972</v>
      </c>
      <c r="D195" s="61"/>
      <c r="E195" s="30">
        <v>-278.78748000000002</v>
      </c>
      <c r="F195" s="61"/>
      <c r="G195" s="30">
        <v>123.998</v>
      </c>
      <c r="H195" s="61"/>
      <c r="I195" s="30">
        <f>E195-G195</f>
        <v>-402.78548000000001</v>
      </c>
      <c r="J195" s="61"/>
      <c r="K195" s="55">
        <f t="shared" si="4"/>
        <v>-3.2483223922966498</v>
      </c>
    </row>
    <row r="196" spans="2:11" ht="15" customHeight="1" x14ac:dyDescent="0.35">
      <c r="B196" s="14" t="s">
        <v>973</v>
      </c>
      <c r="C196" s="14" t="s">
        <v>974</v>
      </c>
      <c r="D196" s="61"/>
      <c r="E196" s="30"/>
      <c r="F196" s="61"/>
      <c r="G196" s="30"/>
      <c r="H196" s="61"/>
      <c r="I196" s="30">
        <f>E196-G196</f>
        <v>0</v>
      </c>
      <c r="J196" s="61"/>
      <c r="K196" s="55">
        <f t="shared" si="4"/>
        <v>0</v>
      </c>
    </row>
    <row r="197" spans="2:11" ht="15" customHeight="1" x14ac:dyDescent="0.35">
      <c r="B197" s="11"/>
      <c r="C197" s="11" t="s">
        <v>22</v>
      </c>
      <c r="D197" s="29"/>
      <c r="E197" s="29"/>
      <c r="F197" s="29"/>
      <c r="G197" s="29"/>
      <c r="H197" s="29"/>
      <c r="I197" s="29"/>
      <c r="J197" s="29"/>
      <c r="K197" s="93">
        <f t="shared" si="4"/>
        <v>0</v>
      </c>
    </row>
    <row r="198" spans="2:11" ht="15" customHeight="1" x14ac:dyDescent="0.35">
      <c r="B198" s="34" t="s">
        <v>975</v>
      </c>
      <c r="C198" s="34" t="s">
        <v>976</v>
      </c>
      <c r="D198" s="69"/>
      <c r="E198" s="52">
        <f>E199+E200</f>
        <v>-21898.765330000002</v>
      </c>
      <c r="F198" s="69"/>
      <c r="G198" s="52">
        <f>G199+G200</f>
        <v>-34791.485830000005</v>
      </c>
      <c r="H198" s="69"/>
      <c r="I198" s="52">
        <f>I199+I200</f>
        <v>12892.720499999999</v>
      </c>
      <c r="J198" s="69"/>
      <c r="K198" s="94">
        <f t="shared" si="4"/>
        <v>0.37057113809387421</v>
      </c>
    </row>
    <row r="199" spans="2:11" ht="15" customHeight="1" x14ac:dyDescent="0.35">
      <c r="B199" s="14" t="s">
        <v>977</v>
      </c>
      <c r="C199" s="14" t="s">
        <v>978</v>
      </c>
      <c r="D199" s="61"/>
      <c r="E199" s="30">
        <v>-24508.711490000002</v>
      </c>
      <c r="F199" s="61"/>
      <c r="G199" s="30">
        <v>-39838.733240000001</v>
      </c>
      <c r="H199" s="61"/>
      <c r="I199" s="30">
        <f>E199-G199</f>
        <v>15330.02175</v>
      </c>
      <c r="J199" s="61"/>
      <c r="K199" s="55">
        <f t="shared" si="4"/>
        <v>0.38480193779374294</v>
      </c>
    </row>
    <row r="200" spans="2:11" ht="15" customHeight="1" x14ac:dyDescent="0.35">
      <c r="B200" s="14" t="s">
        <v>979</v>
      </c>
      <c r="C200" s="14" t="s">
        <v>980</v>
      </c>
      <c r="D200" s="61"/>
      <c r="E200" s="30">
        <v>2609.94616</v>
      </c>
      <c r="F200" s="61"/>
      <c r="G200" s="30">
        <v>5047.2474099999999</v>
      </c>
      <c r="H200" s="61"/>
      <c r="I200" s="30">
        <f>E200-G200</f>
        <v>-2437.30125</v>
      </c>
      <c r="J200" s="61"/>
      <c r="K200" s="55">
        <f t="shared" si="4"/>
        <v>-0.48289712233464693</v>
      </c>
    </row>
    <row r="201" spans="2:11" ht="15" customHeight="1" x14ac:dyDescent="0.35">
      <c r="B201" s="11"/>
      <c r="C201" s="11" t="s">
        <v>22</v>
      </c>
      <c r="D201" s="29"/>
      <c r="E201" s="29"/>
      <c r="F201" s="29"/>
      <c r="G201" s="29"/>
      <c r="H201" s="29"/>
      <c r="I201" s="29"/>
      <c r="J201" s="29"/>
      <c r="K201" s="93">
        <f t="shared" ref="K201:K239" si="5">IF(ROUND(I201, 2)=0, 0, IFERROR(I201/ABS(G201), IF(I201&lt;0, -1, 1)))</f>
        <v>0</v>
      </c>
    </row>
    <row r="202" spans="2:11" ht="15" customHeight="1" x14ac:dyDescent="0.35">
      <c r="B202" s="34"/>
      <c r="C202" s="34" t="s">
        <v>981</v>
      </c>
      <c r="D202" s="69"/>
      <c r="E202" s="52">
        <f>E204+E208</f>
        <v>-264.77215000000001</v>
      </c>
      <c r="F202" s="69"/>
      <c r="G202" s="52">
        <f>G204+G208</f>
        <v>-57153.006160000004</v>
      </c>
      <c r="H202" s="69"/>
      <c r="I202" s="52">
        <f>I204+I208</f>
        <v>56888.23401</v>
      </c>
      <c r="J202" s="69"/>
      <c r="K202" s="94">
        <f t="shared" si="5"/>
        <v>0.99536731017684754</v>
      </c>
    </row>
    <row r="203" spans="2:11" ht="15" customHeight="1" x14ac:dyDescent="0.35">
      <c r="B203" s="11"/>
      <c r="C203" s="11" t="s">
        <v>22</v>
      </c>
      <c r="D203" s="29"/>
      <c r="E203" s="29"/>
      <c r="F203" s="29"/>
      <c r="G203" s="29"/>
      <c r="H203" s="29"/>
      <c r="I203" s="29"/>
      <c r="J203" s="29"/>
      <c r="K203" s="93">
        <f t="shared" si="5"/>
        <v>0</v>
      </c>
    </row>
    <row r="204" spans="2:11" ht="15" customHeight="1" x14ac:dyDescent="0.35">
      <c r="B204" s="34"/>
      <c r="C204" s="34" t="s">
        <v>982</v>
      </c>
      <c r="D204" s="69"/>
      <c r="E204" s="52">
        <f>E205+E206</f>
        <v>-195.41114999999999</v>
      </c>
      <c r="F204" s="69"/>
      <c r="G204" s="52">
        <f>G205+G206</f>
        <v>-57150.657160000002</v>
      </c>
      <c r="H204" s="69"/>
      <c r="I204" s="52">
        <f>I205+I206</f>
        <v>56955.246010000003</v>
      </c>
      <c r="J204" s="69"/>
      <c r="K204" s="94">
        <f t="shared" si="5"/>
        <v>0.99658077160070224</v>
      </c>
    </row>
    <row r="205" spans="2:11" ht="15" customHeight="1" x14ac:dyDescent="0.35">
      <c r="B205" s="14" t="s">
        <v>983</v>
      </c>
      <c r="C205" s="14" t="s">
        <v>984</v>
      </c>
      <c r="D205" s="61"/>
      <c r="E205" s="30"/>
      <c r="F205" s="61"/>
      <c r="G205" s="30">
        <v>-57000</v>
      </c>
      <c r="H205" s="61"/>
      <c r="I205" s="30">
        <f>E205-G205</f>
        <v>57000</v>
      </c>
      <c r="J205" s="61"/>
      <c r="K205" s="55">
        <f t="shared" si="5"/>
        <v>1</v>
      </c>
    </row>
    <row r="206" spans="2:11" ht="15" customHeight="1" x14ac:dyDescent="0.35">
      <c r="B206" s="14" t="s">
        <v>985</v>
      </c>
      <c r="C206" s="14" t="s">
        <v>986</v>
      </c>
      <c r="D206" s="61"/>
      <c r="E206" s="30">
        <v>-195.41114999999999</v>
      </c>
      <c r="F206" s="61"/>
      <c r="G206" s="30">
        <v>-150.65716</v>
      </c>
      <c r="H206" s="61"/>
      <c r="I206" s="30">
        <f>E206-G206</f>
        <v>-44.753989999999988</v>
      </c>
      <c r="J206" s="61"/>
      <c r="K206" s="55">
        <f t="shared" si="5"/>
        <v>-0.29705850023988228</v>
      </c>
    </row>
    <row r="207" spans="2:11" ht="15" customHeight="1" x14ac:dyDescent="0.35">
      <c r="B207" s="11"/>
      <c r="C207" s="11" t="s">
        <v>22</v>
      </c>
      <c r="D207" s="29"/>
      <c r="E207" s="29"/>
      <c r="F207" s="29"/>
      <c r="G207" s="29"/>
      <c r="H207" s="29"/>
      <c r="I207" s="29"/>
      <c r="J207" s="29"/>
      <c r="K207" s="93">
        <f t="shared" si="5"/>
        <v>0</v>
      </c>
    </row>
    <row r="208" spans="2:11" ht="15" customHeight="1" x14ac:dyDescent="0.35">
      <c r="B208" s="34"/>
      <c r="C208" s="34" t="s">
        <v>987</v>
      </c>
      <c r="D208" s="69"/>
      <c r="E208" s="52">
        <f>-(-(E209+E210)-E211)</f>
        <v>-69.361000000000004</v>
      </c>
      <c r="F208" s="69"/>
      <c r="G208" s="52">
        <f>-(-(G209+G210)-G211)</f>
        <v>-2.3490000000000002</v>
      </c>
      <c r="H208" s="69"/>
      <c r="I208" s="52">
        <f>-(-(I209+I210)-I211)</f>
        <v>-67.012</v>
      </c>
      <c r="J208" s="69"/>
      <c r="K208" s="94">
        <f t="shared" si="5"/>
        <v>-28.527884206045123</v>
      </c>
    </row>
    <row r="209" spans="2:11" ht="15" customHeight="1" x14ac:dyDescent="0.35">
      <c r="B209" s="14" t="s">
        <v>988</v>
      </c>
      <c r="C209" s="14" t="s">
        <v>989</v>
      </c>
      <c r="D209" s="61"/>
      <c r="E209" s="30"/>
      <c r="F209" s="61"/>
      <c r="G209" s="30"/>
      <c r="H209" s="61"/>
      <c r="I209" s="30">
        <f>E209-G209</f>
        <v>0</v>
      </c>
      <c r="J209" s="61"/>
      <c r="K209" s="55">
        <f t="shared" si="5"/>
        <v>0</v>
      </c>
    </row>
    <row r="210" spans="2:11" ht="15" customHeight="1" x14ac:dyDescent="0.35">
      <c r="B210" s="14" t="s">
        <v>990</v>
      </c>
      <c r="C210" s="14" t="s">
        <v>991</v>
      </c>
      <c r="D210" s="61"/>
      <c r="E210" s="30"/>
      <c r="F210" s="61"/>
      <c r="G210" s="30"/>
      <c r="H210" s="61"/>
      <c r="I210" s="30">
        <f>E210-G210</f>
        <v>0</v>
      </c>
      <c r="J210" s="61"/>
      <c r="K210" s="55">
        <f t="shared" si="5"/>
        <v>0</v>
      </c>
    </row>
    <row r="211" spans="2:11" ht="15" customHeight="1" x14ac:dyDescent="0.35">
      <c r="B211" s="14" t="s">
        <v>992</v>
      </c>
      <c r="C211" s="14" t="s">
        <v>993</v>
      </c>
      <c r="D211" s="61"/>
      <c r="E211" s="30">
        <v>-69.361000000000004</v>
      </c>
      <c r="F211" s="61"/>
      <c r="G211" s="30">
        <v>-2.3490000000000002</v>
      </c>
      <c r="H211" s="61"/>
      <c r="I211" s="30">
        <f>E211-G211</f>
        <v>-67.012</v>
      </c>
      <c r="J211" s="61"/>
      <c r="K211" s="55">
        <f t="shared" si="5"/>
        <v>-28.527884206045123</v>
      </c>
    </row>
    <row r="212" spans="2:11" ht="15" customHeight="1" x14ac:dyDescent="0.35">
      <c r="B212" s="11"/>
      <c r="C212" s="11" t="s">
        <v>22</v>
      </c>
      <c r="D212" s="29"/>
      <c r="E212" s="29"/>
      <c r="F212" s="29"/>
      <c r="G212" s="29"/>
      <c r="H212" s="29"/>
      <c r="I212" s="29"/>
      <c r="J212" s="29"/>
      <c r="K212" s="93">
        <f t="shared" si="5"/>
        <v>0</v>
      </c>
    </row>
    <row r="213" spans="2:11" ht="15" customHeight="1" x14ac:dyDescent="0.35">
      <c r="B213" s="40"/>
      <c r="C213" s="40" t="s">
        <v>994</v>
      </c>
      <c r="D213" s="53"/>
      <c r="E213" s="53">
        <f>E165+E170+E174+E176+E178+E180+E184+E191</f>
        <v>638451.76500999997</v>
      </c>
      <c r="F213" s="53"/>
      <c r="G213" s="53">
        <f>G165+G170+G174+G176+G178+G180+G184+G191</f>
        <v>179351.34452000001</v>
      </c>
      <c r="H213" s="53"/>
      <c r="I213" s="53">
        <f>I165+I170+I174+I176+I178+I180+I184+I191</f>
        <v>459100.42049000005</v>
      </c>
      <c r="J213" s="53"/>
      <c r="K213" s="95">
        <f t="shared" si="5"/>
        <v>2.5597824299488559</v>
      </c>
    </row>
    <row r="214" spans="2:11" ht="15" customHeight="1" x14ac:dyDescent="0.35">
      <c r="B214" s="11"/>
      <c r="C214" s="11" t="s">
        <v>22</v>
      </c>
      <c r="D214" s="29"/>
      <c r="E214" s="29"/>
      <c r="F214" s="29"/>
      <c r="G214" s="29"/>
      <c r="H214" s="29"/>
      <c r="I214" s="29"/>
      <c r="J214" s="29"/>
      <c r="K214" s="93">
        <f t="shared" si="5"/>
        <v>0</v>
      </c>
    </row>
    <row r="215" spans="2:11" ht="15" customHeight="1" x14ac:dyDescent="0.35">
      <c r="B215" s="40" t="s">
        <v>995</v>
      </c>
      <c r="C215" s="40" t="s">
        <v>996</v>
      </c>
      <c r="D215" s="53"/>
      <c r="E215" s="53">
        <f>E102+E161+E213</f>
        <v>1727.5331200000364</v>
      </c>
      <c r="F215" s="53"/>
      <c r="G215" s="53">
        <f>G102+G161+G213</f>
        <v>-855.16425999999046</v>
      </c>
      <c r="H215" s="53"/>
      <c r="I215" s="53">
        <f>I102+I161+I213</f>
        <v>2582.6973800000269</v>
      </c>
      <c r="J215" s="53"/>
      <c r="K215" s="95">
        <f t="shared" si="5"/>
        <v>3.0201184740812903</v>
      </c>
    </row>
    <row r="216" spans="2:11" ht="15" customHeight="1" x14ac:dyDescent="0.35">
      <c r="B216" s="11"/>
      <c r="C216" s="11" t="s">
        <v>22</v>
      </c>
      <c r="D216" s="29"/>
      <c r="E216" s="29"/>
      <c r="F216" s="29"/>
      <c r="G216" s="29"/>
      <c r="H216" s="29"/>
      <c r="I216" s="29"/>
      <c r="J216" s="29"/>
      <c r="K216" s="93">
        <f t="shared" si="5"/>
        <v>0</v>
      </c>
    </row>
    <row r="217" spans="2:11" ht="15" customHeight="1" x14ac:dyDescent="0.35">
      <c r="B217" s="14" t="s">
        <v>997</v>
      </c>
      <c r="C217" s="14" t="s">
        <v>998</v>
      </c>
      <c r="D217" s="61"/>
      <c r="E217" s="30">
        <v>1931.7006699999999</v>
      </c>
      <c r="F217" s="61"/>
      <c r="G217" s="30">
        <v>4563.32773</v>
      </c>
      <c r="H217" s="61"/>
      <c r="I217" s="30">
        <f>E217-G217</f>
        <v>-2631.6270599999998</v>
      </c>
      <c r="J217" s="61"/>
      <c r="K217" s="55">
        <f t="shared" si="5"/>
        <v>-0.57669034873372982</v>
      </c>
    </row>
    <row r="218" spans="2:11" ht="15" customHeight="1" x14ac:dyDescent="0.35">
      <c r="B218" s="14" t="s">
        <v>999</v>
      </c>
      <c r="C218" s="14" t="s">
        <v>996</v>
      </c>
      <c r="D218" s="61"/>
      <c r="E218" s="30">
        <f>E220-E219-E217</f>
        <v>1727.5347199999999</v>
      </c>
      <c r="F218" s="61"/>
      <c r="G218" s="30">
        <f>G220-G219-G217</f>
        <v>-855.38909999999987</v>
      </c>
      <c r="H218" s="61"/>
      <c r="I218" s="30">
        <f>I220-I219-I217</f>
        <v>2582.9238199999995</v>
      </c>
      <c r="J218" s="61"/>
      <c r="K218" s="55">
        <f t="shared" si="5"/>
        <v>3.0195893541313539</v>
      </c>
    </row>
    <row r="219" spans="2:11" ht="15" customHeight="1" x14ac:dyDescent="0.35">
      <c r="B219" s="14" t="s">
        <v>1000</v>
      </c>
      <c r="C219" s="14" t="s">
        <v>1001</v>
      </c>
      <c r="D219" s="61"/>
      <c r="E219" s="30">
        <v>-18.133299999999998</v>
      </c>
      <c r="F219" s="61"/>
      <c r="G219" s="30"/>
      <c r="H219" s="61"/>
      <c r="I219" s="30">
        <f>E219-G219</f>
        <v>-18.133299999999998</v>
      </c>
      <c r="J219" s="61"/>
      <c r="K219" s="55">
        <f t="shared" si="5"/>
        <v>-1</v>
      </c>
    </row>
    <row r="220" spans="2:11" ht="15" customHeight="1" x14ac:dyDescent="0.35">
      <c r="B220" s="14" t="s">
        <v>1002</v>
      </c>
      <c r="C220" s="14" t="s">
        <v>1003</v>
      </c>
      <c r="D220" s="61"/>
      <c r="E220" s="30">
        <v>3641.1020899999999</v>
      </c>
      <c r="F220" s="61"/>
      <c r="G220" s="30">
        <v>3707.9386300000001</v>
      </c>
      <c r="H220" s="61"/>
      <c r="I220" s="30">
        <f>E220-G220</f>
        <v>-66.836540000000241</v>
      </c>
      <c r="J220" s="61"/>
      <c r="K220" s="55">
        <f t="shared" si="5"/>
        <v>-1.8025255180666309E-2</v>
      </c>
    </row>
    <row r="221" spans="2:11" ht="15" customHeight="1" x14ac:dyDescent="0.35">
      <c r="B221" s="11"/>
      <c r="C221" s="11" t="s">
        <v>22</v>
      </c>
      <c r="D221" s="29"/>
      <c r="E221" s="29"/>
      <c r="F221" s="29"/>
      <c r="G221" s="29"/>
      <c r="H221" s="29"/>
      <c r="I221" s="29"/>
      <c r="J221" s="29"/>
      <c r="K221" s="93">
        <f t="shared" si="5"/>
        <v>0</v>
      </c>
    </row>
    <row r="222" spans="2:11" ht="15" customHeight="1" x14ac:dyDescent="0.35">
      <c r="B222" s="11"/>
      <c r="C222" s="11" t="s">
        <v>22</v>
      </c>
      <c r="D222" s="29"/>
      <c r="E222" s="29"/>
      <c r="F222" s="29"/>
      <c r="G222" s="29"/>
      <c r="H222" s="29"/>
      <c r="I222" s="29"/>
      <c r="J222" s="29"/>
      <c r="K222" s="93">
        <f t="shared" si="5"/>
        <v>0</v>
      </c>
    </row>
    <row r="223" spans="2:11" ht="15" customHeight="1" x14ac:dyDescent="0.35">
      <c r="B223" s="36"/>
      <c r="C223" s="36" t="s">
        <v>751</v>
      </c>
      <c r="D223" s="71"/>
      <c r="E223" s="54">
        <f>E215-E218</f>
        <v>-1.5999999634459527E-3</v>
      </c>
      <c r="F223" s="71"/>
      <c r="G223" s="54">
        <f>G215-G218</f>
        <v>0.22484000000940796</v>
      </c>
      <c r="H223" s="71"/>
      <c r="I223" s="54">
        <f>I215-I218</f>
        <v>-0.22643999997262654</v>
      </c>
      <c r="J223" s="71"/>
      <c r="K223" s="96">
        <f t="shared" si="5"/>
        <v>-1.0071161713358461</v>
      </c>
    </row>
    <row r="224" spans="2:11" ht="15" customHeight="1" x14ac:dyDescent="0.35">
      <c r="B224" s="11"/>
      <c r="C224" s="11" t="s">
        <v>22</v>
      </c>
      <c r="D224" s="29"/>
      <c r="E224" s="29"/>
      <c r="F224" s="29"/>
      <c r="G224" s="29"/>
      <c r="H224" s="29"/>
      <c r="I224" s="29"/>
      <c r="J224" s="29"/>
      <c r="K224" s="93">
        <f t="shared" si="5"/>
        <v>0</v>
      </c>
    </row>
    <row r="225" spans="2:11" ht="15" customHeight="1" x14ac:dyDescent="0.35">
      <c r="B225" s="11"/>
      <c r="C225" s="11" t="s">
        <v>22</v>
      </c>
      <c r="D225" s="29"/>
      <c r="E225" s="29"/>
      <c r="F225" s="29"/>
      <c r="G225" s="29"/>
      <c r="H225" s="29"/>
      <c r="I225" s="29"/>
      <c r="J225" s="29"/>
      <c r="K225" s="93">
        <f t="shared" si="5"/>
        <v>0</v>
      </c>
    </row>
    <row r="226" spans="2:11" ht="15" customHeight="1" x14ac:dyDescent="0.35">
      <c r="B226" s="34"/>
      <c r="C226" s="34" t="s">
        <v>1004</v>
      </c>
      <c r="D226" s="69"/>
      <c r="E226" s="52"/>
      <c r="F226" s="69"/>
      <c r="G226" s="52"/>
      <c r="H226" s="69"/>
      <c r="I226" s="52"/>
      <c r="J226" s="69"/>
      <c r="K226" s="94">
        <f t="shared" si="5"/>
        <v>0</v>
      </c>
    </row>
    <row r="227" spans="2:11" ht="15" customHeight="1" x14ac:dyDescent="0.35">
      <c r="B227" s="11"/>
      <c r="C227" s="11" t="s">
        <v>22</v>
      </c>
      <c r="D227" s="29"/>
      <c r="E227" s="29"/>
      <c r="F227" s="29"/>
      <c r="G227" s="29"/>
      <c r="H227" s="29"/>
      <c r="I227" s="29"/>
      <c r="J227" s="29"/>
      <c r="K227" s="93">
        <f t="shared" si="5"/>
        <v>0</v>
      </c>
    </row>
    <row r="228" spans="2:11" ht="15" customHeight="1" x14ac:dyDescent="0.35">
      <c r="B228" s="14"/>
      <c r="C228" s="14" t="s">
        <v>890</v>
      </c>
      <c r="D228" s="61"/>
      <c r="E228" s="30">
        <f>E126</f>
        <v>-62131.282050000002</v>
      </c>
      <c r="F228" s="61"/>
      <c r="G228" s="30">
        <f>G126</f>
        <v>-39460.97479</v>
      </c>
      <c r="H228" s="61"/>
      <c r="I228" s="30">
        <f>I126</f>
        <v>-22670.307260000009</v>
      </c>
      <c r="J228" s="61"/>
      <c r="K228" s="55">
        <f t="shared" si="5"/>
        <v>-0.57449942330732795</v>
      </c>
    </row>
    <row r="229" spans="2:11" ht="15" customHeight="1" x14ac:dyDescent="0.35">
      <c r="B229" s="14"/>
      <c r="C229" s="14" t="s">
        <v>892</v>
      </c>
      <c r="D229" s="61"/>
      <c r="E229" s="30">
        <f>E128</f>
        <v>3192.2789400000001</v>
      </c>
      <c r="F229" s="61"/>
      <c r="G229" s="30">
        <f>G128</f>
        <v>3252.0635299999999</v>
      </c>
      <c r="H229" s="61"/>
      <c r="I229" s="30">
        <f>I128</f>
        <v>-59.784589999999753</v>
      </c>
      <c r="J229" s="61"/>
      <c r="K229" s="55">
        <f t="shared" si="5"/>
        <v>-1.8383586128773985E-2</v>
      </c>
    </row>
    <row r="230" spans="2:11" ht="15" customHeight="1" x14ac:dyDescent="0.35">
      <c r="B230" s="34"/>
      <c r="C230" s="34" t="s">
        <v>1005</v>
      </c>
      <c r="D230" s="69"/>
      <c r="E230" s="52">
        <f>E102+E228+E229</f>
        <v>-187402.39890000003</v>
      </c>
      <c r="F230" s="69"/>
      <c r="G230" s="52">
        <f>G102+G228+G229</f>
        <v>-152578.76858999999</v>
      </c>
      <c r="H230" s="69"/>
      <c r="I230" s="52">
        <f>I102+I228+I229</f>
        <v>-34823.630310000022</v>
      </c>
      <c r="J230" s="69"/>
      <c r="K230" s="94">
        <f t="shared" si="5"/>
        <v>-0.22823378791039975</v>
      </c>
    </row>
    <row r="231" spans="2:11" ht="15" customHeight="1" x14ac:dyDescent="0.35">
      <c r="B231" s="14"/>
      <c r="C231" s="14" t="s">
        <v>976</v>
      </c>
      <c r="D231" s="61"/>
      <c r="E231" s="30">
        <f>E198</f>
        <v>-21898.765330000002</v>
      </c>
      <c r="F231" s="61"/>
      <c r="G231" s="30">
        <f>G198</f>
        <v>-34791.485830000005</v>
      </c>
      <c r="H231" s="61"/>
      <c r="I231" s="30">
        <f>I198</f>
        <v>12892.720499999999</v>
      </c>
      <c r="J231" s="61"/>
      <c r="K231" s="55">
        <f t="shared" si="5"/>
        <v>0.37057113809387421</v>
      </c>
    </row>
    <row r="232" spans="2:11" ht="15" customHeight="1" x14ac:dyDescent="0.35">
      <c r="B232" s="34"/>
      <c r="C232" s="34" t="s">
        <v>1006</v>
      </c>
      <c r="D232" s="69"/>
      <c r="E232" s="52">
        <f>E230+E231</f>
        <v>-209301.16423000002</v>
      </c>
      <c r="F232" s="69"/>
      <c r="G232" s="52">
        <f>G230+G231</f>
        <v>-187370.25442000001</v>
      </c>
      <c r="H232" s="69"/>
      <c r="I232" s="52">
        <f>I230+I231</f>
        <v>-21930.909810000023</v>
      </c>
      <c r="J232" s="69"/>
      <c r="K232" s="94">
        <f t="shared" si="5"/>
        <v>-0.11704584528577715</v>
      </c>
    </row>
    <row r="233" spans="2:11" ht="15" customHeight="1" x14ac:dyDescent="0.35">
      <c r="B233" s="14"/>
      <c r="C233" s="14" t="s">
        <v>813</v>
      </c>
      <c r="D233" s="61"/>
      <c r="E233" s="30">
        <f>E61</f>
        <v>-24809.41908</v>
      </c>
      <c r="F233" s="61"/>
      <c r="G233" s="30">
        <f>G61</f>
        <v>-31423.382389999999</v>
      </c>
      <c r="H233" s="61"/>
      <c r="I233" s="30">
        <f>I61</f>
        <v>6613.9633099999992</v>
      </c>
      <c r="J233" s="61"/>
      <c r="K233" s="55">
        <f t="shared" si="5"/>
        <v>0.21047903844064825</v>
      </c>
    </row>
    <row r="234" spans="2:11" ht="15" customHeight="1" x14ac:dyDescent="0.35">
      <c r="B234" s="34"/>
      <c r="C234" s="34" t="s">
        <v>1007</v>
      </c>
      <c r="D234" s="69"/>
      <c r="E234" s="52">
        <f>E232-E233</f>
        <v>-184491.74515000003</v>
      </c>
      <c r="F234" s="69"/>
      <c r="G234" s="52">
        <f>G232-G233</f>
        <v>-155946.87203000003</v>
      </c>
      <c r="H234" s="69"/>
      <c r="I234" s="52">
        <f>I232-I233</f>
        <v>-28544.873120000022</v>
      </c>
      <c r="J234" s="69"/>
      <c r="K234" s="94">
        <f t="shared" si="5"/>
        <v>-0.18304229349665152</v>
      </c>
    </row>
    <row r="235" spans="2:11" ht="15" customHeight="1" x14ac:dyDescent="0.35">
      <c r="B235" s="11"/>
      <c r="C235" s="11" t="s">
        <v>22</v>
      </c>
      <c r="D235" s="29"/>
      <c r="E235" s="29"/>
      <c r="F235" s="29"/>
      <c r="G235" s="29"/>
      <c r="H235" s="29"/>
      <c r="I235" s="29"/>
      <c r="J235" s="29"/>
      <c r="K235" s="93">
        <f t="shared" si="5"/>
        <v>0</v>
      </c>
    </row>
    <row r="236" spans="2:11" ht="15" customHeight="1" x14ac:dyDescent="0.35">
      <c r="B236" s="44"/>
      <c r="C236" s="44" t="s">
        <v>1008</v>
      </c>
      <c r="D236" s="73"/>
      <c r="E236" s="55">
        <v>-3.0680472249999999</v>
      </c>
      <c r="F236" s="73"/>
      <c r="G236" s="55">
        <v>-2.442762004</v>
      </c>
      <c r="H236" s="73"/>
      <c r="I236" s="55">
        <f>E236-G236</f>
        <v>-0.62528522099999995</v>
      </c>
      <c r="J236" s="73"/>
      <c r="K236" s="55">
        <f t="shared" si="5"/>
        <v>-0.25597467947188518</v>
      </c>
    </row>
    <row r="237" spans="2:11" ht="15" customHeight="1" x14ac:dyDescent="0.35">
      <c r="B237" s="44"/>
      <c r="C237" s="44" t="s">
        <v>1009</v>
      </c>
      <c r="D237" s="73"/>
      <c r="E237" s="55">
        <v>7.554129176</v>
      </c>
      <c r="F237" s="73"/>
      <c r="G237" s="55">
        <v>5.5547171549999996</v>
      </c>
      <c r="H237" s="73"/>
      <c r="I237" s="55">
        <f>E237-G237</f>
        <v>1.9994120210000004</v>
      </c>
      <c r="J237" s="73"/>
      <c r="K237" s="55">
        <f t="shared" si="5"/>
        <v>0.35994848436166693</v>
      </c>
    </row>
    <row r="238" spans="2:11" ht="15" customHeight="1" x14ac:dyDescent="0.35">
      <c r="B238" s="44"/>
      <c r="C238" s="44" t="s">
        <v>1010</v>
      </c>
      <c r="D238" s="73"/>
      <c r="E238" s="55">
        <v>-0.22985065199999999</v>
      </c>
      <c r="F238" s="73"/>
      <c r="G238" s="55">
        <v>-0.22462246299999999</v>
      </c>
      <c r="H238" s="73"/>
      <c r="I238" s="55">
        <f>E238-G238</f>
        <v>-5.2281889999999942E-3</v>
      </c>
      <c r="J238" s="73"/>
      <c r="K238" s="55">
        <f t="shared" si="5"/>
        <v>-2.32754504165507E-2</v>
      </c>
    </row>
    <row r="239" spans="2:11" ht="15" customHeight="1" x14ac:dyDescent="0.35">
      <c r="B239" s="11"/>
      <c r="C239" s="11" t="s">
        <v>22</v>
      </c>
      <c r="D239" s="29"/>
      <c r="E239" s="12"/>
      <c r="F239" s="29"/>
      <c r="G239" s="12"/>
      <c r="H239" s="29"/>
      <c r="I239" s="12"/>
      <c r="J239" s="29"/>
      <c r="K239" s="85">
        <f t="shared" si="5"/>
        <v>0</v>
      </c>
    </row>
  </sheetData>
  <mergeCells count="2">
    <mergeCell ref="B4:C4"/>
    <mergeCell ref="B6:C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F5BD-7D87-4A41-B597-6AA0CB4D9092}">
  <dimension ref="A3:BG351"/>
  <sheetViews>
    <sheetView showGridLines="0" zoomScale="90" zoomScaleNormal="90" workbookViewId="0">
      <pane xSplit="10" ySplit="10" topLeftCell="K11" activePane="bottomRight" state="frozen"/>
      <selection pane="topRight" activeCell="K1" sqref="K1"/>
      <selection pane="bottomLeft" activeCell="A9" sqref="A9"/>
      <selection pane="bottomRight" activeCell="M12" sqref="M12"/>
    </sheetView>
  </sheetViews>
  <sheetFormatPr defaultColWidth="9.1796875" defaultRowHeight="16" customHeight="1" outlineLevelCol="1" x14ac:dyDescent="0.35"/>
  <cols>
    <col min="1" max="1" width="1.7265625" style="1" customWidth="1"/>
    <col min="2" max="2" width="10.7265625" style="1" customWidth="1"/>
    <col min="3" max="3" width="60.7265625" style="1" customWidth="1"/>
    <col min="4" max="4" width="1.54296875" style="1" customWidth="1"/>
    <col min="5" max="5" width="14.7265625" style="1" customWidth="1"/>
    <col min="6" max="6" width="1.54296875" style="1" hidden="1" customWidth="1" outlineLevel="1"/>
    <col min="7" max="7" width="14.7265625" style="1" hidden="1" customWidth="1" outlineLevel="1"/>
    <col min="8" max="8" width="1.54296875" style="1" hidden="1" customWidth="1" outlineLevel="1"/>
    <col min="9" max="9" width="14.7265625" style="1" hidden="1" customWidth="1" outlineLevel="1"/>
    <col min="10" max="10" width="2.7265625" style="1" customWidth="1" collapsed="1"/>
    <col min="11" max="79" width="14.7265625" style="1" customWidth="1"/>
    <col min="80" max="16384" width="9.1796875" style="1"/>
  </cols>
  <sheetData>
    <row r="3" spans="1:59" ht="16" customHeight="1" x14ac:dyDescent="0.35">
      <c r="B3" s="2" t="s">
        <v>1506</v>
      </c>
    </row>
    <row r="4" spans="1:59" ht="16" customHeight="1" x14ac:dyDescent="0.35">
      <c r="B4" s="4" t="s">
        <v>270</v>
      </c>
    </row>
    <row r="5" spans="1:59" ht="16" customHeight="1" x14ac:dyDescent="0.35">
      <c r="B5" s="4" t="s">
        <v>1016</v>
      </c>
    </row>
    <row r="6" spans="1:59" ht="16" customHeight="1" x14ac:dyDescent="0.35">
      <c r="A6" s="5"/>
      <c r="B6" s="4" t="s">
        <v>1507</v>
      </c>
    </row>
    <row r="7" spans="1:59" ht="16" customHeight="1" x14ac:dyDescent="0.35">
      <c r="A7" s="5"/>
      <c r="B7" s="4"/>
    </row>
    <row r="8" spans="1:59" ht="16" customHeight="1" x14ac:dyDescent="0.35">
      <c r="A8" s="5"/>
      <c r="B8" s="56">
        <v>46194.599287407407</v>
      </c>
      <c r="C8" s="56"/>
    </row>
    <row r="9" spans="1:59" ht="91.5" thickBot="1" x14ac:dyDescent="0.5">
      <c r="B9" s="7"/>
      <c r="C9" s="28"/>
      <c r="D9" s="59"/>
      <c r="E9" s="8" t="s">
        <v>1508</v>
      </c>
      <c r="F9" s="59"/>
      <c r="G9" s="8" t="s">
        <v>1509</v>
      </c>
      <c r="H9" s="59"/>
      <c r="I9" s="8" t="s">
        <v>751</v>
      </c>
      <c r="J9" s="59"/>
      <c r="K9" s="8" t="s">
        <v>1510</v>
      </c>
      <c r="L9" s="8" t="s">
        <v>1511</v>
      </c>
      <c r="M9" s="8" t="s">
        <v>1512</v>
      </c>
      <c r="N9" s="8" t="s">
        <v>1513</v>
      </c>
      <c r="O9" s="8" t="s">
        <v>1514</v>
      </c>
      <c r="P9" s="8" t="s">
        <v>1515</v>
      </c>
      <c r="Q9" s="8" t="s">
        <v>1516</v>
      </c>
      <c r="R9" s="8" t="s">
        <v>1517</v>
      </c>
      <c r="S9" s="8" t="s">
        <v>1518</v>
      </c>
      <c r="T9" s="8" t="s">
        <v>1519</v>
      </c>
      <c r="U9" s="8" t="s">
        <v>1520</v>
      </c>
      <c r="V9" s="8" t="s">
        <v>1521</v>
      </c>
      <c r="W9" s="8" t="s">
        <v>1522</v>
      </c>
      <c r="X9" s="8" t="s">
        <v>1523</v>
      </c>
      <c r="Y9" s="8" t="s">
        <v>1524</v>
      </c>
      <c r="Z9" s="8" t="s">
        <v>1525</v>
      </c>
      <c r="AA9" s="8" t="s">
        <v>1526</v>
      </c>
      <c r="AB9" s="8" t="s">
        <v>1527</v>
      </c>
      <c r="AC9" s="8" t="s">
        <v>1528</v>
      </c>
      <c r="AD9" s="8" t="s">
        <v>1529</v>
      </c>
      <c r="AE9" s="8" t="s">
        <v>1530</v>
      </c>
      <c r="AF9" s="8" t="s">
        <v>1531</v>
      </c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</row>
    <row r="10" spans="1:59" ht="26.5" thickBot="1" x14ac:dyDescent="0.5">
      <c r="B10" s="28"/>
      <c r="C10" s="28"/>
      <c r="D10" s="59"/>
      <c r="E10" s="8" t="s">
        <v>1532</v>
      </c>
      <c r="F10" s="59"/>
      <c r="G10" s="8"/>
      <c r="H10" s="59"/>
      <c r="I10" s="8"/>
      <c r="J10" s="59"/>
      <c r="K10" s="8" t="s">
        <v>1533</v>
      </c>
      <c r="L10" s="8" t="s">
        <v>1534</v>
      </c>
      <c r="M10" s="8" t="s">
        <v>1535</v>
      </c>
      <c r="N10" s="8" t="s">
        <v>1536</v>
      </c>
      <c r="O10" s="8" t="s">
        <v>1537</v>
      </c>
      <c r="P10" s="8" t="s">
        <v>1538</v>
      </c>
      <c r="Q10" s="8" t="s">
        <v>1539</v>
      </c>
      <c r="R10" s="8" t="s">
        <v>1540</v>
      </c>
      <c r="S10" s="8" t="s">
        <v>1541</v>
      </c>
      <c r="T10" s="8" t="s">
        <v>1542</v>
      </c>
      <c r="U10" s="8" t="s">
        <v>1543</v>
      </c>
      <c r="V10" s="8" t="s">
        <v>1544</v>
      </c>
      <c r="W10" s="8" t="s">
        <v>1545</v>
      </c>
      <c r="X10" s="8" t="s">
        <v>1546</v>
      </c>
      <c r="Y10" s="8" t="s">
        <v>1547</v>
      </c>
      <c r="Z10" s="8" t="s">
        <v>1548</v>
      </c>
      <c r="AA10" s="8" t="s">
        <v>1549</v>
      </c>
      <c r="AB10" s="8" t="s">
        <v>1550</v>
      </c>
      <c r="AC10" s="8" t="s">
        <v>1551</v>
      </c>
      <c r="AD10" s="8" t="s">
        <v>1552</v>
      </c>
      <c r="AE10" s="8" t="s">
        <v>1553</v>
      </c>
      <c r="AF10" s="8" t="s">
        <v>1554</v>
      </c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</row>
    <row r="11" spans="1:59" ht="16" customHeight="1" x14ac:dyDescent="0.45">
      <c r="B11" s="11"/>
      <c r="C11" s="11"/>
      <c r="D11" s="29"/>
      <c r="E11" s="29"/>
      <c r="F11" s="12"/>
      <c r="G11" s="12"/>
      <c r="H11" s="12"/>
      <c r="I11" s="12"/>
      <c r="J11" s="12"/>
      <c r="K11" s="29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</row>
    <row r="12" spans="1:59" ht="16" customHeight="1" x14ac:dyDescent="0.45">
      <c r="B12" s="14" t="s">
        <v>285</v>
      </c>
      <c r="C12" s="14" t="s">
        <v>286</v>
      </c>
      <c r="D12" s="61"/>
      <c r="E12" s="30">
        <v>3641.1020899999999</v>
      </c>
      <c r="F12" s="63"/>
      <c r="G12" s="15">
        <f t="shared" ref="G12:G43" si="0">SUM(K12:AF12)</f>
        <v>3641.1020900000003</v>
      </c>
      <c r="H12" s="63"/>
      <c r="I12" s="15">
        <f t="shared" ref="I12:I75" si="1">E12-G12</f>
        <v>0</v>
      </c>
      <c r="J12" s="63"/>
      <c r="K12" s="15">
        <v>1931.7006699999999</v>
      </c>
      <c r="L12" s="15"/>
      <c r="M12" s="15">
        <v>1053.5636099999999</v>
      </c>
      <c r="N12" s="15"/>
      <c r="O12" s="15"/>
      <c r="P12" s="15">
        <v>1430.37547</v>
      </c>
      <c r="Q12" s="15"/>
      <c r="R12" s="15">
        <v>673.97110999999995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>
        <v>-18.133299999999998</v>
      </c>
      <c r="AF12" s="15">
        <v>-1430.37547</v>
      </c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</row>
    <row r="13" spans="1:59" ht="16" customHeight="1" x14ac:dyDescent="0.45">
      <c r="B13" s="14" t="s">
        <v>287</v>
      </c>
      <c r="C13" s="14" t="s">
        <v>288</v>
      </c>
      <c r="D13" s="61"/>
      <c r="E13" s="30"/>
      <c r="F13" s="63"/>
      <c r="G13" s="15">
        <f t="shared" si="0"/>
        <v>0</v>
      </c>
      <c r="H13" s="63"/>
      <c r="I13" s="15">
        <f t="shared" si="1"/>
        <v>0</v>
      </c>
      <c r="J13" s="63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</row>
    <row r="14" spans="1:59" ht="16" customHeight="1" x14ac:dyDescent="0.45">
      <c r="B14" s="14" t="s">
        <v>291</v>
      </c>
      <c r="C14" s="14" t="s">
        <v>292</v>
      </c>
      <c r="D14" s="61"/>
      <c r="E14" s="30"/>
      <c r="F14" s="63"/>
      <c r="G14" s="15">
        <f t="shared" si="0"/>
        <v>0</v>
      </c>
      <c r="H14" s="63"/>
      <c r="I14" s="15">
        <f t="shared" si="1"/>
        <v>0</v>
      </c>
      <c r="J14" s="63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</row>
    <row r="15" spans="1:59" ht="16" customHeight="1" x14ac:dyDescent="0.45">
      <c r="B15" s="14" t="s">
        <v>1268</v>
      </c>
      <c r="C15" s="14" t="s">
        <v>1269</v>
      </c>
      <c r="D15" s="61"/>
      <c r="E15" s="30"/>
      <c r="F15" s="63"/>
      <c r="G15" s="15">
        <f t="shared" si="0"/>
        <v>0</v>
      </c>
      <c r="H15" s="63"/>
      <c r="I15" s="15">
        <f t="shared" si="1"/>
        <v>0</v>
      </c>
      <c r="J15" s="63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</row>
    <row r="16" spans="1:59" ht="16" customHeight="1" x14ac:dyDescent="0.45">
      <c r="B16" s="14" t="s">
        <v>1270</v>
      </c>
      <c r="C16" s="14" t="s">
        <v>1271</v>
      </c>
      <c r="D16" s="61"/>
      <c r="E16" s="30"/>
      <c r="F16" s="63"/>
      <c r="G16" s="15">
        <f t="shared" si="0"/>
        <v>0</v>
      </c>
      <c r="H16" s="63"/>
      <c r="I16" s="15">
        <f t="shared" si="1"/>
        <v>0</v>
      </c>
      <c r="J16" s="63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</row>
    <row r="17" spans="2:48" ht="16" customHeight="1" x14ac:dyDescent="0.45">
      <c r="B17" s="14" t="s">
        <v>298</v>
      </c>
      <c r="C17" s="14" t="s">
        <v>299</v>
      </c>
      <c r="D17" s="61"/>
      <c r="E17" s="30">
        <v>0</v>
      </c>
      <c r="F17" s="63"/>
      <c r="G17" s="15">
        <f t="shared" si="0"/>
        <v>0</v>
      </c>
      <c r="H17" s="63"/>
      <c r="I17" s="15">
        <f t="shared" si="1"/>
        <v>0</v>
      </c>
      <c r="J17" s="63"/>
      <c r="K17" s="15"/>
      <c r="L17" s="15"/>
      <c r="M17" s="15"/>
      <c r="N17" s="15"/>
      <c r="O17" s="15"/>
      <c r="P17" s="15"/>
      <c r="Q17" s="15"/>
      <c r="R17" s="15">
        <v>0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</row>
    <row r="18" spans="2:48" ht="16" customHeight="1" x14ac:dyDescent="0.45">
      <c r="B18" s="14" t="s">
        <v>1272</v>
      </c>
      <c r="C18" s="14" t="s">
        <v>1555</v>
      </c>
      <c r="D18" s="61"/>
      <c r="E18" s="30"/>
      <c r="F18" s="63"/>
      <c r="G18" s="15">
        <f t="shared" si="0"/>
        <v>0</v>
      </c>
      <c r="H18" s="63"/>
      <c r="I18" s="15">
        <f t="shared" si="1"/>
        <v>0</v>
      </c>
      <c r="J18" s="63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</row>
    <row r="19" spans="2:48" ht="16" customHeight="1" x14ac:dyDescent="0.45">
      <c r="B19" s="14" t="s">
        <v>1274</v>
      </c>
      <c r="C19" s="14" t="s">
        <v>1556</v>
      </c>
      <c r="D19" s="61"/>
      <c r="E19" s="30"/>
      <c r="F19" s="63"/>
      <c r="G19" s="15">
        <f t="shared" si="0"/>
        <v>0</v>
      </c>
      <c r="H19" s="63"/>
      <c r="I19" s="15">
        <f t="shared" si="1"/>
        <v>0</v>
      </c>
      <c r="J19" s="63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2:48" ht="16" customHeight="1" x14ac:dyDescent="0.35">
      <c r="B20" s="14" t="s">
        <v>1276</v>
      </c>
      <c r="C20" s="14" t="s">
        <v>1557</v>
      </c>
      <c r="D20" s="61"/>
      <c r="E20" s="30">
        <v>2138.56378</v>
      </c>
      <c r="F20" s="63"/>
      <c r="G20" s="15">
        <f t="shared" si="0"/>
        <v>2138.56378</v>
      </c>
      <c r="H20" s="63"/>
      <c r="I20" s="15">
        <f t="shared" si="1"/>
        <v>0</v>
      </c>
      <c r="J20" s="63"/>
      <c r="K20" s="15">
        <v>1971.4245000000001</v>
      </c>
      <c r="L20" s="15"/>
      <c r="M20" s="15">
        <v>134.97927999999999</v>
      </c>
      <c r="N20" s="15"/>
      <c r="O20" s="15"/>
      <c r="P20" s="15"/>
      <c r="Q20" s="15"/>
      <c r="R20" s="15"/>
      <c r="S20" s="15">
        <v>32.159999999999997</v>
      </c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spans="2:48" ht="16" customHeight="1" x14ac:dyDescent="0.35">
      <c r="B21" s="14" t="s">
        <v>1278</v>
      </c>
      <c r="C21" s="14" t="s">
        <v>1558</v>
      </c>
      <c r="D21" s="61"/>
      <c r="E21" s="30"/>
      <c r="F21" s="63"/>
      <c r="G21" s="15">
        <f t="shared" si="0"/>
        <v>0</v>
      </c>
      <c r="H21" s="63"/>
      <c r="I21" s="15">
        <f t="shared" si="1"/>
        <v>0</v>
      </c>
      <c r="J21" s="63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2:48" ht="16" customHeight="1" x14ac:dyDescent="0.35">
      <c r="B22" s="14" t="s">
        <v>311</v>
      </c>
      <c r="C22" s="14" t="s">
        <v>312</v>
      </c>
      <c r="D22" s="61"/>
      <c r="E22" s="30">
        <v>6233.8064999999997</v>
      </c>
      <c r="F22" s="63"/>
      <c r="G22" s="15">
        <f t="shared" si="0"/>
        <v>6233.8065000000006</v>
      </c>
      <c r="H22" s="63"/>
      <c r="I22" s="15">
        <f t="shared" si="1"/>
        <v>0</v>
      </c>
      <c r="J22" s="63"/>
      <c r="K22" s="15">
        <v>81.207329999999999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>
        <v>6152.5991700000004</v>
      </c>
      <c r="AD22" s="15"/>
      <c r="AE22" s="15"/>
      <c r="AF22" s="15"/>
    </row>
    <row r="23" spans="2:48" ht="16" customHeight="1" x14ac:dyDescent="0.35">
      <c r="B23" s="14" t="s">
        <v>304</v>
      </c>
      <c r="C23" s="14" t="s">
        <v>1280</v>
      </c>
      <c r="D23" s="61"/>
      <c r="E23" s="30"/>
      <c r="F23" s="63"/>
      <c r="G23" s="15">
        <f t="shared" si="0"/>
        <v>0</v>
      </c>
      <c r="H23" s="63"/>
      <c r="I23" s="15">
        <f t="shared" si="1"/>
        <v>0</v>
      </c>
      <c r="J23" s="63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4" spans="2:48" ht="16" customHeight="1" x14ac:dyDescent="0.35">
      <c r="B24" s="14" t="s">
        <v>306</v>
      </c>
      <c r="C24" s="14" t="s">
        <v>1281</v>
      </c>
      <c r="D24" s="61"/>
      <c r="E24" s="30"/>
      <c r="F24" s="63"/>
      <c r="G24" s="15">
        <f t="shared" si="0"/>
        <v>0</v>
      </c>
      <c r="H24" s="63"/>
      <c r="I24" s="15">
        <f t="shared" si="1"/>
        <v>0</v>
      </c>
      <c r="J24" s="63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spans="2:48" ht="16" customHeight="1" x14ac:dyDescent="0.35">
      <c r="B25" s="14" t="s">
        <v>314</v>
      </c>
      <c r="C25" s="14" t="s">
        <v>1282</v>
      </c>
      <c r="D25" s="61"/>
      <c r="E25" s="30">
        <v>1524.81196</v>
      </c>
      <c r="F25" s="63"/>
      <c r="G25" s="15">
        <f t="shared" si="0"/>
        <v>1524.8129700000002</v>
      </c>
      <c r="H25" s="63"/>
      <c r="I25" s="15">
        <f t="shared" si="1"/>
        <v>-1.0100000001784792E-3</v>
      </c>
      <c r="J25" s="63"/>
      <c r="K25" s="15">
        <v>1103.44353</v>
      </c>
      <c r="L25" s="15"/>
      <c r="M25" s="15"/>
      <c r="N25" s="15"/>
      <c r="O25" s="15"/>
      <c r="P25" s="15"/>
      <c r="Q25" s="15"/>
      <c r="R25" s="15">
        <v>418.37396999999999</v>
      </c>
      <c r="S25" s="15"/>
      <c r="T25" s="15"/>
      <c r="U25" s="15"/>
      <c r="V25" s="15"/>
      <c r="W25" s="15"/>
      <c r="X25" s="15"/>
      <c r="Y25" s="15"/>
      <c r="Z25" s="15"/>
      <c r="AA25" s="15"/>
      <c r="AB25" s="15">
        <v>-1.2999999999999999E-4</v>
      </c>
      <c r="AC25" s="15">
        <v>2.9972099999999999</v>
      </c>
      <c r="AD25" s="15"/>
      <c r="AE25" s="15">
        <v>-1.6100000000000001E-3</v>
      </c>
      <c r="AF25" s="15"/>
    </row>
    <row r="26" spans="2:48" ht="16" customHeight="1" x14ac:dyDescent="0.35">
      <c r="B26" s="14" t="s">
        <v>343</v>
      </c>
      <c r="C26" s="14" t="s">
        <v>1287</v>
      </c>
      <c r="D26" s="61"/>
      <c r="E26" s="30">
        <v>3977.9576200000001</v>
      </c>
      <c r="F26" s="63"/>
      <c r="G26" s="15">
        <f t="shared" si="0"/>
        <v>3977.9566099999997</v>
      </c>
      <c r="H26" s="63"/>
      <c r="I26" s="15">
        <f t="shared" si="1"/>
        <v>1.0100000004058529E-3</v>
      </c>
      <c r="J26" s="63"/>
      <c r="K26" s="15">
        <v>6914.8782799999999</v>
      </c>
      <c r="L26" s="15"/>
      <c r="M26" s="15"/>
      <c r="N26" s="15"/>
      <c r="O26" s="15"/>
      <c r="P26" s="15"/>
      <c r="Q26" s="15"/>
      <c r="R26" s="15">
        <v>-2936.8966799999998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>
        <v>-2.3269999999999999E-2</v>
      </c>
      <c r="AD26" s="15"/>
      <c r="AE26" s="15">
        <v>-1.72E-3</v>
      </c>
      <c r="AF26" s="15"/>
    </row>
    <row r="27" spans="2:48" ht="16" customHeight="1" x14ac:dyDescent="0.35">
      <c r="B27" s="14" t="s">
        <v>316</v>
      </c>
      <c r="C27" s="14" t="s">
        <v>1283</v>
      </c>
      <c r="D27" s="61"/>
      <c r="E27" s="30">
        <v>0</v>
      </c>
      <c r="F27" s="63"/>
      <c r="G27" s="15">
        <f t="shared" si="0"/>
        <v>0</v>
      </c>
      <c r="H27" s="63"/>
      <c r="I27" s="15">
        <f t="shared" si="1"/>
        <v>0</v>
      </c>
      <c r="J27" s="63"/>
      <c r="K27" s="15">
        <v>0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spans="2:48" ht="16" customHeight="1" x14ac:dyDescent="0.35">
      <c r="B28" s="14" t="s">
        <v>320</v>
      </c>
      <c r="C28" s="14" t="s">
        <v>1284</v>
      </c>
      <c r="D28" s="61"/>
      <c r="E28" s="30"/>
      <c r="F28" s="63"/>
      <c r="G28" s="15">
        <f t="shared" si="0"/>
        <v>0</v>
      </c>
      <c r="H28" s="63"/>
      <c r="I28" s="15">
        <f t="shared" si="1"/>
        <v>0</v>
      </c>
      <c r="J28" s="63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spans="2:48" ht="16" customHeight="1" x14ac:dyDescent="0.35">
      <c r="B29" s="14" t="s">
        <v>322</v>
      </c>
      <c r="C29" s="14" t="s">
        <v>1285</v>
      </c>
      <c r="D29" s="61"/>
      <c r="E29" s="30">
        <v>-8754.4739100000006</v>
      </c>
      <c r="F29" s="63"/>
      <c r="G29" s="15">
        <f t="shared" si="0"/>
        <v>-8754.4739100000006</v>
      </c>
      <c r="H29" s="63"/>
      <c r="I29" s="15">
        <f t="shared" si="1"/>
        <v>0</v>
      </c>
      <c r="J29" s="63"/>
      <c r="K29" s="15">
        <v>-6911.8340099999996</v>
      </c>
      <c r="L29" s="15"/>
      <c r="M29" s="15">
        <v>-642.12487999999996</v>
      </c>
      <c r="N29" s="15"/>
      <c r="O29" s="15"/>
      <c r="P29" s="15"/>
      <c r="Q29" s="15"/>
      <c r="R29" s="15"/>
      <c r="S29" s="15"/>
      <c r="T29" s="15"/>
      <c r="U29" s="15"/>
      <c r="V29" s="15"/>
      <c r="W29" s="15">
        <v>-1332.93453</v>
      </c>
      <c r="X29" s="15"/>
      <c r="Y29" s="15"/>
      <c r="Z29" s="15"/>
      <c r="AA29" s="15"/>
      <c r="AB29" s="15"/>
      <c r="AC29" s="15">
        <v>132.41951</v>
      </c>
      <c r="AD29" s="15"/>
      <c r="AE29" s="15"/>
      <c r="AF29" s="15"/>
    </row>
    <row r="30" spans="2:48" ht="16" customHeight="1" x14ac:dyDescent="0.35">
      <c r="B30" s="14" t="s">
        <v>345</v>
      </c>
      <c r="C30" s="14" t="s">
        <v>1288</v>
      </c>
      <c r="D30" s="61"/>
      <c r="E30" s="30"/>
      <c r="F30" s="63"/>
      <c r="G30" s="15">
        <f t="shared" si="0"/>
        <v>0</v>
      </c>
      <c r="H30" s="63"/>
      <c r="I30" s="15">
        <f t="shared" si="1"/>
        <v>0</v>
      </c>
      <c r="J30" s="63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</row>
    <row r="31" spans="2:48" ht="16" customHeight="1" x14ac:dyDescent="0.35">
      <c r="B31" s="14" t="s">
        <v>347</v>
      </c>
      <c r="C31" s="14" t="s">
        <v>1289</v>
      </c>
      <c r="D31" s="61"/>
      <c r="E31" s="30">
        <v>1541.2628400000001</v>
      </c>
      <c r="F31" s="63"/>
      <c r="G31" s="15">
        <f t="shared" si="0"/>
        <v>1541.2628399999999</v>
      </c>
      <c r="H31" s="63"/>
      <c r="I31" s="15">
        <f t="shared" si="1"/>
        <v>0</v>
      </c>
      <c r="J31" s="63"/>
      <c r="K31" s="15">
        <v>789.80353000000002</v>
      </c>
      <c r="L31" s="15"/>
      <c r="M31" s="15">
        <v>-300</v>
      </c>
      <c r="N31" s="15"/>
      <c r="O31" s="15"/>
      <c r="P31" s="15">
        <v>366.85363999999998</v>
      </c>
      <c r="Q31" s="15"/>
      <c r="R31" s="15">
        <v>1057.03828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>
        <v>-1.0000000000000001E-5</v>
      </c>
      <c r="AD31" s="15"/>
      <c r="AE31" s="15">
        <v>-5.5789600000000004</v>
      </c>
      <c r="AF31" s="15">
        <v>-366.85363999999998</v>
      </c>
    </row>
    <row r="32" spans="2:48" ht="16" customHeight="1" x14ac:dyDescent="0.35">
      <c r="B32" s="14" t="s">
        <v>349</v>
      </c>
      <c r="C32" s="14" t="s">
        <v>1290</v>
      </c>
      <c r="D32" s="61"/>
      <c r="E32" s="30"/>
      <c r="F32" s="63"/>
      <c r="G32" s="15">
        <f t="shared" si="0"/>
        <v>0</v>
      </c>
      <c r="H32" s="63"/>
      <c r="I32" s="15">
        <f t="shared" si="1"/>
        <v>0</v>
      </c>
      <c r="J32" s="63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</row>
    <row r="33" spans="2:32" ht="16" customHeight="1" x14ac:dyDescent="0.35">
      <c r="B33" s="14" t="s">
        <v>351</v>
      </c>
      <c r="C33" s="14" t="s">
        <v>1291</v>
      </c>
      <c r="D33" s="61"/>
      <c r="E33" s="30"/>
      <c r="F33" s="63"/>
      <c r="G33" s="15">
        <f t="shared" si="0"/>
        <v>0</v>
      </c>
      <c r="H33" s="63"/>
      <c r="I33" s="15">
        <f t="shared" si="1"/>
        <v>0</v>
      </c>
      <c r="J33" s="63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spans="2:32" ht="16" customHeight="1" x14ac:dyDescent="0.35">
      <c r="B34" s="14" t="s">
        <v>318</v>
      </c>
      <c r="C34" s="14" t="s">
        <v>1286</v>
      </c>
      <c r="D34" s="61"/>
      <c r="E34" s="30">
        <v>371003.11351</v>
      </c>
      <c r="F34" s="63"/>
      <c r="G34" s="15">
        <f t="shared" si="0"/>
        <v>371003.11351</v>
      </c>
      <c r="H34" s="63"/>
      <c r="I34" s="15">
        <f t="shared" si="1"/>
        <v>0</v>
      </c>
      <c r="J34" s="63"/>
      <c r="K34" s="15">
        <v>270946.68205</v>
      </c>
      <c r="L34" s="15"/>
      <c r="M34" s="15">
        <v>20973.658950000001</v>
      </c>
      <c r="N34" s="15"/>
      <c r="O34" s="15"/>
      <c r="P34" s="15">
        <v>2103.5072599999999</v>
      </c>
      <c r="Q34" s="15"/>
      <c r="R34" s="15">
        <v>79250.756859999994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>
        <v>-132.41951</v>
      </c>
      <c r="AD34" s="15"/>
      <c r="AE34" s="15">
        <v>-35.564839999999997</v>
      </c>
      <c r="AF34" s="15">
        <v>-2103.5072599999999</v>
      </c>
    </row>
    <row r="35" spans="2:32" ht="16" customHeight="1" x14ac:dyDescent="0.35">
      <c r="B35" s="14" t="s">
        <v>324</v>
      </c>
      <c r="C35" s="14" t="s">
        <v>325</v>
      </c>
      <c r="D35" s="61"/>
      <c r="E35" s="30">
        <v>269.54039999999998</v>
      </c>
      <c r="F35" s="63"/>
      <c r="G35" s="15">
        <f t="shared" si="0"/>
        <v>269.54039999999998</v>
      </c>
      <c r="H35" s="63"/>
      <c r="I35" s="15">
        <f t="shared" si="1"/>
        <v>0</v>
      </c>
      <c r="J35" s="63"/>
      <c r="K35" s="15">
        <v>102.85375000000001</v>
      </c>
      <c r="L35" s="15"/>
      <c r="M35" s="15"/>
      <c r="N35" s="15"/>
      <c r="O35" s="15"/>
      <c r="P35" s="15"/>
      <c r="Q35" s="15"/>
      <c r="R35" s="15">
        <v>167.32508000000001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>
        <v>-0.63843000000000005</v>
      </c>
      <c r="AF35" s="15"/>
    </row>
    <row r="36" spans="2:32" ht="16" customHeight="1" x14ac:dyDescent="0.35">
      <c r="B36" s="14" t="s">
        <v>329</v>
      </c>
      <c r="C36" s="14" t="s">
        <v>330</v>
      </c>
      <c r="D36" s="61"/>
      <c r="E36" s="30">
        <v>46975.73934</v>
      </c>
      <c r="F36" s="63"/>
      <c r="G36" s="15">
        <f t="shared" si="0"/>
        <v>46975.73934</v>
      </c>
      <c r="H36" s="63"/>
      <c r="I36" s="15">
        <f t="shared" si="1"/>
        <v>0</v>
      </c>
      <c r="J36" s="63"/>
      <c r="K36" s="15">
        <v>28260.287909999999</v>
      </c>
      <c r="L36" s="15"/>
      <c r="M36" s="15"/>
      <c r="N36" s="15"/>
      <c r="O36" s="15"/>
      <c r="P36" s="15">
        <v>4631.8168299999998</v>
      </c>
      <c r="Q36" s="15"/>
      <c r="R36" s="15">
        <v>18863.64272</v>
      </c>
      <c r="S36" s="15"/>
      <c r="T36" s="15"/>
      <c r="U36" s="15"/>
      <c r="V36" s="15"/>
      <c r="W36" s="15"/>
      <c r="X36" s="15"/>
      <c r="Y36" s="15"/>
      <c r="Z36" s="15"/>
      <c r="AA36" s="15">
        <v>-82.557109999999994</v>
      </c>
      <c r="AB36" s="15"/>
      <c r="AC36" s="15"/>
      <c r="AD36" s="15"/>
      <c r="AE36" s="15">
        <v>-65.634180000000001</v>
      </c>
      <c r="AF36" s="15">
        <v>-4631.8168299999998</v>
      </c>
    </row>
    <row r="37" spans="2:32" ht="16" customHeight="1" x14ac:dyDescent="0.35">
      <c r="B37" s="14" t="s">
        <v>333</v>
      </c>
      <c r="C37" s="14" t="s">
        <v>1559</v>
      </c>
      <c r="D37" s="61"/>
      <c r="E37" s="30">
        <v>213499.91732000001</v>
      </c>
      <c r="F37" s="63"/>
      <c r="G37" s="15">
        <f t="shared" si="0"/>
        <v>213499.91730999999</v>
      </c>
      <c r="H37" s="63"/>
      <c r="I37" s="15">
        <f t="shared" si="1"/>
        <v>1.0000017937272787E-5</v>
      </c>
      <c r="J37" s="63"/>
      <c r="K37" s="15">
        <v>168608.47398000001</v>
      </c>
      <c r="L37" s="15"/>
      <c r="M37" s="15">
        <v>37294.891089999997</v>
      </c>
      <c r="N37" s="15"/>
      <c r="O37" s="15"/>
      <c r="P37" s="15">
        <v>2409.3566099999998</v>
      </c>
      <c r="Q37" s="15"/>
      <c r="R37" s="15">
        <v>3963.8584999999998</v>
      </c>
      <c r="S37" s="15"/>
      <c r="T37" s="15"/>
      <c r="U37" s="15"/>
      <c r="V37" s="15"/>
      <c r="W37" s="15"/>
      <c r="X37" s="15"/>
      <c r="Y37" s="15"/>
      <c r="Z37" s="15"/>
      <c r="AA37" s="15">
        <v>2698.58563</v>
      </c>
      <c r="AB37" s="15"/>
      <c r="AC37" s="15">
        <v>991.64800000000002</v>
      </c>
      <c r="AD37" s="15"/>
      <c r="AE37" s="15">
        <v>-57.53989</v>
      </c>
      <c r="AF37" s="15">
        <v>-2409.3566099999998</v>
      </c>
    </row>
    <row r="38" spans="2:32" ht="16" customHeight="1" x14ac:dyDescent="0.35">
      <c r="B38" s="14" t="s">
        <v>331</v>
      </c>
      <c r="C38" s="14" t="s">
        <v>332</v>
      </c>
      <c r="D38" s="61"/>
      <c r="E38" s="30"/>
      <c r="F38" s="63"/>
      <c r="G38" s="15">
        <f t="shared" si="0"/>
        <v>0</v>
      </c>
      <c r="H38" s="63"/>
      <c r="I38" s="15">
        <f t="shared" si="1"/>
        <v>0</v>
      </c>
      <c r="J38" s="63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spans="2:32" ht="16" customHeight="1" x14ac:dyDescent="0.35">
      <c r="B39" s="14" t="s">
        <v>335</v>
      </c>
      <c r="C39" s="14" t="s">
        <v>336</v>
      </c>
      <c r="D39" s="61"/>
      <c r="E39" s="30">
        <v>5.3106900000000001</v>
      </c>
      <c r="F39" s="63"/>
      <c r="G39" s="15">
        <f t="shared" si="0"/>
        <v>5.310690000000001</v>
      </c>
      <c r="H39" s="63"/>
      <c r="I39" s="15">
        <f t="shared" si="1"/>
        <v>0</v>
      </c>
      <c r="J39" s="63"/>
      <c r="K39" s="15">
        <v>4.6258800000000004</v>
      </c>
      <c r="L39" s="15"/>
      <c r="M39" s="15"/>
      <c r="N39" s="15"/>
      <c r="O39" s="15"/>
      <c r="P39" s="15">
        <v>3.9229500000000002</v>
      </c>
      <c r="Q39" s="15"/>
      <c r="R39" s="15">
        <v>0.74050000000000005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>
        <v>-5.5690000000000003E-2</v>
      </c>
      <c r="AF39" s="15">
        <v>-3.9229500000000002</v>
      </c>
    </row>
    <row r="40" spans="2:32" ht="16" customHeight="1" x14ac:dyDescent="0.35">
      <c r="B40" s="14" t="s">
        <v>337</v>
      </c>
      <c r="C40" s="14" t="s">
        <v>338</v>
      </c>
      <c r="D40" s="61"/>
      <c r="E40" s="30">
        <v>16841.884099999999</v>
      </c>
      <c r="F40" s="63"/>
      <c r="G40" s="15">
        <f t="shared" si="0"/>
        <v>16841.88409</v>
      </c>
      <c r="H40" s="63"/>
      <c r="I40" s="15">
        <f t="shared" si="1"/>
        <v>9.9999997473787516E-6</v>
      </c>
      <c r="J40" s="63"/>
      <c r="K40" s="15">
        <v>14215.953879999999</v>
      </c>
      <c r="L40" s="15"/>
      <c r="M40" s="15">
        <v>-15.84084</v>
      </c>
      <c r="N40" s="15"/>
      <c r="O40" s="15"/>
      <c r="P40" s="15">
        <v>2376.23792</v>
      </c>
      <c r="Q40" s="15"/>
      <c r="R40" s="15">
        <v>2736.7376399999998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>
        <v>-54.263330000000003</v>
      </c>
      <c r="AD40" s="15"/>
      <c r="AE40" s="15">
        <v>-40.70326</v>
      </c>
      <c r="AF40" s="15">
        <v>-2376.23792</v>
      </c>
    </row>
    <row r="41" spans="2:32" ht="16" customHeight="1" x14ac:dyDescent="0.35">
      <c r="B41" s="14" t="s">
        <v>339</v>
      </c>
      <c r="C41" s="14" t="s">
        <v>340</v>
      </c>
      <c r="D41" s="61"/>
      <c r="E41" s="30">
        <v>12.2</v>
      </c>
      <c r="F41" s="63"/>
      <c r="G41" s="15">
        <f t="shared" si="0"/>
        <v>12.2</v>
      </c>
      <c r="H41" s="63"/>
      <c r="I41" s="15">
        <f t="shared" si="1"/>
        <v>0</v>
      </c>
      <c r="J41" s="63"/>
      <c r="K41" s="15">
        <v>0</v>
      </c>
      <c r="L41" s="15"/>
      <c r="M41" s="15"/>
      <c r="N41" s="15"/>
      <c r="O41" s="15"/>
      <c r="P41" s="15"/>
      <c r="Q41" s="15"/>
      <c r="R41" s="15">
        <v>12.2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2:32" ht="16" customHeight="1" x14ac:dyDescent="0.35">
      <c r="B42" s="14" t="s">
        <v>1292</v>
      </c>
      <c r="C42" s="14" t="s">
        <v>1293</v>
      </c>
      <c r="D42" s="61"/>
      <c r="E42" s="30"/>
      <c r="F42" s="63"/>
      <c r="G42" s="15">
        <f t="shared" si="0"/>
        <v>0</v>
      </c>
      <c r="H42" s="63"/>
      <c r="I42" s="15">
        <f t="shared" si="1"/>
        <v>0</v>
      </c>
      <c r="J42" s="63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spans="2:32" ht="16" customHeight="1" x14ac:dyDescent="0.35">
      <c r="B43" s="14" t="s">
        <v>1294</v>
      </c>
      <c r="C43" s="14" t="s">
        <v>1295</v>
      </c>
      <c r="D43" s="61"/>
      <c r="E43" s="30"/>
      <c r="F43" s="63"/>
      <c r="G43" s="15">
        <f t="shared" si="0"/>
        <v>0</v>
      </c>
      <c r="H43" s="63"/>
      <c r="I43" s="15">
        <f t="shared" si="1"/>
        <v>0</v>
      </c>
      <c r="J43" s="63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</row>
    <row r="44" spans="2:32" ht="16" customHeight="1" x14ac:dyDescent="0.35">
      <c r="B44" s="14" t="s">
        <v>1296</v>
      </c>
      <c r="C44" s="14" t="s">
        <v>1297</v>
      </c>
      <c r="D44" s="61"/>
      <c r="E44" s="30"/>
      <c r="F44" s="63"/>
      <c r="G44" s="15">
        <f t="shared" ref="G44:G107" si="2">SUM(K44:AF44)</f>
        <v>0</v>
      </c>
      <c r="H44" s="63"/>
      <c r="I44" s="15">
        <f t="shared" si="1"/>
        <v>0</v>
      </c>
      <c r="J44" s="63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spans="2:32" ht="16" customHeight="1" x14ac:dyDescent="0.35">
      <c r="B45" s="14" t="s">
        <v>1298</v>
      </c>
      <c r="C45" s="14" t="s">
        <v>1299</v>
      </c>
      <c r="D45" s="61"/>
      <c r="E45" s="30"/>
      <c r="F45" s="63"/>
      <c r="G45" s="15">
        <f t="shared" si="2"/>
        <v>0</v>
      </c>
      <c r="H45" s="63"/>
      <c r="I45" s="15">
        <f t="shared" si="1"/>
        <v>0</v>
      </c>
      <c r="J45" s="63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6" spans="2:32" ht="16" customHeight="1" x14ac:dyDescent="0.35">
      <c r="B46" s="14" t="s">
        <v>1300</v>
      </c>
      <c r="C46" s="14" t="s">
        <v>1301</v>
      </c>
      <c r="D46" s="61"/>
      <c r="E46" s="30"/>
      <c r="F46" s="63"/>
      <c r="G46" s="15">
        <f t="shared" si="2"/>
        <v>0</v>
      </c>
      <c r="H46" s="63"/>
      <c r="I46" s="15">
        <f t="shared" si="1"/>
        <v>0</v>
      </c>
      <c r="J46" s="63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</row>
    <row r="47" spans="2:32" ht="16" customHeight="1" x14ac:dyDescent="0.35">
      <c r="B47" s="14" t="s">
        <v>1302</v>
      </c>
      <c r="C47" s="14" t="s">
        <v>1303</v>
      </c>
      <c r="D47" s="61"/>
      <c r="E47" s="30"/>
      <c r="F47" s="63"/>
      <c r="G47" s="15">
        <f t="shared" si="2"/>
        <v>0</v>
      </c>
      <c r="H47" s="63"/>
      <c r="I47" s="15">
        <f t="shared" si="1"/>
        <v>0</v>
      </c>
      <c r="J47" s="63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spans="2:32" ht="16" customHeight="1" x14ac:dyDescent="0.35">
      <c r="B48" s="14" t="s">
        <v>359</v>
      </c>
      <c r="C48" s="14" t="s">
        <v>1560</v>
      </c>
      <c r="D48" s="61"/>
      <c r="E48" s="30">
        <v>17103.491839999999</v>
      </c>
      <c r="F48" s="63"/>
      <c r="G48" s="15">
        <f t="shared" si="2"/>
        <v>17103.491839999999</v>
      </c>
      <c r="H48" s="63"/>
      <c r="I48" s="15">
        <f t="shared" si="1"/>
        <v>0</v>
      </c>
      <c r="J48" s="63"/>
      <c r="K48" s="15">
        <v>23365.858759999999</v>
      </c>
      <c r="L48" s="15"/>
      <c r="M48" s="15">
        <v>3687.26685</v>
      </c>
      <c r="N48" s="15"/>
      <c r="O48" s="15"/>
      <c r="P48" s="15">
        <v>2078.8272400000001</v>
      </c>
      <c r="Q48" s="15"/>
      <c r="R48" s="15">
        <v>-9923.1761100000003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>
        <v>0</v>
      </c>
      <c r="AD48" s="15"/>
      <c r="AE48" s="15">
        <v>-26.457660000000001</v>
      </c>
      <c r="AF48" s="15">
        <v>-2078.8272400000001</v>
      </c>
    </row>
    <row r="49" spans="2:32" ht="16" customHeight="1" x14ac:dyDescent="0.35">
      <c r="B49" s="14" t="s">
        <v>1304</v>
      </c>
      <c r="C49" s="14" t="s">
        <v>1305</v>
      </c>
      <c r="D49" s="61"/>
      <c r="E49" s="30"/>
      <c r="F49" s="63"/>
      <c r="G49" s="15">
        <f t="shared" si="2"/>
        <v>0</v>
      </c>
      <c r="H49" s="63"/>
      <c r="I49" s="15">
        <f t="shared" si="1"/>
        <v>0</v>
      </c>
      <c r="J49" s="63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</row>
    <row r="50" spans="2:32" ht="16" customHeight="1" x14ac:dyDescent="0.35">
      <c r="B50" s="14" t="s">
        <v>1306</v>
      </c>
      <c r="C50" s="14" t="s">
        <v>1307</v>
      </c>
      <c r="D50" s="61"/>
      <c r="E50" s="30"/>
      <c r="F50" s="63"/>
      <c r="G50" s="15">
        <f t="shared" si="2"/>
        <v>0</v>
      </c>
      <c r="H50" s="63"/>
      <c r="I50" s="15">
        <f t="shared" si="1"/>
        <v>0</v>
      </c>
      <c r="J50" s="63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 spans="2:32" ht="16" customHeight="1" x14ac:dyDescent="0.35">
      <c r="B51" s="14" t="s">
        <v>1308</v>
      </c>
      <c r="C51" s="14" t="s">
        <v>1309</v>
      </c>
      <c r="D51" s="61"/>
      <c r="E51" s="30"/>
      <c r="F51" s="63"/>
      <c r="G51" s="15">
        <f t="shared" si="2"/>
        <v>0</v>
      </c>
      <c r="H51" s="63"/>
      <c r="I51" s="15">
        <f t="shared" si="1"/>
        <v>0</v>
      </c>
      <c r="J51" s="63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2:32" ht="16" customHeight="1" x14ac:dyDescent="0.35">
      <c r="B52" s="14" t="s">
        <v>1310</v>
      </c>
      <c r="C52" s="14" t="s">
        <v>1311</v>
      </c>
      <c r="D52" s="61"/>
      <c r="E52" s="30"/>
      <c r="F52" s="63"/>
      <c r="G52" s="15">
        <f t="shared" si="2"/>
        <v>0</v>
      </c>
      <c r="H52" s="63"/>
      <c r="I52" s="15">
        <f t="shared" si="1"/>
        <v>0</v>
      </c>
      <c r="J52" s="63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spans="2:32" ht="16" customHeight="1" x14ac:dyDescent="0.35">
      <c r="B53" s="14" t="s">
        <v>1312</v>
      </c>
      <c r="C53" s="14" t="s">
        <v>1313</v>
      </c>
      <c r="D53" s="61"/>
      <c r="E53" s="30"/>
      <c r="F53" s="63"/>
      <c r="G53" s="15">
        <f t="shared" si="2"/>
        <v>0</v>
      </c>
      <c r="H53" s="63"/>
      <c r="I53" s="15">
        <f t="shared" si="1"/>
        <v>0</v>
      </c>
      <c r="J53" s="63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 spans="2:32" ht="16" customHeight="1" x14ac:dyDescent="0.35">
      <c r="B54" s="14" t="s">
        <v>1314</v>
      </c>
      <c r="C54" s="14" t="s">
        <v>1315</v>
      </c>
      <c r="D54" s="61"/>
      <c r="E54" s="30"/>
      <c r="F54" s="63"/>
      <c r="G54" s="15">
        <f t="shared" si="2"/>
        <v>0</v>
      </c>
      <c r="H54" s="63"/>
      <c r="I54" s="15">
        <f t="shared" si="1"/>
        <v>0</v>
      </c>
      <c r="J54" s="63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2:32" ht="16" customHeight="1" x14ac:dyDescent="0.35">
      <c r="B55" s="14" t="s">
        <v>1316</v>
      </c>
      <c r="C55" s="14" t="s">
        <v>1317</v>
      </c>
      <c r="D55" s="61"/>
      <c r="E55" s="30"/>
      <c r="F55" s="63"/>
      <c r="G55" s="15">
        <f t="shared" si="2"/>
        <v>0</v>
      </c>
      <c r="H55" s="63"/>
      <c r="I55" s="15">
        <f t="shared" si="1"/>
        <v>0</v>
      </c>
      <c r="J55" s="63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spans="2:32" ht="16" customHeight="1" x14ac:dyDescent="0.35">
      <c r="B56" s="14" t="s">
        <v>361</v>
      </c>
      <c r="C56" s="14" t="s">
        <v>1318</v>
      </c>
      <c r="D56" s="61"/>
      <c r="E56" s="30">
        <v>245.958</v>
      </c>
      <c r="F56" s="63"/>
      <c r="G56" s="15">
        <f t="shared" si="2"/>
        <v>245.958</v>
      </c>
      <c r="H56" s="63"/>
      <c r="I56" s="15">
        <f t="shared" si="1"/>
        <v>0</v>
      </c>
      <c r="J56" s="63"/>
      <c r="K56" s="15"/>
      <c r="L56" s="15"/>
      <c r="M56" s="15">
        <v>166.1</v>
      </c>
      <c r="N56" s="15"/>
      <c r="O56" s="15"/>
      <c r="P56" s="15"/>
      <c r="Q56" s="15"/>
      <c r="R56" s="15">
        <v>79.858000000000004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2:32" ht="16" customHeight="1" x14ac:dyDescent="0.35">
      <c r="B57" s="14" t="s">
        <v>368</v>
      </c>
      <c r="C57" s="14" t="s">
        <v>1561</v>
      </c>
      <c r="D57" s="61"/>
      <c r="E57" s="30"/>
      <c r="F57" s="63"/>
      <c r="G57" s="15">
        <f t="shared" si="2"/>
        <v>0</v>
      </c>
      <c r="H57" s="63"/>
      <c r="I57" s="15">
        <f t="shared" si="1"/>
        <v>0</v>
      </c>
      <c r="J57" s="63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2:32" ht="16" customHeight="1" x14ac:dyDescent="0.35">
      <c r="B58" s="14" t="s">
        <v>363</v>
      </c>
      <c r="C58" s="14" t="s">
        <v>364</v>
      </c>
      <c r="D58" s="61"/>
      <c r="E58" s="30">
        <v>13845.00405</v>
      </c>
      <c r="F58" s="63"/>
      <c r="G58" s="15">
        <f t="shared" si="2"/>
        <v>13845.00405</v>
      </c>
      <c r="H58" s="63"/>
      <c r="I58" s="15">
        <f t="shared" si="1"/>
        <v>0</v>
      </c>
      <c r="J58" s="63"/>
      <c r="K58" s="15">
        <v>8823.9983599999996</v>
      </c>
      <c r="L58" s="15"/>
      <c r="M58" s="15"/>
      <c r="N58" s="15"/>
      <c r="O58" s="15"/>
      <c r="P58" s="15"/>
      <c r="Q58" s="15"/>
      <c r="R58" s="15">
        <v>5021.00569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 spans="2:32" ht="16" customHeight="1" x14ac:dyDescent="0.35">
      <c r="B59" s="14" t="s">
        <v>1320</v>
      </c>
      <c r="C59" s="14" t="s">
        <v>375</v>
      </c>
      <c r="D59" s="61"/>
      <c r="E59" s="30">
        <v>7.1000000000000002E-4</v>
      </c>
      <c r="F59" s="63"/>
      <c r="G59" s="15">
        <f t="shared" si="2"/>
        <v>7.1000000000000002E-4</v>
      </c>
      <c r="H59" s="63"/>
      <c r="I59" s="15">
        <f t="shared" si="1"/>
        <v>0</v>
      </c>
      <c r="J59" s="63"/>
      <c r="K59" s="15">
        <v>2.0000000000000001E-4</v>
      </c>
      <c r="L59" s="15"/>
      <c r="M59" s="15"/>
      <c r="N59" s="15"/>
      <c r="O59" s="15"/>
      <c r="P59" s="15"/>
      <c r="Q59" s="15"/>
      <c r="R59" s="15"/>
      <c r="S59" s="15">
        <v>-4.8999999999999998E-4</v>
      </c>
      <c r="T59" s="15"/>
      <c r="U59" s="15"/>
      <c r="V59" s="15"/>
      <c r="W59" s="15"/>
      <c r="X59" s="15"/>
      <c r="Y59" s="15"/>
      <c r="Z59" s="15"/>
      <c r="AA59" s="15"/>
      <c r="AB59" s="15"/>
      <c r="AC59" s="15">
        <v>1E-3</v>
      </c>
      <c r="AD59" s="15"/>
      <c r="AE59" s="15"/>
      <c r="AF59" s="15"/>
    </row>
    <row r="60" spans="2:32" ht="16" customHeight="1" x14ac:dyDescent="0.35">
      <c r="B60" s="14" t="s">
        <v>1321</v>
      </c>
      <c r="C60" s="14" t="s">
        <v>1322</v>
      </c>
      <c r="D60" s="61"/>
      <c r="E60" s="30"/>
      <c r="F60" s="63"/>
      <c r="G60" s="15">
        <f t="shared" si="2"/>
        <v>0</v>
      </c>
      <c r="H60" s="63"/>
      <c r="I60" s="15">
        <f t="shared" si="1"/>
        <v>0</v>
      </c>
      <c r="J60" s="63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spans="2:32" ht="16" customHeight="1" x14ac:dyDescent="0.35">
      <c r="B61" s="14" t="s">
        <v>1323</v>
      </c>
      <c r="C61" s="14" t="s">
        <v>1324</v>
      </c>
      <c r="D61" s="61"/>
      <c r="E61" s="30">
        <v>-2488790.3199999998</v>
      </c>
      <c r="F61" s="63"/>
      <c r="G61" s="15">
        <f t="shared" si="2"/>
        <v>-2488790.3200000003</v>
      </c>
      <c r="H61" s="63"/>
      <c r="I61" s="15">
        <f t="shared" si="1"/>
        <v>0</v>
      </c>
      <c r="J61" s="63"/>
      <c r="K61" s="15">
        <v>-2051045.62</v>
      </c>
      <c r="L61" s="15"/>
      <c r="M61" s="15">
        <v>-132268.21599999999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>
        <v>-305476.484</v>
      </c>
      <c r="AC61" s="15"/>
      <c r="AD61" s="15"/>
      <c r="AE61" s="15"/>
      <c r="AF61" s="15"/>
    </row>
    <row r="62" spans="2:32" ht="16" customHeight="1" x14ac:dyDescent="0.35">
      <c r="B62" s="14" t="s">
        <v>1325</v>
      </c>
      <c r="C62" s="14" t="s">
        <v>1326</v>
      </c>
      <c r="D62" s="61"/>
      <c r="E62" s="30">
        <v>2488790.3199999998</v>
      </c>
      <c r="F62" s="63"/>
      <c r="G62" s="15">
        <f t="shared" si="2"/>
        <v>2488790.3199999998</v>
      </c>
      <c r="H62" s="63"/>
      <c r="I62" s="15">
        <f t="shared" si="1"/>
        <v>0</v>
      </c>
      <c r="J62" s="63"/>
      <c r="K62" s="15">
        <v>2051045.62</v>
      </c>
      <c r="L62" s="15"/>
      <c r="M62" s="15"/>
      <c r="N62" s="15"/>
      <c r="O62" s="15"/>
      <c r="P62" s="15"/>
      <c r="Q62" s="15"/>
      <c r="R62" s="15"/>
      <c r="S62" s="15">
        <v>427444.701</v>
      </c>
      <c r="T62" s="15"/>
      <c r="U62" s="15"/>
      <c r="V62" s="15"/>
      <c r="W62" s="15"/>
      <c r="X62" s="15"/>
      <c r="Y62" s="15"/>
      <c r="Z62" s="15"/>
      <c r="AA62" s="15"/>
      <c r="AB62" s="15"/>
      <c r="AC62" s="15">
        <v>10299.999</v>
      </c>
      <c r="AD62" s="15"/>
      <c r="AE62" s="15"/>
      <c r="AF62" s="15"/>
    </row>
    <row r="63" spans="2:32" ht="16" customHeight="1" x14ac:dyDescent="0.35">
      <c r="B63" s="14" t="s">
        <v>391</v>
      </c>
      <c r="C63" s="14" t="s">
        <v>392</v>
      </c>
      <c r="D63" s="61"/>
      <c r="E63" s="30">
        <v>0</v>
      </c>
      <c r="F63" s="63"/>
      <c r="G63" s="15">
        <f t="shared" si="2"/>
        <v>0</v>
      </c>
      <c r="H63" s="63"/>
      <c r="I63" s="15">
        <f t="shared" si="1"/>
        <v>0</v>
      </c>
      <c r="J63" s="63"/>
      <c r="K63" s="15">
        <v>0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spans="2:32" ht="16" customHeight="1" x14ac:dyDescent="0.35">
      <c r="B64" s="14" t="s">
        <v>393</v>
      </c>
      <c r="C64" s="14" t="s">
        <v>394</v>
      </c>
      <c r="D64" s="61"/>
      <c r="E64" s="30"/>
      <c r="F64" s="63"/>
      <c r="G64" s="15">
        <f t="shared" si="2"/>
        <v>0</v>
      </c>
      <c r="H64" s="63"/>
      <c r="I64" s="15">
        <f t="shared" si="1"/>
        <v>0</v>
      </c>
      <c r="J64" s="63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 spans="2:32" ht="16" customHeight="1" x14ac:dyDescent="0.35">
      <c r="B65" s="14" t="s">
        <v>1327</v>
      </c>
      <c r="C65" s="14" t="s">
        <v>1562</v>
      </c>
      <c r="D65" s="61"/>
      <c r="E65" s="30"/>
      <c r="F65" s="63"/>
      <c r="G65" s="15">
        <f t="shared" si="2"/>
        <v>0</v>
      </c>
      <c r="H65" s="63"/>
      <c r="I65" s="15">
        <f t="shared" si="1"/>
        <v>0</v>
      </c>
      <c r="J65" s="63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spans="2:32" ht="16" customHeight="1" x14ac:dyDescent="0.35">
      <c r="B66" s="14" t="s">
        <v>1329</v>
      </c>
      <c r="C66" s="14" t="s">
        <v>1563</v>
      </c>
      <c r="D66" s="61"/>
      <c r="E66" s="30"/>
      <c r="F66" s="63"/>
      <c r="G66" s="15">
        <f t="shared" si="2"/>
        <v>0</v>
      </c>
      <c r="H66" s="63"/>
      <c r="I66" s="15">
        <f t="shared" si="1"/>
        <v>0</v>
      </c>
      <c r="J66" s="63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spans="2:32" ht="16" customHeight="1" x14ac:dyDescent="0.35">
      <c r="B67" s="14" t="s">
        <v>378</v>
      </c>
      <c r="C67" s="14" t="s">
        <v>379</v>
      </c>
      <c r="D67" s="61"/>
      <c r="E67" s="30">
        <v>525002.31137999997</v>
      </c>
      <c r="F67" s="63"/>
      <c r="G67" s="15">
        <f t="shared" si="2"/>
        <v>525002.31137999997</v>
      </c>
      <c r="H67" s="63"/>
      <c r="I67" s="15">
        <f t="shared" si="1"/>
        <v>0</v>
      </c>
      <c r="J67" s="63"/>
      <c r="K67" s="15">
        <v>503535.18355000002</v>
      </c>
      <c r="L67" s="15"/>
      <c r="M67" s="15"/>
      <c r="N67" s="15"/>
      <c r="O67" s="15"/>
      <c r="P67" s="15"/>
      <c r="Q67" s="15"/>
      <c r="R67" s="15">
        <v>22679.72525</v>
      </c>
      <c r="S67" s="15"/>
      <c r="T67" s="15"/>
      <c r="U67" s="15"/>
      <c r="V67" s="15"/>
      <c r="W67" s="15"/>
      <c r="X67" s="15"/>
      <c r="Y67" s="15"/>
      <c r="Z67" s="15"/>
      <c r="AA67" s="15"/>
      <c r="AB67" s="15">
        <v>-9.0000000000000006E-5</v>
      </c>
      <c r="AC67" s="15">
        <v>-0.36165999999999998</v>
      </c>
      <c r="AD67" s="15"/>
      <c r="AE67" s="15">
        <v>-1212.23567</v>
      </c>
      <c r="AF67" s="15"/>
    </row>
    <row r="68" spans="2:32" ht="16" customHeight="1" x14ac:dyDescent="0.35">
      <c r="B68" s="14" t="s">
        <v>1331</v>
      </c>
      <c r="C68" s="14" t="s">
        <v>1564</v>
      </c>
      <c r="D68" s="61"/>
      <c r="E68" s="30"/>
      <c r="F68" s="63"/>
      <c r="G68" s="15">
        <f t="shared" si="2"/>
        <v>0</v>
      </c>
      <c r="H68" s="63"/>
      <c r="I68" s="15">
        <f t="shared" si="1"/>
        <v>0</v>
      </c>
      <c r="J68" s="63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spans="2:32" ht="16" customHeight="1" x14ac:dyDescent="0.35">
      <c r="B69" s="14" t="s">
        <v>1333</v>
      </c>
      <c r="C69" s="14" t="s">
        <v>1565</v>
      </c>
      <c r="D69" s="61"/>
      <c r="E69" s="30"/>
      <c r="F69" s="63"/>
      <c r="G69" s="15">
        <f t="shared" si="2"/>
        <v>0</v>
      </c>
      <c r="H69" s="63"/>
      <c r="I69" s="15">
        <f t="shared" si="1"/>
        <v>0</v>
      </c>
      <c r="J69" s="63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2:32" ht="16" customHeight="1" x14ac:dyDescent="0.35">
      <c r="B70" s="14" t="s">
        <v>1335</v>
      </c>
      <c r="C70" s="14" t="s">
        <v>1336</v>
      </c>
      <c r="D70" s="61"/>
      <c r="E70" s="30"/>
      <c r="F70" s="63"/>
      <c r="G70" s="15">
        <f t="shared" si="2"/>
        <v>0</v>
      </c>
      <c r="H70" s="63"/>
      <c r="I70" s="15">
        <f t="shared" si="1"/>
        <v>0</v>
      </c>
      <c r="J70" s="63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2:32" ht="16" customHeight="1" x14ac:dyDescent="0.35">
      <c r="B71" s="14" t="s">
        <v>1337</v>
      </c>
      <c r="C71" s="14" t="s">
        <v>1566</v>
      </c>
      <c r="D71" s="61"/>
      <c r="E71" s="30"/>
      <c r="F71" s="63"/>
      <c r="G71" s="15">
        <f t="shared" si="2"/>
        <v>0</v>
      </c>
      <c r="H71" s="63"/>
      <c r="I71" s="15">
        <f t="shared" si="1"/>
        <v>0</v>
      </c>
      <c r="J71" s="63"/>
      <c r="K71" s="15">
        <v>125</v>
      </c>
      <c r="L71" s="15"/>
      <c r="M71" s="15"/>
      <c r="N71" s="15"/>
      <c r="O71" s="15"/>
      <c r="P71" s="15"/>
      <c r="Q71" s="15"/>
      <c r="R71" s="15"/>
      <c r="S71" s="15">
        <v>-125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2:32" ht="16" customHeight="1" x14ac:dyDescent="0.35">
      <c r="B72" s="14" t="s">
        <v>1339</v>
      </c>
      <c r="C72" s="14" t="s">
        <v>1567</v>
      </c>
      <c r="D72" s="61"/>
      <c r="E72" s="30"/>
      <c r="F72" s="63"/>
      <c r="G72" s="15">
        <f t="shared" si="2"/>
        <v>0</v>
      </c>
      <c r="H72" s="63"/>
      <c r="I72" s="15">
        <f t="shared" si="1"/>
        <v>0</v>
      </c>
      <c r="J72" s="63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2:32" ht="16" customHeight="1" x14ac:dyDescent="0.35">
      <c r="B73" s="14" t="s">
        <v>1341</v>
      </c>
      <c r="C73" s="14" t="s">
        <v>1568</v>
      </c>
      <c r="D73" s="61"/>
      <c r="E73" s="30"/>
      <c r="F73" s="63"/>
      <c r="G73" s="15">
        <f t="shared" si="2"/>
        <v>0</v>
      </c>
      <c r="H73" s="63"/>
      <c r="I73" s="15">
        <f t="shared" si="1"/>
        <v>0</v>
      </c>
      <c r="J73" s="63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2:32" ht="16" customHeight="1" x14ac:dyDescent="0.35">
      <c r="B74" s="14" t="s">
        <v>397</v>
      </c>
      <c r="C74" s="14" t="s">
        <v>1569</v>
      </c>
      <c r="D74" s="61"/>
      <c r="E74" s="30">
        <v>1595.63356</v>
      </c>
      <c r="F74" s="63"/>
      <c r="G74" s="15">
        <f t="shared" si="2"/>
        <v>1595.63356</v>
      </c>
      <c r="H74" s="63"/>
      <c r="I74" s="15">
        <f t="shared" si="1"/>
        <v>0</v>
      </c>
      <c r="J74" s="63"/>
      <c r="K74" s="15">
        <v>2.38035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>
        <v>1593.2532100000001</v>
      </c>
      <c r="AD74" s="15"/>
      <c r="AE74" s="15"/>
      <c r="AF74" s="15"/>
    </row>
    <row r="75" spans="2:32" ht="16" customHeight="1" x14ac:dyDescent="0.35">
      <c r="B75" s="14" t="s">
        <v>400</v>
      </c>
      <c r="C75" s="14" t="s">
        <v>401</v>
      </c>
      <c r="D75" s="61"/>
      <c r="E75" s="30">
        <v>2180719.2922700001</v>
      </c>
      <c r="F75" s="63"/>
      <c r="G75" s="15">
        <f t="shared" si="2"/>
        <v>2180719.2922700001</v>
      </c>
      <c r="H75" s="63"/>
      <c r="I75" s="15">
        <f t="shared" si="1"/>
        <v>0</v>
      </c>
      <c r="J75" s="63"/>
      <c r="K75" s="15">
        <v>1881184.95444</v>
      </c>
      <c r="L75" s="15"/>
      <c r="M75" s="15">
        <v>309518.35116999998</v>
      </c>
      <c r="N75" s="15"/>
      <c r="O75" s="15"/>
      <c r="P75" s="15">
        <v>4531.4487499999996</v>
      </c>
      <c r="Q75" s="15"/>
      <c r="R75" s="15"/>
      <c r="S75" s="15"/>
      <c r="T75" s="15"/>
      <c r="U75" s="15"/>
      <c r="V75" s="15"/>
      <c r="W75" s="15"/>
      <c r="X75" s="15">
        <v>-12749.65229</v>
      </c>
      <c r="Y75" s="15"/>
      <c r="Z75" s="15"/>
      <c r="AA75" s="15"/>
      <c r="AB75" s="15">
        <v>4476.09645</v>
      </c>
      <c r="AC75" s="15">
        <v>-1578.56609</v>
      </c>
      <c r="AD75" s="15"/>
      <c r="AE75" s="15">
        <v>-131.89141000000001</v>
      </c>
      <c r="AF75" s="15">
        <v>-4531.4487499999996</v>
      </c>
    </row>
    <row r="76" spans="2:32" ht="16" customHeight="1" x14ac:dyDescent="0.35">
      <c r="B76" s="14" t="s">
        <v>402</v>
      </c>
      <c r="C76" s="14" t="s">
        <v>1343</v>
      </c>
      <c r="D76" s="61"/>
      <c r="E76" s="30">
        <v>-828671.98026999994</v>
      </c>
      <c r="F76" s="63"/>
      <c r="G76" s="15">
        <f t="shared" si="2"/>
        <v>-828671.9802600001</v>
      </c>
      <c r="H76" s="63"/>
      <c r="I76" s="15">
        <f t="shared" ref="I76:I120" si="3">E76-G76</f>
        <v>-9.9998433142900467E-6</v>
      </c>
      <c r="J76" s="63"/>
      <c r="K76" s="15">
        <v>-821009.61242000002</v>
      </c>
      <c r="L76" s="15"/>
      <c r="M76" s="15">
        <v>-4540.0501999999997</v>
      </c>
      <c r="N76" s="15"/>
      <c r="O76" s="15"/>
      <c r="P76" s="15">
        <v>-24.222460000000002</v>
      </c>
      <c r="Q76" s="15"/>
      <c r="R76" s="15"/>
      <c r="S76" s="15"/>
      <c r="T76" s="15"/>
      <c r="U76" s="15"/>
      <c r="V76" s="15"/>
      <c r="W76" s="15">
        <v>-15992.36047</v>
      </c>
      <c r="X76" s="15">
        <v>12473.166289999999</v>
      </c>
      <c r="Y76" s="15"/>
      <c r="Z76" s="15"/>
      <c r="AA76" s="15"/>
      <c r="AB76" s="15"/>
      <c r="AC76" s="15">
        <v>382.73541</v>
      </c>
      <c r="AD76" s="15"/>
      <c r="AE76" s="15">
        <v>14.14113</v>
      </c>
      <c r="AF76" s="15">
        <v>24.222460000000002</v>
      </c>
    </row>
    <row r="77" spans="2:32" ht="16" customHeight="1" x14ac:dyDescent="0.35">
      <c r="B77" s="14" t="s">
        <v>438</v>
      </c>
      <c r="C77" s="14" t="s">
        <v>1344</v>
      </c>
      <c r="D77" s="61"/>
      <c r="E77" s="30">
        <v>303.52346999999997</v>
      </c>
      <c r="F77" s="63"/>
      <c r="G77" s="15">
        <f t="shared" si="2"/>
        <v>303.52346999999997</v>
      </c>
      <c r="H77" s="63"/>
      <c r="I77" s="15">
        <f t="shared" si="3"/>
        <v>0</v>
      </c>
      <c r="J77" s="63"/>
      <c r="K77" s="15">
        <v>458.37486999999999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>
        <v>-154.85140000000001</v>
      </c>
      <c r="AD77" s="15"/>
      <c r="AE77" s="15"/>
      <c r="AF77" s="15"/>
    </row>
    <row r="78" spans="2:32" ht="16" customHeight="1" x14ac:dyDescent="0.35">
      <c r="B78" s="14" t="s">
        <v>544</v>
      </c>
      <c r="C78" s="14" t="s">
        <v>1345</v>
      </c>
      <c r="D78" s="61"/>
      <c r="E78" s="30">
        <v>15293.701590000001</v>
      </c>
      <c r="F78" s="63"/>
      <c r="G78" s="15">
        <f t="shared" si="2"/>
        <v>15293.701590000001</v>
      </c>
      <c r="H78" s="63"/>
      <c r="I78" s="15">
        <f t="shared" si="3"/>
        <v>0</v>
      </c>
      <c r="J78" s="63"/>
      <c r="K78" s="15">
        <v>16025.660250000001</v>
      </c>
      <c r="L78" s="15"/>
      <c r="M78" s="15"/>
      <c r="N78" s="15"/>
      <c r="O78" s="15"/>
      <c r="P78" s="15"/>
      <c r="Q78" s="15"/>
      <c r="R78" s="15"/>
      <c r="S78" s="15"/>
      <c r="T78" s="15">
        <v>813.34460999999999</v>
      </c>
      <c r="U78" s="15"/>
      <c r="V78" s="15"/>
      <c r="W78" s="15"/>
      <c r="X78" s="15">
        <v>-1958.59475</v>
      </c>
      <c r="Y78" s="15"/>
      <c r="Z78" s="15"/>
      <c r="AA78" s="15"/>
      <c r="AB78" s="15">
        <v>36.4129</v>
      </c>
      <c r="AC78" s="15">
        <v>376.87858</v>
      </c>
      <c r="AD78" s="15"/>
      <c r="AE78" s="15"/>
      <c r="AF78" s="15"/>
    </row>
    <row r="79" spans="2:32" ht="16" customHeight="1" x14ac:dyDescent="0.35">
      <c r="B79" s="14" t="s">
        <v>440</v>
      </c>
      <c r="C79" s="14" t="s">
        <v>1346</v>
      </c>
      <c r="D79" s="61"/>
      <c r="E79" s="30">
        <v>-303.52346999999997</v>
      </c>
      <c r="F79" s="63"/>
      <c r="G79" s="15">
        <f t="shared" si="2"/>
        <v>-303.52346999999997</v>
      </c>
      <c r="H79" s="63"/>
      <c r="I79" s="15">
        <f t="shared" si="3"/>
        <v>0</v>
      </c>
      <c r="J79" s="63"/>
      <c r="K79" s="15">
        <v>-361.65273999999999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>
        <v>-96.722130000000007</v>
      </c>
      <c r="AC79" s="15">
        <v>154.85140000000001</v>
      </c>
      <c r="AD79" s="15"/>
      <c r="AE79" s="15"/>
      <c r="AF79" s="15"/>
    </row>
    <row r="80" spans="2:32" ht="16" customHeight="1" x14ac:dyDescent="0.35">
      <c r="B80" s="14" t="s">
        <v>406</v>
      </c>
      <c r="C80" s="14" t="s">
        <v>407</v>
      </c>
      <c r="D80" s="61"/>
      <c r="E80" s="30">
        <v>197048.40251000001</v>
      </c>
      <c r="F80" s="63"/>
      <c r="G80" s="15">
        <f t="shared" si="2"/>
        <v>197048.40250999999</v>
      </c>
      <c r="H80" s="63"/>
      <c r="I80" s="15">
        <f t="shared" si="3"/>
        <v>0</v>
      </c>
      <c r="J80" s="63"/>
      <c r="K80" s="15">
        <v>190210.47198999999</v>
      </c>
      <c r="L80" s="15"/>
      <c r="M80" s="15">
        <v>5090.2005399999998</v>
      </c>
      <c r="N80" s="15"/>
      <c r="O80" s="15"/>
      <c r="P80" s="15">
        <v>503.37328000000002</v>
      </c>
      <c r="Q80" s="15"/>
      <c r="R80" s="15"/>
      <c r="S80" s="15"/>
      <c r="T80" s="15"/>
      <c r="U80" s="15"/>
      <c r="V80" s="15"/>
      <c r="W80" s="15"/>
      <c r="X80" s="15">
        <v>-2068.2748000000001</v>
      </c>
      <c r="Y80" s="15"/>
      <c r="Z80" s="15"/>
      <c r="AA80" s="15"/>
      <c r="AB80" s="15">
        <v>3850.07654</v>
      </c>
      <c r="AC80" s="15"/>
      <c r="AD80" s="15"/>
      <c r="AE80" s="15">
        <v>-34.071759999999998</v>
      </c>
      <c r="AF80" s="15">
        <v>-503.37328000000002</v>
      </c>
    </row>
    <row r="81" spans="2:32" ht="16" customHeight="1" x14ac:dyDescent="0.35">
      <c r="B81" s="14" t="s">
        <v>408</v>
      </c>
      <c r="C81" s="14" t="s">
        <v>409</v>
      </c>
      <c r="D81" s="61"/>
      <c r="E81" s="30">
        <v>-110799.36487999999</v>
      </c>
      <c r="F81" s="63"/>
      <c r="G81" s="15">
        <f t="shared" si="2"/>
        <v>-110799.36489</v>
      </c>
      <c r="H81" s="63"/>
      <c r="I81" s="15">
        <f t="shared" si="3"/>
        <v>1.0000003385357559E-5</v>
      </c>
      <c r="J81" s="63"/>
      <c r="K81" s="15">
        <v>-109268.46947</v>
      </c>
      <c r="L81" s="15"/>
      <c r="M81" s="15"/>
      <c r="N81" s="15"/>
      <c r="O81" s="15"/>
      <c r="P81" s="15">
        <v>-187.72685999999999</v>
      </c>
      <c r="Q81" s="15"/>
      <c r="R81" s="15"/>
      <c r="S81" s="15"/>
      <c r="T81" s="15"/>
      <c r="U81" s="15"/>
      <c r="V81" s="15"/>
      <c r="W81" s="15">
        <v>-3615.6100900000001</v>
      </c>
      <c r="X81" s="15">
        <v>2060.8748000000001</v>
      </c>
      <c r="Y81" s="15"/>
      <c r="Z81" s="15"/>
      <c r="AA81" s="15"/>
      <c r="AB81" s="15"/>
      <c r="AC81" s="15"/>
      <c r="AD81" s="15"/>
      <c r="AE81" s="15">
        <v>23.839870000000001</v>
      </c>
      <c r="AF81" s="15">
        <v>187.72685999999999</v>
      </c>
    </row>
    <row r="82" spans="2:32" ht="16" customHeight="1" x14ac:dyDescent="0.35">
      <c r="B82" s="14" t="s">
        <v>444</v>
      </c>
      <c r="C82" s="14" t="s">
        <v>1347</v>
      </c>
      <c r="D82" s="61"/>
      <c r="E82" s="30">
        <v>0</v>
      </c>
      <c r="F82" s="63"/>
      <c r="G82" s="15">
        <f t="shared" si="2"/>
        <v>0</v>
      </c>
      <c r="H82" s="63"/>
      <c r="I82" s="15">
        <f t="shared" si="3"/>
        <v>0</v>
      </c>
      <c r="J82" s="63"/>
      <c r="K82" s="15">
        <v>0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</row>
    <row r="83" spans="2:32" ht="16" customHeight="1" x14ac:dyDescent="0.35">
      <c r="B83" s="14" t="s">
        <v>546</v>
      </c>
      <c r="C83" s="14" t="s">
        <v>1348</v>
      </c>
      <c r="D83" s="61"/>
      <c r="E83" s="30">
        <v>19311.3024</v>
      </c>
      <c r="F83" s="63"/>
      <c r="G83" s="15">
        <f t="shared" si="2"/>
        <v>19311.302400000004</v>
      </c>
      <c r="H83" s="63"/>
      <c r="I83" s="15">
        <f t="shared" si="3"/>
        <v>0</v>
      </c>
      <c r="J83" s="63"/>
      <c r="K83" s="15">
        <v>20380.70564</v>
      </c>
      <c r="L83" s="15"/>
      <c r="M83" s="15">
        <v>29.3</v>
      </c>
      <c r="N83" s="15"/>
      <c r="O83" s="15"/>
      <c r="P83" s="15"/>
      <c r="Q83" s="15"/>
      <c r="R83" s="15"/>
      <c r="S83" s="15"/>
      <c r="T83" s="15">
        <v>361.38305000000003</v>
      </c>
      <c r="U83" s="15"/>
      <c r="V83" s="15"/>
      <c r="W83" s="15"/>
      <c r="X83" s="15">
        <v>-1686.52207</v>
      </c>
      <c r="Y83" s="15"/>
      <c r="Z83" s="15"/>
      <c r="AA83" s="15"/>
      <c r="AB83" s="15">
        <v>-208.00337999999999</v>
      </c>
      <c r="AC83" s="15">
        <v>434.43916000000002</v>
      </c>
      <c r="AD83" s="15"/>
      <c r="AE83" s="15"/>
      <c r="AF83" s="15"/>
    </row>
    <row r="84" spans="2:32" ht="16" customHeight="1" x14ac:dyDescent="0.35">
      <c r="B84" s="14" t="s">
        <v>446</v>
      </c>
      <c r="C84" s="14" t="s">
        <v>1349</v>
      </c>
      <c r="D84" s="61"/>
      <c r="E84" s="30">
        <v>0</v>
      </c>
      <c r="F84" s="63"/>
      <c r="G84" s="15">
        <f t="shared" si="2"/>
        <v>0</v>
      </c>
      <c r="H84" s="63"/>
      <c r="I84" s="15">
        <f t="shared" si="3"/>
        <v>0</v>
      </c>
      <c r="J84" s="63"/>
      <c r="K84" s="15">
        <v>2.4851700000000001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>
        <v>-42.073149999999998</v>
      </c>
      <c r="X84" s="15"/>
      <c r="Y84" s="15"/>
      <c r="Z84" s="15"/>
      <c r="AA84" s="15"/>
      <c r="AB84" s="15">
        <v>-2.4851700000000001</v>
      </c>
      <c r="AC84" s="15">
        <v>42.073149999999998</v>
      </c>
      <c r="AD84" s="15"/>
      <c r="AE84" s="15"/>
      <c r="AF84" s="15"/>
    </row>
    <row r="85" spans="2:32" ht="16" customHeight="1" x14ac:dyDescent="0.35">
      <c r="B85" s="14" t="s">
        <v>412</v>
      </c>
      <c r="C85" s="14" t="s">
        <v>413</v>
      </c>
      <c r="D85" s="61"/>
      <c r="E85" s="30">
        <v>1102701.62314</v>
      </c>
      <c r="F85" s="63"/>
      <c r="G85" s="15">
        <f t="shared" si="2"/>
        <v>1102701.62314</v>
      </c>
      <c r="H85" s="63"/>
      <c r="I85" s="15">
        <f t="shared" si="3"/>
        <v>0</v>
      </c>
      <c r="J85" s="63"/>
      <c r="K85" s="15">
        <v>1014660.87368</v>
      </c>
      <c r="L85" s="15"/>
      <c r="M85" s="15">
        <v>68147.64026</v>
      </c>
      <c r="N85" s="15"/>
      <c r="O85" s="15"/>
      <c r="P85" s="15">
        <v>14857.63767</v>
      </c>
      <c r="Q85" s="15"/>
      <c r="R85" s="15"/>
      <c r="S85" s="15">
        <v>3.8180100000000001</v>
      </c>
      <c r="T85" s="15"/>
      <c r="U85" s="15"/>
      <c r="V85" s="15"/>
      <c r="W85" s="15"/>
      <c r="X85" s="15">
        <v>-3811.7676700000002</v>
      </c>
      <c r="Y85" s="15"/>
      <c r="Z85" s="15"/>
      <c r="AA85" s="15"/>
      <c r="AB85" s="15">
        <v>24086.335470000002</v>
      </c>
      <c r="AC85" s="15"/>
      <c r="AD85" s="15"/>
      <c r="AE85" s="15">
        <v>-385.27661000000001</v>
      </c>
      <c r="AF85" s="15">
        <v>-14857.63767</v>
      </c>
    </row>
    <row r="86" spans="2:32" ht="16" customHeight="1" x14ac:dyDescent="0.35">
      <c r="B86" s="14" t="s">
        <v>414</v>
      </c>
      <c r="C86" s="14" t="s">
        <v>415</v>
      </c>
      <c r="D86" s="61"/>
      <c r="E86" s="30">
        <v>-749587.88468999998</v>
      </c>
      <c r="F86" s="63"/>
      <c r="G86" s="15">
        <f t="shared" si="2"/>
        <v>-749587.8846799999</v>
      </c>
      <c r="H86" s="63"/>
      <c r="I86" s="15">
        <f t="shared" si="3"/>
        <v>-1.0000076144933701E-5</v>
      </c>
      <c r="J86" s="63"/>
      <c r="K86" s="15">
        <v>-705619.98858999996</v>
      </c>
      <c r="L86" s="15"/>
      <c r="M86" s="15">
        <v>-23107.922910000001</v>
      </c>
      <c r="N86" s="15"/>
      <c r="O86" s="15"/>
      <c r="P86" s="15">
        <v>-6643.5896700000003</v>
      </c>
      <c r="Q86" s="15"/>
      <c r="R86" s="15"/>
      <c r="S86" s="15"/>
      <c r="T86" s="15"/>
      <c r="U86" s="15"/>
      <c r="V86" s="15"/>
      <c r="W86" s="15">
        <v>-24720.20347</v>
      </c>
      <c r="X86" s="15">
        <v>3629.0491299999999</v>
      </c>
      <c r="Y86" s="15"/>
      <c r="Z86" s="15"/>
      <c r="AA86" s="15"/>
      <c r="AB86" s="15">
        <v>-239.27384000000001</v>
      </c>
      <c r="AC86" s="15">
        <v>244.24647999999999</v>
      </c>
      <c r="AD86" s="15"/>
      <c r="AE86" s="15">
        <v>226.20851999999999</v>
      </c>
      <c r="AF86" s="15">
        <v>6643.5896700000003</v>
      </c>
    </row>
    <row r="87" spans="2:32" ht="16" customHeight="1" x14ac:dyDescent="0.35">
      <c r="B87" s="14" t="s">
        <v>450</v>
      </c>
      <c r="C87" s="14" t="s">
        <v>1350</v>
      </c>
      <c r="D87" s="61"/>
      <c r="E87" s="30">
        <v>27353.48574</v>
      </c>
      <c r="F87" s="63"/>
      <c r="G87" s="15">
        <f t="shared" si="2"/>
        <v>27353.48574</v>
      </c>
      <c r="H87" s="63"/>
      <c r="I87" s="15">
        <f t="shared" si="3"/>
        <v>0</v>
      </c>
      <c r="J87" s="63"/>
      <c r="K87" s="15">
        <v>23623.35195</v>
      </c>
      <c r="L87" s="15"/>
      <c r="M87" s="15">
        <v>6294.5056800000002</v>
      </c>
      <c r="N87" s="15"/>
      <c r="O87" s="15"/>
      <c r="P87" s="15"/>
      <c r="Q87" s="15"/>
      <c r="R87" s="15"/>
      <c r="S87" s="15"/>
      <c r="T87" s="15">
        <v>327.9375</v>
      </c>
      <c r="U87" s="15"/>
      <c r="V87" s="15"/>
      <c r="W87" s="15"/>
      <c r="X87" s="15"/>
      <c r="Y87" s="15"/>
      <c r="Z87" s="15"/>
      <c r="AA87" s="15"/>
      <c r="AB87" s="15">
        <v>219.7998</v>
      </c>
      <c r="AC87" s="15">
        <v>-3109.6392900000001</v>
      </c>
      <c r="AD87" s="15"/>
      <c r="AE87" s="15">
        <v>-2.4699</v>
      </c>
      <c r="AF87" s="15"/>
    </row>
    <row r="88" spans="2:32" ht="16" customHeight="1" x14ac:dyDescent="0.35">
      <c r="B88" s="14" t="s">
        <v>548</v>
      </c>
      <c r="C88" s="14" t="s">
        <v>1351</v>
      </c>
      <c r="D88" s="61"/>
      <c r="E88" s="30">
        <v>9301.5444700000007</v>
      </c>
      <c r="F88" s="63"/>
      <c r="G88" s="15">
        <f t="shared" si="2"/>
        <v>9301.5444700000007</v>
      </c>
      <c r="H88" s="63"/>
      <c r="I88" s="15">
        <f t="shared" si="3"/>
        <v>0</v>
      </c>
      <c r="J88" s="63"/>
      <c r="K88" s="15">
        <v>4856.5843999999997</v>
      </c>
      <c r="L88" s="15"/>
      <c r="M88" s="15"/>
      <c r="N88" s="15"/>
      <c r="O88" s="15"/>
      <c r="P88" s="15"/>
      <c r="Q88" s="15"/>
      <c r="R88" s="15"/>
      <c r="S88" s="15"/>
      <c r="T88" s="15">
        <v>1856.4802</v>
      </c>
      <c r="U88" s="15"/>
      <c r="V88" s="15"/>
      <c r="W88" s="15"/>
      <c r="X88" s="15">
        <v>-1458.9579699999999</v>
      </c>
      <c r="Y88" s="15"/>
      <c r="Z88" s="15"/>
      <c r="AA88" s="15"/>
      <c r="AB88" s="15">
        <v>47.437840000000001</v>
      </c>
      <c r="AC88" s="15">
        <v>4000</v>
      </c>
      <c r="AD88" s="15"/>
      <c r="AE88" s="15">
        <v>0</v>
      </c>
      <c r="AF88" s="15"/>
    </row>
    <row r="89" spans="2:32" ht="16" customHeight="1" x14ac:dyDescent="0.35">
      <c r="B89" s="14" t="s">
        <v>452</v>
      </c>
      <c r="C89" s="14" t="s">
        <v>1352</v>
      </c>
      <c r="D89" s="61"/>
      <c r="E89" s="30">
        <v>-13592.592479999999</v>
      </c>
      <c r="F89" s="63"/>
      <c r="G89" s="15">
        <f t="shared" si="2"/>
        <v>-13592.592479999999</v>
      </c>
      <c r="H89" s="63"/>
      <c r="I89" s="15">
        <f t="shared" si="3"/>
        <v>0</v>
      </c>
      <c r="J89" s="63"/>
      <c r="K89" s="15">
        <v>-7911.3669099999997</v>
      </c>
      <c r="L89" s="15"/>
      <c r="M89" s="15">
        <v>-3100.0605700000001</v>
      </c>
      <c r="N89" s="15"/>
      <c r="O89" s="15"/>
      <c r="P89" s="15"/>
      <c r="Q89" s="15"/>
      <c r="R89" s="15"/>
      <c r="S89" s="15"/>
      <c r="T89" s="15"/>
      <c r="U89" s="15"/>
      <c r="V89" s="15"/>
      <c r="W89" s="15">
        <v>-2598.55186</v>
      </c>
      <c r="X89" s="15"/>
      <c r="Y89" s="15"/>
      <c r="Z89" s="15"/>
      <c r="AA89" s="15"/>
      <c r="AB89" s="15">
        <v>-44.428939999999997</v>
      </c>
      <c r="AC89" s="15">
        <v>60.172930000000001</v>
      </c>
      <c r="AD89" s="15"/>
      <c r="AE89" s="15">
        <v>1.6428700000000001</v>
      </c>
      <c r="AF89" s="15"/>
    </row>
    <row r="90" spans="2:32" ht="16" customHeight="1" x14ac:dyDescent="0.35">
      <c r="B90" s="14" t="s">
        <v>418</v>
      </c>
      <c r="C90" s="14" t="s">
        <v>419</v>
      </c>
      <c r="D90" s="61"/>
      <c r="E90" s="30">
        <v>389425.35833999998</v>
      </c>
      <c r="F90" s="63"/>
      <c r="G90" s="15">
        <f t="shared" si="2"/>
        <v>389425.35833000002</v>
      </c>
      <c r="H90" s="63"/>
      <c r="I90" s="15">
        <f t="shared" si="3"/>
        <v>9.9999597296118736E-6</v>
      </c>
      <c r="J90" s="63"/>
      <c r="K90" s="15">
        <v>379740.39720000001</v>
      </c>
      <c r="L90" s="15"/>
      <c r="M90" s="15">
        <v>16006.11982</v>
      </c>
      <c r="N90" s="15"/>
      <c r="O90" s="15"/>
      <c r="P90" s="15">
        <v>8540.6371400000007</v>
      </c>
      <c r="Q90" s="15"/>
      <c r="R90" s="15"/>
      <c r="S90" s="15"/>
      <c r="T90" s="15"/>
      <c r="U90" s="15"/>
      <c r="V90" s="15"/>
      <c r="W90" s="15"/>
      <c r="X90" s="15">
        <v>-9899.2383399999999</v>
      </c>
      <c r="Y90" s="15"/>
      <c r="Z90" s="15"/>
      <c r="AA90" s="15"/>
      <c r="AB90" s="15">
        <v>3718.1295799999998</v>
      </c>
      <c r="AC90" s="15">
        <v>2.0000000000000002E-5</v>
      </c>
      <c r="AD90" s="15"/>
      <c r="AE90" s="15">
        <v>-140.04995</v>
      </c>
      <c r="AF90" s="15">
        <v>-8540.6371400000007</v>
      </c>
    </row>
    <row r="91" spans="2:32" ht="16" customHeight="1" x14ac:dyDescent="0.35">
      <c r="B91" s="14" t="s">
        <v>420</v>
      </c>
      <c r="C91" s="14" t="s">
        <v>421</v>
      </c>
      <c r="D91" s="61"/>
      <c r="E91" s="30">
        <v>-301189.35399999999</v>
      </c>
      <c r="F91" s="63"/>
      <c r="G91" s="15">
        <f t="shared" si="2"/>
        <v>-301189.35398999997</v>
      </c>
      <c r="H91" s="63"/>
      <c r="I91" s="15">
        <f t="shared" si="3"/>
        <v>-1.0000017937272787E-5</v>
      </c>
      <c r="J91" s="63"/>
      <c r="K91" s="15">
        <v>-300400.20101000002</v>
      </c>
      <c r="L91" s="15"/>
      <c r="M91" s="15"/>
      <c r="N91" s="15"/>
      <c r="O91" s="15"/>
      <c r="P91" s="15">
        <v>-4325.4151499999998</v>
      </c>
      <c r="Q91" s="15"/>
      <c r="R91" s="15"/>
      <c r="S91" s="15"/>
      <c r="T91" s="15"/>
      <c r="U91" s="15"/>
      <c r="V91" s="15"/>
      <c r="W91" s="15">
        <v>-10392.92065</v>
      </c>
      <c r="X91" s="15">
        <v>9524.1713400000008</v>
      </c>
      <c r="Y91" s="15"/>
      <c r="Z91" s="15"/>
      <c r="AA91" s="15"/>
      <c r="AB91" s="15">
        <v>1.5520000000000001E-2</v>
      </c>
      <c r="AC91" s="15">
        <v>-2.0000000000000002E-5</v>
      </c>
      <c r="AD91" s="15"/>
      <c r="AE91" s="15">
        <v>79.580830000000006</v>
      </c>
      <c r="AF91" s="15">
        <v>4325.4151499999998</v>
      </c>
    </row>
    <row r="92" spans="2:32" ht="16" customHeight="1" x14ac:dyDescent="0.35">
      <c r="B92" s="14" t="s">
        <v>456</v>
      </c>
      <c r="C92" s="14" t="s">
        <v>1353</v>
      </c>
      <c r="D92" s="61"/>
      <c r="E92" s="30">
        <v>152114.28247000001</v>
      </c>
      <c r="F92" s="63"/>
      <c r="G92" s="15">
        <f t="shared" si="2"/>
        <v>152114.28247000001</v>
      </c>
      <c r="H92" s="63"/>
      <c r="I92" s="15">
        <f t="shared" si="3"/>
        <v>0</v>
      </c>
      <c r="J92" s="63"/>
      <c r="K92" s="15">
        <v>138737.83184999999</v>
      </c>
      <c r="L92" s="15"/>
      <c r="M92" s="15"/>
      <c r="N92" s="15"/>
      <c r="O92" s="15"/>
      <c r="P92" s="15"/>
      <c r="Q92" s="15"/>
      <c r="R92" s="15"/>
      <c r="S92" s="15"/>
      <c r="T92" s="15">
        <v>16494.39199</v>
      </c>
      <c r="U92" s="15"/>
      <c r="V92" s="15"/>
      <c r="W92" s="15"/>
      <c r="X92" s="15"/>
      <c r="Y92" s="15"/>
      <c r="Z92" s="15"/>
      <c r="AA92" s="15"/>
      <c r="AB92" s="15">
        <v>7545.6600699999999</v>
      </c>
      <c r="AC92" s="15">
        <v>-10652.70505</v>
      </c>
      <c r="AD92" s="15"/>
      <c r="AE92" s="15">
        <v>-10.89639</v>
      </c>
      <c r="AF92" s="15"/>
    </row>
    <row r="93" spans="2:32" ht="16" customHeight="1" x14ac:dyDescent="0.35">
      <c r="B93" s="14" t="s">
        <v>550</v>
      </c>
      <c r="C93" s="14" t="s">
        <v>1354</v>
      </c>
      <c r="D93" s="61"/>
      <c r="E93" s="30">
        <v>74310.394090000002</v>
      </c>
      <c r="F93" s="63"/>
      <c r="G93" s="15">
        <f t="shared" si="2"/>
        <v>74310.394090000016</v>
      </c>
      <c r="H93" s="63"/>
      <c r="I93" s="15">
        <f t="shared" si="3"/>
        <v>0</v>
      </c>
      <c r="J93" s="63"/>
      <c r="K93" s="15">
        <v>79700.904800000004</v>
      </c>
      <c r="L93" s="15"/>
      <c r="M93" s="15">
        <v>1264.9068299999999</v>
      </c>
      <c r="N93" s="15"/>
      <c r="O93" s="15"/>
      <c r="P93" s="15"/>
      <c r="Q93" s="15"/>
      <c r="R93" s="15"/>
      <c r="S93" s="15"/>
      <c r="T93" s="15">
        <v>8491.3130299999993</v>
      </c>
      <c r="U93" s="15"/>
      <c r="V93" s="15"/>
      <c r="W93" s="15"/>
      <c r="X93" s="15">
        <v>-12349.63688</v>
      </c>
      <c r="Y93" s="15"/>
      <c r="Z93" s="15"/>
      <c r="AA93" s="15"/>
      <c r="AB93" s="15">
        <v>-7049.2388799999999</v>
      </c>
      <c r="AC93" s="15">
        <v>4265.5587400000004</v>
      </c>
      <c r="AD93" s="15"/>
      <c r="AE93" s="15">
        <v>-13.413550000000001</v>
      </c>
      <c r="AF93" s="15"/>
    </row>
    <row r="94" spans="2:32" ht="16" customHeight="1" x14ac:dyDescent="0.35">
      <c r="B94" s="14" t="s">
        <v>458</v>
      </c>
      <c r="C94" s="14" t="s">
        <v>1355</v>
      </c>
      <c r="D94" s="61"/>
      <c r="E94" s="30">
        <v>-51438.824610000003</v>
      </c>
      <c r="F94" s="63"/>
      <c r="G94" s="15">
        <f t="shared" si="2"/>
        <v>-51438.8246</v>
      </c>
      <c r="H94" s="63"/>
      <c r="I94" s="15">
        <f t="shared" si="3"/>
        <v>-1.0000003385357559E-5</v>
      </c>
      <c r="J94" s="63"/>
      <c r="K94" s="15">
        <v>-34080.144659999998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>
        <v>-19443.533899999999</v>
      </c>
      <c r="X94" s="15"/>
      <c r="Y94" s="15"/>
      <c r="Z94" s="15"/>
      <c r="AA94" s="15"/>
      <c r="AB94" s="15">
        <v>-656.90464999999995</v>
      </c>
      <c r="AC94" s="15">
        <v>2737.89284</v>
      </c>
      <c r="AD94" s="15"/>
      <c r="AE94" s="15">
        <v>3.8657699999999999</v>
      </c>
      <c r="AF94" s="15"/>
    </row>
    <row r="95" spans="2:32" ht="16" customHeight="1" x14ac:dyDescent="0.35">
      <c r="B95" s="14" t="s">
        <v>424</v>
      </c>
      <c r="C95" s="14" t="s">
        <v>1356</v>
      </c>
      <c r="D95" s="61"/>
      <c r="E95" s="30">
        <v>82021.193190000005</v>
      </c>
      <c r="F95" s="63"/>
      <c r="G95" s="15">
        <f t="shared" si="2"/>
        <v>82021.193199999994</v>
      </c>
      <c r="H95" s="63"/>
      <c r="I95" s="15">
        <f t="shared" si="3"/>
        <v>-9.9999888334423304E-6</v>
      </c>
      <c r="J95" s="63"/>
      <c r="K95" s="15">
        <v>64479.39774</v>
      </c>
      <c r="L95" s="15"/>
      <c r="M95" s="15">
        <v>130.49303</v>
      </c>
      <c r="N95" s="15"/>
      <c r="O95" s="15"/>
      <c r="P95" s="15">
        <v>3.2837800000000001</v>
      </c>
      <c r="Q95" s="15"/>
      <c r="R95" s="15"/>
      <c r="S95" s="15">
        <v>53313.459349999997</v>
      </c>
      <c r="T95" s="15"/>
      <c r="U95" s="15"/>
      <c r="V95" s="15"/>
      <c r="W95" s="15"/>
      <c r="X95" s="15"/>
      <c r="Y95" s="15"/>
      <c r="Z95" s="15"/>
      <c r="AA95" s="15"/>
      <c r="AB95" s="15">
        <v>-35892.00258</v>
      </c>
      <c r="AC95" s="15"/>
      <c r="AD95" s="15"/>
      <c r="AE95" s="15">
        <v>-10.154339999999999</v>
      </c>
      <c r="AF95" s="15">
        <v>-3.2837800000000001</v>
      </c>
    </row>
    <row r="96" spans="2:32" ht="16" customHeight="1" x14ac:dyDescent="0.35">
      <c r="B96" s="14" t="s">
        <v>426</v>
      </c>
      <c r="C96" s="14" t="s">
        <v>1357</v>
      </c>
      <c r="D96" s="61"/>
      <c r="E96" s="30"/>
      <c r="F96" s="63"/>
      <c r="G96" s="15">
        <f t="shared" si="2"/>
        <v>0</v>
      </c>
      <c r="H96" s="63"/>
      <c r="I96" s="15">
        <f t="shared" si="3"/>
        <v>0</v>
      </c>
      <c r="J96" s="63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spans="2:32" ht="16" customHeight="1" x14ac:dyDescent="0.35">
      <c r="B97" s="14" t="s">
        <v>462</v>
      </c>
      <c r="C97" s="14" t="s">
        <v>1358</v>
      </c>
      <c r="D97" s="61"/>
      <c r="E97" s="30"/>
      <c r="F97" s="63"/>
      <c r="G97" s="15">
        <f t="shared" si="2"/>
        <v>0</v>
      </c>
      <c r="H97" s="63"/>
      <c r="I97" s="15">
        <f t="shared" si="3"/>
        <v>0</v>
      </c>
      <c r="J97" s="63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 spans="2:32" ht="16" customHeight="1" x14ac:dyDescent="0.35">
      <c r="B98" s="14" t="s">
        <v>464</v>
      </c>
      <c r="C98" s="14" t="s">
        <v>1359</v>
      </c>
      <c r="D98" s="61"/>
      <c r="E98" s="30"/>
      <c r="F98" s="63"/>
      <c r="G98" s="15">
        <f t="shared" si="2"/>
        <v>0</v>
      </c>
      <c r="H98" s="63"/>
      <c r="I98" s="15">
        <f t="shared" si="3"/>
        <v>0</v>
      </c>
      <c r="J98" s="63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 spans="2:32" ht="16" customHeight="1" x14ac:dyDescent="0.35">
      <c r="B99" s="14" t="s">
        <v>533</v>
      </c>
      <c r="C99" s="14" t="s">
        <v>1360</v>
      </c>
      <c r="D99" s="61"/>
      <c r="E99" s="30">
        <v>365626.63205999997</v>
      </c>
      <c r="F99" s="63"/>
      <c r="G99" s="15">
        <f t="shared" si="2"/>
        <v>365626.63205999997</v>
      </c>
      <c r="H99" s="63"/>
      <c r="I99" s="15">
        <f t="shared" si="3"/>
        <v>0</v>
      </c>
      <c r="J99" s="63"/>
      <c r="K99" s="15">
        <v>288335.63205999997</v>
      </c>
      <c r="L99" s="15"/>
      <c r="M99" s="15">
        <v>77291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>
        <v>0</v>
      </c>
      <c r="AC99" s="15"/>
      <c r="AD99" s="15"/>
      <c r="AE99" s="15"/>
      <c r="AF99" s="15"/>
    </row>
    <row r="100" spans="2:32" ht="16" customHeight="1" x14ac:dyDescent="0.35">
      <c r="B100" s="14" t="s">
        <v>537</v>
      </c>
      <c r="C100" s="14" t="s">
        <v>1361</v>
      </c>
      <c r="D100" s="61"/>
      <c r="E100" s="30">
        <v>1630087</v>
      </c>
      <c r="F100" s="63"/>
      <c r="G100" s="15">
        <f t="shared" si="2"/>
        <v>1630087</v>
      </c>
      <c r="H100" s="63"/>
      <c r="I100" s="15">
        <f t="shared" si="3"/>
        <v>0</v>
      </c>
      <c r="J100" s="63"/>
      <c r="K100" s="15">
        <v>1630618.0943499999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>
        <v>-531.09434999999996</v>
      </c>
    </row>
    <row r="101" spans="2:32" ht="16" customHeight="1" x14ac:dyDescent="0.35">
      <c r="B101" s="14" t="s">
        <v>535</v>
      </c>
      <c r="C101" s="14" t="s">
        <v>1362</v>
      </c>
      <c r="D101" s="61"/>
      <c r="E101" s="30">
        <v>-19154.206880000002</v>
      </c>
      <c r="F101" s="63"/>
      <c r="G101" s="15">
        <f t="shared" si="2"/>
        <v>-19154.206880000002</v>
      </c>
      <c r="H101" s="63"/>
      <c r="I101" s="15">
        <f t="shared" si="3"/>
        <v>0</v>
      </c>
      <c r="J101" s="63"/>
      <c r="K101" s="15">
        <v>-19154.206880000002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spans="2:32" ht="16" customHeight="1" x14ac:dyDescent="0.35">
      <c r="B102" s="14" t="s">
        <v>539</v>
      </c>
      <c r="C102" s="14" t="s">
        <v>1363</v>
      </c>
      <c r="D102" s="61"/>
      <c r="E102" s="30"/>
      <c r="F102" s="63"/>
      <c r="G102" s="15">
        <f t="shared" si="2"/>
        <v>0</v>
      </c>
      <c r="H102" s="63"/>
      <c r="I102" s="15">
        <f t="shared" si="3"/>
        <v>0</v>
      </c>
      <c r="J102" s="63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 spans="2:32" ht="16" customHeight="1" x14ac:dyDescent="0.35">
      <c r="B103" s="14" t="s">
        <v>519</v>
      </c>
      <c r="C103" s="14" t="s">
        <v>1364</v>
      </c>
      <c r="D103" s="61"/>
      <c r="E103" s="30"/>
      <c r="F103" s="63"/>
      <c r="G103" s="15">
        <f t="shared" si="2"/>
        <v>0</v>
      </c>
      <c r="H103" s="63"/>
      <c r="I103" s="15">
        <f t="shared" si="3"/>
        <v>0</v>
      </c>
      <c r="J103" s="63"/>
      <c r="K103" s="15">
        <v>211755.73342</v>
      </c>
      <c r="L103" s="15">
        <v>-208555.73342</v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>
        <v>-3200</v>
      </c>
    </row>
    <row r="104" spans="2:32" ht="16" customHeight="1" x14ac:dyDescent="0.35">
      <c r="B104" s="14" t="s">
        <v>521</v>
      </c>
      <c r="C104" s="14" t="s">
        <v>1365</v>
      </c>
      <c r="D104" s="61"/>
      <c r="E104" s="30"/>
      <c r="F104" s="63"/>
      <c r="G104" s="15">
        <f t="shared" si="2"/>
        <v>0</v>
      </c>
      <c r="H104" s="63"/>
      <c r="I104" s="15">
        <f t="shared" si="3"/>
        <v>0</v>
      </c>
      <c r="J104" s="63"/>
      <c r="K104" s="15">
        <v>-75294.945949999994</v>
      </c>
      <c r="L104" s="15">
        <v>75294.945949999994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</row>
    <row r="105" spans="2:32" ht="16" customHeight="1" x14ac:dyDescent="0.35">
      <c r="B105" s="14" t="s">
        <v>483</v>
      </c>
      <c r="C105" s="14" t="s">
        <v>1366</v>
      </c>
      <c r="D105" s="61"/>
      <c r="E105" s="30">
        <v>6256.0480600000001</v>
      </c>
      <c r="F105" s="63"/>
      <c r="G105" s="15">
        <f t="shared" si="2"/>
        <v>6256.0480600000001</v>
      </c>
      <c r="H105" s="63"/>
      <c r="I105" s="15">
        <f t="shared" si="3"/>
        <v>0</v>
      </c>
      <c r="J105" s="63"/>
      <c r="K105" s="15"/>
      <c r="L105" s="15">
        <v>28003.472470000001</v>
      </c>
      <c r="M105" s="15"/>
      <c r="N105" s="15"/>
      <c r="O105" s="15"/>
      <c r="P105" s="15">
        <v>3200</v>
      </c>
      <c r="Q105" s="15"/>
      <c r="R105" s="15">
        <v>0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>
        <v>-24903.472470000001</v>
      </c>
      <c r="AC105" s="15"/>
      <c r="AD105" s="15"/>
      <c r="AE105" s="15">
        <v>-43.95194</v>
      </c>
      <c r="AF105" s="15"/>
    </row>
    <row r="106" spans="2:32" ht="16" customHeight="1" x14ac:dyDescent="0.35">
      <c r="B106" s="14" t="s">
        <v>485</v>
      </c>
      <c r="C106" s="14" t="s">
        <v>1367</v>
      </c>
      <c r="D106" s="61"/>
      <c r="E106" s="30">
        <v>-1084.808</v>
      </c>
      <c r="F106" s="63"/>
      <c r="G106" s="15">
        <f t="shared" si="2"/>
        <v>-1084.8080000000018</v>
      </c>
      <c r="H106" s="63"/>
      <c r="I106" s="15">
        <f t="shared" si="3"/>
        <v>1.8189894035458565E-12</v>
      </c>
      <c r="J106" s="63"/>
      <c r="K106" s="15"/>
      <c r="L106" s="15">
        <v>-18217.63047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>
        <v>17285.746469999998</v>
      </c>
      <c r="AC106" s="15">
        <v>-152.92400000000001</v>
      </c>
      <c r="AD106" s="15"/>
      <c r="AE106" s="15"/>
      <c r="AF106" s="15"/>
    </row>
    <row r="107" spans="2:32" ht="16" customHeight="1" x14ac:dyDescent="0.35">
      <c r="B107" s="14" t="s">
        <v>489</v>
      </c>
      <c r="C107" s="14" t="s">
        <v>1368</v>
      </c>
      <c r="D107" s="61"/>
      <c r="E107" s="30">
        <v>163609.36256000001</v>
      </c>
      <c r="F107" s="63"/>
      <c r="G107" s="15">
        <f t="shared" si="2"/>
        <v>163609.36256000001</v>
      </c>
      <c r="H107" s="63"/>
      <c r="I107" s="15">
        <f t="shared" si="3"/>
        <v>0</v>
      </c>
      <c r="J107" s="63"/>
      <c r="K107" s="15"/>
      <c r="L107" s="15">
        <v>163609.36256000001</v>
      </c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 spans="2:32" ht="16" customHeight="1" x14ac:dyDescent="0.35">
      <c r="B108" s="14" t="s">
        <v>491</v>
      </c>
      <c r="C108" s="14" t="s">
        <v>1369</v>
      </c>
      <c r="D108" s="61"/>
      <c r="E108" s="30">
        <v>-41067.070899999999</v>
      </c>
      <c r="F108" s="63"/>
      <c r="G108" s="15">
        <f t="shared" ref="G108:G120" si="4">SUM(K108:AF108)</f>
        <v>-41067.070900000006</v>
      </c>
      <c r="H108" s="63"/>
      <c r="I108" s="15">
        <f t="shared" si="3"/>
        <v>0</v>
      </c>
      <c r="J108" s="63"/>
      <c r="K108" s="15"/>
      <c r="L108" s="15">
        <v>-40187.397900000004</v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>
        <v>-879.673</v>
      </c>
      <c r="X108" s="15"/>
      <c r="Y108" s="15"/>
      <c r="Z108" s="15"/>
      <c r="AA108" s="15"/>
      <c r="AB108" s="15"/>
      <c r="AC108" s="15"/>
      <c r="AD108" s="15"/>
      <c r="AE108" s="15"/>
      <c r="AF108" s="15"/>
    </row>
    <row r="109" spans="2:32" ht="16" customHeight="1" x14ac:dyDescent="0.35">
      <c r="B109" s="14" t="s">
        <v>495</v>
      </c>
      <c r="C109" s="14" t="s">
        <v>1370</v>
      </c>
      <c r="D109" s="61"/>
      <c r="E109" s="30">
        <v>2925.9769099999999</v>
      </c>
      <c r="F109" s="63"/>
      <c r="G109" s="15">
        <f t="shared" si="4"/>
        <v>2925.9769099999999</v>
      </c>
      <c r="H109" s="63"/>
      <c r="I109" s="15">
        <f t="shared" si="3"/>
        <v>0</v>
      </c>
      <c r="J109" s="63"/>
      <c r="K109" s="15"/>
      <c r="L109" s="15">
        <v>2925.97696</v>
      </c>
      <c r="M109" s="15"/>
      <c r="N109" s="15"/>
      <c r="O109" s="15"/>
      <c r="P109" s="15"/>
      <c r="Q109" s="15"/>
      <c r="R109" s="15">
        <v>0</v>
      </c>
      <c r="S109" s="15"/>
      <c r="T109" s="15"/>
      <c r="U109" s="15"/>
      <c r="V109" s="15"/>
      <c r="W109" s="15"/>
      <c r="X109" s="15">
        <v>-5.0000000000000002E-5</v>
      </c>
      <c r="Y109" s="15"/>
      <c r="Z109" s="15"/>
      <c r="AA109" s="15"/>
      <c r="AB109" s="15"/>
      <c r="AC109" s="15"/>
      <c r="AD109" s="15"/>
      <c r="AE109" s="15"/>
      <c r="AF109" s="15"/>
    </row>
    <row r="110" spans="2:32" ht="16" customHeight="1" x14ac:dyDescent="0.35">
      <c r="B110" s="14" t="s">
        <v>497</v>
      </c>
      <c r="C110" s="14" t="s">
        <v>1371</v>
      </c>
      <c r="D110" s="61"/>
      <c r="E110" s="30">
        <v>-2768.2368999999999</v>
      </c>
      <c r="F110" s="63"/>
      <c r="G110" s="15">
        <f t="shared" si="4"/>
        <v>-2768.2368999999999</v>
      </c>
      <c r="H110" s="63"/>
      <c r="I110" s="15">
        <f t="shared" si="3"/>
        <v>0</v>
      </c>
      <c r="J110" s="63"/>
      <c r="K110" s="15"/>
      <c r="L110" s="15">
        <v>-2766.33995</v>
      </c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>
        <v>-1.897</v>
      </c>
      <c r="X110" s="15">
        <v>5.0000000000000002E-5</v>
      </c>
      <c r="Y110" s="15"/>
      <c r="Z110" s="15"/>
      <c r="AA110" s="15"/>
      <c r="AB110" s="15"/>
      <c r="AC110" s="15"/>
      <c r="AD110" s="15"/>
      <c r="AE110" s="15"/>
      <c r="AF110" s="15"/>
    </row>
    <row r="111" spans="2:32" ht="16" customHeight="1" x14ac:dyDescent="0.35">
      <c r="B111" s="14" t="s">
        <v>501</v>
      </c>
      <c r="C111" s="14" t="s">
        <v>1372</v>
      </c>
      <c r="D111" s="61"/>
      <c r="E111" s="30"/>
      <c r="F111" s="63"/>
      <c r="G111" s="15">
        <f t="shared" si="4"/>
        <v>0</v>
      </c>
      <c r="H111" s="63"/>
      <c r="I111" s="15">
        <f t="shared" si="3"/>
        <v>0</v>
      </c>
      <c r="J111" s="63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 spans="2:32" ht="16" customHeight="1" x14ac:dyDescent="0.35">
      <c r="B112" s="14" t="s">
        <v>503</v>
      </c>
      <c r="C112" s="14" t="s">
        <v>1373</v>
      </c>
      <c r="D112" s="61"/>
      <c r="E112" s="30"/>
      <c r="F112" s="63"/>
      <c r="G112" s="15">
        <f t="shared" si="4"/>
        <v>0</v>
      </c>
      <c r="H112" s="63"/>
      <c r="I112" s="15">
        <f t="shared" si="3"/>
        <v>0</v>
      </c>
      <c r="J112" s="63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 spans="2:32" ht="16" customHeight="1" x14ac:dyDescent="0.35">
      <c r="B113" s="14" t="s">
        <v>507</v>
      </c>
      <c r="C113" s="14" t="s">
        <v>1374</v>
      </c>
      <c r="D113" s="61"/>
      <c r="E113" s="30">
        <v>4000</v>
      </c>
      <c r="F113" s="63"/>
      <c r="G113" s="15">
        <f t="shared" si="4"/>
        <v>4000</v>
      </c>
      <c r="H113" s="63"/>
      <c r="I113" s="15">
        <f t="shared" si="3"/>
        <v>0</v>
      </c>
      <c r="J113" s="63"/>
      <c r="K113" s="15"/>
      <c r="L113" s="15"/>
      <c r="M113" s="15">
        <v>4000</v>
      </c>
      <c r="N113" s="15"/>
      <c r="O113" s="15"/>
      <c r="P113" s="15"/>
      <c r="Q113" s="15"/>
      <c r="R113" s="15">
        <v>0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spans="2:32" ht="16" customHeight="1" x14ac:dyDescent="0.35">
      <c r="B114" s="14" t="s">
        <v>509</v>
      </c>
      <c r="C114" s="14" t="s">
        <v>1375</v>
      </c>
      <c r="D114" s="61"/>
      <c r="E114" s="30"/>
      <c r="F114" s="63"/>
      <c r="G114" s="15">
        <f t="shared" si="4"/>
        <v>0</v>
      </c>
      <c r="H114" s="63"/>
      <c r="I114" s="15">
        <f t="shared" si="3"/>
        <v>0</v>
      </c>
      <c r="J114" s="63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 spans="2:32" ht="16" customHeight="1" x14ac:dyDescent="0.35">
      <c r="B115" s="14" t="s">
        <v>513</v>
      </c>
      <c r="C115" s="14" t="s">
        <v>1376</v>
      </c>
      <c r="D115" s="61"/>
      <c r="E115" s="30">
        <v>46401.963900000002</v>
      </c>
      <c r="F115" s="63"/>
      <c r="G115" s="15">
        <f t="shared" si="4"/>
        <v>46401.963900000002</v>
      </c>
      <c r="H115" s="63"/>
      <c r="I115" s="15">
        <f t="shared" si="3"/>
        <v>0</v>
      </c>
      <c r="J115" s="63"/>
      <c r="K115" s="15"/>
      <c r="L115" s="15">
        <v>14016.92143</v>
      </c>
      <c r="M115" s="15">
        <v>7481.57</v>
      </c>
      <c r="N115" s="15"/>
      <c r="O115" s="15"/>
      <c r="P115" s="15"/>
      <c r="Q115" s="15"/>
      <c r="R115" s="15">
        <v>0</v>
      </c>
      <c r="S115" s="15"/>
      <c r="T115" s="15"/>
      <c r="U115" s="15"/>
      <c r="V115" s="15"/>
      <c r="W115" s="15"/>
      <c r="X115" s="15">
        <v>0</v>
      </c>
      <c r="Y115" s="15"/>
      <c r="Z115" s="15"/>
      <c r="AA115" s="15"/>
      <c r="AB115" s="15">
        <v>24903.472470000001</v>
      </c>
      <c r="AC115" s="15"/>
      <c r="AD115" s="15"/>
      <c r="AE115" s="15"/>
      <c r="AF115" s="15"/>
    </row>
    <row r="116" spans="2:32" ht="16" customHeight="1" x14ac:dyDescent="0.35">
      <c r="B116" s="14" t="s">
        <v>515</v>
      </c>
      <c r="C116" s="14" t="s">
        <v>1377</v>
      </c>
      <c r="D116" s="61"/>
      <c r="E116" s="30">
        <v>-32378.150310000001</v>
      </c>
      <c r="F116" s="63"/>
      <c r="G116" s="15">
        <f t="shared" si="4"/>
        <v>-32378.150309999997</v>
      </c>
      <c r="H116" s="63"/>
      <c r="I116" s="15">
        <f t="shared" si="3"/>
        <v>0</v>
      </c>
      <c r="J116" s="63"/>
      <c r="K116" s="15"/>
      <c r="L116" s="15">
        <v>-14123.57763</v>
      </c>
      <c r="M116" s="15">
        <v>-540.10621000000003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>
        <v>-581.64400000000001</v>
      </c>
      <c r="X116" s="15">
        <v>0</v>
      </c>
      <c r="Y116" s="15"/>
      <c r="Z116" s="15"/>
      <c r="AA116" s="15"/>
      <c r="AB116" s="15">
        <v>-17285.746469999998</v>
      </c>
      <c r="AC116" s="15">
        <v>152.92400000000001</v>
      </c>
      <c r="AD116" s="15"/>
      <c r="AE116" s="15"/>
      <c r="AF116" s="15"/>
    </row>
    <row r="117" spans="2:32" ht="16" customHeight="1" x14ac:dyDescent="0.35">
      <c r="B117" s="14" t="s">
        <v>554</v>
      </c>
      <c r="C117" s="14" t="s">
        <v>555</v>
      </c>
      <c r="D117" s="61"/>
      <c r="E117" s="30"/>
      <c r="F117" s="63"/>
      <c r="G117" s="15">
        <f t="shared" si="4"/>
        <v>0</v>
      </c>
      <c r="H117" s="63"/>
      <c r="I117" s="15">
        <f t="shared" si="3"/>
        <v>0</v>
      </c>
      <c r="J117" s="63"/>
      <c r="K117" s="15">
        <v>-1E-3</v>
      </c>
      <c r="L117" s="15"/>
      <c r="M117" s="15"/>
      <c r="N117" s="15"/>
      <c r="O117" s="15"/>
      <c r="P117" s="15"/>
      <c r="Q117" s="15"/>
      <c r="R117" s="15">
        <v>1E-3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 spans="2:32" ht="16" customHeight="1" x14ac:dyDescent="0.35">
      <c r="B118" s="14" t="s">
        <v>384</v>
      </c>
      <c r="C118" s="14" t="s">
        <v>385</v>
      </c>
      <c r="D118" s="61"/>
      <c r="E118" s="30"/>
      <c r="F118" s="63"/>
      <c r="G118" s="15">
        <f t="shared" si="4"/>
        <v>0</v>
      </c>
      <c r="H118" s="63"/>
      <c r="I118" s="15">
        <f t="shared" si="3"/>
        <v>0</v>
      </c>
      <c r="J118" s="63"/>
      <c r="K118" s="15">
        <v>-1.0000000000000001E-5</v>
      </c>
      <c r="L118" s="15"/>
      <c r="M118" s="15"/>
      <c r="N118" s="15"/>
      <c r="O118" s="15"/>
      <c r="P118" s="15"/>
      <c r="Q118" s="15"/>
      <c r="R118" s="15">
        <v>1.0000000000000001E-5</v>
      </c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</row>
    <row r="119" spans="2:32" ht="16" customHeight="1" x14ac:dyDescent="0.35">
      <c r="B119" s="14" t="s">
        <v>386</v>
      </c>
      <c r="C119" s="14" t="s">
        <v>387</v>
      </c>
      <c r="D119" s="61"/>
      <c r="E119" s="30">
        <v>32861.885130000002</v>
      </c>
      <c r="F119" s="63"/>
      <c r="G119" s="15">
        <f t="shared" si="4"/>
        <v>32861.885129999995</v>
      </c>
      <c r="H119" s="63"/>
      <c r="I119" s="15">
        <f t="shared" si="3"/>
        <v>0</v>
      </c>
      <c r="J119" s="63"/>
      <c r="K119" s="15">
        <v>32518.073789999999</v>
      </c>
      <c r="L119" s="15"/>
      <c r="M119" s="15"/>
      <c r="N119" s="15"/>
      <c r="O119" s="15"/>
      <c r="P119" s="15"/>
      <c r="Q119" s="15"/>
      <c r="R119" s="15">
        <v>343.81133999999997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</row>
    <row r="120" spans="2:32" ht="16" customHeight="1" x14ac:dyDescent="0.35">
      <c r="B120" s="14" t="s">
        <v>557</v>
      </c>
      <c r="C120" s="14" t="s">
        <v>558</v>
      </c>
      <c r="D120" s="61"/>
      <c r="E120" s="30"/>
      <c r="F120" s="63"/>
      <c r="G120" s="15">
        <f t="shared" si="4"/>
        <v>0</v>
      </c>
      <c r="H120" s="63"/>
      <c r="I120" s="15">
        <f t="shared" si="3"/>
        <v>0</v>
      </c>
      <c r="J120" s="63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</row>
    <row r="121" spans="2:32" ht="16" customHeight="1" x14ac:dyDescent="0.35">
      <c r="B121" s="16" t="s">
        <v>1378</v>
      </c>
      <c r="C121" s="16"/>
      <c r="D121" s="64"/>
      <c r="E121" s="31">
        <f>SUBTOTAL(109, E12:E120)</f>
        <v>5566340.1106899995</v>
      </c>
      <c r="F121" s="65"/>
      <c r="G121" s="17">
        <f>SUBTOTAL(109, G12:G120)</f>
        <v>5566340.1106999982</v>
      </c>
      <c r="H121" s="65"/>
      <c r="I121" s="17">
        <f>SUBTOTAL(109, I12:I120)</f>
        <v>-9.9999467693123734E-6</v>
      </c>
      <c r="J121" s="65"/>
      <c r="K121" s="17">
        <f t="shared" ref="K121:AF121" si="5">SUBTOTAL(109, K12:K120)</f>
        <v>4928060.860460001</v>
      </c>
      <c r="L121" s="17">
        <f t="shared" si="5"/>
        <v>0</v>
      </c>
      <c r="M121" s="17">
        <f t="shared" si="5"/>
        <v>394050.2255</v>
      </c>
      <c r="N121" s="17">
        <f t="shared" si="5"/>
        <v>0</v>
      </c>
      <c r="O121" s="17">
        <f t="shared" si="5"/>
        <v>0</v>
      </c>
      <c r="P121" s="17">
        <f t="shared" si="5"/>
        <v>35856.324399999998</v>
      </c>
      <c r="Q121" s="17">
        <f t="shared" si="5"/>
        <v>0</v>
      </c>
      <c r="R121" s="17">
        <f t="shared" si="5"/>
        <v>122408.97316000001</v>
      </c>
      <c r="S121" s="17">
        <f t="shared" si="5"/>
        <v>480669.13787000004</v>
      </c>
      <c r="T121" s="17">
        <f t="shared" si="5"/>
        <v>28344.850379999996</v>
      </c>
      <c r="U121" s="17">
        <f t="shared" si="5"/>
        <v>0</v>
      </c>
      <c r="V121" s="17">
        <f t="shared" si="5"/>
        <v>0</v>
      </c>
      <c r="W121" s="17">
        <f t="shared" si="5"/>
        <v>-79601.402119999999</v>
      </c>
      <c r="X121" s="17">
        <f t="shared" si="5"/>
        <v>-18295.38321</v>
      </c>
      <c r="Y121" s="17">
        <f t="shared" si="5"/>
        <v>0</v>
      </c>
      <c r="Z121" s="17">
        <f t="shared" si="5"/>
        <v>0</v>
      </c>
      <c r="AA121" s="17">
        <f t="shared" si="5"/>
        <v>2616.0285199999998</v>
      </c>
      <c r="AB121" s="17">
        <f t="shared" si="5"/>
        <v>-305685.57961999997</v>
      </c>
      <c r="AC121" s="17">
        <f t="shared" si="5"/>
        <v>16188.936180000008</v>
      </c>
      <c r="AD121" s="17">
        <f t="shared" si="5"/>
        <v>0</v>
      </c>
      <c r="AE121" s="17">
        <f t="shared" si="5"/>
        <v>-1885.4420700000001</v>
      </c>
      <c r="AF121" s="17">
        <f t="shared" si="5"/>
        <v>-36387.418749999997</v>
      </c>
    </row>
    <row r="122" spans="2:32" ht="16" customHeight="1" x14ac:dyDescent="0.35">
      <c r="B122" s="11"/>
      <c r="C122" s="11"/>
      <c r="D122" s="29"/>
      <c r="E122" s="29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spans="2:32" ht="16" customHeight="1" x14ac:dyDescent="0.35">
      <c r="B123" s="14" t="s">
        <v>577</v>
      </c>
      <c r="C123" s="14" t="s">
        <v>1385</v>
      </c>
      <c r="D123" s="61"/>
      <c r="E123" s="30">
        <v>703169.21542999998</v>
      </c>
      <c r="F123" s="63"/>
      <c r="G123" s="15">
        <f t="shared" ref="G123:G154" si="6">SUM(K123:AF123)</f>
        <v>703169.21542999998</v>
      </c>
      <c r="H123" s="63"/>
      <c r="I123" s="15">
        <f t="shared" ref="I123:I186" si="7">E123-G123</f>
        <v>0</v>
      </c>
      <c r="J123" s="63"/>
      <c r="K123" s="15">
        <v>73969.215429999997</v>
      </c>
      <c r="L123" s="15"/>
      <c r="M123" s="15"/>
      <c r="N123" s="15"/>
      <c r="O123" s="15"/>
      <c r="P123" s="15"/>
      <c r="Q123" s="15"/>
      <c r="R123" s="15"/>
      <c r="S123" s="15">
        <v>856151</v>
      </c>
      <c r="T123" s="15"/>
      <c r="U123" s="15"/>
      <c r="V123" s="15"/>
      <c r="W123" s="15"/>
      <c r="X123" s="15">
        <v>-226951</v>
      </c>
      <c r="Y123" s="15"/>
      <c r="Z123" s="15"/>
      <c r="AA123" s="15"/>
      <c r="AB123" s="15"/>
      <c r="AC123" s="15"/>
      <c r="AD123" s="15"/>
      <c r="AE123" s="15"/>
      <c r="AF123" s="15"/>
    </row>
    <row r="124" spans="2:32" ht="16" customHeight="1" x14ac:dyDescent="0.35">
      <c r="B124" s="14" t="s">
        <v>579</v>
      </c>
      <c r="C124" s="14" t="s">
        <v>1379</v>
      </c>
      <c r="D124" s="61"/>
      <c r="E124" s="30"/>
      <c r="F124" s="63"/>
      <c r="G124" s="15">
        <f t="shared" si="6"/>
        <v>0</v>
      </c>
      <c r="H124" s="63"/>
      <c r="I124" s="15">
        <f t="shared" si="7"/>
        <v>0</v>
      </c>
      <c r="J124" s="63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 spans="2:32" ht="16" customHeight="1" x14ac:dyDescent="0.35">
      <c r="B125" s="14" t="s">
        <v>581</v>
      </c>
      <c r="C125" s="14" t="s">
        <v>1380</v>
      </c>
      <c r="D125" s="61"/>
      <c r="E125" s="30">
        <v>-8.9480000000000004E-2</v>
      </c>
      <c r="F125" s="63"/>
      <c r="G125" s="15">
        <f t="shared" si="6"/>
        <v>-8.9479999999980464E-2</v>
      </c>
      <c r="H125" s="63"/>
      <c r="I125" s="15">
        <f t="shared" si="7"/>
        <v>-1.9539925233402755E-14</v>
      </c>
      <c r="J125" s="63"/>
      <c r="K125" s="15">
        <v>491.85766000000001</v>
      </c>
      <c r="L125" s="15"/>
      <c r="M125" s="15"/>
      <c r="N125" s="15"/>
      <c r="O125" s="15"/>
      <c r="P125" s="15"/>
      <c r="Q125" s="15"/>
      <c r="R125" s="15"/>
      <c r="S125" s="15">
        <v>177.31700000000001</v>
      </c>
      <c r="T125" s="15"/>
      <c r="U125" s="15"/>
      <c r="V125" s="15"/>
      <c r="W125" s="15"/>
      <c r="X125" s="15">
        <v>-177.40647999999999</v>
      </c>
      <c r="Y125" s="15"/>
      <c r="Z125" s="15"/>
      <c r="AA125" s="15"/>
      <c r="AB125" s="15"/>
      <c r="AC125" s="15"/>
      <c r="AD125" s="15"/>
      <c r="AE125" s="15"/>
      <c r="AF125" s="15">
        <v>-491.85766000000001</v>
      </c>
    </row>
    <row r="126" spans="2:32" ht="16" customHeight="1" x14ac:dyDescent="0.35">
      <c r="B126" s="14" t="s">
        <v>583</v>
      </c>
      <c r="C126" s="14" t="s">
        <v>584</v>
      </c>
      <c r="D126" s="61"/>
      <c r="E126" s="30"/>
      <c r="F126" s="63"/>
      <c r="G126" s="15">
        <f t="shared" si="6"/>
        <v>0</v>
      </c>
      <c r="H126" s="63"/>
      <c r="I126" s="15">
        <f t="shared" si="7"/>
        <v>0</v>
      </c>
      <c r="J126" s="63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 spans="2:32" ht="16" customHeight="1" x14ac:dyDescent="0.35">
      <c r="B127" s="14" t="s">
        <v>599</v>
      </c>
      <c r="C127" s="14" t="s">
        <v>1388</v>
      </c>
      <c r="D127" s="61"/>
      <c r="E127" s="30">
        <v>163.11313999999999</v>
      </c>
      <c r="F127" s="63"/>
      <c r="G127" s="15">
        <f t="shared" si="6"/>
        <v>163.11313999999999</v>
      </c>
      <c r="H127" s="63"/>
      <c r="I127" s="15">
        <f t="shared" si="7"/>
        <v>0</v>
      </c>
      <c r="J127" s="63"/>
      <c r="K127" s="15">
        <v>13.471220000000001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>
        <v>149.64192</v>
      </c>
      <c r="AD127" s="15"/>
      <c r="AE127" s="15"/>
      <c r="AF127" s="15"/>
    </row>
    <row r="128" spans="2:32" ht="16" customHeight="1" x14ac:dyDescent="0.35">
      <c r="B128" s="14" t="s">
        <v>585</v>
      </c>
      <c r="C128" s="14" t="s">
        <v>1386</v>
      </c>
      <c r="D128" s="61"/>
      <c r="E128" s="30">
        <v>146489.6594</v>
      </c>
      <c r="F128" s="63"/>
      <c r="G128" s="15">
        <f t="shared" si="6"/>
        <v>146489.6594</v>
      </c>
      <c r="H128" s="63"/>
      <c r="I128" s="15">
        <f t="shared" si="7"/>
        <v>0</v>
      </c>
      <c r="J128" s="63"/>
      <c r="K128" s="15">
        <v>146489.6594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spans="2:32" ht="16" customHeight="1" x14ac:dyDescent="0.35">
      <c r="B129" s="14" t="s">
        <v>587</v>
      </c>
      <c r="C129" s="14" t="s">
        <v>1381</v>
      </c>
      <c r="D129" s="61"/>
      <c r="E129" s="30"/>
      <c r="F129" s="63"/>
      <c r="G129" s="15">
        <f t="shared" si="6"/>
        <v>0</v>
      </c>
      <c r="H129" s="63"/>
      <c r="I129" s="15">
        <f t="shared" si="7"/>
        <v>0</v>
      </c>
      <c r="J129" s="63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 spans="2:32" ht="16" customHeight="1" x14ac:dyDescent="0.35">
      <c r="B130" s="14" t="s">
        <v>589</v>
      </c>
      <c r="C130" s="14" t="s">
        <v>1382</v>
      </c>
      <c r="D130" s="61"/>
      <c r="E130" s="30"/>
      <c r="F130" s="63"/>
      <c r="G130" s="15">
        <f t="shared" si="6"/>
        <v>0</v>
      </c>
      <c r="H130" s="63"/>
      <c r="I130" s="15">
        <f t="shared" si="7"/>
        <v>0</v>
      </c>
      <c r="J130" s="63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</row>
    <row r="131" spans="2:32" ht="16" customHeight="1" x14ac:dyDescent="0.35">
      <c r="B131" s="14" t="s">
        <v>591</v>
      </c>
      <c r="C131" s="14" t="s">
        <v>1383</v>
      </c>
      <c r="D131" s="61"/>
      <c r="E131" s="30">
        <v>493.60199999999998</v>
      </c>
      <c r="F131" s="63"/>
      <c r="G131" s="15">
        <f t="shared" si="6"/>
        <v>493.60200000000003</v>
      </c>
      <c r="H131" s="63"/>
      <c r="I131" s="15">
        <f t="shared" si="7"/>
        <v>0</v>
      </c>
      <c r="J131" s="63"/>
      <c r="K131" s="15"/>
      <c r="L131" s="15"/>
      <c r="M131" s="15"/>
      <c r="N131" s="15"/>
      <c r="O131" s="15"/>
      <c r="P131" s="15">
        <v>491.85766000000001</v>
      </c>
      <c r="Q131" s="15"/>
      <c r="R131" s="15"/>
      <c r="S131" s="15">
        <v>8.5</v>
      </c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>
        <v>-6.7556599999999998</v>
      </c>
      <c r="AF131" s="15"/>
    </row>
    <row r="132" spans="2:32" ht="16" customHeight="1" x14ac:dyDescent="0.35">
      <c r="B132" s="14" t="s">
        <v>593</v>
      </c>
      <c r="C132" s="14" t="s">
        <v>1384</v>
      </c>
      <c r="D132" s="61"/>
      <c r="E132" s="30">
        <v>48469.169179999997</v>
      </c>
      <c r="F132" s="63"/>
      <c r="G132" s="15">
        <f t="shared" si="6"/>
        <v>48469.169170000001</v>
      </c>
      <c r="H132" s="63"/>
      <c r="I132" s="15">
        <f t="shared" si="7"/>
        <v>9.9999961093999445E-6</v>
      </c>
      <c r="J132" s="63"/>
      <c r="K132" s="15">
        <v>45220.39918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>
        <v>3254.5021000000002</v>
      </c>
      <c r="AC132" s="15"/>
      <c r="AD132" s="15"/>
      <c r="AE132" s="15">
        <v>-5.7321099999999996</v>
      </c>
      <c r="AF132" s="15"/>
    </row>
    <row r="133" spans="2:32" ht="16" customHeight="1" x14ac:dyDescent="0.35">
      <c r="B133" s="14" t="s">
        <v>595</v>
      </c>
      <c r="C133" s="14" t="s">
        <v>596</v>
      </c>
      <c r="D133" s="61"/>
      <c r="E133" s="30">
        <v>0</v>
      </c>
      <c r="F133" s="63"/>
      <c r="G133" s="15">
        <f t="shared" si="6"/>
        <v>0</v>
      </c>
      <c r="H133" s="63"/>
      <c r="I133" s="15">
        <f t="shared" si="7"/>
        <v>0</v>
      </c>
      <c r="J133" s="63"/>
      <c r="K133" s="15"/>
      <c r="L133" s="15"/>
      <c r="M133" s="15"/>
      <c r="N133" s="15"/>
      <c r="O133" s="15"/>
      <c r="P133" s="15"/>
      <c r="Q133" s="15"/>
      <c r="R133" s="15">
        <v>-30900</v>
      </c>
      <c r="S133" s="15">
        <v>37900</v>
      </c>
      <c r="T133" s="15"/>
      <c r="U133" s="15"/>
      <c r="V133" s="15"/>
      <c r="W133" s="15"/>
      <c r="X133" s="15">
        <v>-7000</v>
      </c>
      <c r="Y133" s="15"/>
      <c r="Z133" s="15"/>
      <c r="AA133" s="15"/>
      <c r="AB133" s="15"/>
      <c r="AC133" s="15"/>
      <c r="AD133" s="15"/>
      <c r="AE133" s="15"/>
      <c r="AF133" s="15"/>
    </row>
    <row r="134" spans="2:32" ht="16" customHeight="1" x14ac:dyDescent="0.35">
      <c r="B134" s="14" t="s">
        <v>1393</v>
      </c>
      <c r="C134" s="14" t="s">
        <v>1394</v>
      </c>
      <c r="D134" s="61"/>
      <c r="E134" s="30"/>
      <c r="F134" s="63"/>
      <c r="G134" s="15">
        <f t="shared" si="6"/>
        <v>0</v>
      </c>
      <c r="H134" s="63"/>
      <c r="I134" s="15">
        <f t="shared" si="7"/>
        <v>0</v>
      </c>
      <c r="J134" s="63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</row>
    <row r="135" spans="2:32" ht="16" customHeight="1" x14ac:dyDescent="0.35">
      <c r="B135" s="14" t="s">
        <v>1395</v>
      </c>
      <c r="C135" s="14" t="s">
        <v>1396</v>
      </c>
      <c r="D135" s="61"/>
      <c r="E135" s="30">
        <v>3583.6652100000001</v>
      </c>
      <c r="F135" s="63"/>
      <c r="G135" s="15">
        <f t="shared" si="6"/>
        <v>3583.6652099999997</v>
      </c>
      <c r="H135" s="63"/>
      <c r="I135" s="15">
        <f t="shared" si="7"/>
        <v>0</v>
      </c>
      <c r="J135" s="63"/>
      <c r="K135" s="15">
        <v>4623.1684299999997</v>
      </c>
      <c r="L135" s="15"/>
      <c r="M135" s="15"/>
      <c r="N135" s="15"/>
      <c r="O135" s="15"/>
      <c r="P135" s="15"/>
      <c r="Q135" s="15"/>
      <c r="R135" s="15">
        <v>-1039.5032200000001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spans="2:32" ht="16" customHeight="1" x14ac:dyDescent="0.35">
      <c r="B136" s="14" t="s">
        <v>1397</v>
      </c>
      <c r="C136" s="14" t="s">
        <v>1398</v>
      </c>
      <c r="D136" s="61"/>
      <c r="E136" s="30"/>
      <c r="F136" s="63"/>
      <c r="G136" s="15">
        <f t="shared" si="6"/>
        <v>0</v>
      </c>
      <c r="H136" s="63"/>
      <c r="I136" s="15">
        <f t="shared" si="7"/>
        <v>0</v>
      </c>
      <c r="J136" s="63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</row>
    <row r="137" spans="2:32" ht="16" customHeight="1" x14ac:dyDescent="0.35">
      <c r="B137" s="14" t="s">
        <v>1399</v>
      </c>
      <c r="C137" s="14" t="s">
        <v>1400</v>
      </c>
      <c r="D137" s="61"/>
      <c r="E137" s="30"/>
      <c r="F137" s="63"/>
      <c r="G137" s="15">
        <f t="shared" si="6"/>
        <v>0</v>
      </c>
      <c r="H137" s="63"/>
      <c r="I137" s="15">
        <f t="shared" si="7"/>
        <v>0</v>
      </c>
      <c r="J137" s="63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spans="2:32" ht="16" customHeight="1" x14ac:dyDescent="0.35">
      <c r="B138" s="14" t="s">
        <v>1401</v>
      </c>
      <c r="C138" s="14" t="s">
        <v>1402</v>
      </c>
      <c r="D138" s="61"/>
      <c r="E138" s="30"/>
      <c r="F138" s="63"/>
      <c r="G138" s="15">
        <f t="shared" si="6"/>
        <v>0</v>
      </c>
      <c r="H138" s="63"/>
      <c r="I138" s="15">
        <f t="shared" si="7"/>
        <v>0</v>
      </c>
      <c r="J138" s="63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spans="2:32" ht="16" customHeight="1" x14ac:dyDescent="0.35">
      <c r="B139" s="14" t="s">
        <v>1403</v>
      </c>
      <c r="C139" s="14" t="s">
        <v>1404</v>
      </c>
      <c r="D139" s="61"/>
      <c r="E139" s="30">
        <v>999.19690000000003</v>
      </c>
      <c r="F139" s="63"/>
      <c r="G139" s="15">
        <f t="shared" si="6"/>
        <v>999.19690000000003</v>
      </c>
      <c r="H139" s="63"/>
      <c r="I139" s="15">
        <f t="shared" si="7"/>
        <v>0</v>
      </c>
      <c r="J139" s="63"/>
      <c r="K139" s="15">
        <v>8.6975800000000003</v>
      </c>
      <c r="L139" s="15"/>
      <c r="M139" s="15">
        <v>985.49744999999996</v>
      </c>
      <c r="N139" s="15"/>
      <c r="O139" s="15"/>
      <c r="P139" s="15"/>
      <c r="Q139" s="15"/>
      <c r="R139" s="15">
        <v>5.0018700000000003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</row>
    <row r="140" spans="2:32" ht="16" customHeight="1" x14ac:dyDescent="0.35">
      <c r="B140" s="14" t="s">
        <v>566</v>
      </c>
      <c r="C140" s="14" t="s">
        <v>1389</v>
      </c>
      <c r="D140" s="61"/>
      <c r="E140" s="30">
        <v>21212.34851</v>
      </c>
      <c r="F140" s="63"/>
      <c r="G140" s="15">
        <f t="shared" si="6"/>
        <v>21212.34851</v>
      </c>
      <c r="H140" s="63"/>
      <c r="I140" s="15">
        <f t="shared" si="7"/>
        <v>0</v>
      </c>
      <c r="J140" s="63"/>
      <c r="K140" s="15">
        <v>12615.555130000001</v>
      </c>
      <c r="L140" s="15"/>
      <c r="M140" s="15"/>
      <c r="N140" s="15"/>
      <c r="O140" s="15"/>
      <c r="P140" s="15"/>
      <c r="Q140" s="15"/>
      <c r="R140" s="15">
        <v>8596.7953899999993</v>
      </c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>
        <v>2.9999999999999997E-4</v>
      </c>
      <c r="AD140" s="15"/>
      <c r="AE140" s="15">
        <v>-2.31E-3</v>
      </c>
      <c r="AF140" s="15"/>
    </row>
    <row r="141" spans="2:32" ht="16" customHeight="1" x14ac:dyDescent="0.35">
      <c r="B141" s="14" t="s">
        <v>615</v>
      </c>
      <c r="C141" s="14" t="s">
        <v>1409</v>
      </c>
      <c r="D141" s="61"/>
      <c r="E141" s="30">
        <v>17938.17454</v>
      </c>
      <c r="F141" s="63"/>
      <c r="G141" s="15">
        <f t="shared" si="6"/>
        <v>17938.17555</v>
      </c>
      <c r="H141" s="63"/>
      <c r="I141" s="15">
        <f t="shared" si="7"/>
        <v>-1.0099999999511056E-3</v>
      </c>
      <c r="J141" s="63"/>
      <c r="K141" s="15">
        <v>13456.55601</v>
      </c>
      <c r="L141" s="15"/>
      <c r="M141" s="15"/>
      <c r="N141" s="15"/>
      <c r="O141" s="15"/>
      <c r="P141" s="15">
        <v>699.65418999999997</v>
      </c>
      <c r="Q141" s="15"/>
      <c r="R141" s="15">
        <v>4494.4689399999997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>
        <v>-3.2374800000000001</v>
      </c>
      <c r="AD141" s="15"/>
      <c r="AE141" s="15">
        <v>-9.6119199999999996</v>
      </c>
      <c r="AF141" s="15">
        <v>-699.65418999999997</v>
      </c>
    </row>
    <row r="142" spans="2:32" ht="16" customHeight="1" x14ac:dyDescent="0.35">
      <c r="B142" s="14" t="s">
        <v>568</v>
      </c>
      <c r="C142" s="14" t="s">
        <v>1390</v>
      </c>
      <c r="D142" s="61"/>
      <c r="E142" s="30"/>
      <c r="F142" s="63"/>
      <c r="G142" s="15">
        <f t="shared" si="6"/>
        <v>0</v>
      </c>
      <c r="H142" s="63"/>
      <c r="I142" s="15">
        <f t="shared" si="7"/>
        <v>0</v>
      </c>
      <c r="J142" s="63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</row>
    <row r="143" spans="2:32" ht="16" customHeight="1" x14ac:dyDescent="0.35">
      <c r="B143" s="14" t="s">
        <v>617</v>
      </c>
      <c r="C143" s="14" t="s">
        <v>1410</v>
      </c>
      <c r="D143" s="61"/>
      <c r="E143" s="30"/>
      <c r="F143" s="63"/>
      <c r="G143" s="15">
        <f t="shared" si="6"/>
        <v>0</v>
      </c>
      <c r="H143" s="63"/>
      <c r="I143" s="15">
        <f t="shared" si="7"/>
        <v>0</v>
      </c>
      <c r="J143" s="63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</row>
    <row r="144" spans="2:32" ht="16" customHeight="1" x14ac:dyDescent="0.35">
      <c r="B144" s="14" t="s">
        <v>627</v>
      </c>
      <c r="C144" s="14" t="s">
        <v>1411</v>
      </c>
      <c r="D144" s="61"/>
      <c r="E144" s="30">
        <v>39802.934410000002</v>
      </c>
      <c r="F144" s="63"/>
      <c r="G144" s="15">
        <f t="shared" si="6"/>
        <v>39802.934410000002</v>
      </c>
      <c r="H144" s="63"/>
      <c r="I144" s="15">
        <f t="shared" si="7"/>
        <v>0</v>
      </c>
      <c r="J144" s="63"/>
      <c r="K144" s="15">
        <v>42675.3586</v>
      </c>
      <c r="L144" s="15"/>
      <c r="M144" s="15">
        <v>667.05884000000003</v>
      </c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>
        <v>-3535.3271500000001</v>
      </c>
      <c r="AC144" s="15"/>
      <c r="AD144" s="15"/>
      <c r="AE144" s="15">
        <v>-4.1558799999999998</v>
      </c>
      <c r="AF144" s="15"/>
    </row>
    <row r="145" spans="2:32" ht="16" customHeight="1" x14ac:dyDescent="0.35">
      <c r="B145" s="14" t="s">
        <v>572</v>
      </c>
      <c r="C145" s="14" t="s">
        <v>573</v>
      </c>
      <c r="D145" s="61"/>
      <c r="E145" s="30">
        <v>7420.20136</v>
      </c>
      <c r="F145" s="63"/>
      <c r="G145" s="15">
        <f t="shared" si="6"/>
        <v>7420.20136</v>
      </c>
      <c r="H145" s="63"/>
      <c r="I145" s="15">
        <f t="shared" si="7"/>
        <v>0</v>
      </c>
      <c r="J145" s="63"/>
      <c r="K145" s="15">
        <v>6435.22379</v>
      </c>
      <c r="L145" s="15"/>
      <c r="M145" s="15">
        <v>103.15730000000001</v>
      </c>
      <c r="N145" s="15"/>
      <c r="O145" s="15"/>
      <c r="P145" s="15"/>
      <c r="Q145" s="15"/>
      <c r="R145" s="15">
        <v>881.82027000000005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spans="2:32" ht="16" customHeight="1" x14ac:dyDescent="0.35">
      <c r="B146" s="14" t="s">
        <v>629</v>
      </c>
      <c r="C146" s="14" t="s">
        <v>1570</v>
      </c>
      <c r="D146" s="61"/>
      <c r="E146" s="30"/>
      <c r="F146" s="63"/>
      <c r="G146" s="15">
        <f t="shared" si="6"/>
        <v>0</v>
      </c>
      <c r="H146" s="63"/>
      <c r="I146" s="15">
        <f t="shared" si="7"/>
        <v>0</v>
      </c>
      <c r="J146" s="63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spans="2:32" ht="16" customHeight="1" x14ac:dyDescent="0.35">
      <c r="B147" s="14" t="s">
        <v>570</v>
      </c>
      <c r="C147" s="14" t="s">
        <v>1392</v>
      </c>
      <c r="D147" s="61"/>
      <c r="E147" s="30">
        <v>199158.95551</v>
      </c>
      <c r="F147" s="63"/>
      <c r="G147" s="15">
        <f t="shared" si="6"/>
        <v>199158.95552000002</v>
      </c>
      <c r="H147" s="63"/>
      <c r="I147" s="15">
        <f t="shared" si="7"/>
        <v>-1.0000017937272787E-5</v>
      </c>
      <c r="J147" s="63"/>
      <c r="K147" s="15">
        <v>240935.70840999999</v>
      </c>
      <c r="L147" s="15"/>
      <c r="M147" s="15">
        <v>10568.983679999999</v>
      </c>
      <c r="N147" s="15"/>
      <c r="O147" s="15"/>
      <c r="P147" s="15">
        <v>1856.6769899999999</v>
      </c>
      <c r="Q147" s="15"/>
      <c r="R147" s="15">
        <v>-52001.390099999997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>
        <v>0</v>
      </c>
      <c r="AC147" s="15">
        <v>244.28253000000001</v>
      </c>
      <c r="AD147" s="15"/>
      <c r="AE147" s="15">
        <v>-57.534649999999999</v>
      </c>
      <c r="AF147" s="15">
        <v>-2387.7713399999998</v>
      </c>
    </row>
    <row r="148" spans="2:32" ht="16" customHeight="1" x14ac:dyDescent="0.35">
      <c r="B148" s="14" t="s">
        <v>643</v>
      </c>
      <c r="C148" s="14" t="s">
        <v>1571</v>
      </c>
      <c r="D148" s="61"/>
      <c r="E148" s="30"/>
      <c r="F148" s="63"/>
      <c r="G148" s="15">
        <f t="shared" si="6"/>
        <v>0</v>
      </c>
      <c r="H148" s="63"/>
      <c r="I148" s="15">
        <f t="shared" si="7"/>
        <v>0</v>
      </c>
      <c r="J148" s="63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 spans="2:32" ht="16" customHeight="1" x14ac:dyDescent="0.35">
      <c r="B149" s="14" t="s">
        <v>621</v>
      </c>
      <c r="C149" s="14" t="s">
        <v>1572</v>
      </c>
      <c r="D149" s="61"/>
      <c r="E149" s="30">
        <v>12392.874159999999</v>
      </c>
      <c r="F149" s="63"/>
      <c r="G149" s="15">
        <f t="shared" si="6"/>
        <v>12392.874169999999</v>
      </c>
      <c r="H149" s="63"/>
      <c r="I149" s="15">
        <f t="shared" si="7"/>
        <v>-9.9999997473787516E-6</v>
      </c>
      <c r="J149" s="63"/>
      <c r="K149" s="15">
        <v>21208.232459999999</v>
      </c>
      <c r="L149" s="15"/>
      <c r="M149" s="15"/>
      <c r="N149" s="15"/>
      <c r="O149" s="15"/>
      <c r="P149" s="15"/>
      <c r="Q149" s="15"/>
      <c r="R149" s="15">
        <v>-8814.0046899999998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>
        <v>-1.3535999999999999</v>
      </c>
      <c r="AF149" s="15"/>
    </row>
    <row r="150" spans="2:32" ht="16" customHeight="1" x14ac:dyDescent="0.35">
      <c r="B150" s="14" t="s">
        <v>623</v>
      </c>
      <c r="C150" s="14" t="s">
        <v>1406</v>
      </c>
      <c r="D150" s="61"/>
      <c r="E150" s="30">
        <v>0</v>
      </c>
      <c r="F150" s="63"/>
      <c r="G150" s="15">
        <f t="shared" si="6"/>
        <v>0</v>
      </c>
      <c r="H150" s="63"/>
      <c r="I150" s="15">
        <f t="shared" si="7"/>
        <v>0</v>
      </c>
      <c r="J150" s="63"/>
      <c r="K150" s="15">
        <v>0</v>
      </c>
      <c r="L150" s="15"/>
      <c r="M150" s="15">
        <v>-10300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>
        <v>10300</v>
      </c>
      <c r="AD150" s="15"/>
      <c r="AE150" s="15"/>
      <c r="AF150" s="15"/>
    </row>
    <row r="151" spans="2:32" ht="16" customHeight="1" x14ac:dyDescent="0.35">
      <c r="B151" s="14" t="s">
        <v>625</v>
      </c>
      <c r="C151" s="14" t="s">
        <v>1407</v>
      </c>
      <c r="D151" s="61"/>
      <c r="E151" s="30">
        <v>5092.0617000000002</v>
      </c>
      <c r="F151" s="63"/>
      <c r="G151" s="15">
        <f t="shared" si="6"/>
        <v>5092.0617000000011</v>
      </c>
      <c r="H151" s="63"/>
      <c r="I151" s="15">
        <f t="shared" si="7"/>
        <v>0</v>
      </c>
      <c r="J151" s="63"/>
      <c r="K151" s="15">
        <v>16129.384340000001</v>
      </c>
      <c r="L151" s="15"/>
      <c r="M151" s="15"/>
      <c r="N151" s="15"/>
      <c r="O151" s="15"/>
      <c r="P151" s="15"/>
      <c r="Q151" s="15"/>
      <c r="R151" s="15">
        <v>-11037.088299999999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>
        <v>-0.23433999999999999</v>
      </c>
      <c r="AF151" s="15"/>
    </row>
    <row r="152" spans="2:32" ht="16" customHeight="1" x14ac:dyDescent="0.35">
      <c r="B152" s="14" t="s">
        <v>619</v>
      </c>
      <c r="C152" s="14" t="s">
        <v>1408</v>
      </c>
      <c r="D152" s="61"/>
      <c r="E152" s="30">
        <v>57983.203079999999</v>
      </c>
      <c r="F152" s="63"/>
      <c r="G152" s="15">
        <f t="shared" si="6"/>
        <v>57983.203049999996</v>
      </c>
      <c r="H152" s="63"/>
      <c r="I152" s="15">
        <f t="shared" si="7"/>
        <v>3.0000002880115062E-5</v>
      </c>
      <c r="J152" s="63"/>
      <c r="K152" s="15">
        <v>48512.260419999999</v>
      </c>
      <c r="L152" s="15"/>
      <c r="M152" s="15">
        <v>8601.8243700000003</v>
      </c>
      <c r="N152" s="15"/>
      <c r="O152" s="15"/>
      <c r="P152" s="15">
        <v>2778.2401399999999</v>
      </c>
      <c r="Q152" s="15"/>
      <c r="R152" s="15">
        <v>909.62540000000001</v>
      </c>
      <c r="S152" s="15"/>
      <c r="T152" s="15"/>
      <c r="U152" s="15"/>
      <c r="V152" s="15"/>
      <c r="W152" s="15"/>
      <c r="X152" s="15"/>
      <c r="Y152" s="15"/>
      <c r="Z152" s="15"/>
      <c r="AA152" s="15"/>
      <c r="AB152" s="15">
        <v>0</v>
      </c>
      <c r="AC152" s="15">
        <v>0</v>
      </c>
      <c r="AD152" s="15"/>
      <c r="AE152" s="15">
        <v>-40.50714</v>
      </c>
      <c r="AF152" s="15">
        <v>-2778.2401399999999</v>
      </c>
    </row>
    <row r="153" spans="2:32" ht="16" customHeight="1" x14ac:dyDescent="0.35">
      <c r="B153" s="14" t="s">
        <v>1413</v>
      </c>
      <c r="C153" s="14" t="s">
        <v>1414</v>
      </c>
      <c r="D153" s="61"/>
      <c r="E153" s="30"/>
      <c r="F153" s="63"/>
      <c r="G153" s="15">
        <f t="shared" si="6"/>
        <v>0</v>
      </c>
      <c r="H153" s="63"/>
      <c r="I153" s="15">
        <f t="shared" si="7"/>
        <v>0</v>
      </c>
      <c r="J153" s="63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</row>
    <row r="154" spans="2:32" ht="16" customHeight="1" x14ac:dyDescent="0.35">
      <c r="B154" s="14" t="s">
        <v>1415</v>
      </c>
      <c r="C154" s="14" t="s">
        <v>1416</v>
      </c>
      <c r="D154" s="61"/>
      <c r="E154" s="30">
        <v>31294.3498</v>
      </c>
      <c r="F154" s="63"/>
      <c r="G154" s="15">
        <f t="shared" si="6"/>
        <v>31294.349800000004</v>
      </c>
      <c r="H154" s="63"/>
      <c r="I154" s="15">
        <f t="shared" si="7"/>
        <v>0</v>
      </c>
      <c r="J154" s="63"/>
      <c r="K154" s="15">
        <v>30305.243020000002</v>
      </c>
      <c r="L154" s="15"/>
      <c r="M154" s="15"/>
      <c r="N154" s="15"/>
      <c r="O154" s="15"/>
      <c r="P154" s="15">
        <v>337.62565999999998</v>
      </c>
      <c r="Q154" s="15"/>
      <c r="R154" s="15"/>
      <c r="S154" s="15"/>
      <c r="T154" s="15"/>
      <c r="U154" s="15"/>
      <c r="V154" s="15"/>
      <c r="W154" s="15">
        <v>-170.4288</v>
      </c>
      <c r="X154" s="15"/>
      <c r="Y154" s="15">
        <v>0</v>
      </c>
      <c r="Z154" s="15"/>
      <c r="AA154" s="15"/>
      <c r="AB154" s="15">
        <v>1165.0637300000001</v>
      </c>
      <c r="AC154" s="15"/>
      <c r="AD154" s="15"/>
      <c r="AE154" s="15">
        <v>-5.5281500000000001</v>
      </c>
      <c r="AF154" s="15">
        <v>-337.62565999999998</v>
      </c>
    </row>
    <row r="155" spans="2:32" ht="16" customHeight="1" x14ac:dyDescent="0.35">
      <c r="B155" s="14" t="s">
        <v>1417</v>
      </c>
      <c r="C155" s="14" t="s">
        <v>1418</v>
      </c>
      <c r="D155" s="61"/>
      <c r="E155" s="30">
        <v>11474.86465</v>
      </c>
      <c r="F155" s="63"/>
      <c r="G155" s="15">
        <f t="shared" ref="G155:G217" si="8">SUM(K155:AF155)</f>
        <v>11474.86465</v>
      </c>
      <c r="H155" s="63"/>
      <c r="I155" s="15">
        <f t="shared" si="7"/>
        <v>0</v>
      </c>
      <c r="J155" s="63"/>
      <c r="K155" s="15">
        <v>9893.8925199999994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>
        <v>-147.44504000000001</v>
      </c>
      <c r="X155" s="15"/>
      <c r="Y155" s="15">
        <v>-327.76945000000001</v>
      </c>
      <c r="Z155" s="15"/>
      <c r="AA155" s="15"/>
      <c r="AB155" s="15">
        <v>2056.4933099999998</v>
      </c>
      <c r="AC155" s="15"/>
      <c r="AD155" s="15"/>
      <c r="AE155" s="15">
        <v>-0.30669000000000002</v>
      </c>
      <c r="AF155" s="15"/>
    </row>
    <row r="156" spans="2:32" ht="16" customHeight="1" x14ac:dyDescent="0.35">
      <c r="B156" s="14" t="s">
        <v>1419</v>
      </c>
      <c r="C156" s="14" t="s">
        <v>1420</v>
      </c>
      <c r="D156" s="61"/>
      <c r="E156" s="30">
        <v>11091.47</v>
      </c>
      <c r="F156" s="63"/>
      <c r="G156" s="15">
        <f t="shared" si="8"/>
        <v>11091.470000000001</v>
      </c>
      <c r="H156" s="63"/>
      <c r="I156" s="15">
        <f t="shared" si="7"/>
        <v>0</v>
      </c>
      <c r="J156" s="63"/>
      <c r="K156" s="15">
        <v>1704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>
        <v>745.47</v>
      </c>
      <c r="X156" s="15"/>
      <c r="Y156" s="15">
        <v>-358</v>
      </c>
      <c r="Z156" s="15"/>
      <c r="AA156" s="15"/>
      <c r="AB156" s="15">
        <v>9000</v>
      </c>
      <c r="AC156" s="15"/>
      <c r="AD156" s="15"/>
      <c r="AE156" s="15"/>
      <c r="AF156" s="15"/>
    </row>
    <row r="157" spans="2:32" ht="16" customHeight="1" x14ac:dyDescent="0.35">
      <c r="B157" s="14" t="s">
        <v>1421</v>
      </c>
      <c r="C157" s="14" t="s">
        <v>1422</v>
      </c>
      <c r="D157" s="61"/>
      <c r="E157" s="30">
        <v>0</v>
      </c>
      <c r="F157" s="63"/>
      <c r="G157" s="15">
        <f t="shared" si="8"/>
        <v>0</v>
      </c>
      <c r="H157" s="63"/>
      <c r="I157" s="15">
        <f t="shared" si="7"/>
        <v>0</v>
      </c>
      <c r="J157" s="63"/>
      <c r="K157" s="15">
        <v>0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</row>
    <row r="158" spans="2:32" ht="16" customHeight="1" x14ac:dyDescent="0.35">
      <c r="B158" s="14" t="s">
        <v>1423</v>
      </c>
      <c r="C158" s="14" t="s">
        <v>1424</v>
      </c>
      <c r="D158" s="61"/>
      <c r="E158" s="30"/>
      <c r="F158" s="63"/>
      <c r="G158" s="15">
        <f t="shared" si="8"/>
        <v>0</v>
      </c>
      <c r="H158" s="63"/>
      <c r="I158" s="15">
        <f t="shared" si="7"/>
        <v>0</v>
      </c>
      <c r="J158" s="63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spans="2:32" ht="16" customHeight="1" x14ac:dyDescent="0.35">
      <c r="B159" s="14" t="s">
        <v>602</v>
      </c>
      <c r="C159" s="14" t="s">
        <v>1427</v>
      </c>
      <c r="D159" s="61"/>
      <c r="E159" s="30">
        <v>10714.47775</v>
      </c>
      <c r="F159" s="63"/>
      <c r="G159" s="15">
        <f t="shared" si="8"/>
        <v>10714.477749999998</v>
      </c>
      <c r="H159" s="63"/>
      <c r="I159" s="15">
        <f t="shared" si="7"/>
        <v>0</v>
      </c>
      <c r="J159" s="63"/>
      <c r="K159" s="15">
        <v>24782.60399</v>
      </c>
      <c r="L159" s="15"/>
      <c r="M159" s="15">
        <v>-1299.9994999999999</v>
      </c>
      <c r="N159" s="15"/>
      <c r="O159" s="15"/>
      <c r="P159" s="15">
        <v>602.19975999999997</v>
      </c>
      <c r="Q159" s="15"/>
      <c r="R159" s="15">
        <v>-16877.200499999999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>
        <v>4117.1589299999996</v>
      </c>
      <c r="AC159" s="15"/>
      <c r="AD159" s="15"/>
      <c r="AE159" s="15">
        <v>-8.0851699999999997</v>
      </c>
      <c r="AF159" s="15">
        <v>-602.19975999999997</v>
      </c>
    </row>
    <row r="160" spans="2:32" ht="16" customHeight="1" x14ac:dyDescent="0.35">
      <c r="B160" s="14" t="s">
        <v>604</v>
      </c>
      <c r="C160" s="14" t="s">
        <v>1428</v>
      </c>
      <c r="D160" s="61"/>
      <c r="E160" s="30"/>
      <c r="F160" s="63"/>
      <c r="G160" s="15">
        <f t="shared" si="8"/>
        <v>0</v>
      </c>
      <c r="H160" s="63"/>
      <c r="I160" s="15">
        <f t="shared" si="7"/>
        <v>0</v>
      </c>
      <c r="J160" s="63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</row>
    <row r="161" spans="2:32" ht="16" customHeight="1" x14ac:dyDescent="0.35">
      <c r="B161" s="14" t="s">
        <v>1425</v>
      </c>
      <c r="C161" s="14" t="s">
        <v>1426</v>
      </c>
      <c r="D161" s="61"/>
      <c r="E161" s="30">
        <v>831.72064</v>
      </c>
      <c r="F161" s="63"/>
      <c r="G161" s="15">
        <f t="shared" si="8"/>
        <v>831.72064</v>
      </c>
      <c r="H161" s="63"/>
      <c r="I161" s="15">
        <f t="shared" si="7"/>
        <v>0</v>
      </c>
      <c r="J161" s="63"/>
      <c r="K161" s="15"/>
      <c r="L161" s="15"/>
      <c r="M161" s="15">
        <v>768.38798999999995</v>
      </c>
      <c r="N161" s="15"/>
      <c r="O161" s="15"/>
      <c r="P161" s="15"/>
      <c r="Q161" s="15"/>
      <c r="R161" s="15"/>
      <c r="S161" s="15"/>
      <c r="T161" s="15"/>
      <c r="U161" s="15"/>
      <c r="V161" s="15"/>
      <c r="W161" s="15">
        <v>63.332650000000001</v>
      </c>
      <c r="X161" s="15"/>
      <c r="Y161" s="15"/>
      <c r="Z161" s="15"/>
      <c r="AA161" s="15"/>
      <c r="AB161" s="15"/>
      <c r="AC161" s="15"/>
      <c r="AD161" s="15"/>
      <c r="AE161" s="15"/>
      <c r="AF161" s="15"/>
    </row>
    <row r="162" spans="2:32" ht="16" customHeight="1" x14ac:dyDescent="0.35">
      <c r="B162" s="14" t="s">
        <v>631</v>
      </c>
      <c r="C162" s="14" t="s">
        <v>632</v>
      </c>
      <c r="D162" s="61"/>
      <c r="E162" s="30"/>
      <c r="F162" s="63"/>
      <c r="G162" s="15">
        <f t="shared" si="8"/>
        <v>0</v>
      </c>
      <c r="H162" s="63"/>
      <c r="I162" s="15">
        <f t="shared" si="7"/>
        <v>0</v>
      </c>
      <c r="J162" s="63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 spans="2:32" ht="16" customHeight="1" x14ac:dyDescent="0.35">
      <c r="B163" s="14" t="s">
        <v>633</v>
      </c>
      <c r="C163" s="14" t="s">
        <v>634</v>
      </c>
      <c r="D163" s="61"/>
      <c r="E163" s="30"/>
      <c r="F163" s="63"/>
      <c r="G163" s="15">
        <f t="shared" si="8"/>
        <v>0</v>
      </c>
      <c r="H163" s="63"/>
      <c r="I163" s="15">
        <f t="shared" si="7"/>
        <v>0</v>
      </c>
      <c r="J163" s="63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</row>
    <row r="164" spans="2:32" ht="16" customHeight="1" x14ac:dyDescent="0.35">
      <c r="B164" s="14" t="s">
        <v>635</v>
      </c>
      <c r="C164" s="14" t="s">
        <v>636</v>
      </c>
      <c r="D164" s="61"/>
      <c r="E164" s="30">
        <v>-1.796</v>
      </c>
      <c r="F164" s="63"/>
      <c r="G164" s="15">
        <f t="shared" si="8"/>
        <v>-1.798</v>
      </c>
      <c r="H164" s="63"/>
      <c r="I164" s="15">
        <f t="shared" si="7"/>
        <v>2.0000000000000018E-3</v>
      </c>
      <c r="J164" s="63"/>
      <c r="K164" s="15">
        <v>29.867999999999999</v>
      </c>
      <c r="L164" s="15"/>
      <c r="M164" s="15"/>
      <c r="N164" s="15"/>
      <c r="O164" s="15"/>
      <c r="P164" s="15"/>
      <c r="Q164" s="15"/>
      <c r="R164" s="15">
        <v>-29.824999999999999</v>
      </c>
      <c r="S164" s="15"/>
      <c r="T164" s="15"/>
      <c r="U164" s="15"/>
      <c r="V164" s="15"/>
      <c r="W164" s="15"/>
      <c r="X164" s="15"/>
      <c r="Y164" s="15"/>
      <c r="Z164" s="15"/>
      <c r="AA164" s="15"/>
      <c r="AB164" s="15">
        <v>-0.622</v>
      </c>
      <c r="AC164" s="15">
        <v>-11.055</v>
      </c>
      <c r="AD164" s="15"/>
      <c r="AE164" s="15">
        <v>9.8360000000000003</v>
      </c>
      <c r="AF164" s="15"/>
    </row>
    <row r="165" spans="2:32" ht="16" customHeight="1" x14ac:dyDescent="0.35">
      <c r="B165" s="14" t="s">
        <v>648</v>
      </c>
      <c r="C165" s="14" t="s">
        <v>1433</v>
      </c>
      <c r="D165" s="61"/>
      <c r="E165" s="30">
        <v>578910.09525000001</v>
      </c>
      <c r="F165" s="63"/>
      <c r="G165" s="15">
        <f t="shared" si="8"/>
        <v>578910.09525000001</v>
      </c>
      <c r="H165" s="63"/>
      <c r="I165" s="15">
        <f t="shared" si="7"/>
        <v>0</v>
      </c>
      <c r="J165" s="63"/>
      <c r="K165" s="15">
        <v>552583.19484000001</v>
      </c>
      <c r="L165" s="15"/>
      <c r="M165" s="15"/>
      <c r="N165" s="15"/>
      <c r="O165" s="15"/>
      <c r="P165" s="15"/>
      <c r="Q165" s="15"/>
      <c r="R165" s="15">
        <v>-5.1999999999999995E-4</v>
      </c>
      <c r="S165" s="15">
        <v>31694.179970000001</v>
      </c>
      <c r="T165" s="15"/>
      <c r="U165" s="15"/>
      <c r="V165" s="15"/>
      <c r="W165" s="15"/>
      <c r="X165" s="15"/>
      <c r="Y165" s="15"/>
      <c r="Z165" s="15"/>
      <c r="AA165" s="15"/>
      <c r="AB165" s="15">
        <v>-4117.1590200000001</v>
      </c>
      <c r="AC165" s="15">
        <v>0</v>
      </c>
      <c r="AD165" s="15"/>
      <c r="AE165" s="15">
        <v>-1250.1200200000001</v>
      </c>
      <c r="AF165" s="15"/>
    </row>
    <row r="166" spans="2:32" ht="16" customHeight="1" x14ac:dyDescent="0.35">
      <c r="B166" s="14" t="s">
        <v>650</v>
      </c>
      <c r="C166" s="14" t="s">
        <v>1573</v>
      </c>
      <c r="D166" s="61"/>
      <c r="E166" s="30"/>
      <c r="F166" s="63"/>
      <c r="G166" s="15">
        <f t="shared" si="8"/>
        <v>0</v>
      </c>
      <c r="H166" s="63"/>
      <c r="I166" s="15">
        <f t="shared" si="7"/>
        <v>0</v>
      </c>
      <c r="J166" s="63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</row>
    <row r="167" spans="2:32" ht="16" customHeight="1" x14ac:dyDescent="0.35">
      <c r="B167" s="14" t="s">
        <v>652</v>
      </c>
      <c r="C167" s="14" t="s">
        <v>1574</v>
      </c>
      <c r="D167" s="61"/>
      <c r="E167" s="30"/>
      <c r="F167" s="63"/>
      <c r="G167" s="15">
        <f t="shared" si="8"/>
        <v>0</v>
      </c>
      <c r="H167" s="63"/>
      <c r="I167" s="15">
        <f t="shared" si="7"/>
        <v>0</v>
      </c>
      <c r="J167" s="63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 spans="2:32" ht="16" customHeight="1" x14ac:dyDescent="0.35">
      <c r="B168" s="14" t="s">
        <v>654</v>
      </c>
      <c r="C168" s="14" t="s">
        <v>1431</v>
      </c>
      <c r="D168" s="61"/>
      <c r="E168" s="30">
        <v>680.94407000000001</v>
      </c>
      <c r="F168" s="63"/>
      <c r="G168" s="15">
        <f t="shared" si="8"/>
        <v>680.94408000000021</v>
      </c>
      <c r="H168" s="63"/>
      <c r="I168" s="15">
        <f t="shared" si="7"/>
        <v>-1.0000000202126103E-5</v>
      </c>
      <c r="J168" s="63"/>
      <c r="K168" s="15">
        <v>888.07653000000005</v>
      </c>
      <c r="L168" s="15"/>
      <c r="M168" s="15">
        <v>-4.8999999999999998E-4</v>
      </c>
      <c r="N168" s="15"/>
      <c r="O168" s="15"/>
      <c r="P168" s="15">
        <v>888.07653000000005</v>
      </c>
      <c r="Q168" s="15"/>
      <c r="R168" s="15"/>
      <c r="S168" s="15">
        <v>4.8999999999999998E-4</v>
      </c>
      <c r="T168" s="15"/>
      <c r="U168" s="15"/>
      <c r="V168" s="15"/>
      <c r="W168" s="15"/>
      <c r="X168" s="15">
        <v>-195.41114999999999</v>
      </c>
      <c r="Y168" s="15"/>
      <c r="Z168" s="15"/>
      <c r="AA168" s="15"/>
      <c r="AB168" s="15"/>
      <c r="AC168" s="15"/>
      <c r="AD168" s="15"/>
      <c r="AE168" s="15">
        <v>-11.721299999999999</v>
      </c>
      <c r="AF168" s="15">
        <v>-888.07653000000005</v>
      </c>
    </row>
    <row r="169" spans="2:32" ht="16" customHeight="1" x14ac:dyDescent="0.35">
      <c r="B169" s="14" t="s">
        <v>656</v>
      </c>
      <c r="C169" s="14" t="s">
        <v>1432</v>
      </c>
      <c r="D169" s="61"/>
      <c r="E169" s="30">
        <v>70453.889330000005</v>
      </c>
      <c r="F169" s="63"/>
      <c r="G169" s="15">
        <f t="shared" si="8"/>
        <v>70453.889349999983</v>
      </c>
      <c r="H169" s="63"/>
      <c r="I169" s="15">
        <f t="shared" si="7"/>
        <v>-1.9999977666884661E-5</v>
      </c>
      <c r="J169" s="63"/>
      <c r="K169" s="15">
        <v>81381.291989999998</v>
      </c>
      <c r="L169" s="15"/>
      <c r="M169" s="15">
        <v>1690.66463</v>
      </c>
      <c r="N169" s="15"/>
      <c r="O169" s="15"/>
      <c r="P169" s="15"/>
      <c r="Q169" s="15"/>
      <c r="R169" s="15"/>
      <c r="S169" s="15">
        <v>-287.28796999999997</v>
      </c>
      <c r="T169" s="15">
        <v>16822.32949</v>
      </c>
      <c r="U169" s="15"/>
      <c r="V169" s="15"/>
      <c r="W169" s="15"/>
      <c r="X169" s="15">
        <v>-24508.711490000002</v>
      </c>
      <c r="Y169" s="15"/>
      <c r="Z169" s="15">
        <v>2609.9461700000002</v>
      </c>
      <c r="AA169" s="15"/>
      <c r="AB169" s="15">
        <v>3532.9085599999999</v>
      </c>
      <c r="AC169" s="15">
        <v>-10783.292310000001</v>
      </c>
      <c r="AD169" s="15"/>
      <c r="AE169" s="15">
        <v>-3.9597199999999999</v>
      </c>
      <c r="AF169" s="15"/>
    </row>
    <row r="170" spans="2:32" ht="16" customHeight="1" x14ac:dyDescent="0.35">
      <c r="B170" s="14" t="s">
        <v>663</v>
      </c>
      <c r="C170" s="14" t="s">
        <v>1575</v>
      </c>
      <c r="D170" s="61"/>
      <c r="E170" s="30">
        <v>24.42088</v>
      </c>
      <c r="F170" s="63"/>
      <c r="G170" s="15">
        <f t="shared" si="8"/>
        <v>24.420879999999997</v>
      </c>
      <c r="H170" s="63"/>
      <c r="I170" s="15">
        <f t="shared" si="7"/>
        <v>0</v>
      </c>
      <c r="J170" s="63"/>
      <c r="K170" s="15">
        <v>40.064639999999997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>
        <v>-15.64376</v>
      </c>
      <c r="AD170" s="15"/>
      <c r="AE170" s="15"/>
      <c r="AF170" s="15"/>
    </row>
    <row r="171" spans="2:32" ht="16" customHeight="1" x14ac:dyDescent="0.35">
      <c r="B171" s="14" t="s">
        <v>669</v>
      </c>
      <c r="C171" s="14" t="s">
        <v>670</v>
      </c>
      <c r="D171" s="61"/>
      <c r="E171" s="30">
        <v>260735.81271999999</v>
      </c>
      <c r="F171" s="63"/>
      <c r="G171" s="15">
        <f t="shared" si="8"/>
        <v>260735.81271999996</v>
      </c>
      <c r="H171" s="63"/>
      <c r="I171" s="15">
        <f t="shared" si="7"/>
        <v>0</v>
      </c>
      <c r="J171" s="63"/>
      <c r="K171" s="15">
        <v>191882.02361999999</v>
      </c>
      <c r="L171" s="15"/>
      <c r="M171" s="15">
        <v>75536.976999999999</v>
      </c>
      <c r="N171" s="15"/>
      <c r="O171" s="15"/>
      <c r="P171" s="15">
        <v>1043.9943699999999</v>
      </c>
      <c r="Q171" s="15"/>
      <c r="R171" s="15"/>
      <c r="S171" s="15"/>
      <c r="T171" s="15"/>
      <c r="U171" s="15"/>
      <c r="V171" s="15"/>
      <c r="W171" s="15">
        <v>-4674.3419999999996</v>
      </c>
      <c r="X171" s="15"/>
      <c r="Y171" s="15"/>
      <c r="Z171" s="15"/>
      <c r="AA171" s="15"/>
      <c r="AB171" s="15"/>
      <c r="AC171" s="15">
        <v>-1994.50666</v>
      </c>
      <c r="AD171" s="15"/>
      <c r="AE171" s="15">
        <v>-14.33924</v>
      </c>
      <c r="AF171" s="15">
        <v>-1043.9943699999999</v>
      </c>
    </row>
    <row r="172" spans="2:32" ht="16" customHeight="1" x14ac:dyDescent="0.35">
      <c r="B172" s="14" t="s">
        <v>1450</v>
      </c>
      <c r="C172" s="14" t="s">
        <v>1451</v>
      </c>
      <c r="D172" s="61"/>
      <c r="E172" s="30">
        <v>0</v>
      </c>
      <c r="F172" s="63"/>
      <c r="G172" s="15">
        <f t="shared" si="8"/>
        <v>0</v>
      </c>
      <c r="H172" s="63"/>
      <c r="I172" s="15">
        <f t="shared" si="7"/>
        <v>0</v>
      </c>
      <c r="J172" s="63"/>
      <c r="K172" s="15">
        <v>0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</row>
    <row r="173" spans="2:32" ht="16" customHeight="1" x14ac:dyDescent="0.35">
      <c r="B173" s="14" t="s">
        <v>1434</v>
      </c>
      <c r="C173" s="14" t="s">
        <v>1435</v>
      </c>
      <c r="D173" s="61"/>
      <c r="E173" s="30">
        <v>141995.80325</v>
      </c>
      <c r="F173" s="63"/>
      <c r="G173" s="15">
        <f t="shared" si="8"/>
        <v>141995.80324000001</v>
      </c>
      <c r="H173" s="63"/>
      <c r="I173" s="15">
        <f t="shared" si="7"/>
        <v>9.9999888334423304E-6</v>
      </c>
      <c r="J173" s="63"/>
      <c r="K173" s="15">
        <v>146004.78737999999</v>
      </c>
      <c r="L173" s="15"/>
      <c r="M173" s="15">
        <v>670</v>
      </c>
      <c r="N173" s="15"/>
      <c r="O173" s="15"/>
      <c r="P173" s="15">
        <v>1157.9955</v>
      </c>
      <c r="Q173" s="15"/>
      <c r="R173" s="15"/>
      <c r="S173" s="15"/>
      <c r="T173" s="15"/>
      <c r="U173" s="15"/>
      <c r="V173" s="15"/>
      <c r="W173" s="15">
        <v>-590.09918000000005</v>
      </c>
      <c r="X173" s="15"/>
      <c r="Y173" s="15">
        <v>-4916.4663200000005</v>
      </c>
      <c r="Z173" s="15">
        <v>3218.6956500000001</v>
      </c>
      <c r="AA173" s="15"/>
      <c r="AB173" s="15">
        <v>-1165.0637300000001</v>
      </c>
      <c r="AC173" s="15">
        <v>-1195.83068</v>
      </c>
      <c r="AD173" s="15"/>
      <c r="AE173" s="15">
        <v>-30.21988</v>
      </c>
      <c r="AF173" s="15">
        <v>-1157.9955</v>
      </c>
    </row>
    <row r="174" spans="2:32" ht="16" customHeight="1" x14ac:dyDescent="0.35">
      <c r="B174" s="14" t="s">
        <v>1436</v>
      </c>
      <c r="C174" s="14" t="s">
        <v>1437</v>
      </c>
      <c r="D174" s="61"/>
      <c r="E174" s="30">
        <v>0</v>
      </c>
      <c r="F174" s="63"/>
      <c r="G174" s="15">
        <f t="shared" si="8"/>
        <v>0</v>
      </c>
      <c r="H174" s="63"/>
      <c r="I174" s="15">
        <f t="shared" si="7"/>
        <v>0</v>
      </c>
      <c r="J174" s="63"/>
      <c r="K174" s="15">
        <v>9000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>
        <v>-9000</v>
      </c>
      <c r="AC174" s="15"/>
      <c r="AD174" s="15"/>
      <c r="AE174" s="15"/>
      <c r="AF174" s="15"/>
    </row>
    <row r="175" spans="2:32" ht="16" customHeight="1" x14ac:dyDescent="0.35">
      <c r="B175" s="14" t="s">
        <v>1438</v>
      </c>
      <c r="C175" s="14" t="s">
        <v>1439</v>
      </c>
      <c r="D175" s="61"/>
      <c r="E175" s="30"/>
      <c r="F175" s="63"/>
      <c r="G175" s="15">
        <f t="shared" si="8"/>
        <v>0</v>
      </c>
      <c r="H175" s="63"/>
      <c r="I175" s="15">
        <f t="shared" si="7"/>
        <v>0</v>
      </c>
      <c r="J175" s="63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</row>
    <row r="176" spans="2:32" ht="16" customHeight="1" x14ac:dyDescent="0.35">
      <c r="B176" s="14" t="s">
        <v>1440</v>
      </c>
      <c r="C176" s="14" t="s">
        <v>1441</v>
      </c>
      <c r="D176" s="61"/>
      <c r="E176" s="30">
        <v>271.86523</v>
      </c>
      <c r="F176" s="63"/>
      <c r="G176" s="15">
        <f t="shared" si="8"/>
        <v>271.86523</v>
      </c>
      <c r="H176" s="63"/>
      <c r="I176" s="15">
        <f t="shared" si="7"/>
        <v>0</v>
      </c>
      <c r="J176" s="63"/>
      <c r="K176" s="15">
        <v>361.02343999999999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>
        <v>326.51006999999998</v>
      </c>
      <c r="X176" s="15"/>
      <c r="Y176" s="15">
        <v>-415.66827999999998</v>
      </c>
      <c r="Z176" s="15"/>
      <c r="AA176" s="15"/>
      <c r="AB176" s="15"/>
      <c r="AC176" s="15"/>
      <c r="AD176" s="15"/>
      <c r="AE176" s="15"/>
      <c r="AF176" s="15"/>
    </row>
    <row r="177" spans="2:32" ht="16" customHeight="1" x14ac:dyDescent="0.35">
      <c r="B177" s="14" t="s">
        <v>1442</v>
      </c>
      <c r="C177" s="14" t="s">
        <v>1443</v>
      </c>
      <c r="D177" s="61"/>
      <c r="E177" s="30">
        <v>23449.3184</v>
      </c>
      <c r="F177" s="63"/>
      <c r="G177" s="15">
        <f t="shared" si="8"/>
        <v>23449.318400000004</v>
      </c>
      <c r="H177" s="63"/>
      <c r="I177" s="15">
        <f t="shared" si="7"/>
        <v>0</v>
      </c>
      <c r="J177" s="63"/>
      <c r="K177" s="15">
        <v>26220.185700000002</v>
      </c>
      <c r="L177" s="15"/>
      <c r="M177" s="15">
        <v>119.98341000000001</v>
      </c>
      <c r="N177" s="15"/>
      <c r="O177" s="15"/>
      <c r="P177" s="15"/>
      <c r="Q177" s="15"/>
      <c r="R177" s="15"/>
      <c r="S177" s="15"/>
      <c r="T177" s="15"/>
      <c r="U177" s="15"/>
      <c r="V177" s="15"/>
      <c r="W177" s="15">
        <v>3764.9674500000001</v>
      </c>
      <c r="X177" s="15"/>
      <c r="Y177" s="15">
        <v>-4598.8862300000001</v>
      </c>
      <c r="Z177" s="15"/>
      <c r="AA177" s="15"/>
      <c r="AB177" s="15">
        <v>-2056.4933099999998</v>
      </c>
      <c r="AC177" s="15"/>
      <c r="AD177" s="15"/>
      <c r="AE177" s="15">
        <v>-0.43862000000000001</v>
      </c>
      <c r="AF177" s="15"/>
    </row>
    <row r="178" spans="2:32" ht="16" customHeight="1" x14ac:dyDescent="0.35">
      <c r="B178" s="14" t="s">
        <v>1444</v>
      </c>
      <c r="C178" s="14" t="s">
        <v>1445</v>
      </c>
      <c r="D178" s="61"/>
      <c r="E178" s="30"/>
      <c r="F178" s="63"/>
      <c r="G178" s="15">
        <f t="shared" si="8"/>
        <v>0</v>
      </c>
      <c r="H178" s="63"/>
      <c r="I178" s="15">
        <f t="shared" si="7"/>
        <v>0</v>
      </c>
      <c r="J178" s="63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 spans="2:32" ht="16" customHeight="1" x14ac:dyDescent="0.35">
      <c r="B179" s="14" t="s">
        <v>1446</v>
      </c>
      <c r="C179" s="14" t="s">
        <v>1447</v>
      </c>
      <c r="D179" s="61"/>
      <c r="E179" s="30"/>
      <c r="F179" s="63"/>
      <c r="G179" s="15">
        <f t="shared" si="8"/>
        <v>0</v>
      </c>
      <c r="H179" s="63"/>
      <c r="I179" s="15">
        <f t="shared" si="7"/>
        <v>0</v>
      </c>
      <c r="J179" s="63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spans="2:32" ht="16" customHeight="1" x14ac:dyDescent="0.35">
      <c r="B180" s="14" t="s">
        <v>1448</v>
      </c>
      <c r="C180" s="14" t="s">
        <v>1449</v>
      </c>
      <c r="D180" s="61"/>
      <c r="E180" s="30"/>
      <c r="F180" s="63"/>
      <c r="G180" s="15">
        <f t="shared" si="8"/>
        <v>0</v>
      </c>
      <c r="H180" s="63"/>
      <c r="I180" s="15">
        <f t="shared" si="7"/>
        <v>0</v>
      </c>
      <c r="J180" s="63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 spans="2:32" ht="16" customHeight="1" x14ac:dyDescent="0.35">
      <c r="B181" s="14" t="s">
        <v>674</v>
      </c>
      <c r="C181" s="14" t="s">
        <v>1452</v>
      </c>
      <c r="D181" s="61"/>
      <c r="E181" s="30">
        <v>80414.377729999993</v>
      </c>
      <c r="F181" s="63"/>
      <c r="G181" s="15">
        <f t="shared" si="8"/>
        <v>80414.377720000004</v>
      </c>
      <c r="H181" s="63"/>
      <c r="I181" s="15">
        <f t="shared" si="7"/>
        <v>9.9999888334423304E-6</v>
      </c>
      <c r="J181" s="63"/>
      <c r="K181" s="15">
        <v>80976.490099999995</v>
      </c>
      <c r="L181" s="15"/>
      <c r="M181" s="15">
        <v>585.90682000000004</v>
      </c>
      <c r="N181" s="15"/>
      <c r="O181" s="15"/>
      <c r="P181" s="15"/>
      <c r="Q181" s="15"/>
      <c r="R181" s="15"/>
      <c r="S181" s="15"/>
      <c r="T181" s="15">
        <v>11522.52089</v>
      </c>
      <c r="U181" s="15"/>
      <c r="V181" s="15"/>
      <c r="W181" s="15"/>
      <c r="X181" s="15">
        <v>-21114.303</v>
      </c>
      <c r="Y181" s="15"/>
      <c r="Z181" s="15">
        <v>2821.4947299999999</v>
      </c>
      <c r="AA181" s="15"/>
      <c r="AB181" s="15">
        <v>-3460.5560599999999</v>
      </c>
      <c r="AC181" s="15">
        <v>9092.1729699999996</v>
      </c>
      <c r="AD181" s="15"/>
      <c r="AE181" s="15">
        <v>-9.3487299999999998</v>
      </c>
      <c r="AF181" s="15"/>
    </row>
    <row r="182" spans="2:32" ht="16" customHeight="1" x14ac:dyDescent="0.35">
      <c r="B182" s="14" t="s">
        <v>677</v>
      </c>
      <c r="C182" s="14" t="s">
        <v>678</v>
      </c>
      <c r="D182" s="61"/>
      <c r="E182" s="30">
        <v>-1.6670000000000001E-2</v>
      </c>
      <c r="F182" s="63"/>
      <c r="G182" s="15">
        <f t="shared" si="8"/>
        <v>-1.6670000000000001E-2</v>
      </c>
      <c r="H182" s="63"/>
      <c r="I182" s="15">
        <f t="shared" si="7"/>
        <v>0</v>
      </c>
      <c r="J182" s="63"/>
      <c r="K182" s="15"/>
      <c r="L182" s="15"/>
      <c r="M182" s="15"/>
      <c r="N182" s="15"/>
      <c r="O182" s="15"/>
      <c r="P182" s="15"/>
      <c r="Q182" s="15"/>
      <c r="R182" s="15">
        <v>-1.6670000000000001E-2</v>
      </c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spans="2:32" ht="16" customHeight="1" x14ac:dyDescent="0.35">
      <c r="B183" s="14" t="s">
        <v>658</v>
      </c>
      <c r="C183" s="14" t="s">
        <v>659</v>
      </c>
      <c r="D183" s="61"/>
      <c r="E183" s="30">
        <v>-29.22</v>
      </c>
      <c r="F183" s="63"/>
      <c r="G183" s="15">
        <f t="shared" si="8"/>
        <v>-29.219000000003085</v>
      </c>
      <c r="H183" s="63"/>
      <c r="I183" s="15">
        <f t="shared" si="7"/>
        <v>-9.9999999691391395E-4</v>
      </c>
      <c r="J183" s="63"/>
      <c r="K183" s="15">
        <v>41.078000000000003</v>
      </c>
      <c r="L183" s="15"/>
      <c r="M183" s="15"/>
      <c r="N183" s="15"/>
      <c r="O183" s="15"/>
      <c r="P183" s="15"/>
      <c r="Q183" s="15"/>
      <c r="R183" s="15">
        <v>36058.398999999998</v>
      </c>
      <c r="S183" s="15">
        <v>-36127.760000000002</v>
      </c>
      <c r="T183" s="15"/>
      <c r="U183" s="15"/>
      <c r="V183" s="15"/>
      <c r="W183" s="15"/>
      <c r="X183" s="15"/>
      <c r="Y183" s="15"/>
      <c r="Z183" s="15"/>
      <c r="AA183" s="15"/>
      <c r="AB183" s="15">
        <v>0</v>
      </c>
      <c r="AC183" s="15">
        <v>0</v>
      </c>
      <c r="AD183" s="15"/>
      <c r="AE183" s="15">
        <v>-0.93600000000000005</v>
      </c>
      <c r="AF183" s="15"/>
    </row>
    <row r="184" spans="2:32" ht="16" customHeight="1" x14ac:dyDescent="0.35">
      <c r="B184" s="14" t="s">
        <v>1453</v>
      </c>
      <c r="C184" s="14" t="s">
        <v>1454</v>
      </c>
      <c r="D184" s="61"/>
      <c r="E184" s="30">
        <v>9844.0452600000008</v>
      </c>
      <c r="F184" s="63"/>
      <c r="G184" s="15">
        <f t="shared" si="8"/>
        <v>9844.0452599999971</v>
      </c>
      <c r="H184" s="63"/>
      <c r="I184" s="15">
        <f t="shared" si="7"/>
        <v>0</v>
      </c>
      <c r="J184" s="63"/>
      <c r="K184" s="15">
        <v>10013.994769999999</v>
      </c>
      <c r="L184" s="15"/>
      <c r="M184" s="15">
        <v>0</v>
      </c>
      <c r="N184" s="15">
        <v>0</v>
      </c>
      <c r="O184" s="15"/>
      <c r="P184" s="15">
        <v>9839.5449399999998</v>
      </c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>
        <v>-10009.49445</v>
      </c>
    </row>
    <row r="185" spans="2:32" ht="16" customHeight="1" x14ac:dyDescent="0.35">
      <c r="B185" s="14" t="s">
        <v>1455</v>
      </c>
      <c r="C185" s="14" t="s">
        <v>1456</v>
      </c>
      <c r="D185" s="61"/>
      <c r="E185" s="30">
        <v>-1.5</v>
      </c>
      <c r="F185" s="63"/>
      <c r="G185" s="15">
        <f t="shared" si="8"/>
        <v>-1.5</v>
      </c>
      <c r="H185" s="63"/>
      <c r="I185" s="15">
        <f t="shared" si="7"/>
        <v>0</v>
      </c>
      <c r="J185" s="63"/>
      <c r="K185" s="15">
        <v>-1.5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 spans="2:32" ht="16" customHeight="1" x14ac:dyDescent="0.35">
      <c r="B186" s="14" t="s">
        <v>688</v>
      </c>
      <c r="C186" s="14" t="s">
        <v>1457</v>
      </c>
      <c r="D186" s="61"/>
      <c r="E186" s="30">
        <v>1982351.60784</v>
      </c>
      <c r="F186" s="63"/>
      <c r="G186" s="15">
        <f t="shared" si="8"/>
        <v>1982351.6088400001</v>
      </c>
      <c r="H186" s="63"/>
      <c r="I186" s="15">
        <f t="shared" si="7"/>
        <v>-1.0000001639127731E-3</v>
      </c>
      <c r="J186" s="63"/>
      <c r="K186" s="15">
        <v>1982351.6079200001</v>
      </c>
      <c r="L186" s="15"/>
      <c r="M186" s="15">
        <v>9.2000000000000003E-4</v>
      </c>
      <c r="N186" s="15">
        <v>0</v>
      </c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</row>
    <row r="187" spans="2:32" ht="16" customHeight="1" x14ac:dyDescent="0.35">
      <c r="B187" s="14" t="s">
        <v>691</v>
      </c>
      <c r="C187" s="14" t="s">
        <v>1576</v>
      </c>
      <c r="D187" s="61"/>
      <c r="E187" s="30"/>
      <c r="F187" s="63"/>
      <c r="G187" s="15">
        <f t="shared" si="8"/>
        <v>0</v>
      </c>
      <c r="H187" s="63"/>
      <c r="I187" s="15">
        <f t="shared" ref="I187:I217" si="9">E187-G187</f>
        <v>0</v>
      </c>
      <c r="J187" s="63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 spans="2:32" ht="16" customHeight="1" x14ac:dyDescent="0.35">
      <c r="B188" s="14" t="s">
        <v>694</v>
      </c>
      <c r="C188" s="14" t="s">
        <v>695</v>
      </c>
      <c r="D188" s="61"/>
      <c r="E188" s="30">
        <v>2726.6811400000001</v>
      </c>
      <c r="F188" s="63"/>
      <c r="G188" s="15">
        <f t="shared" si="8"/>
        <v>2726.6811400000006</v>
      </c>
      <c r="H188" s="63"/>
      <c r="I188" s="15">
        <f t="shared" si="9"/>
        <v>0</v>
      </c>
      <c r="J188" s="63"/>
      <c r="K188" s="15">
        <v>890.67391999999995</v>
      </c>
      <c r="L188" s="15"/>
      <c r="M188" s="15"/>
      <c r="N188" s="15"/>
      <c r="O188" s="15"/>
      <c r="P188" s="15">
        <v>2234.4178700000002</v>
      </c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>
        <v>-398.41</v>
      </c>
      <c r="AC188" s="15"/>
      <c r="AD188" s="15"/>
      <c r="AE188" s="15"/>
      <c r="AF188" s="15">
        <v>-6.4999999999999997E-4</v>
      </c>
    </row>
    <row r="189" spans="2:32" ht="16" customHeight="1" x14ac:dyDescent="0.35">
      <c r="B189" s="14" t="s">
        <v>696</v>
      </c>
      <c r="C189" s="14" t="s">
        <v>1458</v>
      </c>
      <c r="D189" s="61"/>
      <c r="E189" s="30">
        <v>-473965.39189999999</v>
      </c>
      <c r="F189" s="63"/>
      <c r="G189" s="15">
        <f t="shared" si="8"/>
        <v>-473965.32137000008</v>
      </c>
      <c r="H189" s="63"/>
      <c r="I189" s="15">
        <f t="shared" si="9"/>
        <v>-7.0529999909922481E-2</v>
      </c>
      <c r="J189" s="63"/>
      <c r="K189" s="15">
        <v>-632797.22594000003</v>
      </c>
      <c r="L189" s="15"/>
      <c r="M189" s="15">
        <v>437619.99907999998</v>
      </c>
      <c r="N189" s="15">
        <v>-132268.21599999999</v>
      </c>
      <c r="O189" s="15">
        <v>160240.02882000001</v>
      </c>
      <c r="P189" s="15">
        <v>13249.996499999999</v>
      </c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>
        <v>-303674.701</v>
      </c>
      <c r="AC189" s="15">
        <v>-0.25468000000000002</v>
      </c>
      <c r="AD189" s="15"/>
      <c r="AE189" s="15"/>
      <c r="AF189" s="15">
        <v>-16334.94815</v>
      </c>
    </row>
    <row r="190" spans="2:32" ht="16" customHeight="1" x14ac:dyDescent="0.35">
      <c r="B190" s="14" t="s">
        <v>698</v>
      </c>
      <c r="C190" s="14" t="s">
        <v>699</v>
      </c>
      <c r="D190" s="61"/>
      <c r="E190" s="30">
        <v>-24896.02706</v>
      </c>
      <c r="F190" s="63"/>
      <c r="G190" s="15">
        <f t="shared" si="8"/>
        <v>-24896.02706</v>
      </c>
      <c r="H190" s="63"/>
      <c r="I190" s="15">
        <f t="shared" si="9"/>
        <v>0</v>
      </c>
      <c r="J190" s="63"/>
      <c r="K190" s="15">
        <v>160240.02882000001</v>
      </c>
      <c r="L190" s="15"/>
      <c r="M190" s="15"/>
      <c r="N190" s="15"/>
      <c r="O190" s="15">
        <v>-160240.02882000001</v>
      </c>
      <c r="P190" s="15"/>
      <c r="Q190" s="15">
        <v>-24896.02706</v>
      </c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</row>
    <row r="191" spans="2:32" ht="16" customHeight="1" x14ac:dyDescent="0.35">
      <c r="B191" s="14" t="s">
        <v>700</v>
      </c>
      <c r="C191" s="14" t="s">
        <v>1460</v>
      </c>
      <c r="D191" s="61"/>
      <c r="E191" s="30">
        <v>1624414</v>
      </c>
      <c r="F191" s="63"/>
      <c r="G191" s="15">
        <f t="shared" si="8"/>
        <v>1624414</v>
      </c>
      <c r="H191" s="63"/>
      <c r="I191" s="15">
        <f t="shared" si="9"/>
        <v>0</v>
      </c>
      <c r="J191" s="63"/>
      <c r="K191" s="15">
        <v>1624945.0943499999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>
        <v>-531.09434999999996</v>
      </c>
    </row>
    <row r="192" spans="2:32" ht="16" customHeight="1" x14ac:dyDescent="0.35">
      <c r="B192" s="14" t="s">
        <v>702</v>
      </c>
      <c r="C192" s="14" t="s">
        <v>1461</v>
      </c>
      <c r="D192" s="61"/>
      <c r="E192" s="30">
        <v>-519.91142000000002</v>
      </c>
      <c r="F192" s="63"/>
      <c r="G192" s="15">
        <f t="shared" si="8"/>
        <v>-519.91142000000013</v>
      </c>
      <c r="H192" s="63"/>
      <c r="I192" s="15">
        <f t="shared" si="9"/>
        <v>0</v>
      </c>
      <c r="J192" s="63"/>
      <c r="K192" s="15">
        <v>-304.80479000000003</v>
      </c>
      <c r="L192" s="15"/>
      <c r="M192" s="15"/>
      <c r="N192" s="15"/>
      <c r="O192" s="15"/>
      <c r="P192" s="15">
        <v>-821.75</v>
      </c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>
        <v>-50.354999999999997</v>
      </c>
      <c r="AC192" s="15"/>
      <c r="AD192" s="15"/>
      <c r="AE192" s="15">
        <v>-208.00163000000001</v>
      </c>
      <c r="AF192" s="15">
        <v>865</v>
      </c>
    </row>
    <row r="193" spans="2:32" ht="16" customHeight="1" x14ac:dyDescent="0.35">
      <c r="B193" s="14" t="s">
        <v>704</v>
      </c>
      <c r="C193" s="14" t="s">
        <v>705</v>
      </c>
      <c r="D193" s="61"/>
      <c r="E193" s="30"/>
      <c r="F193" s="63"/>
      <c r="G193" s="15">
        <f t="shared" si="8"/>
        <v>0</v>
      </c>
      <c r="H193" s="63"/>
      <c r="I193" s="15">
        <f t="shared" si="9"/>
        <v>0</v>
      </c>
      <c r="J193" s="63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 spans="2:32" ht="16" customHeight="1" x14ac:dyDescent="0.35">
      <c r="B194" s="14" t="s">
        <v>706</v>
      </c>
      <c r="C194" s="14" t="s">
        <v>1462</v>
      </c>
      <c r="D194" s="61"/>
      <c r="E194" s="30"/>
      <c r="F194" s="63"/>
      <c r="G194" s="15">
        <f t="shared" si="8"/>
        <v>0</v>
      </c>
      <c r="H194" s="63"/>
      <c r="I194" s="15">
        <f t="shared" si="9"/>
        <v>0</v>
      </c>
      <c r="J194" s="63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 spans="2:32" ht="16" customHeight="1" x14ac:dyDescent="0.35">
      <c r="B195" s="14" t="s">
        <v>708</v>
      </c>
      <c r="C195" s="14" t="s">
        <v>709</v>
      </c>
      <c r="D195" s="61"/>
      <c r="E195" s="30"/>
      <c r="F195" s="63"/>
      <c r="G195" s="15">
        <f t="shared" si="8"/>
        <v>0</v>
      </c>
      <c r="H195" s="63"/>
      <c r="I195" s="15">
        <f t="shared" si="9"/>
        <v>0</v>
      </c>
      <c r="J195" s="63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 spans="2:32" ht="16" customHeight="1" x14ac:dyDescent="0.35">
      <c r="B196" s="14" t="s">
        <v>710</v>
      </c>
      <c r="C196" s="14" t="s">
        <v>711</v>
      </c>
      <c r="D196" s="61"/>
      <c r="E196" s="30"/>
      <c r="F196" s="63"/>
      <c r="G196" s="15">
        <f t="shared" si="8"/>
        <v>0</v>
      </c>
      <c r="H196" s="63"/>
      <c r="I196" s="15">
        <f t="shared" si="9"/>
        <v>0</v>
      </c>
      <c r="J196" s="63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 spans="2:32" ht="16" customHeight="1" x14ac:dyDescent="0.35">
      <c r="B197" s="14" t="s">
        <v>712</v>
      </c>
      <c r="C197" s="14" t="s">
        <v>713</v>
      </c>
      <c r="D197" s="61"/>
      <c r="E197" s="30"/>
      <c r="F197" s="63"/>
      <c r="G197" s="15">
        <f t="shared" si="8"/>
        <v>0</v>
      </c>
      <c r="H197" s="63"/>
      <c r="I197" s="15">
        <f t="shared" si="9"/>
        <v>0</v>
      </c>
      <c r="J197" s="63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spans="2:32" ht="16" customHeight="1" x14ac:dyDescent="0.35">
      <c r="B198" s="14" t="s">
        <v>714</v>
      </c>
      <c r="C198" s="14" t="s">
        <v>1577</v>
      </c>
      <c r="D198" s="61"/>
      <c r="E198" s="30">
        <v>0</v>
      </c>
      <c r="F198" s="63"/>
      <c r="G198" s="15">
        <f t="shared" si="8"/>
        <v>0</v>
      </c>
      <c r="H198" s="63"/>
      <c r="I198" s="15">
        <f t="shared" si="9"/>
        <v>0</v>
      </c>
      <c r="J198" s="63"/>
      <c r="K198" s="15">
        <v>-17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>
        <v>17</v>
      </c>
      <c r="AC198" s="15"/>
      <c r="AD198" s="15"/>
      <c r="AE198" s="15"/>
      <c r="AF198" s="15"/>
    </row>
    <row r="199" spans="2:32" ht="16" customHeight="1" x14ac:dyDescent="0.35">
      <c r="B199" s="14" t="s">
        <v>716</v>
      </c>
      <c r="C199" s="14" t="s">
        <v>1464</v>
      </c>
      <c r="D199" s="61"/>
      <c r="E199" s="30"/>
      <c r="F199" s="63"/>
      <c r="G199" s="15">
        <f t="shared" si="8"/>
        <v>0</v>
      </c>
      <c r="H199" s="63"/>
      <c r="I199" s="15">
        <f t="shared" si="9"/>
        <v>0</v>
      </c>
      <c r="J199" s="63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spans="2:32" ht="16" customHeight="1" x14ac:dyDescent="0.35">
      <c r="B200" s="14" t="s">
        <v>718</v>
      </c>
      <c r="C200" s="14" t="s">
        <v>1465</v>
      </c>
      <c r="D200" s="61"/>
      <c r="E200" s="30"/>
      <c r="F200" s="63"/>
      <c r="G200" s="15">
        <f t="shared" si="8"/>
        <v>0</v>
      </c>
      <c r="H200" s="63"/>
      <c r="I200" s="15">
        <f t="shared" si="9"/>
        <v>0</v>
      </c>
      <c r="J200" s="63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spans="2:32" ht="16" customHeight="1" x14ac:dyDescent="0.35">
      <c r="B201" s="14" t="s">
        <v>720</v>
      </c>
      <c r="C201" s="14" t="s">
        <v>721</v>
      </c>
      <c r="D201" s="61"/>
      <c r="E201" s="30">
        <v>7641.9060399999998</v>
      </c>
      <c r="F201" s="63"/>
      <c r="G201" s="15">
        <f t="shared" si="8"/>
        <v>7641.9060399999998</v>
      </c>
      <c r="H201" s="63"/>
      <c r="I201" s="15">
        <f t="shared" si="9"/>
        <v>0</v>
      </c>
      <c r="J201" s="63"/>
      <c r="K201" s="15">
        <v>30.051819999999999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>
        <v>6656.2211600000001</v>
      </c>
      <c r="AD201" s="15">
        <v>955.63306</v>
      </c>
      <c r="AE201" s="15"/>
      <c r="AF201" s="15"/>
    </row>
    <row r="202" spans="2:32" ht="16" customHeight="1" x14ac:dyDescent="0.35">
      <c r="B202" s="14" t="s">
        <v>722</v>
      </c>
      <c r="C202" s="14" t="s">
        <v>723</v>
      </c>
      <c r="D202" s="61"/>
      <c r="E202" s="30">
        <v>-1776.82339</v>
      </c>
      <c r="F202" s="63"/>
      <c r="G202" s="15">
        <f t="shared" si="8"/>
        <v>-1776.84339</v>
      </c>
      <c r="H202" s="63"/>
      <c r="I202" s="15">
        <f t="shared" si="9"/>
        <v>1.999999999998181E-2</v>
      </c>
      <c r="J202" s="63"/>
      <c r="K202" s="15">
        <v>-9.1590500000000006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>
        <v>-1547.8887400000001</v>
      </c>
      <c r="AD202" s="15">
        <v>-219.79560000000001</v>
      </c>
      <c r="AE202" s="15"/>
      <c r="AF202" s="15"/>
    </row>
    <row r="203" spans="2:32" ht="16" customHeight="1" x14ac:dyDescent="0.35">
      <c r="B203" s="14" t="s">
        <v>724</v>
      </c>
      <c r="C203" s="14" t="s">
        <v>1466</v>
      </c>
      <c r="D203" s="61"/>
      <c r="E203" s="30"/>
      <c r="F203" s="63"/>
      <c r="G203" s="15">
        <f t="shared" si="8"/>
        <v>0</v>
      </c>
      <c r="H203" s="63"/>
      <c r="I203" s="15">
        <f t="shared" si="9"/>
        <v>0</v>
      </c>
      <c r="J203" s="63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 spans="2:32" ht="16" customHeight="1" x14ac:dyDescent="0.35">
      <c r="B204" s="14" t="s">
        <v>726</v>
      </c>
      <c r="C204" s="14" t="s">
        <v>727</v>
      </c>
      <c r="D204" s="61"/>
      <c r="E204" s="30"/>
      <c r="F204" s="63"/>
      <c r="G204" s="15">
        <f t="shared" si="8"/>
        <v>0</v>
      </c>
      <c r="H204" s="63"/>
      <c r="I204" s="15">
        <f t="shared" si="9"/>
        <v>0</v>
      </c>
      <c r="J204" s="63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</row>
    <row r="205" spans="2:32" ht="16" customHeight="1" x14ac:dyDescent="0.35">
      <c r="B205" s="14" t="s">
        <v>728</v>
      </c>
      <c r="C205" s="14" t="s">
        <v>1467</v>
      </c>
      <c r="D205" s="61"/>
      <c r="E205" s="30"/>
      <c r="F205" s="63"/>
      <c r="G205" s="15">
        <f t="shared" si="8"/>
        <v>0</v>
      </c>
      <c r="H205" s="63"/>
      <c r="I205" s="15">
        <f t="shared" si="9"/>
        <v>0</v>
      </c>
      <c r="J205" s="63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 spans="2:32" ht="16" customHeight="1" x14ac:dyDescent="0.35">
      <c r="B206" s="14" t="s">
        <v>730</v>
      </c>
      <c r="C206" s="14" t="s">
        <v>1468</v>
      </c>
      <c r="D206" s="61"/>
      <c r="E206" s="30"/>
      <c r="F206" s="63"/>
      <c r="G206" s="15">
        <f t="shared" si="8"/>
        <v>0</v>
      </c>
      <c r="H206" s="63"/>
      <c r="I206" s="15">
        <f t="shared" si="9"/>
        <v>0</v>
      </c>
      <c r="J206" s="63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 spans="2:32" ht="16" customHeight="1" x14ac:dyDescent="0.35">
      <c r="B207" s="14" t="s">
        <v>732</v>
      </c>
      <c r="C207" s="14" t="s">
        <v>1469</v>
      </c>
      <c r="D207" s="61"/>
      <c r="E207" s="30">
        <v>-46148.600780000001</v>
      </c>
      <c r="F207" s="63"/>
      <c r="G207" s="15">
        <f t="shared" si="8"/>
        <v>-46148.600780000001</v>
      </c>
      <c r="H207" s="63"/>
      <c r="I207" s="15">
        <f t="shared" si="9"/>
        <v>0</v>
      </c>
      <c r="J207" s="63"/>
      <c r="K207" s="15">
        <v>-46148.600780000001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 spans="2:32" ht="16" customHeight="1" x14ac:dyDescent="0.35">
      <c r="B208" s="14" t="s">
        <v>734</v>
      </c>
      <c r="C208" s="14" t="s">
        <v>1470</v>
      </c>
      <c r="D208" s="61"/>
      <c r="E208" s="30"/>
      <c r="F208" s="63"/>
      <c r="G208" s="15">
        <f t="shared" si="8"/>
        <v>0</v>
      </c>
      <c r="H208" s="63"/>
      <c r="I208" s="15">
        <f t="shared" si="9"/>
        <v>0</v>
      </c>
      <c r="J208" s="63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 spans="2:32" ht="16" customHeight="1" x14ac:dyDescent="0.35">
      <c r="B209" s="14" t="s">
        <v>736</v>
      </c>
      <c r="C209" s="14" t="s">
        <v>1471</v>
      </c>
      <c r="D209" s="61"/>
      <c r="E209" s="30"/>
      <c r="F209" s="63"/>
      <c r="G209" s="15">
        <f t="shared" si="8"/>
        <v>0</v>
      </c>
      <c r="H209" s="63"/>
      <c r="I209" s="15">
        <f t="shared" si="9"/>
        <v>0</v>
      </c>
      <c r="J209" s="63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</row>
    <row r="210" spans="2:32" ht="16" customHeight="1" x14ac:dyDescent="0.35">
      <c r="B210" s="14" t="s">
        <v>1472</v>
      </c>
      <c r="C210" s="14" t="s">
        <v>1473</v>
      </c>
      <c r="D210" s="61"/>
      <c r="E210" s="30">
        <v>1E-3</v>
      </c>
      <c r="F210" s="63"/>
      <c r="G210" s="15">
        <f t="shared" si="8"/>
        <v>-2.9999999998313598E-3</v>
      </c>
      <c r="H210" s="63"/>
      <c r="I210" s="15">
        <f t="shared" si="9"/>
        <v>3.9999999998313598E-3</v>
      </c>
      <c r="J210" s="63"/>
      <c r="K210" s="15">
        <v>0</v>
      </c>
      <c r="L210" s="15"/>
      <c r="M210" s="15"/>
      <c r="N210" s="15"/>
      <c r="O210" s="15">
        <v>-10.532999999999999</v>
      </c>
      <c r="P210" s="15">
        <v>1332.2840000000001</v>
      </c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>
        <v>-1332.287</v>
      </c>
      <c r="AC210" s="15"/>
      <c r="AD210" s="15"/>
      <c r="AE210" s="15"/>
      <c r="AF210" s="15">
        <v>10.532999999999999</v>
      </c>
    </row>
    <row r="211" spans="2:32" ht="16" customHeight="1" x14ac:dyDescent="0.35">
      <c r="B211" s="14" t="s">
        <v>1474</v>
      </c>
      <c r="C211" s="14" t="s">
        <v>1475</v>
      </c>
      <c r="D211" s="61"/>
      <c r="E211" s="30">
        <v>-10.532999999999999</v>
      </c>
      <c r="F211" s="63"/>
      <c r="G211" s="15">
        <f t="shared" si="8"/>
        <v>-10.533000000000001</v>
      </c>
      <c r="H211" s="63"/>
      <c r="I211" s="15">
        <f t="shared" si="9"/>
        <v>0</v>
      </c>
      <c r="J211" s="63"/>
      <c r="K211" s="15">
        <v>-10.532999999999999</v>
      </c>
      <c r="L211" s="15"/>
      <c r="M211" s="15"/>
      <c r="N211" s="15"/>
      <c r="O211" s="15">
        <v>10.532999999999999</v>
      </c>
      <c r="P211" s="15">
        <v>-10.532999999999999</v>
      </c>
      <c r="Q211" s="15">
        <v>88.084999999999994</v>
      </c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>
        <v>-88.084999999999994</v>
      </c>
      <c r="AC211" s="15"/>
      <c r="AD211" s="15"/>
      <c r="AE211" s="15"/>
      <c r="AF211" s="15"/>
    </row>
    <row r="212" spans="2:32" ht="16" customHeight="1" x14ac:dyDescent="0.35">
      <c r="B212" s="14" t="s">
        <v>1476</v>
      </c>
      <c r="C212" s="14" t="s">
        <v>1477</v>
      </c>
      <c r="D212" s="61"/>
      <c r="E212" s="30">
        <v>-1E-3</v>
      </c>
      <c r="F212" s="63"/>
      <c r="G212" s="15">
        <f t="shared" si="8"/>
        <v>-1.0000000000012221E-3</v>
      </c>
      <c r="H212" s="63"/>
      <c r="I212" s="15">
        <f t="shared" si="9"/>
        <v>1.2221126888256606E-15</v>
      </c>
      <c r="J212" s="63"/>
      <c r="K212" s="15">
        <v>0</v>
      </c>
      <c r="L212" s="15"/>
      <c r="M212" s="15"/>
      <c r="N212" s="15"/>
      <c r="O212" s="15"/>
      <c r="P212" s="15">
        <v>-43.25</v>
      </c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>
        <v>50.353999999999999</v>
      </c>
      <c r="AC212" s="15"/>
      <c r="AD212" s="15"/>
      <c r="AE212" s="15">
        <v>-7.1050000000000004</v>
      </c>
      <c r="AF212" s="15">
        <v>0</v>
      </c>
    </row>
    <row r="213" spans="2:32" ht="16" customHeight="1" x14ac:dyDescent="0.35">
      <c r="B213" s="14" t="s">
        <v>1478</v>
      </c>
      <c r="C213" s="14" t="s">
        <v>1479</v>
      </c>
      <c r="D213" s="61"/>
      <c r="E213" s="30"/>
      <c r="F213" s="63"/>
      <c r="G213" s="15">
        <f t="shared" si="8"/>
        <v>0</v>
      </c>
      <c r="H213" s="63"/>
      <c r="I213" s="15">
        <f t="shared" si="9"/>
        <v>0</v>
      </c>
      <c r="J213" s="63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</row>
    <row r="214" spans="2:32" ht="16" customHeight="1" x14ac:dyDescent="0.35">
      <c r="B214" s="14" t="s">
        <v>1480</v>
      </c>
      <c r="C214" s="14" t="s">
        <v>1481</v>
      </c>
      <c r="D214" s="61"/>
      <c r="E214" s="30"/>
      <c r="F214" s="63"/>
      <c r="G214" s="15">
        <f t="shared" si="8"/>
        <v>0</v>
      </c>
      <c r="H214" s="63"/>
      <c r="I214" s="15">
        <f t="shared" si="9"/>
        <v>0</v>
      </c>
      <c r="J214" s="63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</row>
    <row r="215" spans="2:32" ht="16" customHeight="1" x14ac:dyDescent="0.35">
      <c r="B215" s="14" t="s">
        <v>1482</v>
      </c>
      <c r="C215" s="14" t="s">
        <v>1483</v>
      </c>
      <c r="D215" s="61"/>
      <c r="E215" s="30"/>
      <c r="F215" s="63"/>
      <c r="G215" s="15">
        <f t="shared" si="8"/>
        <v>0</v>
      </c>
      <c r="H215" s="63"/>
      <c r="I215" s="15">
        <f t="shared" si="9"/>
        <v>0</v>
      </c>
      <c r="J215" s="63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</row>
    <row r="216" spans="2:32" ht="16" customHeight="1" x14ac:dyDescent="0.35">
      <c r="B216" s="14" t="s">
        <v>1484</v>
      </c>
      <c r="C216" s="14" t="s">
        <v>1485</v>
      </c>
      <c r="D216" s="61"/>
      <c r="E216" s="30"/>
      <c r="F216" s="63"/>
      <c r="G216" s="15">
        <f t="shared" si="8"/>
        <v>0</v>
      </c>
      <c r="H216" s="63"/>
      <c r="I216" s="15">
        <f t="shared" si="9"/>
        <v>0</v>
      </c>
      <c r="J216" s="63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</row>
    <row r="217" spans="2:32" ht="16" customHeight="1" x14ac:dyDescent="0.35">
      <c r="B217" s="14" t="s">
        <v>1486</v>
      </c>
      <c r="C217" s="14" t="s">
        <v>1487</v>
      </c>
      <c r="D217" s="61"/>
      <c r="E217" s="30"/>
      <c r="F217" s="63"/>
      <c r="G217" s="15">
        <f t="shared" si="8"/>
        <v>0</v>
      </c>
      <c r="H217" s="63"/>
      <c r="I217" s="15">
        <f t="shared" si="9"/>
        <v>0</v>
      </c>
      <c r="J217" s="63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 spans="2:32" ht="16" customHeight="1" x14ac:dyDescent="0.35">
      <c r="B218" s="16" t="s">
        <v>1578</v>
      </c>
      <c r="C218" s="16"/>
      <c r="D218" s="64"/>
      <c r="E218" s="31">
        <f>SUBTOTAL(109, E123:E217)</f>
        <v>5566340.1148100002</v>
      </c>
      <c r="F218" s="65"/>
      <c r="G218" s="17">
        <f>SUBTOTAL(109, G123:G217)</f>
        <v>5566340.1623400012</v>
      </c>
      <c r="H218" s="65"/>
      <c r="I218" s="17">
        <f>SUBTOTAL(109, I123:I217)</f>
        <v>-4.7530000089802682E-2</v>
      </c>
      <c r="J218" s="65"/>
      <c r="K218" s="17">
        <f t="shared" ref="K218:AF218" si="10">SUBTOTAL(109, K123:K217)</f>
        <v>4928061.1998699997</v>
      </c>
      <c r="L218" s="17">
        <f t="shared" si="10"/>
        <v>0</v>
      </c>
      <c r="M218" s="17">
        <f t="shared" si="10"/>
        <v>526318.44149999996</v>
      </c>
      <c r="N218" s="17">
        <f t="shared" si="10"/>
        <v>-132268.21599999999</v>
      </c>
      <c r="O218" s="17">
        <f t="shared" si="10"/>
        <v>0</v>
      </c>
      <c r="P218" s="17">
        <f t="shared" si="10"/>
        <v>35637.031109999996</v>
      </c>
      <c r="Q218" s="17">
        <f t="shared" si="10"/>
        <v>-24807.942060000001</v>
      </c>
      <c r="R218" s="17">
        <f t="shared" si="10"/>
        <v>-69752.918129999976</v>
      </c>
      <c r="S218" s="17">
        <f t="shared" si="10"/>
        <v>889515.94949000014</v>
      </c>
      <c r="T218" s="17">
        <f t="shared" si="10"/>
        <v>28344.85038</v>
      </c>
      <c r="U218" s="17">
        <f t="shared" si="10"/>
        <v>0</v>
      </c>
      <c r="V218" s="17">
        <f t="shared" si="10"/>
        <v>0</v>
      </c>
      <c r="W218" s="17">
        <f t="shared" si="10"/>
        <v>-682.0348499999991</v>
      </c>
      <c r="X218" s="17">
        <f t="shared" si="10"/>
        <v>-279946.83212000004</v>
      </c>
      <c r="Y218" s="17">
        <f t="shared" si="10"/>
        <v>-10616.790280000001</v>
      </c>
      <c r="Z218" s="17">
        <f t="shared" si="10"/>
        <v>8650.1365500000011</v>
      </c>
      <c r="AA218" s="17">
        <f t="shared" si="10"/>
        <v>0</v>
      </c>
      <c r="AB218" s="17">
        <f t="shared" si="10"/>
        <v>-305685.57864000002</v>
      </c>
      <c r="AC218" s="17">
        <f t="shared" si="10"/>
        <v>10890.609569999999</v>
      </c>
      <c r="AD218" s="17">
        <f t="shared" si="10"/>
        <v>735.83745999999996</v>
      </c>
      <c r="AE218" s="17">
        <f t="shared" si="10"/>
        <v>-1666.16176</v>
      </c>
      <c r="AF218" s="17">
        <f t="shared" si="10"/>
        <v>-36387.419749999994</v>
      </c>
    </row>
    <row r="219" spans="2:32" ht="16" customHeight="1" x14ac:dyDescent="0.35">
      <c r="B219" s="11"/>
      <c r="C219" s="11"/>
      <c r="D219" s="29"/>
      <c r="E219" s="29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spans="2:32" ht="16" customHeight="1" x14ac:dyDescent="0.35">
      <c r="B220" s="99" t="s">
        <v>751</v>
      </c>
      <c r="C220" s="99"/>
      <c r="D220" s="100"/>
      <c r="E220" s="101">
        <f>E121-E218</f>
        <v>-4.1200006380677223E-3</v>
      </c>
      <c r="F220" s="102"/>
      <c r="G220" s="103">
        <f>G121-G218</f>
        <v>-5.1640002988278866E-2</v>
      </c>
      <c r="H220" s="102"/>
      <c r="I220" s="103">
        <f>I121-I218</f>
        <v>4.752000014303337E-2</v>
      </c>
      <c r="J220" s="102"/>
      <c r="K220" s="103">
        <f t="shared" ref="K220:AF220" si="11">K121-K218</f>
        <v>-0.33940999861806631</v>
      </c>
      <c r="L220" s="103">
        <f t="shared" si="11"/>
        <v>0</v>
      </c>
      <c r="M220" s="103">
        <f t="shared" si="11"/>
        <v>-132268.21599999996</v>
      </c>
      <c r="N220" s="103">
        <f t="shared" si="11"/>
        <v>132268.21599999999</v>
      </c>
      <c r="O220" s="103">
        <f t="shared" si="11"/>
        <v>0</v>
      </c>
      <c r="P220" s="103">
        <f t="shared" si="11"/>
        <v>219.29329000000143</v>
      </c>
      <c r="Q220" s="103">
        <f t="shared" si="11"/>
        <v>24807.942060000001</v>
      </c>
      <c r="R220" s="103">
        <f t="shared" si="11"/>
        <v>192161.89129</v>
      </c>
      <c r="S220" s="103">
        <f t="shared" si="11"/>
        <v>-408846.81162000011</v>
      </c>
      <c r="T220" s="103">
        <f t="shared" si="11"/>
        <v>0</v>
      </c>
      <c r="U220" s="103">
        <f t="shared" si="11"/>
        <v>0</v>
      </c>
      <c r="V220" s="103">
        <f t="shared" si="11"/>
        <v>0</v>
      </c>
      <c r="W220" s="103">
        <f t="shared" si="11"/>
        <v>-78919.367270000002</v>
      </c>
      <c r="X220" s="103">
        <f t="shared" si="11"/>
        <v>261651.44891000004</v>
      </c>
      <c r="Y220" s="103">
        <f t="shared" si="11"/>
        <v>10616.790280000001</v>
      </c>
      <c r="Z220" s="103">
        <f t="shared" si="11"/>
        <v>-8650.1365500000011</v>
      </c>
      <c r="AA220" s="103">
        <f t="shared" si="11"/>
        <v>2616.0285199999998</v>
      </c>
      <c r="AB220" s="103">
        <f t="shared" si="11"/>
        <v>-9.7999995341524482E-4</v>
      </c>
      <c r="AC220" s="103">
        <f t="shared" si="11"/>
        <v>5298.3266100000092</v>
      </c>
      <c r="AD220" s="103">
        <f t="shared" si="11"/>
        <v>-735.83745999999996</v>
      </c>
      <c r="AE220" s="103">
        <f t="shared" si="11"/>
        <v>-219.2803100000001</v>
      </c>
      <c r="AF220" s="103">
        <f t="shared" si="11"/>
        <v>9.9999999656574801E-4</v>
      </c>
    </row>
    <row r="221" spans="2:32" ht="16" customHeight="1" x14ac:dyDescent="0.45">
      <c r="B221" s="9"/>
      <c r="C221" s="9"/>
      <c r="D221" s="9"/>
      <c r="E221" s="9"/>
      <c r="F221" s="13"/>
      <c r="G221" s="13"/>
      <c r="H221" s="13"/>
      <c r="I221" s="13"/>
      <c r="J221" s="13"/>
      <c r="K221" s="13"/>
      <c r="L221" s="98"/>
      <c r="M221" s="98"/>
      <c r="N221" s="98"/>
      <c r="O221" s="98"/>
      <c r="P221" s="98"/>
      <c r="Q221" s="98"/>
      <c r="R221" s="98"/>
      <c r="S221" s="98"/>
    </row>
    <row r="222" spans="2:32" ht="16" customHeight="1" x14ac:dyDescent="0.3">
      <c r="B222" s="98"/>
      <c r="C222" s="97"/>
      <c r="D222" s="97"/>
      <c r="E222" s="97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</row>
    <row r="223" spans="2:32" ht="16" customHeight="1" x14ac:dyDescent="0.3">
      <c r="B223" s="98"/>
      <c r="C223" s="97"/>
      <c r="D223" s="97"/>
      <c r="E223" s="97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</row>
    <row r="224" spans="2:32" ht="16" customHeight="1" x14ac:dyDescent="0.3">
      <c r="B224" s="98"/>
      <c r="C224" s="97"/>
      <c r="D224" s="97"/>
      <c r="E224" s="97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</row>
    <row r="225" spans="2:19" ht="16" customHeight="1" x14ac:dyDescent="0.3">
      <c r="B225" s="98"/>
      <c r="C225" s="97"/>
      <c r="D225" s="97"/>
      <c r="E225" s="97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</row>
    <row r="226" spans="2:19" ht="16" customHeight="1" x14ac:dyDescent="0.3">
      <c r="B226" s="98"/>
      <c r="C226" s="97"/>
      <c r="D226" s="97"/>
      <c r="E226" s="97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</row>
    <row r="227" spans="2:19" ht="16" customHeight="1" x14ac:dyDescent="0.3">
      <c r="B227" s="98"/>
      <c r="C227" s="97"/>
      <c r="D227" s="97"/>
      <c r="E227" s="97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</row>
    <row r="228" spans="2:19" ht="16" customHeight="1" x14ac:dyDescent="0.3">
      <c r="B228" s="98"/>
      <c r="C228" s="97"/>
      <c r="D228" s="97"/>
      <c r="E228" s="97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</row>
    <row r="229" spans="2:19" ht="16" customHeight="1" x14ac:dyDescent="0.3">
      <c r="B229" s="98"/>
      <c r="C229" s="97"/>
      <c r="D229" s="97"/>
      <c r="E229" s="97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</row>
    <row r="230" spans="2:19" ht="16" customHeight="1" x14ac:dyDescent="0.3">
      <c r="B230" s="98"/>
      <c r="C230" s="97"/>
      <c r="D230" s="97"/>
      <c r="E230" s="97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</row>
    <row r="231" spans="2:19" ht="16" customHeight="1" x14ac:dyDescent="0.3">
      <c r="B231" s="98"/>
      <c r="C231" s="97"/>
      <c r="D231" s="97"/>
      <c r="E231" s="97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</row>
    <row r="232" spans="2:19" ht="16" customHeight="1" x14ac:dyDescent="0.3">
      <c r="B232" s="98"/>
      <c r="C232" s="97"/>
      <c r="D232" s="97"/>
      <c r="E232" s="97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</row>
    <row r="233" spans="2:19" ht="16" customHeight="1" x14ac:dyDescent="0.3">
      <c r="B233" s="98"/>
      <c r="C233" s="97"/>
      <c r="D233" s="97"/>
      <c r="E233" s="97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</row>
    <row r="234" spans="2:19" ht="16" customHeight="1" x14ac:dyDescent="0.3">
      <c r="B234" s="98"/>
      <c r="C234" s="97"/>
      <c r="D234" s="97"/>
      <c r="E234" s="97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</row>
    <row r="235" spans="2:19" ht="16" customHeight="1" x14ac:dyDescent="0.3">
      <c r="B235" s="98"/>
      <c r="C235" s="97"/>
      <c r="D235" s="97"/>
      <c r="E235" s="97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</row>
    <row r="236" spans="2:19" ht="16" customHeight="1" x14ac:dyDescent="0.3">
      <c r="B236" s="98"/>
      <c r="C236" s="97"/>
      <c r="D236" s="97"/>
      <c r="E236" s="97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</row>
    <row r="237" spans="2:19" ht="16" customHeight="1" x14ac:dyDescent="0.3">
      <c r="B237" s="98"/>
      <c r="C237" s="97"/>
      <c r="D237" s="97"/>
      <c r="E237" s="97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</row>
    <row r="238" spans="2:19" ht="16" customHeight="1" x14ac:dyDescent="0.3">
      <c r="B238" s="98"/>
      <c r="C238" s="97"/>
      <c r="D238" s="97"/>
      <c r="E238" s="97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</row>
    <row r="239" spans="2:19" ht="16" customHeight="1" x14ac:dyDescent="0.3">
      <c r="B239" s="98"/>
      <c r="C239" s="97"/>
      <c r="D239" s="97"/>
      <c r="E239" s="97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</row>
    <row r="240" spans="2:19" ht="16" customHeight="1" x14ac:dyDescent="0.3">
      <c r="B240" s="98"/>
      <c r="C240" s="97"/>
      <c r="D240" s="97"/>
      <c r="E240" s="97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</row>
    <row r="241" spans="2:19" ht="16" customHeight="1" x14ac:dyDescent="0.3">
      <c r="B241" s="98"/>
      <c r="C241" s="97"/>
      <c r="D241" s="97"/>
      <c r="E241" s="97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</row>
    <row r="242" spans="2:19" ht="16" customHeight="1" x14ac:dyDescent="0.3">
      <c r="B242" s="98"/>
      <c r="C242" s="97"/>
      <c r="D242" s="97"/>
      <c r="E242" s="97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</row>
    <row r="243" spans="2:19" ht="16" customHeight="1" x14ac:dyDescent="0.3">
      <c r="B243" s="98"/>
      <c r="C243" s="97"/>
      <c r="D243" s="97"/>
      <c r="E243" s="97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</row>
    <row r="244" spans="2:19" ht="16" customHeight="1" x14ac:dyDescent="0.3">
      <c r="B244" s="98"/>
      <c r="C244" s="97"/>
      <c r="D244" s="97"/>
      <c r="E244" s="97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</row>
    <row r="245" spans="2:19" ht="16" customHeight="1" x14ac:dyDescent="0.3">
      <c r="B245" s="98"/>
      <c r="C245" s="97"/>
      <c r="D245" s="97"/>
      <c r="E245" s="97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</row>
    <row r="246" spans="2:19" ht="16" customHeight="1" x14ac:dyDescent="0.3">
      <c r="B246" s="98"/>
      <c r="C246" s="97"/>
      <c r="D246" s="97"/>
      <c r="E246" s="97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</row>
    <row r="247" spans="2:19" ht="16" customHeight="1" x14ac:dyDescent="0.3">
      <c r="B247" s="98"/>
      <c r="C247" s="97"/>
      <c r="D247" s="97"/>
      <c r="E247" s="97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</row>
    <row r="248" spans="2:19" ht="16" customHeight="1" x14ac:dyDescent="0.3">
      <c r="B248" s="98"/>
      <c r="C248" s="97"/>
      <c r="D248" s="97"/>
      <c r="E248" s="97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</row>
    <row r="249" spans="2:19" ht="16" customHeight="1" x14ac:dyDescent="0.3">
      <c r="B249" s="98"/>
      <c r="C249" s="97"/>
      <c r="D249" s="97"/>
      <c r="E249" s="97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</row>
    <row r="250" spans="2:19" ht="16" customHeight="1" x14ac:dyDescent="0.3">
      <c r="B250" s="98"/>
      <c r="C250" s="97"/>
      <c r="D250" s="97"/>
      <c r="E250" s="97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</row>
    <row r="251" spans="2:19" ht="16" customHeight="1" x14ac:dyDescent="0.3">
      <c r="B251" s="98"/>
      <c r="C251" s="97"/>
      <c r="D251" s="97"/>
      <c r="E251" s="97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</row>
    <row r="252" spans="2:19" ht="16" customHeight="1" x14ac:dyDescent="0.3">
      <c r="B252" s="98"/>
      <c r="C252" s="97"/>
      <c r="D252" s="97"/>
      <c r="E252" s="97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</row>
    <row r="253" spans="2:19" ht="16" customHeight="1" x14ac:dyDescent="0.3">
      <c r="B253" s="98"/>
      <c r="C253" s="97"/>
      <c r="D253" s="97"/>
      <c r="E253" s="97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</row>
    <row r="254" spans="2:19" ht="16" customHeight="1" x14ac:dyDescent="0.3">
      <c r="B254" s="98"/>
      <c r="C254" s="97"/>
      <c r="D254" s="97"/>
      <c r="E254" s="97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</row>
    <row r="255" spans="2:19" ht="16" customHeight="1" x14ac:dyDescent="0.3">
      <c r="B255" s="98"/>
      <c r="C255" s="97"/>
      <c r="D255" s="97"/>
      <c r="E255" s="97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</row>
    <row r="256" spans="2:19" ht="16" customHeight="1" x14ac:dyDescent="0.3">
      <c r="B256" s="98"/>
      <c r="C256" s="97"/>
      <c r="D256" s="97"/>
      <c r="E256" s="97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</row>
    <row r="257" spans="2:19" ht="16" customHeight="1" x14ac:dyDescent="0.3">
      <c r="B257" s="98"/>
      <c r="C257" s="97"/>
      <c r="D257" s="97"/>
      <c r="E257" s="97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</row>
    <row r="258" spans="2:19" ht="16" customHeight="1" x14ac:dyDescent="0.3">
      <c r="B258" s="98"/>
      <c r="C258" s="97"/>
      <c r="D258" s="97"/>
      <c r="E258" s="97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</row>
    <row r="259" spans="2:19" ht="16" customHeight="1" x14ac:dyDescent="0.3">
      <c r="B259" s="98"/>
      <c r="C259" s="97"/>
      <c r="D259" s="97"/>
      <c r="E259" s="97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</row>
    <row r="260" spans="2:19" ht="16" customHeight="1" x14ac:dyDescent="0.3">
      <c r="B260" s="98"/>
      <c r="C260" s="97"/>
      <c r="D260" s="97"/>
      <c r="E260" s="97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</row>
    <row r="261" spans="2:19" ht="16" customHeight="1" x14ac:dyDescent="0.3">
      <c r="B261" s="98"/>
      <c r="C261" s="97"/>
      <c r="D261" s="97"/>
      <c r="E261" s="97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</row>
    <row r="262" spans="2:19" ht="16" customHeight="1" x14ac:dyDescent="0.3">
      <c r="B262" s="98"/>
      <c r="C262" s="97"/>
      <c r="D262" s="97"/>
      <c r="E262" s="97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</row>
    <row r="263" spans="2:19" ht="16" customHeight="1" x14ac:dyDescent="0.3">
      <c r="B263" s="98"/>
      <c r="C263" s="97"/>
      <c r="D263" s="97"/>
      <c r="E263" s="97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</row>
    <row r="264" spans="2:19" ht="16" customHeight="1" x14ac:dyDescent="0.3">
      <c r="B264" s="98"/>
      <c r="C264" s="97"/>
      <c r="D264" s="97"/>
      <c r="E264" s="97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</row>
    <row r="265" spans="2:19" ht="16" customHeight="1" x14ac:dyDescent="0.3">
      <c r="B265" s="98"/>
      <c r="C265" s="97"/>
      <c r="D265" s="97"/>
      <c r="E265" s="97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</row>
    <row r="266" spans="2:19" ht="16" customHeight="1" x14ac:dyDescent="0.3">
      <c r="B266" s="98"/>
      <c r="C266" s="97"/>
      <c r="D266" s="97"/>
      <c r="E266" s="97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</row>
    <row r="267" spans="2:19" ht="16" customHeight="1" x14ac:dyDescent="0.3">
      <c r="B267" s="98"/>
      <c r="C267" s="97"/>
      <c r="D267" s="97"/>
      <c r="E267" s="97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</row>
    <row r="268" spans="2:19" ht="16" customHeight="1" x14ac:dyDescent="0.3">
      <c r="B268" s="98"/>
      <c r="C268" s="97"/>
      <c r="D268" s="97"/>
      <c r="E268" s="97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</row>
    <row r="269" spans="2:19" ht="16" customHeight="1" x14ac:dyDescent="0.3">
      <c r="B269" s="98"/>
      <c r="C269" s="97"/>
      <c r="D269" s="97"/>
      <c r="E269" s="97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</row>
    <row r="270" spans="2:19" ht="16" customHeight="1" x14ac:dyDescent="0.3">
      <c r="B270" s="98"/>
      <c r="C270" s="97"/>
      <c r="D270" s="97"/>
      <c r="E270" s="97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</row>
    <row r="271" spans="2:19" ht="16" customHeight="1" x14ac:dyDescent="0.3">
      <c r="B271" s="98"/>
      <c r="C271" s="97"/>
      <c r="D271" s="97"/>
      <c r="E271" s="97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</row>
    <row r="272" spans="2:19" ht="16" customHeight="1" x14ac:dyDescent="0.3">
      <c r="B272" s="98"/>
      <c r="C272" s="97"/>
      <c r="D272" s="97"/>
      <c r="E272" s="97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</row>
    <row r="273" spans="2:19" ht="16" customHeight="1" x14ac:dyDescent="0.3">
      <c r="B273" s="98"/>
      <c r="C273" s="97"/>
      <c r="D273" s="97"/>
      <c r="E273" s="97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</row>
    <row r="274" spans="2:19" ht="16" customHeight="1" x14ac:dyDescent="0.3">
      <c r="B274" s="98"/>
      <c r="C274" s="97"/>
      <c r="D274" s="97"/>
      <c r="E274" s="97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</row>
    <row r="275" spans="2:19" ht="16" customHeight="1" x14ac:dyDescent="0.3">
      <c r="B275" s="98"/>
      <c r="C275" s="97"/>
      <c r="D275" s="97"/>
      <c r="E275" s="97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</row>
    <row r="276" spans="2:19" ht="16" customHeight="1" x14ac:dyDescent="0.3">
      <c r="B276" s="98"/>
      <c r="C276" s="97"/>
      <c r="D276" s="97"/>
      <c r="E276" s="97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</row>
    <row r="277" spans="2:19" ht="16" customHeight="1" x14ac:dyDescent="0.3">
      <c r="B277" s="98"/>
      <c r="C277" s="97"/>
      <c r="D277" s="97"/>
      <c r="E277" s="97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</row>
    <row r="278" spans="2:19" ht="16" customHeight="1" x14ac:dyDescent="0.3">
      <c r="B278" s="98"/>
      <c r="C278" s="97"/>
      <c r="D278" s="97"/>
      <c r="E278" s="97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</row>
    <row r="279" spans="2:19" ht="16" customHeight="1" x14ac:dyDescent="0.3">
      <c r="B279" s="98"/>
      <c r="C279" s="97"/>
      <c r="D279" s="97"/>
      <c r="E279" s="97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</row>
    <row r="280" spans="2:19" ht="16" customHeight="1" x14ac:dyDescent="0.3">
      <c r="B280" s="98"/>
      <c r="C280" s="97"/>
      <c r="D280" s="97"/>
      <c r="E280" s="97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</row>
    <row r="281" spans="2:19" ht="16" customHeight="1" x14ac:dyDescent="0.3">
      <c r="B281" s="98"/>
      <c r="C281" s="97"/>
      <c r="D281" s="97"/>
      <c r="E281" s="97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</row>
    <row r="282" spans="2:19" ht="16" customHeight="1" x14ac:dyDescent="0.3">
      <c r="B282" s="98"/>
      <c r="C282" s="97"/>
      <c r="D282" s="97"/>
      <c r="E282" s="97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</row>
    <row r="283" spans="2:19" ht="16" customHeight="1" x14ac:dyDescent="0.3">
      <c r="B283" s="98"/>
      <c r="C283" s="97"/>
      <c r="D283" s="97"/>
      <c r="E283" s="97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</row>
    <row r="284" spans="2:19" ht="16" customHeight="1" x14ac:dyDescent="0.3">
      <c r="B284" s="98"/>
      <c r="C284" s="97"/>
      <c r="D284" s="97"/>
      <c r="E284" s="97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</row>
    <row r="285" spans="2:19" ht="16" customHeight="1" x14ac:dyDescent="0.3">
      <c r="B285" s="98"/>
      <c r="C285" s="97"/>
      <c r="D285" s="97"/>
      <c r="E285" s="97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</row>
    <row r="286" spans="2:19" ht="16" customHeight="1" x14ac:dyDescent="0.3">
      <c r="B286" s="98"/>
      <c r="C286" s="97"/>
      <c r="D286" s="97"/>
      <c r="E286" s="97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</row>
    <row r="287" spans="2:19" ht="16" customHeight="1" x14ac:dyDescent="0.3">
      <c r="B287" s="98"/>
      <c r="C287" s="97"/>
      <c r="D287" s="97"/>
      <c r="E287" s="97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</row>
    <row r="288" spans="2:19" ht="16" customHeight="1" x14ac:dyDescent="0.3">
      <c r="B288" s="98"/>
      <c r="C288" s="97"/>
      <c r="D288" s="97"/>
      <c r="E288" s="97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</row>
    <row r="289" spans="2:19" ht="16" customHeight="1" x14ac:dyDescent="0.3">
      <c r="B289" s="98"/>
      <c r="C289" s="97"/>
      <c r="D289" s="97"/>
      <c r="E289" s="97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</row>
    <row r="290" spans="2:19" ht="16" customHeight="1" x14ac:dyDescent="0.3">
      <c r="B290" s="98"/>
      <c r="C290" s="97"/>
      <c r="D290" s="97"/>
      <c r="E290" s="97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</row>
    <row r="291" spans="2:19" ht="16" customHeight="1" x14ac:dyDescent="0.3">
      <c r="B291" s="98"/>
      <c r="C291" s="97"/>
      <c r="D291" s="97"/>
      <c r="E291" s="97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</row>
    <row r="292" spans="2:19" ht="16" customHeight="1" x14ac:dyDescent="0.3">
      <c r="B292" s="98"/>
      <c r="C292" s="97"/>
      <c r="D292" s="97"/>
      <c r="E292" s="97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</row>
    <row r="293" spans="2:19" ht="16" customHeight="1" x14ac:dyDescent="0.3">
      <c r="B293" s="98"/>
      <c r="C293" s="97"/>
      <c r="D293" s="97"/>
      <c r="E293" s="97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</row>
    <row r="294" spans="2:19" ht="16" customHeight="1" x14ac:dyDescent="0.3">
      <c r="B294" s="98"/>
      <c r="C294" s="97"/>
      <c r="D294" s="97"/>
      <c r="E294" s="97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</row>
    <row r="295" spans="2:19" ht="16" customHeight="1" x14ac:dyDescent="0.3">
      <c r="B295" s="98"/>
      <c r="C295" s="97"/>
      <c r="D295" s="97"/>
      <c r="E295" s="97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</row>
    <row r="296" spans="2:19" ht="16" customHeight="1" x14ac:dyDescent="0.3">
      <c r="B296" s="98"/>
      <c r="C296" s="97"/>
      <c r="D296" s="97"/>
      <c r="E296" s="97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</row>
    <row r="297" spans="2:19" ht="16" customHeight="1" x14ac:dyDescent="0.3">
      <c r="B297" s="98"/>
      <c r="C297" s="97"/>
      <c r="D297" s="97"/>
      <c r="E297" s="97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</row>
    <row r="298" spans="2:19" ht="16" customHeight="1" x14ac:dyDescent="0.3">
      <c r="B298" s="98"/>
      <c r="C298" s="97"/>
      <c r="D298" s="97"/>
      <c r="E298" s="97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</row>
    <row r="299" spans="2:19" ht="16" customHeight="1" x14ac:dyDescent="0.3">
      <c r="B299" s="98"/>
      <c r="C299" s="97"/>
      <c r="D299" s="97"/>
      <c r="E299" s="97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</row>
    <row r="300" spans="2:19" ht="16" customHeight="1" x14ac:dyDescent="0.3">
      <c r="B300" s="98"/>
      <c r="C300" s="97"/>
      <c r="D300" s="97"/>
      <c r="E300" s="97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</row>
    <row r="301" spans="2:19" ht="16" customHeight="1" x14ac:dyDescent="0.3">
      <c r="B301" s="98"/>
      <c r="C301" s="97"/>
      <c r="D301" s="97"/>
      <c r="E301" s="97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</row>
    <row r="302" spans="2:19" ht="16" customHeight="1" x14ac:dyDescent="0.3">
      <c r="B302" s="98"/>
      <c r="C302" s="97"/>
      <c r="D302" s="97"/>
      <c r="E302" s="97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</row>
    <row r="303" spans="2:19" ht="16" customHeight="1" x14ac:dyDescent="0.3">
      <c r="B303" s="98"/>
      <c r="C303" s="97"/>
      <c r="D303" s="97"/>
      <c r="E303" s="97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</row>
    <row r="304" spans="2:19" ht="16" customHeight="1" x14ac:dyDescent="0.3">
      <c r="B304" s="98"/>
      <c r="C304" s="97"/>
      <c r="D304" s="97"/>
      <c r="E304" s="97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</row>
    <row r="305" spans="2:19" ht="16" customHeight="1" x14ac:dyDescent="0.3">
      <c r="B305" s="98"/>
      <c r="C305" s="97"/>
      <c r="D305" s="97"/>
      <c r="E305" s="97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</row>
    <row r="306" spans="2:19" ht="16" customHeight="1" x14ac:dyDescent="0.3">
      <c r="B306" s="98"/>
      <c r="C306" s="97"/>
      <c r="D306" s="97"/>
      <c r="E306" s="97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</row>
    <row r="307" spans="2:19" ht="16" customHeight="1" x14ac:dyDescent="0.3">
      <c r="B307" s="98"/>
      <c r="C307" s="97"/>
      <c r="D307" s="97"/>
      <c r="E307" s="97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</row>
    <row r="308" spans="2:19" ht="16" customHeight="1" x14ac:dyDescent="0.3">
      <c r="B308" s="98"/>
      <c r="C308" s="97"/>
      <c r="D308" s="97"/>
      <c r="E308" s="97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</row>
    <row r="309" spans="2:19" ht="16" customHeight="1" x14ac:dyDescent="0.3">
      <c r="B309" s="98"/>
      <c r="C309" s="97"/>
      <c r="D309" s="97"/>
      <c r="E309" s="97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</row>
    <row r="310" spans="2:19" ht="16" customHeight="1" x14ac:dyDescent="0.3">
      <c r="B310" s="98"/>
      <c r="C310" s="97"/>
      <c r="D310" s="97"/>
      <c r="E310" s="97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</row>
    <row r="311" spans="2:19" ht="16" customHeight="1" x14ac:dyDescent="0.3">
      <c r="B311" s="98"/>
      <c r="C311" s="97"/>
      <c r="D311" s="97"/>
      <c r="E311" s="97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</row>
    <row r="312" spans="2:19" ht="16" customHeight="1" x14ac:dyDescent="0.3">
      <c r="B312" s="98"/>
      <c r="C312" s="97"/>
      <c r="D312" s="97"/>
      <c r="E312" s="97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</row>
    <row r="313" spans="2:19" ht="16" customHeight="1" x14ac:dyDescent="0.3">
      <c r="B313" s="98"/>
      <c r="C313" s="97"/>
      <c r="D313" s="97"/>
      <c r="E313" s="97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</row>
    <row r="314" spans="2:19" ht="16" customHeight="1" x14ac:dyDescent="0.3">
      <c r="B314" s="98"/>
      <c r="C314" s="97"/>
      <c r="D314" s="97"/>
      <c r="E314" s="97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</row>
    <row r="315" spans="2:19" ht="16" customHeight="1" x14ac:dyDescent="0.3">
      <c r="B315" s="98"/>
      <c r="C315" s="97"/>
      <c r="D315" s="97"/>
      <c r="E315" s="97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</row>
    <row r="316" spans="2:19" ht="16" customHeight="1" x14ac:dyDescent="0.3">
      <c r="B316" s="98"/>
      <c r="C316" s="97"/>
      <c r="D316" s="97"/>
      <c r="E316" s="97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</row>
    <row r="317" spans="2:19" ht="16" customHeight="1" x14ac:dyDescent="0.3">
      <c r="B317" s="98"/>
      <c r="C317" s="97"/>
      <c r="D317" s="97"/>
      <c r="E317" s="97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</row>
    <row r="318" spans="2:19" ht="16" customHeight="1" x14ac:dyDescent="0.3">
      <c r="B318" s="98"/>
      <c r="C318" s="97"/>
      <c r="D318" s="97"/>
      <c r="E318" s="97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</row>
    <row r="319" spans="2:19" ht="16" customHeight="1" x14ac:dyDescent="0.3">
      <c r="B319" s="98"/>
      <c r="C319" s="97"/>
      <c r="D319" s="97"/>
      <c r="E319" s="97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</row>
    <row r="320" spans="2:19" ht="16" customHeight="1" x14ac:dyDescent="0.3">
      <c r="B320" s="98"/>
      <c r="C320" s="97"/>
      <c r="D320" s="97"/>
      <c r="E320" s="97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</row>
    <row r="321" spans="2:19" ht="16" customHeight="1" x14ac:dyDescent="0.3">
      <c r="B321" s="98"/>
      <c r="C321" s="97"/>
      <c r="D321" s="97"/>
      <c r="E321" s="97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</row>
    <row r="322" spans="2:19" ht="16" customHeight="1" x14ac:dyDescent="0.3">
      <c r="B322" s="98"/>
      <c r="C322" s="97"/>
      <c r="D322" s="97"/>
      <c r="E322" s="97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</row>
    <row r="323" spans="2:19" ht="16" customHeight="1" x14ac:dyDescent="0.3">
      <c r="B323" s="98"/>
      <c r="C323" s="97"/>
      <c r="D323" s="97"/>
      <c r="E323" s="97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</row>
    <row r="324" spans="2:19" ht="16" customHeight="1" x14ac:dyDescent="0.3">
      <c r="B324" s="98"/>
      <c r="C324" s="97"/>
      <c r="D324" s="97"/>
      <c r="E324" s="97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</row>
    <row r="325" spans="2:19" ht="16" customHeight="1" x14ac:dyDescent="0.3">
      <c r="B325" s="98"/>
      <c r="C325" s="97"/>
      <c r="D325" s="97"/>
      <c r="E325" s="97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</row>
    <row r="326" spans="2:19" ht="16" customHeight="1" x14ac:dyDescent="0.3">
      <c r="B326" s="98"/>
      <c r="C326" s="97"/>
      <c r="D326" s="97"/>
      <c r="E326" s="97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</row>
    <row r="327" spans="2:19" ht="16" customHeight="1" x14ac:dyDescent="0.3">
      <c r="B327" s="98"/>
      <c r="C327" s="97"/>
      <c r="D327" s="97"/>
      <c r="E327" s="97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</row>
    <row r="328" spans="2:19" ht="16" customHeight="1" x14ac:dyDescent="0.3">
      <c r="B328" s="98"/>
      <c r="C328" s="97"/>
      <c r="D328" s="97"/>
      <c r="E328" s="97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</row>
    <row r="329" spans="2:19" ht="16" customHeight="1" x14ac:dyDescent="0.3">
      <c r="B329" s="98"/>
      <c r="C329" s="97"/>
      <c r="D329" s="97"/>
      <c r="E329" s="97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</row>
    <row r="330" spans="2:19" ht="16" customHeight="1" x14ac:dyDescent="0.3">
      <c r="B330" s="98"/>
      <c r="C330" s="97"/>
      <c r="D330" s="97"/>
      <c r="E330" s="97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</row>
    <row r="331" spans="2:19" ht="16" customHeight="1" x14ac:dyDescent="0.3">
      <c r="B331" s="98"/>
      <c r="C331" s="97"/>
      <c r="D331" s="97"/>
      <c r="E331" s="97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</row>
    <row r="332" spans="2:19" ht="16" customHeight="1" x14ac:dyDescent="0.3">
      <c r="B332" s="98"/>
      <c r="C332" s="97"/>
      <c r="D332" s="97"/>
      <c r="E332" s="97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</row>
    <row r="333" spans="2:19" ht="16" customHeight="1" x14ac:dyDescent="0.3">
      <c r="B333" s="98"/>
      <c r="C333" s="97"/>
      <c r="D333" s="97"/>
      <c r="E333" s="97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</row>
    <row r="334" spans="2:19" ht="16" customHeight="1" x14ac:dyDescent="0.3">
      <c r="B334" s="98"/>
      <c r="C334" s="97"/>
      <c r="D334" s="97"/>
      <c r="E334" s="97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</row>
    <row r="335" spans="2:19" ht="16" customHeight="1" x14ac:dyDescent="0.3">
      <c r="B335" s="98"/>
      <c r="C335" s="97"/>
      <c r="D335" s="97"/>
      <c r="E335" s="97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</row>
    <row r="336" spans="2:19" ht="16" customHeight="1" x14ac:dyDescent="0.3">
      <c r="B336" s="98"/>
      <c r="C336" s="97"/>
      <c r="D336" s="97"/>
      <c r="E336" s="97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</row>
    <row r="337" spans="2:19" ht="16" customHeight="1" x14ac:dyDescent="0.3">
      <c r="B337" s="98"/>
      <c r="C337" s="97"/>
      <c r="D337" s="97"/>
      <c r="E337" s="97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</row>
    <row r="338" spans="2:19" ht="16" customHeight="1" x14ac:dyDescent="0.3">
      <c r="B338" s="98"/>
      <c r="C338" s="97"/>
      <c r="D338" s="97"/>
      <c r="E338" s="97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</row>
    <row r="339" spans="2:19" ht="16" customHeight="1" x14ac:dyDescent="0.3">
      <c r="B339" s="98"/>
      <c r="C339" s="97"/>
      <c r="D339" s="97"/>
      <c r="E339" s="97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</row>
    <row r="340" spans="2:19" ht="16" customHeight="1" x14ac:dyDescent="0.3">
      <c r="B340" s="98"/>
      <c r="C340" s="97"/>
      <c r="D340" s="97"/>
      <c r="E340" s="97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</row>
    <row r="341" spans="2:19" ht="16" customHeight="1" x14ac:dyDescent="0.3">
      <c r="B341" s="98"/>
      <c r="C341" s="97"/>
      <c r="D341" s="97"/>
      <c r="E341" s="97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</row>
    <row r="342" spans="2:19" ht="16" customHeight="1" x14ac:dyDescent="0.3">
      <c r="B342" s="98"/>
      <c r="C342" s="97"/>
      <c r="D342" s="97"/>
      <c r="E342" s="97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</row>
    <row r="343" spans="2:19" ht="16" customHeight="1" x14ac:dyDescent="0.3">
      <c r="B343" s="98"/>
      <c r="C343" s="97"/>
      <c r="D343" s="97"/>
      <c r="E343" s="97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</row>
    <row r="344" spans="2:19" ht="16" customHeight="1" x14ac:dyDescent="0.3">
      <c r="B344" s="98"/>
      <c r="C344" s="97"/>
      <c r="D344" s="97"/>
      <c r="E344" s="97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</row>
    <row r="345" spans="2:19" ht="16" customHeight="1" x14ac:dyDescent="0.3">
      <c r="B345" s="98"/>
      <c r="C345" s="97"/>
      <c r="D345" s="97"/>
      <c r="E345" s="97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</row>
    <row r="346" spans="2:19" ht="16" customHeight="1" x14ac:dyDescent="0.3">
      <c r="B346" s="98"/>
      <c r="C346" s="97"/>
      <c r="D346" s="97"/>
      <c r="E346" s="97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</row>
    <row r="347" spans="2:19" ht="16" customHeight="1" x14ac:dyDescent="0.3">
      <c r="B347" s="98"/>
      <c r="C347" s="97"/>
      <c r="D347" s="97"/>
      <c r="E347" s="97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</row>
    <row r="348" spans="2:19" ht="16" customHeight="1" x14ac:dyDescent="0.3">
      <c r="B348" s="98"/>
      <c r="C348" s="97"/>
      <c r="D348" s="97"/>
      <c r="E348" s="97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</row>
    <row r="349" spans="2:19" ht="16" customHeight="1" x14ac:dyDescent="0.3">
      <c r="B349" s="98"/>
      <c r="C349" s="97"/>
      <c r="D349" s="97"/>
      <c r="E349" s="97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</row>
    <row r="350" spans="2:19" ht="16" customHeight="1" x14ac:dyDescent="0.3">
      <c r="B350" s="98"/>
      <c r="C350" s="97"/>
      <c r="D350" s="97"/>
      <c r="E350" s="97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</row>
    <row r="351" spans="2:19" ht="16" customHeight="1" x14ac:dyDescent="0.3">
      <c r="B351" s="98"/>
      <c r="C351" s="97"/>
      <c r="D351" s="97"/>
      <c r="E351" s="97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</row>
  </sheetData>
  <mergeCells count="1">
    <mergeCell ref="B8:C8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5FD99-6428-4B74-86F9-FC3911CD5CE4}">
  <dimension ref="A3:BG351"/>
  <sheetViews>
    <sheetView showGridLines="0" zoomScale="90" zoomScaleNormal="90" workbookViewId="0">
      <pane xSplit="10" ySplit="10" topLeftCell="K11" activePane="bottomRight" state="frozen"/>
      <selection pane="topRight" activeCell="K1" sqref="K1"/>
      <selection pane="bottomLeft" activeCell="A9" sqref="A9"/>
      <selection pane="bottomRight" activeCell="P12" sqref="P12"/>
    </sheetView>
  </sheetViews>
  <sheetFormatPr defaultColWidth="9.1796875" defaultRowHeight="16" customHeight="1" outlineLevelCol="1" x14ac:dyDescent="0.35"/>
  <cols>
    <col min="1" max="1" width="1.7265625" style="1" customWidth="1"/>
    <col min="2" max="2" width="10.7265625" style="1" customWidth="1"/>
    <col min="3" max="3" width="60.7265625" style="1" customWidth="1"/>
    <col min="4" max="4" width="1.54296875" style="1" customWidth="1"/>
    <col min="5" max="5" width="14.7265625" style="1" customWidth="1"/>
    <col min="6" max="6" width="1.54296875" style="1" hidden="1" customWidth="1" outlineLevel="1"/>
    <col min="7" max="7" width="14.7265625" style="1" hidden="1" customWidth="1" outlineLevel="1"/>
    <col min="8" max="8" width="1.54296875" style="1" hidden="1" customWidth="1" outlineLevel="1"/>
    <col min="9" max="9" width="14.7265625" style="1" hidden="1" customWidth="1" outlineLevel="1"/>
    <col min="10" max="10" width="2.7265625" style="1" customWidth="1" collapsed="1"/>
    <col min="11" max="79" width="14.7265625" style="1" customWidth="1"/>
    <col min="80" max="16384" width="9.1796875" style="1"/>
  </cols>
  <sheetData>
    <row r="3" spans="1:59" ht="16" customHeight="1" x14ac:dyDescent="0.35">
      <c r="B3" s="2" t="s">
        <v>1506</v>
      </c>
    </row>
    <row r="4" spans="1:59" ht="16" customHeight="1" x14ac:dyDescent="0.35">
      <c r="B4" s="4" t="s">
        <v>270</v>
      </c>
    </row>
    <row r="5" spans="1:59" ht="16" customHeight="1" x14ac:dyDescent="0.35">
      <c r="B5" s="4" t="s">
        <v>1016</v>
      </c>
    </row>
    <row r="6" spans="1:59" ht="16" customHeight="1" x14ac:dyDescent="0.35">
      <c r="A6" s="5"/>
      <c r="B6" s="4" t="s">
        <v>1507</v>
      </c>
    </row>
    <row r="7" spans="1:59" ht="16" customHeight="1" x14ac:dyDescent="0.35">
      <c r="A7" s="5"/>
      <c r="B7" s="4"/>
    </row>
    <row r="8" spans="1:59" ht="16" customHeight="1" x14ac:dyDescent="0.35">
      <c r="A8" s="5"/>
      <c r="B8" s="56">
        <v>46194.599244490739</v>
      </c>
      <c r="C8" s="56"/>
    </row>
    <row r="9" spans="1:59" ht="91.5" thickBot="1" x14ac:dyDescent="0.5">
      <c r="B9" s="7"/>
      <c r="C9" s="28"/>
      <c r="D9" s="59"/>
      <c r="E9" s="8" t="s">
        <v>1508</v>
      </c>
      <c r="F9" s="59"/>
      <c r="G9" s="8" t="s">
        <v>1509</v>
      </c>
      <c r="H9" s="59"/>
      <c r="I9" s="8" t="s">
        <v>751</v>
      </c>
      <c r="J9" s="59"/>
      <c r="K9" s="8" t="s">
        <v>1510</v>
      </c>
      <c r="L9" s="8" t="s">
        <v>1511</v>
      </c>
      <c r="M9" s="8" t="s">
        <v>1512</v>
      </c>
      <c r="N9" s="8" t="s">
        <v>1513</v>
      </c>
      <c r="O9" s="8" t="s">
        <v>1514</v>
      </c>
      <c r="P9" s="8" t="s">
        <v>1515</v>
      </c>
      <c r="Q9" s="8" t="s">
        <v>1516</v>
      </c>
      <c r="R9" s="8" t="s">
        <v>1517</v>
      </c>
      <c r="S9" s="8" t="s">
        <v>1518</v>
      </c>
      <c r="T9" s="8" t="s">
        <v>1519</v>
      </c>
      <c r="U9" s="8" t="s">
        <v>1520</v>
      </c>
      <c r="V9" s="8" t="s">
        <v>1521</v>
      </c>
      <c r="W9" s="8" t="s">
        <v>1522</v>
      </c>
      <c r="X9" s="8" t="s">
        <v>1523</v>
      </c>
      <c r="Y9" s="8" t="s">
        <v>1524</v>
      </c>
      <c r="Z9" s="8" t="s">
        <v>1525</v>
      </c>
      <c r="AA9" s="8" t="s">
        <v>1526</v>
      </c>
      <c r="AB9" s="8" t="s">
        <v>1527</v>
      </c>
      <c r="AC9" s="8" t="s">
        <v>1528</v>
      </c>
      <c r="AD9" s="8" t="s">
        <v>1529</v>
      </c>
      <c r="AE9" s="8" t="s">
        <v>1530</v>
      </c>
      <c r="AF9" s="8" t="s">
        <v>1531</v>
      </c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</row>
    <row r="10" spans="1:59" ht="26.5" thickBot="1" x14ac:dyDescent="0.5">
      <c r="B10" s="28"/>
      <c r="C10" s="28"/>
      <c r="D10" s="59"/>
      <c r="E10" s="8" t="s">
        <v>1532</v>
      </c>
      <c r="F10" s="59"/>
      <c r="G10" s="8"/>
      <c r="H10" s="59"/>
      <c r="I10" s="8"/>
      <c r="J10" s="59"/>
      <c r="K10" s="8" t="s">
        <v>1533</v>
      </c>
      <c r="L10" s="8" t="s">
        <v>1534</v>
      </c>
      <c r="M10" s="8" t="s">
        <v>1535</v>
      </c>
      <c r="N10" s="8" t="s">
        <v>1536</v>
      </c>
      <c r="O10" s="8" t="s">
        <v>1537</v>
      </c>
      <c r="P10" s="8" t="s">
        <v>1538</v>
      </c>
      <c r="Q10" s="8" t="s">
        <v>1539</v>
      </c>
      <c r="R10" s="8" t="s">
        <v>1540</v>
      </c>
      <c r="S10" s="8" t="s">
        <v>1541</v>
      </c>
      <c r="T10" s="8" t="s">
        <v>1542</v>
      </c>
      <c r="U10" s="8" t="s">
        <v>1543</v>
      </c>
      <c r="V10" s="8" t="s">
        <v>1544</v>
      </c>
      <c r="W10" s="8" t="s">
        <v>1545</v>
      </c>
      <c r="X10" s="8" t="s">
        <v>1546</v>
      </c>
      <c r="Y10" s="8" t="s">
        <v>1547</v>
      </c>
      <c r="Z10" s="8" t="s">
        <v>1548</v>
      </c>
      <c r="AA10" s="8" t="s">
        <v>1549</v>
      </c>
      <c r="AB10" s="8" t="s">
        <v>1550</v>
      </c>
      <c r="AC10" s="8" t="s">
        <v>1551</v>
      </c>
      <c r="AD10" s="8" t="s">
        <v>1552</v>
      </c>
      <c r="AE10" s="8" t="s">
        <v>1553</v>
      </c>
      <c r="AF10" s="8" t="s">
        <v>1554</v>
      </c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</row>
    <row r="11" spans="1:59" ht="16" customHeight="1" x14ac:dyDescent="0.45">
      <c r="B11" s="11"/>
      <c r="C11" s="11"/>
      <c r="D11" s="29"/>
      <c r="E11" s="29"/>
      <c r="F11" s="12"/>
      <c r="G11" s="12"/>
      <c r="H11" s="12"/>
      <c r="I11" s="12"/>
      <c r="J11" s="12"/>
      <c r="K11" s="29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</row>
    <row r="12" spans="1:59" ht="16" customHeight="1" x14ac:dyDescent="0.45">
      <c r="B12" s="14" t="s">
        <v>285</v>
      </c>
      <c r="C12" s="14" t="s">
        <v>286</v>
      </c>
      <c r="D12" s="61"/>
      <c r="E12" s="30">
        <v>3641.1020899999999</v>
      </c>
      <c r="F12" s="63"/>
      <c r="G12" s="15">
        <f t="shared" ref="G12:G43" si="0">SUM(K12:AF12)</f>
        <v>3641.1020899999999</v>
      </c>
      <c r="H12" s="63"/>
      <c r="I12" s="15">
        <f t="shared" ref="I12:I75" si="1">E12-G12</f>
        <v>0</v>
      </c>
      <c r="J12" s="63"/>
      <c r="K12" s="15">
        <v>1422.6626000000001</v>
      </c>
      <c r="L12" s="15"/>
      <c r="M12" s="15">
        <v>0</v>
      </c>
      <c r="N12" s="15"/>
      <c r="O12" s="15"/>
      <c r="P12" s="15">
        <v>0</v>
      </c>
      <c r="Q12" s="15"/>
      <c r="R12" s="15">
        <v>2221.1445399999998</v>
      </c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>
        <v>-2.70505</v>
      </c>
      <c r="AF12" s="15">
        <v>0</v>
      </c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</row>
    <row r="13" spans="1:59" ht="16" customHeight="1" x14ac:dyDescent="0.45">
      <c r="B13" s="14" t="s">
        <v>287</v>
      </c>
      <c r="C13" s="14" t="s">
        <v>288</v>
      </c>
      <c r="D13" s="61"/>
      <c r="E13" s="30"/>
      <c r="F13" s="63"/>
      <c r="G13" s="15">
        <f t="shared" si="0"/>
        <v>0</v>
      </c>
      <c r="H13" s="63"/>
      <c r="I13" s="15">
        <f t="shared" si="1"/>
        <v>0</v>
      </c>
      <c r="J13" s="63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</row>
    <row r="14" spans="1:59" ht="16" customHeight="1" x14ac:dyDescent="0.45">
      <c r="B14" s="14" t="s">
        <v>291</v>
      </c>
      <c r="C14" s="14" t="s">
        <v>292</v>
      </c>
      <c r="D14" s="61"/>
      <c r="E14" s="30"/>
      <c r="F14" s="63"/>
      <c r="G14" s="15">
        <f t="shared" si="0"/>
        <v>0</v>
      </c>
      <c r="H14" s="63"/>
      <c r="I14" s="15">
        <f t="shared" si="1"/>
        <v>0</v>
      </c>
      <c r="J14" s="63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</row>
    <row r="15" spans="1:59" ht="16" customHeight="1" x14ac:dyDescent="0.45">
      <c r="B15" s="14" t="s">
        <v>1268</v>
      </c>
      <c r="C15" s="14" t="s">
        <v>1269</v>
      </c>
      <c r="D15" s="61"/>
      <c r="E15" s="30"/>
      <c r="F15" s="63"/>
      <c r="G15" s="15">
        <f t="shared" si="0"/>
        <v>0</v>
      </c>
      <c r="H15" s="63"/>
      <c r="I15" s="15">
        <f t="shared" si="1"/>
        <v>0</v>
      </c>
      <c r="J15" s="63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</row>
    <row r="16" spans="1:59" ht="16" customHeight="1" x14ac:dyDescent="0.45">
      <c r="B16" s="14" t="s">
        <v>1270</v>
      </c>
      <c r="C16" s="14" t="s">
        <v>1271</v>
      </c>
      <c r="D16" s="61"/>
      <c r="E16" s="30"/>
      <c r="F16" s="63"/>
      <c r="G16" s="15">
        <f t="shared" si="0"/>
        <v>0</v>
      </c>
      <c r="H16" s="63"/>
      <c r="I16" s="15">
        <f t="shared" si="1"/>
        <v>0</v>
      </c>
      <c r="J16" s="63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</row>
    <row r="17" spans="2:48" ht="16" customHeight="1" x14ac:dyDescent="0.45">
      <c r="B17" s="14" t="s">
        <v>298</v>
      </c>
      <c r="C17" s="14" t="s">
        <v>299</v>
      </c>
      <c r="D17" s="61"/>
      <c r="E17" s="30">
        <v>0</v>
      </c>
      <c r="F17" s="63"/>
      <c r="G17" s="15">
        <f t="shared" si="0"/>
        <v>0</v>
      </c>
      <c r="H17" s="63"/>
      <c r="I17" s="15">
        <f t="shared" si="1"/>
        <v>0</v>
      </c>
      <c r="J17" s="63"/>
      <c r="K17" s="15">
        <v>0</v>
      </c>
      <c r="L17" s="15"/>
      <c r="M17" s="15"/>
      <c r="N17" s="15"/>
      <c r="O17" s="15"/>
      <c r="P17" s="15"/>
      <c r="Q17" s="15"/>
      <c r="R17" s="15">
        <v>0</v>
      </c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</row>
    <row r="18" spans="2:48" ht="16" customHeight="1" x14ac:dyDescent="0.45">
      <c r="B18" s="14" t="s">
        <v>1272</v>
      </c>
      <c r="C18" s="14" t="s">
        <v>1555</v>
      </c>
      <c r="D18" s="61"/>
      <c r="E18" s="30"/>
      <c r="F18" s="63"/>
      <c r="G18" s="15">
        <f t="shared" si="0"/>
        <v>0</v>
      </c>
      <c r="H18" s="63"/>
      <c r="I18" s="15">
        <f t="shared" si="1"/>
        <v>0</v>
      </c>
      <c r="J18" s="63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</row>
    <row r="19" spans="2:48" ht="16" customHeight="1" x14ac:dyDescent="0.45">
      <c r="B19" s="14" t="s">
        <v>1274</v>
      </c>
      <c r="C19" s="14" t="s">
        <v>1556</v>
      </c>
      <c r="D19" s="61"/>
      <c r="E19" s="30"/>
      <c r="F19" s="63"/>
      <c r="G19" s="15">
        <f t="shared" si="0"/>
        <v>0</v>
      </c>
      <c r="H19" s="63"/>
      <c r="I19" s="15">
        <f t="shared" si="1"/>
        <v>0</v>
      </c>
      <c r="J19" s="63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2:48" ht="16" customHeight="1" x14ac:dyDescent="0.35">
      <c r="B20" s="14" t="s">
        <v>1276</v>
      </c>
      <c r="C20" s="14" t="s">
        <v>1557</v>
      </c>
      <c r="D20" s="61"/>
      <c r="E20" s="30">
        <v>2138.56378</v>
      </c>
      <c r="F20" s="63"/>
      <c r="G20" s="15">
        <f t="shared" si="0"/>
        <v>2138.5637800000004</v>
      </c>
      <c r="H20" s="63"/>
      <c r="I20" s="15">
        <f t="shared" si="1"/>
        <v>0</v>
      </c>
      <c r="J20" s="63"/>
      <c r="K20" s="15">
        <v>2138.3217800000002</v>
      </c>
      <c r="L20" s="15"/>
      <c r="M20" s="15">
        <v>0</v>
      </c>
      <c r="N20" s="15"/>
      <c r="O20" s="15"/>
      <c r="P20" s="15"/>
      <c r="Q20" s="15"/>
      <c r="R20" s="15"/>
      <c r="S20" s="15">
        <v>0.24199999999999999</v>
      </c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spans="2:48" ht="16" customHeight="1" x14ac:dyDescent="0.35">
      <c r="B21" s="14" t="s">
        <v>1278</v>
      </c>
      <c r="C21" s="14" t="s">
        <v>1558</v>
      </c>
      <c r="D21" s="61"/>
      <c r="E21" s="30"/>
      <c r="F21" s="63"/>
      <c r="G21" s="15">
        <f t="shared" si="0"/>
        <v>0</v>
      </c>
      <c r="H21" s="63"/>
      <c r="I21" s="15">
        <f t="shared" si="1"/>
        <v>0</v>
      </c>
      <c r="J21" s="63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2:48" ht="16" customHeight="1" x14ac:dyDescent="0.35">
      <c r="B22" s="14" t="s">
        <v>311</v>
      </c>
      <c r="C22" s="14" t="s">
        <v>312</v>
      </c>
      <c r="D22" s="61"/>
      <c r="E22" s="30">
        <v>6233.8064999999997</v>
      </c>
      <c r="F22" s="63"/>
      <c r="G22" s="15">
        <f t="shared" si="0"/>
        <v>6233.8064999999997</v>
      </c>
      <c r="H22" s="63"/>
      <c r="I22" s="15">
        <f t="shared" si="1"/>
        <v>0</v>
      </c>
      <c r="J22" s="63"/>
      <c r="K22" s="15">
        <v>6233.8064999999997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>
        <v>0</v>
      </c>
      <c r="AD22" s="15"/>
      <c r="AE22" s="15"/>
      <c r="AF22" s="15"/>
    </row>
    <row r="23" spans="2:48" ht="16" customHeight="1" x14ac:dyDescent="0.35">
      <c r="B23" s="14" t="s">
        <v>304</v>
      </c>
      <c r="C23" s="14" t="s">
        <v>1280</v>
      </c>
      <c r="D23" s="61"/>
      <c r="E23" s="30"/>
      <c r="F23" s="63"/>
      <c r="G23" s="15">
        <f t="shared" si="0"/>
        <v>0</v>
      </c>
      <c r="H23" s="63"/>
      <c r="I23" s="15">
        <f t="shared" si="1"/>
        <v>0</v>
      </c>
      <c r="J23" s="63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4" spans="2:48" ht="16" customHeight="1" x14ac:dyDescent="0.35">
      <c r="B24" s="14" t="s">
        <v>306</v>
      </c>
      <c r="C24" s="14" t="s">
        <v>1281</v>
      </c>
      <c r="D24" s="61"/>
      <c r="E24" s="30"/>
      <c r="F24" s="63"/>
      <c r="G24" s="15">
        <f t="shared" si="0"/>
        <v>0</v>
      </c>
      <c r="H24" s="63"/>
      <c r="I24" s="15">
        <f t="shared" si="1"/>
        <v>0</v>
      </c>
      <c r="J24" s="63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spans="2:48" ht="16" customHeight="1" x14ac:dyDescent="0.35">
      <c r="B25" s="14" t="s">
        <v>314</v>
      </c>
      <c r="C25" s="14" t="s">
        <v>1282</v>
      </c>
      <c r="D25" s="61"/>
      <c r="E25" s="30">
        <v>1524.81196</v>
      </c>
      <c r="F25" s="63"/>
      <c r="G25" s="15">
        <f t="shared" si="0"/>
        <v>1524.81197</v>
      </c>
      <c r="H25" s="63"/>
      <c r="I25" s="15">
        <f t="shared" si="1"/>
        <v>-9.9999999747524271E-6</v>
      </c>
      <c r="J25" s="63"/>
      <c r="K25" s="15">
        <v>1717.13714</v>
      </c>
      <c r="L25" s="15"/>
      <c r="M25" s="15"/>
      <c r="N25" s="15"/>
      <c r="O25" s="15"/>
      <c r="P25" s="15"/>
      <c r="Q25" s="15"/>
      <c r="R25" s="15">
        <v>-188.92694</v>
      </c>
      <c r="S25" s="15"/>
      <c r="T25" s="15"/>
      <c r="U25" s="15"/>
      <c r="V25" s="15"/>
      <c r="W25" s="15"/>
      <c r="X25" s="15"/>
      <c r="Y25" s="15"/>
      <c r="Z25" s="15"/>
      <c r="AA25" s="15"/>
      <c r="AB25" s="15">
        <v>1.0499999999999999E-3</v>
      </c>
      <c r="AC25" s="15">
        <v>-3.39716</v>
      </c>
      <c r="AD25" s="15"/>
      <c r="AE25" s="15">
        <v>-2.1199999999999999E-3</v>
      </c>
      <c r="AF25" s="15"/>
    </row>
    <row r="26" spans="2:48" ht="16" customHeight="1" x14ac:dyDescent="0.35">
      <c r="B26" s="14" t="s">
        <v>343</v>
      </c>
      <c r="C26" s="14" t="s">
        <v>1287</v>
      </c>
      <c r="D26" s="61"/>
      <c r="E26" s="30">
        <v>3977.9576200000001</v>
      </c>
      <c r="F26" s="63"/>
      <c r="G26" s="15">
        <f t="shared" si="0"/>
        <v>3977.9566100000002</v>
      </c>
      <c r="H26" s="63"/>
      <c r="I26" s="15">
        <f t="shared" si="1"/>
        <v>1.0099999999511056E-3</v>
      </c>
      <c r="J26" s="63"/>
      <c r="K26" s="15">
        <v>3982.00126</v>
      </c>
      <c r="L26" s="15"/>
      <c r="M26" s="15"/>
      <c r="N26" s="15"/>
      <c r="O26" s="15"/>
      <c r="P26" s="15"/>
      <c r="Q26" s="15"/>
      <c r="R26" s="15">
        <v>-3.3332299999999999</v>
      </c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>
        <v>-0.70965</v>
      </c>
      <c r="AD26" s="15"/>
      <c r="AE26" s="15">
        <v>-1.7700000000000001E-3</v>
      </c>
      <c r="AF26" s="15"/>
    </row>
    <row r="27" spans="2:48" ht="16" customHeight="1" x14ac:dyDescent="0.35">
      <c r="B27" s="14" t="s">
        <v>316</v>
      </c>
      <c r="C27" s="14" t="s">
        <v>1283</v>
      </c>
      <c r="D27" s="61"/>
      <c r="E27" s="30">
        <v>0</v>
      </c>
      <c r="F27" s="63"/>
      <c r="G27" s="15">
        <f t="shared" si="0"/>
        <v>0</v>
      </c>
      <c r="H27" s="63"/>
      <c r="I27" s="15">
        <f t="shared" si="1"/>
        <v>0</v>
      </c>
      <c r="J27" s="63"/>
      <c r="K27" s="15">
        <v>0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spans="2:48" ht="16" customHeight="1" x14ac:dyDescent="0.35">
      <c r="B28" s="14" t="s">
        <v>320</v>
      </c>
      <c r="C28" s="14" t="s">
        <v>1284</v>
      </c>
      <c r="D28" s="61"/>
      <c r="E28" s="30"/>
      <c r="F28" s="63"/>
      <c r="G28" s="15">
        <f t="shared" si="0"/>
        <v>0</v>
      </c>
      <c r="H28" s="63"/>
      <c r="I28" s="15">
        <f t="shared" si="1"/>
        <v>0</v>
      </c>
      <c r="J28" s="63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spans="2:48" ht="16" customHeight="1" x14ac:dyDescent="0.35">
      <c r="B29" s="14" t="s">
        <v>322</v>
      </c>
      <c r="C29" s="14" t="s">
        <v>1285</v>
      </c>
      <c r="D29" s="61"/>
      <c r="E29" s="30">
        <v>-8754.4739100000006</v>
      </c>
      <c r="F29" s="63"/>
      <c r="G29" s="15">
        <f t="shared" si="0"/>
        <v>-8754.4739099999988</v>
      </c>
      <c r="H29" s="63"/>
      <c r="I29" s="15">
        <f t="shared" si="1"/>
        <v>0</v>
      </c>
      <c r="J29" s="63"/>
      <c r="K29" s="15">
        <v>-8417.3962300000003</v>
      </c>
      <c r="L29" s="15"/>
      <c r="M29" s="15">
        <v>0</v>
      </c>
      <c r="N29" s="15"/>
      <c r="O29" s="15"/>
      <c r="P29" s="15"/>
      <c r="Q29" s="15"/>
      <c r="R29" s="15"/>
      <c r="S29" s="15"/>
      <c r="T29" s="15"/>
      <c r="U29" s="15"/>
      <c r="V29" s="15"/>
      <c r="W29" s="15">
        <v>-435.52256999999997</v>
      </c>
      <c r="X29" s="15"/>
      <c r="Y29" s="15"/>
      <c r="Z29" s="15"/>
      <c r="AA29" s="15"/>
      <c r="AB29" s="15"/>
      <c r="AC29" s="15">
        <v>98.444890000000001</v>
      </c>
      <c r="AD29" s="15"/>
      <c r="AE29" s="15"/>
      <c r="AF29" s="15"/>
    </row>
    <row r="30" spans="2:48" ht="16" customHeight="1" x14ac:dyDescent="0.35">
      <c r="B30" s="14" t="s">
        <v>345</v>
      </c>
      <c r="C30" s="14" t="s">
        <v>1288</v>
      </c>
      <c r="D30" s="61"/>
      <c r="E30" s="30"/>
      <c r="F30" s="63"/>
      <c r="G30" s="15">
        <f t="shared" si="0"/>
        <v>0</v>
      </c>
      <c r="H30" s="63"/>
      <c r="I30" s="15">
        <f t="shared" si="1"/>
        <v>0</v>
      </c>
      <c r="J30" s="63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</row>
    <row r="31" spans="2:48" ht="16" customHeight="1" x14ac:dyDescent="0.35">
      <c r="B31" s="14" t="s">
        <v>347</v>
      </c>
      <c r="C31" s="14" t="s">
        <v>1289</v>
      </c>
      <c r="D31" s="61"/>
      <c r="E31" s="30">
        <v>1541.2628400000001</v>
      </c>
      <c r="F31" s="63"/>
      <c r="G31" s="15">
        <f t="shared" si="0"/>
        <v>1541.2628299999999</v>
      </c>
      <c r="H31" s="63"/>
      <c r="I31" s="15">
        <f t="shared" si="1"/>
        <v>1.0000000202126103E-5</v>
      </c>
      <c r="J31" s="63"/>
      <c r="K31" s="15">
        <v>-172.95562000000001</v>
      </c>
      <c r="L31" s="15"/>
      <c r="M31" s="15">
        <v>0</v>
      </c>
      <c r="N31" s="15"/>
      <c r="O31" s="15"/>
      <c r="P31" s="15">
        <v>0</v>
      </c>
      <c r="Q31" s="15"/>
      <c r="R31" s="15">
        <v>1715.8411799999999</v>
      </c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>
        <v>-1.0000000000000001E-5</v>
      </c>
      <c r="AD31" s="15"/>
      <c r="AE31" s="15">
        <v>-1.6227199999999999</v>
      </c>
      <c r="AF31" s="15">
        <v>0</v>
      </c>
    </row>
    <row r="32" spans="2:48" ht="16" customHeight="1" x14ac:dyDescent="0.35">
      <c r="B32" s="14" t="s">
        <v>349</v>
      </c>
      <c r="C32" s="14" t="s">
        <v>1290</v>
      </c>
      <c r="D32" s="61"/>
      <c r="E32" s="30"/>
      <c r="F32" s="63"/>
      <c r="G32" s="15">
        <f t="shared" si="0"/>
        <v>0</v>
      </c>
      <c r="H32" s="63"/>
      <c r="I32" s="15">
        <f t="shared" si="1"/>
        <v>0</v>
      </c>
      <c r="J32" s="63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</row>
    <row r="33" spans="2:32" ht="16" customHeight="1" x14ac:dyDescent="0.35">
      <c r="B33" s="14" t="s">
        <v>351</v>
      </c>
      <c r="C33" s="14" t="s">
        <v>1291</v>
      </c>
      <c r="D33" s="61"/>
      <c r="E33" s="30"/>
      <c r="F33" s="63"/>
      <c r="G33" s="15">
        <f t="shared" si="0"/>
        <v>0</v>
      </c>
      <c r="H33" s="63"/>
      <c r="I33" s="15">
        <f t="shared" si="1"/>
        <v>0</v>
      </c>
      <c r="J33" s="63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spans="2:32" ht="16" customHeight="1" x14ac:dyDescent="0.35">
      <c r="B34" s="14" t="s">
        <v>318</v>
      </c>
      <c r="C34" s="14" t="s">
        <v>1286</v>
      </c>
      <c r="D34" s="61"/>
      <c r="E34" s="30">
        <v>371003.11351</v>
      </c>
      <c r="F34" s="63"/>
      <c r="G34" s="15">
        <f t="shared" si="0"/>
        <v>371003.11351</v>
      </c>
      <c r="H34" s="63"/>
      <c r="I34" s="15">
        <f t="shared" si="1"/>
        <v>0</v>
      </c>
      <c r="J34" s="63"/>
      <c r="K34" s="15">
        <v>351585.01370000001</v>
      </c>
      <c r="L34" s="15"/>
      <c r="M34" s="15">
        <v>0</v>
      </c>
      <c r="N34" s="15"/>
      <c r="O34" s="15"/>
      <c r="P34" s="15">
        <v>0</v>
      </c>
      <c r="Q34" s="15"/>
      <c r="R34" s="15">
        <v>19531.605869999999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>
        <v>-98.444890000000001</v>
      </c>
      <c r="AD34" s="15"/>
      <c r="AE34" s="15">
        <v>-15.061170000000001</v>
      </c>
      <c r="AF34" s="15">
        <v>0</v>
      </c>
    </row>
    <row r="35" spans="2:32" ht="16" customHeight="1" x14ac:dyDescent="0.35">
      <c r="B35" s="14" t="s">
        <v>324</v>
      </c>
      <c r="C35" s="14" t="s">
        <v>325</v>
      </c>
      <c r="D35" s="61"/>
      <c r="E35" s="30">
        <v>269.54039999999998</v>
      </c>
      <c r="F35" s="63"/>
      <c r="G35" s="15">
        <f t="shared" si="0"/>
        <v>269.54039999999998</v>
      </c>
      <c r="H35" s="63"/>
      <c r="I35" s="15">
        <f t="shared" si="1"/>
        <v>0</v>
      </c>
      <c r="J35" s="63"/>
      <c r="K35" s="15">
        <v>-2.0000000000000002E-5</v>
      </c>
      <c r="L35" s="15"/>
      <c r="M35" s="15"/>
      <c r="N35" s="15"/>
      <c r="O35" s="15"/>
      <c r="P35" s="15"/>
      <c r="Q35" s="15"/>
      <c r="R35" s="15">
        <v>270.17885000000001</v>
      </c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>
        <v>-0.63843000000000005</v>
      </c>
      <c r="AF35" s="15"/>
    </row>
    <row r="36" spans="2:32" ht="16" customHeight="1" x14ac:dyDescent="0.35">
      <c r="B36" s="14" t="s">
        <v>329</v>
      </c>
      <c r="C36" s="14" t="s">
        <v>330</v>
      </c>
      <c r="D36" s="61"/>
      <c r="E36" s="30">
        <v>46975.73934</v>
      </c>
      <c r="F36" s="63"/>
      <c r="G36" s="15">
        <f t="shared" si="0"/>
        <v>46975.73934</v>
      </c>
      <c r="H36" s="63"/>
      <c r="I36" s="15">
        <f t="shared" si="1"/>
        <v>0</v>
      </c>
      <c r="J36" s="63"/>
      <c r="K36" s="15">
        <v>48766.419739999998</v>
      </c>
      <c r="L36" s="15"/>
      <c r="M36" s="15"/>
      <c r="N36" s="15"/>
      <c r="O36" s="15"/>
      <c r="P36" s="15">
        <v>0</v>
      </c>
      <c r="Q36" s="15"/>
      <c r="R36" s="15">
        <v>-1774.7941699999999</v>
      </c>
      <c r="S36" s="15"/>
      <c r="T36" s="15"/>
      <c r="U36" s="15"/>
      <c r="V36" s="15"/>
      <c r="W36" s="15"/>
      <c r="X36" s="15"/>
      <c r="Y36" s="15"/>
      <c r="Z36" s="15"/>
      <c r="AA36" s="15">
        <v>-1.33023</v>
      </c>
      <c r="AB36" s="15"/>
      <c r="AC36" s="15">
        <v>1.0915900000000001</v>
      </c>
      <c r="AD36" s="15"/>
      <c r="AE36" s="15">
        <v>-15.647589999999999</v>
      </c>
      <c r="AF36" s="15">
        <v>0</v>
      </c>
    </row>
    <row r="37" spans="2:32" ht="16" customHeight="1" x14ac:dyDescent="0.35">
      <c r="B37" s="14" t="s">
        <v>333</v>
      </c>
      <c r="C37" s="14" t="s">
        <v>1559</v>
      </c>
      <c r="D37" s="61"/>
      <c r="E37" s="30">
        <v>213499.91732000001</v>
      </c>
      <c r="F37" s="63"/>
      <c r="G37" s="15">
        <f t="shared" si="0"/>
        <v>213499.91730999999</v>
      </c>
      <c r="H37" s="63"/>
      <c r="I37" s="15">
        <f t="shared" si="1"/>
        <v>1.0000017937272787E-5</v>
      </c>
      <c r="J37" s="63"/>
      <c r="K37" s="15">
        <v>204507.96382999999</v>
      </c>
      <c r="L37" s="15"/>
      <c r="M37" s="15">
        <v>0</v>
      </c>
      <c r="N37" s="15"/>
      <c r="O37" s="15"/>
      <c r="P37" s="15">
        <v>0</v>
      </c>
      <c r="Q37" s="15"/>
      <c r="R37" s="15">
        <v>7025.6288100000002</v>
      </c>
      <c r="S37" s="15"/>
      <c r="T37" s="15"/>
      <c r="U37" s="15"/>
      <c r="V37" s="15"/>
      <c r="W37" s="15"/>
      <c r="X37" s="15"/>
      <c r="Y37" s="15"/>
      <c r="Z37" s="15"/>
      <c r="AA37" s="15">
        <v>1032.5349000000001</v>
      </c>
      <c r="AB37" s="15"/>
      <c r="AC37" s="15">
        <v>1010.45743</v>
      </c>
      <c r="AD37" s="15"/>
      <c r="AE37" s="15">
        <v>-76.667659999999998</v>
      </c>
      <c r="AF37" s="15">
        <v>0</v>
      </c>
    </row>
    <row r="38" spans="2:32" ht="16" customHeight="1" x14ac:dyDescent="0.35">
      <c r="B38" s="14" t="s">
        <v>331</v>
      </c>
      <c r="C38" s="14" t="s">
        <v>332</v>
      </c>
      <c r="D38" s="61"/>
      <c r="E38" s="30"/>
      <c r="F38" s="63"/>
      <c r="G38" s="15">
        <f t="shared" si="0"/>
        <v>0</v>
      </c>
      <c r="H38" s="63"/>
      <c r="I38" s="15">
        <f t="shared" si="1"/>
        <v>0</v>
      </c>
      <c r="J38" s="63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spans="2:32" ht="16" customHeight="1" x14ac:dyDescent="0.35">
      <c r="B39" s="14" t="s">
        <v>335</v>
      </c>
      <c r="C39" s="14" t="s">
        <v>336</v>
      </c>
      <c r="D39" s="61"/>
      <c r="E39" s="30">
        <v>5.3106900000000001</v>
      </c>
      <c r="F39" s="63"/>
      <c r="G39" s="15">
        <f t="shared" si="0"/>
        <v>5.3106900000000001</v>
      </c>
      <c r="H39" s="63"/>
      <c r="I39" s="15">
        <f t="shared" si="1"/>
        <v>0</v>
      </c>
      <c r="J39" s="63"/>
      <c r="K39" s="15">
        <v>1.9388000000000001</v>
      </c>
      <c r="L39" s="15"/>
      <c r="M39" s="15"/>
      <c r="N39" s="15"/>
      <c r="O39" s="15"/>
      <c r="P39" s="15">
        <v>0</v>
      </c>
      <c r="Q39" s="15"/>
      <c r="R39" s="15">
        <v>3.38531</v>
      </c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>
        <v>-1.342E-2</v>
      </c>
      <c r="AF39" s="15">
        <v>0</v>
      </c>
    </row>
    <row r="40" spans="2:32" ht="16" customHeight="1" x14ac:dyDescent="0.35">
      <c r="B40" s="14" t="s">
        <v>337</v>
      </c>
      <c r="C40" s="14" t="s">
        <v>338</v>
      </c>
      <c r="D40" s="61"/>
      <c r="E40" s="30">
        <v>16841.884099999999</v>
      </c>
      <c r="F40" s="63"/>
      <c r="G40" s="15">
        <f t="shared" si="0"/>
        <v>16841.884099999999</v>
      </c>
      <c r="H40" s="63"/>
      <c r="I40" s="15">
        <f t="shared" si="1"/>
        <v>0</v>
      </c>
      <c r="J40" s="63"/>
      <c r="K40" s="15">
        <v>15399.813539999999</v>
      </c>
      <c r="L40" s="15"/>
      <c r="M40" s="15">
        <v>0</v>
      </c>
      <c r="N40" s="15"/>
      <c r="O40" s="15"/>
      <c r="P40" s="15">
        <v>0</v>
      </c>
      <c r="Q40" s="15"/>
      <c r="R40" s="15">
        <v>1481.6851099999999</v>
      </c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>
        <v>-11.65846</v>
      </c>
      <c r="AD40" s="15"/>
      <c r="AE40" s="15">
        <v>-27.95609</v>
      </c>
      <c r="AF40" s="15">
        <v>0</v>
      </c>
    </row>
    <row r="41" spans="2:32" ht="16" customHeight="1" x14ac:dyDescent="0.35">
      <c r="B41" s="14" t="s">
        <v>339</v>
      </c>
      <c r="C41" s="14" t="s">
        <v>340</v>
      </c>
      <c r="D41" s="61"/>
      <c r="E41" s="30">
        <v>12.2</v>
      </c>
      <c r="F41" s="63"/>
      <c r="G41" s="15">
        <f t="shared" si="0"/>
        <v>12.2</v>
      </c>
      <c r="H41" s="63"/>
      <c r="I41" s="15">
        <f t="shared" si="1"/>
        <v>0</v>
      </c>
      <c r="J41" s="63"/>
      <c r="K41" s="15">
        <v>0</v>
      </c>
      <c r="L41" s="15"/>
      <c r="M41" s="15"/>
      <c r="N41" s="15"/>
      <c r="O41" s="15"/>
      <c r="P41" s="15"/>
      <c r="Q41" s="15"/>
      <c r="R41" s="15">
        <v>12.2</v>
      </c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2:32" ht="16" customHeight="1" x14ac:dyDescent="0.35">
      <c r="B42" s="14" t="s">
        <v>1292</v>
      </c>
      <c r="C42" s="14" t="s">
        <v>1293</v>
      </c>
      <c r="D42" s="61"/>
      <c r="E42" s="30"/>
      <c r="F42" s="63"/>
      <c r="G42" s="15">
        <f t="shared" si="0"/>
        <v>0</v>
      </c>
      <c r="H42" s="63"/>
      <c r="I42" s="15">
        <f t="shared" si="1"/>
        <v>0</v>
      </c>
      <c r="J42" s="63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spans="2:32" ht="16" customHeight="1" x14ac:dyDescent="0.35">
      <c r="B43" s="14" t="s">
        <v>1294</v>
      </c>
      <c r="C43" s="14" t="s">
        <v>1295</v>
      </c>
      <c r="D43" s="61"/>
      <c r="E43" s="30"/>
      <c r="F43" s="63"/>
      <c r="G43" s="15">
        <f t="shared" si="0"/>
        <v>0</v>
      </c>
      <c r="H43" s="63"/>
      <c r="I43" s="15">
        <f t="shared" si="1"/>
        <v>0</v>
      </c>
      <c r="J43" s="63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</row>
    <row r="44" spans="2:32" ht="16" customHeight="1" x14ac:dyDescent="0.35">
      <c r="B44" s="14" t="s">
        <v>1296</v>
      </c>
      <c r="C44" s="14" t="s">
        <v>1297</v>
      </c>
      <c r="D44" s="61"/>
      <c r="E44" s="30"/>
      <c r="F44" s="63"/>
      <c r="G44" s="15">
        <f t="shared" ref="G44:G107" si="2">SUM(K44:AF44)</f>
        <v>0</v>
      </c>
      <c r="H44" s="63"/>
      <c r="I44" s="15">
        <f t="shared" si="1"/>
        <v>0</v>
      </c>
      <c r="J44" s="63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spans="2:32" ht="16" customHeight="1" x14ac:dyDescent="0.35">
      <c r="B45" s="14" t="s">
        <v>1298</v>
      </c>
      <c r="C45" s="14" t="s">
        <v>1299</v>
      </c>
      <c r="D45" s="61"/>
      <c r="E45" s="30"/>
      <c r="F45" s="63"/>
      <c r="G45" s="15">
        <f t="shared" si="2"/>
        <v>0</v>
      </c>
      <c r="H45" s="63"/>
      <c r="I45" s="15">
        <f t="shared" si="1"/>
        <v>0</v>
      </c>
      <c r="J45" s="63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  <row r="46" spans="2:32" ht="16" customHeight="1" x14ac:dyDescent="0.35">
      <c r="B46" s="14" t="s">
        <v>1300</v>
      </c>
      <c r="C46" s="14" t="s">
        <v>1301</v>
      </c>
      <c r="D46" s="61"/>
      <c r="E46" s="30"/>
      <c r="F46" s="63"/>
      <c r="G46" s="15">
        <f t="shared" si="2"/>
        <v>0</v>
      </c>
      <c r="H46" s="63"/>
      <c r="I46" s="15">
        <f t="shared" si="1"/>
        <v>0</v>
      </c>
      <c r="J46" s="63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</row>
    <row r="47" spans="2:32" ht="16" customHeight="1" x14ac:dyDescent="0.35">
      <c r="B47" s="14" t="s">
        <v>1302</v>
      </c>
      <c r="C47" s="14" t="s">
        <v>1303</v>
      </c>
      <c r="D47" s="61"/>
      <c r="E47" s="30"/>
      <c r="F47" s="63"/>
      <c r="G47" s="15">
        <f t="shared" si="2"/>
        <v>0</v>
      </c>
      <c r="H47" s="63"/>
      <c r="I47" s="15">
        <f t="shared" si="1"/>
        <v>0</v>
      </c>
      <c r="J47" s="63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</row>
    <row r="48" spans="2:32" ht="16" customHeight="1" x14ac:dyDescent="0.35">
      <c r="B48" s="14" t="s">
        <v>359</v>
      </c>
      <c r="C48" s="14" t="s">
        <v>1560</v>
      </c>
      <c r="D48" s="61"/>
      <c r="E48" s="30">
        <v>17103.491839999999</v>
      </c>
      <c r="F48" s="63"/>
      <c r="G48" s="15">
        <f t="shared" si="2"/>
        <v>17103.491839999999</v>
      </c>
      <c r="H48" s="63"/>
      <c r="I48" s="15">
        <f t="shared" si="1"/>
        <v>0</v>
      </c>
      <c r="J48" s="63"/>
      <c r="K48" s="15">
        <v>18806.132369999999</v>
      </c>
      <c r="L48" s="15"/>
      <c r="M48" s="15">
        <v>0</v>
      </c>
      <c r="N48" s="15"/>
      <c r="O48" s="15"/>
      <c r="P48" s="15">
        <v>0</v>
      </c>
      <c r="Q48" s="15"/>
      <c r="R48" s="15">
        <v>-1698.5920000000001</v>
      </c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>
        <v>0</v>
      </c>
      <c r="AD48" s="15"/>
      <c r="AE48" s="15">
        <v>-4.0485300000000004</v>
      </c>
      <c r="AF48" s="15">
        <v>0</v>
      </c>
    </row>
    <row r="49" spans="2:32" ht="16" customHeight="1" x14ac:dyDescent="0.35">
      <c r="B49" s="14" t="s">
        <v>1304</v>
      </c>
      <c r="C49" s="14" t="s">
        <v>1305</v>
      </c>
      <c r="D49" s="61"/>
      <c r="E49" s="30"/>
      <c r="F49" s="63"/>
      <c r="G49" s="15">
        <f t="shared" si="2"/>
        <v>0</v>
      </c>
      <c r="H49" s="63"/>
      <c r="I49" s="15">
        <f t="shared" si="1"/>
        <v>0</v>
      </c>
      <c r="J49" s="63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</row>
    <row r="50" spans="2:32" ht="16" customHeight="1" x14ac:dyDescent="0.35">
      <c r="B50" s="14" t="s">
        <v>1306</v>
      </c>
      <c r="C50" s="14" t="s">
        <v>1307</v>
      </c>
      <c r="D50" s="61"/>
      <c r="E50" s="30"/>
      <c r="F50" s="63"/>
      <c r="G50" s="15">
        <f t="shared" si="2"/>
        <v>0</v>
      </c>
      <c r="H50" s="63"/>
      <c r="I50" s="15">
        <f t="shared" si="1"/>
        <v>0</v>
      </c>
      <c r="J50" s="63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</row>
    <row r="51" spans="2:32" ht="16" customHeight="1" x14ac:dyDescent="0.35">
      <c r="B51" s="14" t="s">
        <v>1308</v>
      </c>
      <c r="C51" s="14" t="s">
        <v>1309</v>
      </c>
      <c r="D51" s="61"/>
      <c r="E51" s="30"/>
      <c r="F51" s="63"/>
      <c r="G51" s="15">
        <f t="shared" si="2"/>
        <v>0</v>
      </c>
      <c r="H51" s="63"/>
      <c r="I51" s="15">
        <f t="shared" si="1"/>
        <v>0</v>
      </c>
      <c r="J51" s="63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</row>
    <row r="52" spans="2:32" ht="16" customHeight="1" x14ac:dyDescent="0.35">
      <c r="B52" s="14" t="s">
        <v>1310</v>
      </c>
      <c r="C52" s="14" t="s">
        <v>1311</v>
      </c>
      <c r="D52" s="61"/>
      <c r="E52" s="30"/>
      <c r="F52" s="63"/>
      <c r="G52" s="15">
        <f t="shared" si="2"/>
        <v>0</v>
      </c>
      <c r="H52" s="63"/>
      <c r="I52" s="15">
        <f t="shared" si="1"/>
        <v>0</v>
      </c>
      <c r="J52" s="63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</row>
    <row r="53" spans="2:32" ht="16" customHeight="1" x14ac:dyDescent="0.35">
      <c r="B53" s="14" t="s">
        <v>1312</v>
      </c>
      <c r="C53" s="14" t="s">
        <v>1313</v>
      </c>
      <c r="D53" s="61"/>
      <c r="E53" s="30"/>
      <c r="F53" s="63"/>
      <c r="G53" s="15">
        <f t="shared" si="2"/>
        <v>0</v>
      </c>
      <c r="H53" s="63"/>
      <c r="I53" s="15">
        <f t="shared" si="1"/>
        <v>0</v>
      </c>
      <c r="J53" s="63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</row>
    <row r="54" spans="2:32" ht="16" customHeight="1" x14ac:dyDescent="0.35">
      <c r="B54" s="14" t="s">
        <v>1314</v>
      </c>
      <c r="C54" s="14" t="s">
        <v>1315</v>
      </c>
      <c r="D54" s="61"/>
      <c r="E54" s="30"/>
      <c r="F54" s="63"/>
      <c r="G54" s="15">
        <f t="shared" si="2"/>
        <v>0</v>
      </c>
      <c r="H54" s="63"/>
      <c r="I54" s="15">
        <f t="shared" si="1"/>
        <v>0</v>
      </c>
      <c r="J54" s="63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</row>
    <row r="55" spans="2:32" ht="16" customHeight="1" x14ac:dyDescent="0.35">
      <c r="B55" s="14" t="s">
        <v>1316</v>
      </c>
      <c r="C55" s="14" t="s">
        <v>1317</v>
      </c>
      <c r="D55" s="61"/>
      <c r="E55" s="30"/>
      <c r="F55" s="63"/>
      <c r="G55" s="15">
        <f t="shared" si="2"/>
        <v>0</v>
      </c>
      <c r="H55" s="63"/>
      <c r="I55" s="15">
        <f t="shared" si="1"/>
        <v>0</v>
      </c>
      <c r="J55" s="63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</row>
    <row r="56" spans="2:32" ht="16" customHeight="1" x14ac:dyDescent="0.35">
      <c r="B56" s="14" t="s">
        <v>361</v>
      </c>
      <c r="C56" s="14" t="s">
        <v>1318</v>
      </c>
      <c r="D56" s="61"/>
      <c r="E56" s="30">
        <v>245.958</v>
      </c>
      <c r="F56" s="63"/>
      <c r="G56" s="15">
        <f t="shared" si="2"/>
        <v>245.95800000000054</v>
      </c>
      <c r="H56" s="63"/>
      <c r="I56" s="15">
        <f t="shared" si="1"/>
        <v>-5.4001247917767614E-13</v>
      </c>
      <c r="J56" s="63"/>
      <c r="K56" s="15">
        <v>-9999.3379999999997</v>
      </c>
      <c r="L56" s="15"/>
      <c r="M56" s="15">
        <v>0</v>
      </c>
      <c r="N56" s="15"/>
      <c r="O56" s="15"/>
      <c r="P56" s="15"/>
      <c r="Q56" s="15"/>
      <c r="R56" s="15">
        <v>10245.296</v>
      </c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</row>
    <row r="57" spans="2:32" ht="16" customHeight="1" x14ac:dyDescent="0.35">
      <c r="B57" s="14" t="s">
        <v>368</v>
      </c>
      <c r="C57" s="14" t="s">
        <v>1561</v>
      </c>
      <c r="D57" s="61"/>
      <c r="E57" s="30"/>
      <c r="F57" s="63"/>
      <c r="G57" s="15">
        <f t="shared" si="2"/>
        <v>0</v>
      </c>
      <c r="H57" s="63"/>
      <c r="I57" s="15">
        <f t="shared" si="1"/>
        <v>0</v>
      </c>
      <c r="J57" s="63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</row>
    <row r="58" spans="2:32" ht="16" customHeight="1" x14ac:dyDescent="0.35">
      <c r="B58" s="14" t="s">
        <v>363</v>
      </c>
      <c r="C58" s="14" t="s">
        <v>364</v>
      </c>
      <c r="D58" s="61"/>
      <c r="E58" s="30">
        <v>13845.00405</v>
      </c>
      <c r="F58" s="63"/>
      <c r="G58" s="15">
        <f t="shared" si="2"/>
        <v>13845.00405</v>
      </c>
      <c r="H58" s="63"/>
      <c r="I58" s="15">
        <f t="shared" si="1"/>
        <v>0</v>
      </c>
      <c r="J58" s="63"/>
      <c r="K58" s="15">
        <v>10714.93333</v>
      </c>
      <c r="L58" s="15"/>
      <c r="M58" s="15"/>
      <c r="N58" s="15"/>
      <c r="O58" s="15"/>
      <c r="P58" s="15"/>
      <c r="Q58" s="15"/>
      <c r="R58" s="15">
        <v>3130.0707200000002</v>
      </c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</row>
    <row r="59" spans="2:32" ht="16" customHeight="1" x14ac:dyDescent="0.35">
      <c r="B59" s="14" t="s">
        <v>1320</v>
      </c>
      <c r="C59" s="14" t="s">
        <v>375</v>
      </c>
      <c r="D59" s="61"/>
      <c r="E59" s="30">
        <v>7.1000000000000002E-4</v>
      </c>
      <c r="F59" s="63"/>
      <c r="G59" s="15">
        <f t="shared" si="2"/>
        <v>7.1000000000000002E-4</v>
      </c>
      <c r="H59" s="63"/>
      <c r="I59" s="15">
        <f t="shared" si="1"/>
        <v>0</v>
      </c>
      <c r="J59" s="63"/>
      <c r="K59" s="15">
        <v>7.1000000000000002E-4</v>
      </c>
      <c r="L59" s="15"/>
      <c r="M59" s="15"/>
      <c r="N59" s="15"/>
      <c r="O59" s="15"/>
      <c r="P59" s="15"/>
      <c r="Q59" s="15"/>
      <c r="R59" s="15"/>
      <c r="S59" s="15">
        <v>0</v>
      </c>
      <c r="T59" s="15"/>
      <c r="U59" s="15"/>
      <c r="V59" s="15"/>
      <c r="W59" s="15"/>
      <c r="X59" s="15"/>
      <c r="Y59" s="15"/>
      <c r="Z59" s="15"/>
      <c r="AA59" s="15"/>
      <c r="AB59" s="15"/>
      <c r="AC59" s="15">
        <v>0</v>
      </c>
      <c r="AD59" s="15"/>
      <c r="AE59" s="15"/>
      <c r="AF59" s="15"/>
    </row>
    <row r="60" spans="2:32" ht="16" customHeight="1" x14ac:dyDescent="0.35">
      <c r="B60" s="14" t="s">
        <v>1321</v>
      </c>
      <c r="C60" s="14" t="s">
        <v>1322</v>
      </c>
      <c r="D60" s="61"/>
      <c r="E60" s="30"/>
      <c r="F60" s="63"/>
      <c r="G60" s="15">
        <f t="shared" si="2"/>
        <v>0</v>
      </c>
      <c r="H60" s="63"/>
      <c r="I60" s="15">
        <f t="shared" si="1"/>
        <v>0</v>
      </c>
      <c r="J60" s="63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</row>
    <row r="61" spans="2:32" ht="16" customHeight="1" x14ac:dyDescent="0.35">
      <c r="B61" s="14" t="s">
        <v>1323</v>
      </c>
      <c r="C61" s="14" t="s">
        <v>1324</v>
      </c>
      <c r="D61" s="61"/>
      <c r="E61" s="30">
        <v>-2488790.3199999998</v>
      </c>
      <c r="F61" s="63"/>
      <c r="G61" s="15">
        <f t="shared" si="2"/>
        <v>-2488790.3199999998</v>
      </c>
      <c r="H61" s="63"/>
      <c r="I61" s="15">
        <f t="shared" si="1"/>
        <v>0</v>
      </c>
      <c r="J61" s="63"/>
      <c r="K61" s="15">
        <v>-2488790.3199999998</v>
      </c>
      <c r="L61" s="15"/>
      <c r="M61" s="15">
        <v>0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>
        <v>0</v>
      </c>
      <c r="AC61" s="15"/>
      <c r="AD61" s="15"/>
      <c r="AE61" s="15"/>
      <c r="AF61" s="15"/>
    </row>
    <row r="62" spans="2:32" ht="16" customHeight="1" x14ac:dyDescent="0.35">
      <c r="B62" s="14" t="s">
        <v>1325</v>
      </c>
      <c r="C62" s="14" t="s">
        <v>1326</v>
      </c>
      <c r="D62" s="61"/>
      <c r="E62" s="30">
        <v>2488790.3199999998</v>
      </c>
      <c r="F62" s="63"/>
      <c r="G62" s="15">
        <f t="shared" si="2"/>
        <v>2488790.3199999998</v>
      </c>
      <c r="H62" s="63"/>
      <c r="I62" s="15">
        <f t="shared" si="1"/>
        <v>0</v>
      </c>
      <c r="J62" s="63"/>
      <c r="K62" s="15">
        <v>2488790.3199999998</v>
      </c>
      <c r="L62" s="15"/>
      <c r="M62" s="15"/>
      <c r="N62" s="15"/>
      <c r="O62" s="15"/>
      <c r="P62" s="15"/>
      <c r="Q62" s="15"/>
      <c r="R62" s="15"/>
      <c r="S62" s="15">
        <v>0</v>
      </c>
      <c r="T62" s="15"/>
      <c r="U62" s="15"/>
      <c r="V62" s="15"/>
      <c r="W62" s="15"/>
      <c r="X62" s="15"/>
      <c r="Y62" s="15"/>
      <c r="Z62" s="15"/>
      <c r="AA62" s="15"/>
      <c r="AB62" s="15"/>
      <c r="AC62" s="15">
        <v>0</v>
      </c>
      <c r="AD62" s="15"/>
      <c r="AE62" s="15"/>
      <c r="AF62" s="15"/>
    </row>
    <row r="63" spans="2:32" ht="16" customHeight="1" x14ac:dyDescent="0.35">
      <c r="B63" s="14" t="s">
        <v>391</v>
      </c>
      <c r="C63" s="14" t="s">
        <v>392</v>
      </c>
      <c r="D63" s="61"/>
      <c r="E63" s="30">
        <v>0</v>
      </c>
      <c r="F63" s="63"/>
      <c r="G63" s="15">
        <f t="shared" si="2"/>
        <v>0</v>
      </c>
      <c r="H63" s="63"/>
      <c r="I63" s="15">
        <f t="shared" si="1"/>
        <v>0</v>
      </c>
      <c r="J63" s="63"/>
      <c r="K63" s="15">
        <v>0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</row>
    <row r="64" spans="2:32" ht="16" customHeight="1" x14ac:dyDescent="0.35">
      <c r="B64" s="14" t="s">
        <v>393</v>
      </c>
      <c r="C64" s="14" t="s">
        <v>394</v>
      </c>
      <c r="D64" s="61"/>
      <c r="E64" s="30"/>
      <c r="F64" s="63"/>
      <c r="G64" s="15">
        <f t="shared" si="2"/>
        <v>0</v>
      </c>
      <c r="H64" s="63"/>
      <c r="I64" s="15">
        <f t="shared" si="1"/>
        <v>0</v>
      </c>
      <c r="J64" s="63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</row>
    <row r="65" spans="2:32" ht="16" customHeight="1" x14ac:dyDescent="0.35">
      <c r="B65" s="14" t="s">
        <v>1327</v>
      </c>
      <c r="C65" s="14" t="s">
        <v>1562</v>
      </c>
      <c r="D65" s="61"/>
      <c r="E65" s="30"/>
      <c r="F65" s="63"/>
      <c r="G65" s="15">
        <f t="shared" si="2"/>
        <v>0</v>
      </c>
      <c r="H65" s="63"/>
      <c r="I65" s="15">
        <f t="shared" si="1"/>
        <v>0</v>
      </c>
      <c r="J65" s="63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</row>
    <row r="66" spans="2:32" ht="16" customHeight="1" x14ac:dyDescent="0.35">
      <c r="B66" s="14" t="s">
        <v>1329</v>
      </c>
      <c r="C66" s="14" t="s">
        <v>1563</v>
      </c>
      <c r="D66" s="61"/>
      <c r="E66" s="30"/>
      <c r="F66" s="63"/>
      <c r="G66" s="15">
        <f t="shared" si="2"/>
        <v>0</v>
      </c>
      <c r="H66" s="63"/>
      <c r="I66" s="15">
        <f t="shared" si="1"/>
        <v>0</v>
      </c>
      <c r="J66" s="63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spans="2:32" ht="16" customHeight="1" x14ac:dyDescent="0.35">
      <c r="B67" s="14" t="s">
        <v>378</v>
      </c>
      <c r="C67" s="14" t="s">
        <v>379</v>
      </c>
      <c r="D67" s="61"/>
      <c r="E67" s="30">
        <v>525002.31137999997</v>
      </c>
      <c r="F67" s="63"/>
      <c r="G67" s="15">
        <f t="shared" si="2"/>
        <v>525002.31039999996</v>
      </c>
      <c r="H67" s="63"/>
      <c r="I67" s="15">
        <f t="shared" si="1"/>
        <v>9.8000001162290573E-4</v>
      </c>
      <c r="J67" s="63"/>
      <c r="K67" s="15">
        <v>521884.64678000001</v>
      </c>
      <c r="L67" s="15"/>
      <c r="M67" s="15"/>
      <c r="N67" s="15"/>
      <c r="O67" s="15"/>
      <c r="P67" s="15"/>
      <c r="Q67" s="15"/>
      <c r="R67" s="15">
        <v>6887.6852500000005</v>
      </c>
      <c r="S67" s="15"/>
      <c r="T67" s="15"/>
      <c r="U67" s="15"/>
      <c r="V67" s="15"/>
      <c r="W67" s="15"/>
      <c r="X67" s="15"/>
      <c r="Y67" s="15"/>
      <c r="Z67" s="15"/>
      <c r="AA67" s="15"/>
      <c r="AB67" s="15">
        <v>0</v>
      </c>
      <c r="AC67" s="15">
        <v>0.39801999999999998</v>
      </c>
      <c r="AD67" s="15"/>
      <c r="AE67" s="15">
        <v>-3770.4196499999998</v>
      </c>
      <c r="AF67" s="15"/>
    </row>
    <row r="68" spans="2:32" ht="16" customHeight="1" x14ac:dyDescent="0.35">
      <c r="B68" s="14" t="s">
        <v>1331</v>
      </c>
      <c r="C68" s="14" t="s">
        <v>1564</v>
      </c>
      <c r="D68" s="61"/>
      <c r="E68" s="30"/>
      <c r="F68" s="63"/>
      <c r="G68" s="15">
        <f t="shared" si="2"/>
        <v>0</v>
      </c>
      <c r="H68" s="63"/>
      <c r="I68" s="15">
        <f t="shared" si="1"/>
        <v>0</v>
      </c>
      <c r="J68" s="63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</row>
    <row r="69" spans="2:32" ht="16" customHeight="1" x14ac:dyDescent="0.35">
      <c r="B69" s="14" t="s">
        <v>1333</v>
      </c>
      <c r="C69" s="14" t="s">
        <v>1565</v>
      </c>
      <c r="D69" s="61"/>
      <c r="E69" s="30"/>
      <c r="F69" s="63"/>
      <c r="G69" s="15">
        <f t="shared" si="2"/>
        <v>0</v>
      </c>
      <c r="H69" s="63"/>
      <c r="I69" s="15">
        <f t="shared" si="1"/>
        <v>0</v>
      </c>
      <c r="J69" s="63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2:32" ht="16" customHeight="1" x14ac:dyDescent="0.35">
      <c r="B70" s="14" t="s">
        <v>1335</v>
      </c>
      <c r="C70" s="14" t="s">
        <v>1336</v>
      </c>
      <c r="D70" s="61"/>
      <c r="E70" s="30"/>
      <c r="F70" s="63"/>
      <c r="G70" s="15">
        <f t="shared" si="2"/>
        <v>0</v>
      </c>
      <c r="H70" s="63"/>
      <c r="I70" s="15">
        <f t="shared" si="1"/>
        <v>0</v>
      </c>
      <c r="J70" s="63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2:32" ht="16" customHeight="1" x14ac:dyDescent="0.35">
      <c r="B71" s="14" t="s">
        <v>1337</v>
      </c>
      <c r="C71" s="14" t="s">
        <v>1566</v>
      </c>
      <c r="D71" s="61"/>
      <c r="E71" s="30"/>
      <c r="F71" s="63"/>
      <c r="G71" s="15">
        <f t="shared" si="2"/>
        <v>0</v>
      </c>
      <c r="H71" s="63"/>
      <c r="I71" s="15">
        <f t="shared" si="1"/>
        <v>0</v>
      </c>
      <c r="J71" s="63"/>
      <c r="K71" s="15">
        <v>125</v>
      </c>
      <c r="L71" s="15"/>
      <c r="M71" s="15"/>
      <c r="N71" s="15"/>
      <c r="O71" s="15"/>
      <c r="P71" s="15"/>
      <c r="Q71" s="15"/>
      <c r="R71" s="15"/>
      <c r="S71" s="15">
        <v>-125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2:32" ht="16" customHeight="1" x14ac:dyDescent="0.35">
      <c r="B72" s="14" t="s">
        <v>1339</v>
      </c>
      <c r="C72" s="14" t="s">
        <v>1567</v>
      </c>
      <c r="D72" s="61"/>
      <c r="E72" s="30"/>
      <c r="F72" s="63"/>
      <c r="G72" s="15">
        <f t="shared" si="2"/>
        <v>0</v>
      </c>
      <c r="H72" s="63"/>
      <c r="I72" s="15">
        <f t="shared" si="1"/>
        <v>0</v>
      </c>
      <c r="J72" s="63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2:32" ht="16" customHeight="1" x14ac:dyDescent="0.35">
      <c r="B73" s="14" t="s">
        <v>1341</v>
      </c>
      <c r="C73" s="14" t="s">
        <v>1568</v>
      </c>
      <c r="D73" s="61"/>
      <c r="E73" s="30"/>
      <c r="F73" s="63"/>
      <c r="G73" s="15">
        <f t="shared" si="2"/>
        <v>0</v>
      </c>
      <c r="H73" s="63"/>
      <c r="I73" s="15">
        <f t="shared" si="1"/>
        <v>0</v>
      </c>
      <c r="J73" s="63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2:32" ht="16" customHeight="1" x14ac:dyDescent="0.35">
      <c r="B74" s="14" t="s">
        <v>397</v>
      </c>
      <c r="C74" s="14" t="s">
        <v>1569</v>
      </c>
      <c r="D74" s="61"/>
      <c r="E74" s="30">
        <v>1595.63356</v>
      </c>
      <c r="F74" s="63"/>
      <c r="G74" s="15">
        <f t="shared" si="2"/>
        <v>1595.63356</v>
      </c>
      <c r="H74" s="63"/>
      <c r="I74" s="15">
        <f t="shared" si="1"/>
        <v>0</v>
      </c>
      <c r="J74" s="63"/>
      <c r="K74" s="15">
        <v>1595.63356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>
        <v>0</v>
      </c>
      <c r="AD74" s="15"/>
      <c r="AE74" s="15"/>
      <c r="AF74" s="15"/>
    </row>
    <row r="75" spans="2:32" ht="16" customHeight="1" x14ac:dyDescent="0.35">
      <c r="B75" s="14" t="s">
        <v>400</v>
      </c>
      <c r="C75" s="14" t="s">
        <v>401</v>
      </c>
      <c r="D75" s="61"/>
      <c r="E75" s="30">
        <v>2180719.2922700001</v>
      </c>
      <c r="F75" s="63"/>
      <c r="G75" s="15">
        <f t="shared" si="2"/>
        <v>2180719.2922699996</v>
      </c>
      <c r="H75" s="63"/>
      <c r="I75" s="15">
        <f t="shared" si="1"/>
        <v>0</v>
      </c>
      <c r="J75" s="63"/>
      <c r="K75" s="15">
        <v>2177412.6466799998</v>
      </c>
      <c r="L75" s="15"/>
      <c r="M75" s="15">
        <v>0</v>
      </c>
      <c r="N75" s="15"/>
      <c r="O75" s="15"/>
      <c r="P75" s="15">
        <v>0</v>
      </c>
      <c r="Q75" s="15"/>
      <c r="R75" s="15"/>
      <c r="S75" s="15"/>
      <c r="T75" s="15"/>
      <c r="U75" s="15"/>
      <c r="V75" s="15"/>
      <c r="W75" s="15"/>
      <c r="X75" s="15">
        <v>0</v>
      </c>
      <c r="Y75" s="15"/>
      <c r="Z75" s="15"/>
      <c r="AA75" s="15"/>
      <c r="AB75" s="15">
        <v>3538.7412399999998</v>
      </c>
      <c r="AC75" s="15">
        <v>0</v>
      </c>
      <c r="AD75" s="15"/>
      <c r="AE75" s="15">
        <v>-232.09565000000001</v>
      </c>
      <c r="AF75" s="15">
        <v>0</v>
      </c>
    </row>
    <row r="76" spans="2:32" ht="16" customHeight="1" x14ac:dyDescent="0.35">
      <c r="B76" s="14" t="s">
        <v>402</v>
      </c>
      <c r="C76" s="14" t="s">
        <v>1343</v>
      </c>
      <c r="D76" s="61"/>
      <c r="E76" s="30">
        <v>-828671.98026999994</v>
      </c>
      <c r="F76" s="63"/>
      <c r="G76" s="15">
        <f t="shared" si="2"/>
        <v>-828671.98025000002</v>
      </c>
      <c r="H76" s="63"/>
      <c r="I76" s="15">
        <f t="shared" ref="I76:I120" si="3">E76-G76</f>
        <v>-1.9999919459223747E-5</v>
      </c>
      <c r="J76" s="63"/>
      <c r="K76" s="15">
        <v>-822922.78807000001</v>
      </c>
      <c r="L76" s="15"/>
      <c r="M76" s="15">
        <v>0</v>
      </c>
      <c r="N76" s="15"/>
      <c r="O76" s="15"/>
      <c r="P76" s="15">
        <v>0</v>
      </c>
      <c r="Q76" s="15"/>
      <c r="R76" s="15"/>
      <c r="S76" s="15"/>
      <c r="T76" s="15"/>
      <c r="U76" s="15"/>
      <c r="V76" s="15"/>
      <c r="W76" s="15">
        <v>-5791.3757599999999</v>
      </c>
      <c r="X76" s="15">
        <v>0</v>
      </c>
      <c r="Y76" s="15"/>
      <c r="Z76" s="15"/>
      <c r="AA76" s="15"/>
      <c r="AB76" s="15"/>
      <c r="AC76" s="15">
        <v>0</v>
      </c>
      <c r="AD76" s="15"/>
      <c r="AE76" s="15">
        <v>42.183579999999999</v>
      </c>
      <c r="AF76" s="15">
        <v>0</v>
      </c>
    </row>
    <row r="77" spans="2:32" ht="16" customHeight="1" x14ac:dyDescent="0.35">
      <c r="B77" s="14" t="s">
        <v>438</v>
      </c>
      <c r="C77" s="14" t="s">
        <v>1344</v>
      </c>
      <c r="D77" s="61"/>
      <c r="E77" s="30">
        <v>303.52346999999997</v>
      </c>
      <c r="F77" s="63"/>
      <c r="G77" s="15">
        <f t="shared" si="2"/>
        <v>303.52346999999997</v>
      </c>
      <c r="H77" s="63"/>
      <c r="I77" s="15">
        <f t="shared" si="3"/>
        <v>0</v>
      </c>
      <c r="J77" s="63"/>
      <c r="K77" s="15">
        <v>303.52346999999997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>
        <v>0</v>
      </c>
      <c r="AD77" s="15"/>
      <c r="AE77" s="15"/>
      <c r="AF77" s="15"/>
    </row>
    <row r="78" spans="2:32" ht="16" customHeight="1" x14ac:dyDescent="0.35">
      <c r="B78" s="14" t="s">
        <v>544</v>
      </c>
      <c r="C78" s="14" t="s">
        <v>1345</v>
      </c>
      <c r="D78" s="61"/>
      <c r="E78" s="30">
        <v>15293.701590000001</v>
      </c>
      <c r="F78" s="63"/>
      <c r="G78" s="15">
        <f t="shared" si="2"/>
        <v>15293.701589999999</v>
      </c>
      <c r="H78" s="63"/>
      <c r="I78" s="15">
        <f t="shared" si="3"/>
        <v>0</v>
      </c>
      <c r="J78" s="63"/>
      <c r="K78" s="15">
        <v>15383.211230000001</v>
      </c>
      <c r="L78" s="15"/>
      <c r="M78" s="15"/>
      <c r="N78" s="15"/>
      <c r="O78" s="15"/>
      <c r="P78" s="15"/>
      <c r="Q78" s="15"/>
      <c r="R78" s="15"/>
      <c r="S78" s="15"/>
      <c r="T78" s="15">
        <v>0</v>
      </c>
      <c r="U78" s="15"/>
      <c r="V78" s="15"/>
      <c r="W78" s="15"/>
      <c r="X78" s="15">
        <v>-387.69891999999999</v>
      </c>
      <c r="Y78" s="15"/>
      <c r="Z78" s="15"/>
      <c r="AA78" s="15"/>
      <c r="AB78" s="15">
        <v>36.4129</v>
      </c>
      <c r="AC78" s="15">
        <v>261.77638000000002</v>
      </c>
      <c r="AD78" s="15"/>
      <c r="AE78" s="15"/>
      <c r="AF78" s="15"/>
    </row>
    <row r="79" spans="2:32" ht="16" customHeight="1" x14ac:dyDescent="0.35">
      <c r="B79" s="14" t="s">
        <v>440</v>
      </c>
      <c r="C79" s="14" t="s">
        <v>1346</v>
      </c>
      <c r="D79" s="61"/>
      <c r="E79" s="30">
        <v>-303.52346999999997</v>
      </c>
      <c r="F79" s="63"/>
      <c r="G79" s="15">
        <f t="shared" si="2"/>
        <v>-303.52347000000003</v>
      </c>
      <c r="H79" s="63"/>
      <c r="I79" s="15">
        <f t="shared" si="3"/>
        <v>0</v>
      </c>
      <c r="J79" s="63"/>
      <c r="K79" s="15">
        <v>-206.80134000000001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>
        <v>-96.722130000000007</v>
      </c>
      <c r="AC79" s="15">
        <v>0</v>
      </c>
      <c r="AD79" s="15"/>
      <c r="AE79" s="15"/>
      <c r="AF79" s="15"/>
    </row>
    <row r="80" spans="2:32" ht="16" customHeight="1" x14ac:dyDescent="0.35">
      <c r="B80" s="14" t="s">
        <v>406</v>
      </c>
      <c r="C80" s="14" t="s">
        <v>407</v>
      </c>
      <c r="D80" s="61"/>
      <c r="E80" s="30">
        <v>197048.40251000001</v>
      </c>
      <c r="F80" s="63"/>
      <c r="G80" s="15">
        <f t="shared" si="2"/>
        <v>197048.40251000001</v>
      </c>
      <c r="H80" s="63"/>
      <c r="I80" s="15">
        <f t="shared" si="3"/>
        <v>0</v>
      </c>
      <c r="J80" s="63"/>
      <c r="K80" s="15">
        <v>196072.03093000001</v>
      </c>
      <c r="L80" s="15"/>
      <c r="M80" s="15">
        <v>0</v>
      </c>
      <c r="N80" s="15"/>
      <c r="O80" s="15"/>
      <c r="P80" s="15">
        <v>0</v>
      </c>
      <c r="Q80" s="15"/>
      <c r="R80" s="15"/>
      <c r="S80" s="15"/>
      <c r="T80" s="15"/>
      <c r="U80" s="15"/>
      <c r="V80" s="15"/>
      <c r="W80" s="15"/>
      <c r="X80" s="15">
        <v>-171.23220000000001</v>
      </c>
      <c r="Y80" s="15"/>
      <c r="Z80" s="15"/>
      <c r="AA80" s="15"/>
      <c r="AB80" s="15">
        <v>1234.3433299999999</v>
      </c>
      <c r="AC80" s="15"/>
      <c r="AD80" s="15"/>
      <c r="AE80" s="15">
        <v>-86.739549999999994</v>
      </c>
      <c r="AF80" s="15">
        <v>0</v>
      </c>
    </row>
    <row r="81" spans="2:32" ht="16" customHeight="1" x14ac:dyDescent="0.35">
      <c r="B81" s="14" t="s">
        <v>408</v>
      </c>
      <c r="C81" s="14" t="s">
        <v>409</v>
      </c>
      <c r="D81" s="61"/>
      <c r="E81" s="30">
        <v>-110799.36487999999</v>
      </c>
      <c r="F81" s="63"/>
      <c r="G81" s="15">
        <f t="shared" si="2"/>
        <v>-110799.36489000001</v>
      </c>
      <c r="H81" s="63"/>
      <c r="I81" s="15">
        <f t="shared" si="3"/>
        <v>1.0000017937272787E-5</v>
      </c>
      <c r="J81" s="63"/>
      <c r="K81" s="15">
        <v>-110286.11397000001</v>
      </c>
      <c r="L81" s="15"/>
      <c r="M81" s="15"/>
      <c r="N81" s="15"/>
      <c r="O81" s="15"/>
      <c r="P81" s="15">
        <v>0</v>
      </c>
      <c r="Q81" s="15"/>
      <c r="R81" s="15"/>
      <c r="S81" s="15"/>
      <c r="T81" s="15"/>
      <c r="U81" s="15"/>
      <c r="V81" s="15"/>
      <c r="W81" s="15">
        <v>-751.59581000000003</v>
      </c>
      <c r="X81" s="15">
        <v>171.23220000000001</v>
      </c>
      <c r="Y81" s="15"/>
      <c r="Z81" s="15"/>
      <c r="AA81" s="15"/>
      <c r="AB81" s="15"/>
      <c r="AC81" s="15"/>
      <c r="AD81" s="15"/>
      <c r="AE81" s="15">
        <v>67.112690000000001</v>
      </c>
      <c r="AF81" s="15">
        <v>0</v>
      </c>
    </row>
    <row r="82" spans="2:32" ht="16" customHeight="1" x14ac:dyDescent="0.35">
      <c r="B82" s="14" t="s">
        <v>444</v>
      </c>
      <c r="C82" s="14" t="s">
        <v>1347</v>
      </c>
      <c r="D82" s="61"/>
      <c r="E82" s="30">
        <v>0</v>
      </c>
      <c r="F82" s="63"/>
      <c r="G82" s="15">
        <f t="shared" si="2"/>
        <v>0</v>
      </c>
      <c r="H82" s="63"/>
      <c r="I82" s="15">
        <f t="shared" si="3"/>
        <v>0</v>
      </c>
      <c r="J82" s="63"/>
      <c r="K82" s="15">
        <v>1328.0929799999999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>
        <v>-1328.0929799999999</v>
      </c>
      <c r="AD82" s="15"/>
      <c r="AE82" s="15"/>
      <c r="AF82" s="15"/>
    </row>
    <row r="83" spans="2:32" ht="16" customHeight="1" x14ac:dyDescent="0.35">
      <c r="B83" s="14" t="s">
        <v>546</v>
      </c>
      <c r="C83" s="14" t="s">
        <v>1348</v>
      </c>
      <c r="D83" s="61"/>
      <c r="E83" s="30">
        <v>19311.3024</v>
      </c>
      <c r="F83" s="63"/>
      <c r="G83" s="15">
        <f t="shared" si="2"/>
        <v>19311.3024</v>
      </c>
      <c r="H83" s="63"/>
      <c r="I83" s="15">
        <f t="shared" si="3"/>
        <v>0</v>
      </c>
      <c r="J83" s="63"/>
      <c r="K83" s="15">
        <v>18961.935529999999</v>
      </c>
      <c r="L83" s="15"/>
      <c r="M83" s="15">
        <v>0</v>
      </c>
      <c r="N83" s="15"/>
      <c r="O83" s="15"/>
      <c r="P83" s="15"/>
      <c r="Q83" s="15"/>
      <c r="R83" s="15"/>
      <c r="S83" s="15"/>
      <c r="T83" s="15">
        <v>361.38305000000003</v>
      </c>
      <c r="U83" s="15"/>
      <c r="V83" s="15"/>
      <c r="W83" s="15"/>
      <c r="X83" s="15">
        <v>-198.96520000000001</v>
      </c>
      <c r="Y83" s="15"/>
      <c r="Z83" s="15"/>
      <c r="AA83" s="15"/>
      <c r="AB83" s="15">
        <v>-194.23575</v>
      </c>
      <c r="AC83" s="15">
        <v>381.18477000000001</v>
      </c>
      <c r="AD83" s="15"/>
      <c r="AE83" s="15"/>
      <c r="AF83" s="15"/>
    </row>
    <row r="84" spans="2:32" ht="16" customHeight="1" x14ac:dyDescent="0.35">
      <c r="B84" s="14" t="s">
        <v>446</v>
      </c>
      <c r="C84" s="14" t="s">
        <v>1349</v>
      </c>
      <c r="D84" s="61"/>
      <c r="E84" s="30">
        <v>0</v>
      </c>
      <c r="F84" s="63"/>
      <c r="G84" s="15">
        <f t="shared" si="2"/>
        <v>0</v>
      </c>
      <c r="H84" s="63"/>
      <c r="I84" s="15">
        <f t="shared" si="3"/>
        <v>0</v>
      </c>
      <c r="J84" s="63"/>
      <c r="K84" s="15">
        <v>-1325.60781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>
        <v>0</v>
      </c>
      <c r="X84" s="15"/>
      <c r="Y84" s="15"/>
      <c r="Z84" s="15"/>
      <c r="AA84" s="15"/>
      <c r="AB84" s="15">
        <v>-2.4851700000000001</v>
      </c>
      <c r="AC84" s="15">
        <v>1328.0929799999999</v>
      </c>
      <c r="AD84" s="15"/>
      <c r="AE84" s="15"/>
      <c r="AF84" s="15"/>
    </row>
    <row r="85" spans="2:32" ht="16" customHeight="1" x14ac:dyDescent="0.35">
      <c r="B85" s="14" t="s">
        <v>412</v>
      </c>
      <c r="C85" s="14" t="s">
        <v>413</v>
      </c>
      <c r="D85" s="61"/>
      <c r="E85" s="30">
        <v>1102701.62314</v>
      </c>
      <c r="F85" s="63"/>
      <c r="G85" s="15">
        <f t="shared" si="2"/>
        <v>1102701.62314</v>
      </c>
      <c r="H85" s="63"/>
      <c r="I85" s="15">
        <f t="shared" si="3"/>
        <v>0</v>
      </c>
      <c r="J85" s="63"/>
      <c r="K85" s="15">
        <v>1097228.9021600001</v>
      </c>
      <c r="L85" s="15"/>
      <c r="M85" s="15">
        <v>0</v>
      </c>
      <c r="N85" s="15"/>
      <c r="O85" s="15"/>
      <c r="P85" s="15">
        <v>0</v>
      </c>
      <c r="Q85" s="15"/>
      <c r="R85" s="15"/>
      <c r="S85" s="15">
        <v>0</v>
      </c>
      <c r="T85" s="15"/>
      <c r="U85" s="15"/>
      <c r="V85" s="15"/>
      <c r="W85" s="15"/>
      <c r="X85" s="15">
        <v>-404.27100000000002</v>
      </c>
      <c r="Y85" s="15"/>
      <c r="Z85" s="15"/>
      <c r="AA85" s="15"/>
      <c r="AB85" s="15">
        <v>6476.3981100000001</v>
      </c>
      <c r="AC85" s="15"/>
      <c r="AD85" s="15"/>
      <c r="AE85" s="15">
        <v>-599.40612999999996</v>
      </c>
      <c r="AF85" s="15">
        <v>0</v>
      </c>
    </row>
    <row r="86" spans="2:32" ht="16" customHeight="1" x14ac:dyDescent="0.35">
      <c r="B86" s="14" t="s">
        <v>414</v>
      </c>
      <c r="C86" s="14" t="s">
        <v>415</v>
      </c>
      <c r="D86" s="61"/>
      <c r="E86" s="30">
        <v>-749587.88468999998</v>
      </c>
      <c r="F86" s="63"/>
      <c r="G86" s="15">
        <f t="shared" si="2"/>
        <v>-749587.88468000002</v>
      </c>
      <c r="H86" s="63"/>
      <c r="I86" s="15">
        <f t="shared" si="3"/>
        <v>-9.9999597296118736E-6</v>
      </c>
      <c r="J86" s="63"/>
      <c r="K86" s="15">
        <v>-744782.43319000001</v>
      </c>
      <c r="L86" s="15"/>
      <c r="M86" s="15">
        <v>0</v>
      </c>
      <c r="N86" s="15"/>
      <c r="O86" s="15"/>
      <c r="P86" s="15">
        <v>0</v>
      </c>
      <c r="Q86" s="15"/>
      <c r="R86" s="15"/>
      <c r="S86" s="15"/>
      <c r="T86" s="15"/>
      <c r="U86" s="15"/>
      <c r="V86" s="15"/>
      <c r="W86" s="15">
        <v>-5636.4414900000002</v>
      </c>
      <c r="X86" s="15">
        <v>416.82276999999999</v>
      </c>
      <c r="Y86" s="15"/>
      <c r="Z86" s="15"/>
      <c r="AA86" s="15"/>
      <c r="AB86" s="15">
        <v>-1.4420000000000001E-2</v>
      </c>
      <c r="AC86" s="15">
        <v>-25.5</v>
      </c>
      <c r="AD86" s="15"/>
      <c r="AE86" s="15">
        <v>439.68164999999999</v>
      </c>
      <c r="AF86" s="15">
        <v>0</v>
      </c>
    </row>
    <row r="87" spans="2:32" ht="16" customHeight="1" x14ac:dyDescent="0.35">
      <c r="B87" s="14" t="s">
        <v>450</v>
      </c>
      <c r="C87" s="14" t="s">
        <v>1350</v>
      </c>
      <c r="D87" s="61"/>
      <c r="E87" s="30">
        <v>27353.48574</v>
      </c>
      <c r="F87" s="63"/>
      <c r="G87" s="15">
        <f t="shared" si="2"/>
        <v>27353.485740000004</v>
      </c>
      <c r="H87" s="63"/>
      <c r="I87" s="15">
        <f t="shared" si="3"/>
        <v>0</v>
      </c>
      <c r="J87" s="63"/>
      <c r="K87" s="15">
        <v>23555.69138</v>
      </c>
      <c r="L87" s="15"/>
      <c r="M87" s="15">
        <v>3100.0605700000001</v>
      </c>
      <c r="N87" s="15"/>
      <c r="O87" s="15"/>
      <c r="P87" s="15"/>
      <c r="Q87" s="15"/>
      <c r="R87" s="15"/>
      <c r="S87" s="15"/>
      <c r="T87" s="15">
        <v>0</v>
      </c>
      <c r="U87" s="15"/>
      <c r="V87" s="15"/>
      <c r="W87" s="15"/>
      <c r="X87" s="15"/>
      <c r="Y87" s="15"/>
      <c r="Z87" s="15"/>
      <c r="AA87" s="15"/>
      <c r="AB87" s="15">
        <v>219.7998</v>
      </c>
      <c r="AC87" s="15">
        <v>485.68777</v>
      </c>
      <c r="AD87" s="15"/>
      <c r="AE87" s="15">
        <v>-7.7537799999999999</v>
      </c>
      <c r="AF87" s="15"/>
    </row>
    <row r="88" spans="2:32" ht="16" customHeight="1" x14ac:dyDescent="0.35">
      <c r="B88" s="14" t="s">
        <v>548</v>
      </c>
      <c r="C88" s="14" t="s">
        <v>1351</v>
      </c>
      <c r="D88" s="61"/>
      <c r="E88" s="30">
        <v>9301.5444700000007</v>
      </c>
      <c r="F88" s="63"/>
      <c r="G88" s="15">
        <f t="shared" si="2"/>
        <v>9301.5444700000007</v>
      </c>
      <c r="H88" s="63"/>
      <c r="I88" s="15">
        <f t="shared" si="3"/>
        <v>0</v>
      </c>
      <c r="J88" s="63"/>
      <c r="K88" s="15">
        <v>9551.2264699999996</v>
      </c>
      <c r="L88" s="15"/>
      <c r="M88" s="15"/>
      <c r="N88" s="15"/>
      <c r="O88" s="15"/>
      <c r="P88" s="15"/>
      <c r="Q88" s="15"/>
      <c r="R88" s="15"/>
      <c r="S88" s="15"/>
      <c r="T88" s="15">
        <v>0</v>
      </c>
      <c r="U88" s="15"/>
      <c r="V88" s="15"/>
      <c r="W88" s="15"/>
      <c r="X88" s="15">
        <v>-297.11984000000001</v>
      </c>
      <c r="Y88" s="15"/>
      <c r="Z88" s="15"/>
      <c r="AA88" s="15"/>
      <c r="AB88" s="15">
        <v>47.437840000000001</v>
      </c>
      <c r="AC88" s="15">
        <v>0</v>
      </c>
      <c r="AD88" s="15"/>
      <c r="AE88" s="15">
        <v>0</v>
      </c>
      <c r="AF88" s="15"/>
    </row>
    <row r="89" spans="2:32" ht="16" customHeight="1" x14ac:dyDescent="0.35">
      <c r="B89" s="14" t="s">
        <v>452</v>
      </c>
      <c r="C89" s="14" t="s">
        <v>1352</v>
      </c>
      <c r="D89" s="61"/>
      <c r="E89" s="30">
        <v>-13592.592479999999</v>
      </c>
      <c r="F89" s="63"/>
      <c r="G89" s="15">
        <f t="shared" si="2"/>
        <v>-13592.592479999999</v>
      </c>
      <c r="H89" s="63"/>
      <c r="I89" s="15">
        <f t="shared" si="3"/>
        <v>0</v>
      </c>
      <c r="J89" s="63"/>
      <c r="K89" s="15">
        <v>-9605.6635999999999</v>
      </c>
      <c r="L89" s="15"/>
      <c r="M89" s="15">
        <v>-3100.0605700000001</v>
      </c>
      <c r="N89" s="15"/>
      <c r="O89" s="15"/>
      <c r="P89" s="15"/>
      <c r="Q89" s="15"/>
      <c r="R89" s="15"/>
      <c r="S89" s="15"/>
      <c r="T89" s="15"/>
      <c r="U89" s="15"/>
      <c r="V89" s="15"/>
      <c r="W89" s="15">
        <v>-847.48293000000001</v>
      </c>
      <c r="X89" s="15"/>
      <c r="Y89" s="15"/>
      <c r="Z89" s="15"/>
      <c r="AA89" s="15"/>
      <c r="AB89" s="15">
        <v>-44.428939999999997</v>
      </c>
      <c r="AC89" s="15">
        <v>0</v>
      </c>
      <c r="AD89" s="15"/>
      <c r="AE89" s="15">
        <v>5.0435600000000003</v>
      </c>
      <c r="AF89" s="15"/>
    </row>
    <row r="90" spans="2:32" ht="16" customHeight="1" x14ac:dyDescent="0.35">
      <c r="B90" s="14" t="s">
        <v>418</v>
      </c>
      <c r="C90" s="14" t="s">
        <v>419</v>
      </c>
      <c r="D90" s="61"/>
      <c r="E90" s="30">
        <v>389425.35833999998</v>
      </c>
      <c r="F90" s="63"/>
      <c r="G90" s="15">
        <f t="shared" si="2"/>
        <v>389425.35832</v>
      </c>
      <c r="H90" s="63"/>
      <c r="I90" s="15">
        <f t="shared" si="3"/>
        <v>1.9999977666884661E-5</v>
      </c>
      <c r="J90" s="63"/>
      <c r="K90" s="15">
        <v>389717.91778999998</v>
      </c>
      <c r="L90" s="15"/>
      <c r="M90" s="15">
        <v>0</v>
      </c>
      <c r="N90" s="15"/>
      <c r="O90" s="15"/>
      <c r="P90" s="15">
        <v>0</v>
      </c>
      <c r="Q90" s="15"/>
      <c r="R90" s="15"/>
      <c r="S90" s="15"/>
      <c r="T90" s="15"/>
      <c r="U90" s="15"/>
      <c r="V90" s="15"/>
      <c r="W90" s="15"/>
      <c r="X90" s="15">
        <v>-440.41913</v>
      </c>
      <c r="Y90" s="15"/>
      <c r="Z90" s="15"/>
      <c r="AA90" s="15"/>
      <c r="AB90" s="15">
        <v>244.30117000000001</v>
      </c>
      <c r="AC90" s="15">
        <v>0</v>
      </c>
      <c r="AD90" s="15"/>
      <c r="AE90" s="15">
        <v>-96.441509999999994</v>
      </c>
      <c r="AF90" s="15">
        <v>0</v>
      </c>
    </row>
    <row r="91" spans="2:32" ht="16" customHeight="1" x14ac:dyDescent="0.35">
      <c r="B91" s="14" t="s">
        <v>420</v>
      </c>
      <c r="C91" s="14" t="s">
        <v>421</v>
      </c>
      <c r="D91" s="61"/>
      <c r="E91" s="30">
        <v>-301189.35399999999</v>
      </c>
      <c r="F91" s="63"/>
      <c r="G91" s="15">
        <f t="shared" si="2"/>
        <v>-301189.35397</v>
      </c>
      <c r="H91" s="63"/>
      <c r="I91" s="15">
        <f t="shared" si="3"/>
        <v>-2.9999995604157448E-5</v>
      </c>
      <c r="J91" s="63"/>
      <c r="K91" s="15">
        <v>-299485.78391</v>
      </c>
      <c r="L91" s="15"/>
      <c r="M91" s="15"/>
      <c r="N91" s="15"/>
      <c r="O91" s="15"/>
      <c r="P91" s="15">
        <v>0</v>
      </c>
      <c r="Q91" s="15"/>
      <c r="R91" s="15"/>
      <c r="S91" s="15"/>
      <c r="T91" s="15"/>
      <c r="U91" s="15"/>
      <c r="V91" s="15"/>
      <c r="W91" s="15">
        <v>-2062.1820699999998</v>
      </c>
      <c r="X91" s="15">
        <v>284.51213000000001</v>
      </c>
      <c r="Y91" s="15"/>
      <c r="Z91" s="15"/>
      <c r="AA91" s="15"/>
      <c r="AB91" s="15">
        <v>-8.8000000000000003E-4</v>
      </c>
      <c r="AC91" s="15">
        <v>0</v>
      </c>
      <c r="AD91" s="15"/>
      <c r="AE91" s="15">
        <v>74.100759999999994</v>
      </c>
      <c r="AF91" s="15">
        <v>0</v>
      </c>
    </row>
    <row r="92" spans="2:32" ht="16" customHeight="1" x14ac:dyDescent="0.35">
      <c r="B92" s="14" t="s">
        <v>456</v>
      </c>
      <c r="C92" s="14" t="s">
        <v>1353</v>
      </c>
      <c r="D92" s="61"/>
      <c r="E92" s="30">
        <v>152114.28247000001</v>
      </c>
      <c r="F92" s="63"/>
      <c r="G92" s="15">
        <f t="shared" si="2"/>
        <v>152114.28246000002</v>
      </c>
      <c r="H92" s="63"/>
      <c r="I92" s="15">
        <f t="shared" si="3"/>
        <v>9.9999888334423304E-6</v>
      </c>
      <c r="J92" s="63"/>
      <c r="K92" s="15">
        <v>147624.95897000001</v>
      </c>
      <c r="L92" s="15"/>
      <c r="M92" s="15"/>
      <c r="N92" s="15"/>
      <c r="O92" s="15"/>
      <c r="P92" s="15"/>
      <c r="Q92" s="15"/>
      <c r="R92" s="15"/>
      <c r="S92" s="15"/>
      <c r="T92" s="15">
        <v>5225.8460999999998</v>
      </c>
      <c r="U92" s="15"/>
      <c r="V92" s="15"/>
      <c r="W92" s="15"/>
      <c r="X92" s="15"/>
      <c r="Y92" s="15"/>
      <c r="Z92" s="15"/>
      <c r="AA92" s="15"/>
      <c r="AB92" s="15">
        <v>-235.91104999999999</v>
      </c>
      <c r="AC92" s="15">
        <v>-466.35282999999998</v>
      </c>
      <c r="AD92" s="15"/>
      <c r="AE92" s="15">
        <v>-34.25873</v>
      </c>
      <c r="AF92" s="15"/>
    </row>
    <row r="93" spans="2:32" ht="16" customHeight="1" x14ac:dyDescent="0.35">
      <c r="B93" s="14" t="s">
        <v>550</v>
      </c>
      <c r="C93" s="14" t="s">
        <v>1354</v>
      </c>
      <c r="D93" s="61"/>
      <c r="E93" s="30">
        <v>74310.394090000002</v>
      </c>
      <c r="F93" s="63"/>
      <c r="G93" s="15">
        <f t="shared" si="2"/>
        <v>74310.394090000002</v>
      </c>
      <c r="H93" s="63"/>
      <c r="I93" s="15">
        <f t="shared" si="3"/>
        <v>0</v>
      </c>
      <c r="J93" s="63"/>
      <c r="K93" s="15">
        <v>75402.645380000002</v>
      </c>
      <c r="L93" s="15"/>
      <c r="M93" s="15">
        <v>0</v>
      </c>
      <c r="N93" s="15"/>
      <c r="O93" s="15"/>
      <c r="P93" s="15"/>
      <c r="Q93" s="15"/>
      <c r="R93" s="15"/>
      <c r="S93" s="15"/>
      <c r="T93" s="15">
        <v>822.85564999999997</v>
      </c>
      <c r="U93" s="15"/>
      <c r="V93" s="15"/>
      <c r="W93" s="15"/>
      <c r="X93" s="15">
        <v>-2366.5570400000001</v>
      </c>
      <c r="Y93" s="15"/>
      <c r="Z93" s="15"/>
      <c r="AA93" s="15"/>
      <c r="AB93" s="15">
        <v>664.11950999999999</v>
      </c>
      <c r="AC93" s="15">
        <v>-169.96822</v>
      </c>
      <c r="AD93" s="15"/>
      <c r="AE93" s="15">
        <v>-42.701189999999997</v>
      </c>
      <c r="AF93" s="15"/>
    </row>
    <row r="94" spans="2:32" ht="16" customHeight="1" x14ac:dyDescent="0.35">
      <c r="B94" s="14" t="s">
        <v>458</v>
      </c>
      <c r="C94" s="14" t="s">
        <v>1355</v>
      </c>
      <c r="D94" s="61"/>
      <c r="E94" s="30">
        <v>-51438.824610000003</v>
      </c>
      <c r="F94" s="63"/>
      <c r="G94" s="15">
        <f t="shared" si="2"/>
        <v>-51438.824599999993</v>
      </c>
      <c r="H94" s="63"/>
      <c r="I94" s="15">
        <f t="shared" si="3"/>
        <v>-1.0000010661315173E-5</v>
      </c>
      <c r="J94" s="63"/>
      <c r="K94" s="15">
        <v>-47201.463380000001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>
        <v>-4057.9819200000002</v>
      </c>
      <c r="X94" s="15"/>
      <c r="Y94" s="15"/>
      <c r="Z94" s="15"/>
      <c r="AA94" s="15"/>
      <c r="AB94" s="15">
        <v>-656.23803999999996</v>
      </c>
      <c r="AC94" s="15">
        <v>465.50241</v>
      </c>
      <c r="AD94" s="15"/>
      <c r="AE94" s="15">
        <v>11.35633</v>
      </c>
      <c r="AF94" s="15"/>
    </row>
    <row r="95" spans="2:32" ht="16" customHeight="1" x14ac:dyDescent="0.35">
      <c r="B95" s="14" t="s">
        <v>424</v>
      </c>
      <c r="C95" s="14" t="s">
        <v>1356</v>
      </c>
      <c r="D95" s="61"/>
      <c r="E95" s="30">
        <v>82021.193190000005</v>
      </c>
      <c r="F95" s="63"/>
      <c r="G95" s="15">
        <f t="shared" si="2"/>
        <v>82021.193199999994</v>
      </c>
      <c r="H95" s="63"/>
      <c r="I95" s="15">
        <f t="shared" si="3"/>
        <v>-9.9999888334423304E-6</v>
      </c>
      <c r="J95" s="63"/>
      <c r="K95" s="15">
        <v>82531.87732</v>
      </c>
      <c r="L95" s="15"/>
      <c r="M95" s="15">
        <v>0</v>
      </c>
      <c r="N95" s="15"/>
      <c r="O95" s="15"/>
      <c r="P95" s="15">
        <v>0</v>
      </c>
      <c r="Q95" s="15"/>
      <c r="R95" s="15"/>
      <c r="S95" s="15">
        <v>10936.21436</v>
      </c>
      <c r="T95" s="15"/>
      <c r="U95" s="15"/>
      <c r="V95" s="15"/>
      <c r="W95" s="15"/>
      <c r="X95" s="15"/>
      <c r="Y95" s="15"/>
      <c r="Z95" s="15"/>
      <c r="AA95" s="15"/>
      <c r="AB95" s="15">
        <v>-11413.732599999999</v>
      </c>
      <c r="AC95" s="15"/>
      <c r="AD95" s="15"/>
      <c r="AE95" s="15">
        <v>-33.165880000000001</v>
      </c>
      <c r="AF95" s="15">
        <v>0</v>
      </c>
    </row>
    <row r="96" spans="2:32" ht="16" customHeight="1" x14ac:dyDescent="0.35">
      <c r="B96" s="14" t="s">
        <v>426</v>
      </c>
      <c r="C96" s="14" t="s">
        <v>1357</v>
      </c>
      <c r="D96" s="61"/>
      <c r="E96" s="30"/>
      <c r="F96" s="63"/>
      <c r="G96" s="15">
        <f t="shared" si="2"/>
        <v>0</v>
      </c>
      <c r="H96" s="63"/>
      <c r="I96" s="15">
        <f t="shared" si="3"/>
        <v>0</v>
      </c>
      <c r="J96" s="63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</row>
    <row r="97" spans="2:32" ht="16" customHeight="1" x14ac:dyDescent="0.35">
      <c r="B97" s="14" t="s">
        <v>462</v>
      </c>
      <c r="C97" s="14" t="s">
        <v>1358</v>
      </c>
      <c r="D97" s="61"/>
      <c r="E97" s="30"/>
      <c r="F97" s="63"/>
      <c r="G97" s="15">
        <f t="shared" si="2"/>
        <v>0</v>
      </c>
      <c r="H97" s="63"/>
      <c r="I97" s="15">
        <f t="shared" si="3"/>
        <v>0</v>
      </c>
      <c r="J97" s="63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</row>
    <row r="98" spans="2:32" ht="16" customHeight="1" x14ac:dyDescent="0.35">
      <c r="B98" s="14" t="s">
        <v>464</v>
      </c>
      <c r="C98" s="14" t="s">
        <v>1359</v>
      </c>
      <c r="D98" s="61"/>
      <c r="E98" s="30"/>
      <c r="F98" s="63"/>
      <c r="G98" s="15">
        <f t="shared" si="2"/>
        <v>0</v>
      </c>
      <c r="H98" s="63"/>
      <c r="I98" s="15">
        <f t="shared" si="3"/>
        <v>0</v>
      </c>
      <c r="J98" s="63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</row>
    <row r="99" spans="2:32" ht="16" customHeight="1" x14ac:dyDescent="0.35">
      <c r="B99" s="14" t="s">
        <v>533</v>
      </c>
      <c r="C99" s="14" t="s">
        <v>1360</v>
      </c>
      <c r="D99" s="61"/>
      <c r="E99" s="30">
        <v>365626.63205999997</v>
      </c>
      <c r="F99" s="63"/>
      <c r="G99" s="15">
        <f t="shared" si="2"/>
        <v>365626.63205999997</v>
      </c>
      <c r="H99" s="63"/>
      <c r="I99" s="15">
        <f t="shared" si="3"/>
        <v>0</v>
      </c>
      <c r="J99" s="63"/>
      <c r="K99" s="15">
        <v>365626.63205999997</v>
      </c>
      <c r="L99" s="15"/>
      <c r="M99" s="15">
        <v>0</v>
      </c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>
        <v>0</v>
      </c>
      <c r="AC99" s="15"/>
      <c r="AD99" s="15"/>
      <c r="AE99" s="15"/>
      <c r="AF99" s="15"/>
    </row>
    <row r="100" spans="2:32" ht="16" customHeight="1" x14ac:dyDescent="0.35">
      <c r="B100" s="14" t="s">
        <v>537</v>
      </c>
      <c r="C100" s="14" t="s">
        <v>1361</v>
      </c>
      <c r="D100" s="61"/>
      <c r="E100" s="30">
        <v>1630087</v>
      </c>
      <c r="F100" s="63"/>
      <c r="G100" s="15">
        <f t="shared" si="2"/>
        <v>1630087</v>
      </c>
      <c r="H100" s="63"/>
      <c r="I100" s="15">
        <f t="shared" si="3"/>
        <v>0</v>
      </c>
      <c r="J100" s="63"/>
      <c r="K100" s="15">
        <v>1630087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>
        <v>0</v>
      </c>
    </row>
    <row r="101" spans="2:32" ht="16" customHeight="1" x14ac:dyDescent="0.35">
      <c r="B101" s="14" t="s">
        <v>535</v>
      </c>
      <c r="C101" s="14" t="s">
        <v>1362</v>
      </c>
      <c r="D101" s="61"/>
      <c r="E101" s="30">
        <v>-19154.206880000002</v>
      </c>
      <c r="F101" s="63"/>
      <c r="G101" s="15">
        <f t="shared" si="2"/>
        <v>-19154.206880000002</v>
      </c>
      <c r="H101" s="63"/>
      <c r="I101" s="15">
        <f t="shared" si="3"/>
        <v>0</v>
      </c>
      <c r="J101" s="63"/>
      <c r="K101" s="15">
        <v>-19154.206880000002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spans="2:32" ht="16" customHeight="1" x14ac:dyDescent="0.35">
      <c r="B102" s="14" t="s">
        <v>539</v>
      </c>
      <c r="C102" s="14" t="s">
        <v>1363</v>
      </c>
      <c r="D102" s="61"/>
      <c r="E102" s="30"/>
      <c r="F102" s="63"/>
      <c r="G102" s="15">
        <f t="shared" si="2"/>
        <v>0</v>
      </c>
      <c r="H102" s="63"/>
      <c r="I102" s="15">
        <f t="shared" si="3"/>
        <v>0</v>
      </c>
      <c r="J102" s="63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 spans="2:32" ht="16" customHeight="1" x14ac:dyDescent="0.35">
      <c r="B103" s="14" t="s">
        <v>519</v>
      </c>
      <c r="C103" s="14" t="s">
        <v>1364</v>
      </c>
      <c r="D103" s="61"/>
      <c r="E103" s="30"/>
      <c r="F103" s="63"/>
      <c r="G103" s="15">
        <f t="shared" si="2"/>
        <v>0</v>
      </c>
      <c r="H103" s="63"/>
      <c r="I103" s="15">
        <f t="shared" si="3"/>
        <v>0</v>
      </c>
      <c r="J103" s="63"/>
      <c r="K103" s="15"/>
      <c r="L103" s="15">
        <v>0</v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>
        <v>0</v>
      </c>
    </row>
    <row r="104" spans="2:32" ht="16" customHeight="1" x14ac:dyDescent="0.35">
      <c r="B104" s="14" t="s">
        <v>521</v>
      </c>
      <c r="C104" s="14" t="s">
        <v>1365</v>
      </c>
      <c r="D104" s="61"/>
      <c r="E104" s="30"/>
      <c r="F104" s="63"/>
      <c r="G104" s="15">
        <f t="shared" si="2"/>
        <v>0</v>
      </c>
      <c r="H104" s="63"/>
      <c r="I104" s="15">
        <f t="shared" si="3"/>
        <v>0</v>
      </c>
      <c r="J104" s="63"/>
      <c r="K104" s="15"/>
      <c r="L104" s="15">
        <v>0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</row>
    <row r="105" spans="2:32" ht="16" customHeight="1" x14ac:dyDescent="0.35">
      <c r="B105" s="14" t="s">
        <v>483</v>
      </c>
      <c r="C105" s="14" t="s">
        <v>1366</v>
      </c>
      <c r="D105" s="61"/>
      <c r="E105" s="30">
        <v>6256.0480600000001</v>
      </c>
      <c r="F105" s="63"/>
      <c r="G105" s="15">
        <f t="shared" si="2"/>
        <v>6256.0480600000001</v>
      </c>
      <c r="H105" s="63"/>
      <c r="I105" s="15">
        <f t="shared" si="3"/>
        <v>0</v>
      </c>
      <c r="J105" s="63"/>
      <c r="K105" s="15">
        <v>6265.4720500000003</v>
      </c>
      <c r="L105" s="15">
        <v>0</v>
      </c>
      <c r="M105" s="15"/>
      <c r="N105" s="15"/>
      <c r="O105" s="15"/>
      <c r="P105" s="15">
        <v>0</v>
      </c>
      <c r="Q105" s="15"/>
      <c r="R105" s="15">
        <v>0</v>
      </c>
      <c r="S105" s="15"/>
      <c r="T105" s="15"/>
      <c r="U105" s="15"/>
      <c r="V105" s="15"/>
      <c r="W105" s="15"/>
      <c r="X105" s="15"/>
      <c r="Y105" s="15"/>
      <c r="Z105" s="15"/>
      <c r="AA105" s="15"/>
      <c r="AB105" s="15">
        <v>0</v>
      </c>
      <c r="AC105" s="15"/>
      <c r="AD105" s="15"/>
      <c r="AE105" s="15">
        <v>-9.4239899999999999</v>
      </c>
      <c r="AF105" s="15"/>
    </row>
    <row r="106" spans="2:32" ht="16" customHeight="1" x14ac:dyDescent="0.35">
      <c r="B106" s="14" t="s">
        <v>485</v>
      </c>
      <c r="C106" s="14" t="s">
        <v>1367</v>
      </c>
      <c r="D106" s="61"/>
      <c r="E106" s="30">
        <v>-1084.808</v>
      </c>
      <c r="F106" s="63"/>
      <c r="G106" s="15">
        <f t="shared" si="2"/>
        <v>-1084.808</v>
      </c>
      <c r="H106" s="63"/>
      <c r="I106" s="15">
        <f t="shared" si="3"/>
        <v>0</v>
      </c>
      <c r="J106" s="63"/>
      <c r="K106" s="15">
        <v>-1084.808</v>
      </c>
      <c r="L106" s="15">
        <v>0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>
        <v>0</v>
      </c>
      <c r="AC106" s="15">
        <v>0</v>
      </c>
      <c r="AD106" s="15"/>
      <c r="AE106" s="15"/>
      <c r="AF106" s="15"/>
    </row>
    <row r="107" spans="2:32" ht="16" customHeight="1" x14ac:dyDescent="0.35">
      <c r="B107" s="14" t="s">
        <v>489</v>
      </c>
      <c r="C107" s="14" t="s">
        <v>1368</v>
      </c>
      <c r="D107" s="61"/>
      <c r="E107" s="30">
        <v>163609.36256000001</v>
      </c>
      <c r="F107" s="63"/>
      <c r="G107" s="15">
        <f t="shared" si="2"/>
        <v>163609.36256000001</v>
      </c>
      <c r="H107" s="63"/>
      <c r="I107" s="15">
        <f t="shared" si="3"/>
        <v>0</v>
      </c>
      <c r="J107" s="63"/>
      <c r="K107" s="15">
        <v>163609.36256000001</v>
      </c>
      <c r="L107" s="15">
        <v>0</v>
      </c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 spans="2:32" ht="16" customHeight="1" x14ac:dyDescent="0.35">
      <c r="B108" s="14" t="s">
        <v>491</v>
      </c>
      <c r="C108" s="14" t="s">
        <v>1369</v>
      </c>
      <c r="D108" s="61"/>
      <c r="E108" s="30">
        <v>-41067.070899999999</v>
      </c>
      <c r="F108" s="63"/>
      <c r="G108" s="15">
        <f t="shared" ref="G108:G120" si="4">SUM(K108:AF108)</f>
        <v>-41067.070900000006</v>
      </c>
      <c r="H108" s="63"/>
      <c r="I108" s="15">
        <f t="shared" si="3"/>
        <v>0</v>
      </c>
      <c r="J108" s="63"/>
      <c r="K108" s="15">
        <v>-40813.003900000003</v>
      </c>
      <c r="L108" s="15">
        <v>0</v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>
        <v>-254.06700000000001</v>
      </c>
      <c r="X108" s="15"/>
      <c r="Y108" s="15"/>
      <c r="Z108" s="15"/>
      <c r="AA108" s="15"/>
      <c r="AB108" s="15"/>
      <c r="AC108" s="15"/>
      <c r="AD108" s="15"/>
      <c r="AE108" s="15"/>
      <c r="AF108" s="15"/>
    </row>
    <row r="109" spans="2:32" ht="16" customHeight="1" x14ac:dyDescent="0.35">
      <c r="B109" s="14" t="s">
        <v>495</v>
      </c>
      <c r="C109" s="14" t="s">
        <v>1370</v>
      </c>
      <c r="D109" s="61"/>
      <c r="E109" s="30">
        <v>2925.9769099999999</v>
      </c>
      <c r="F109" s="63"/>
      <c r="G109" s="15">
        <f t="shared" si="4"/>
        <v>2925.9769099999999</v>
      </c>
      <c r="H109" s="63"/>
      <c r="I109" s="15">
        <f t="shared" si="3"/>
        <v>0</v>
      </c>
      <c r="J109" s="63"/>
      <c r="K109" s="15">
        <v>2925.9769099999999</v>
      </c>
      <c r="L109" s="15">
        <v>0</v>
      </c>
      <c r="M109" s="15"/>
      <c r="N109" s="15"/>
      <c r="O109" s="15"/>
      <c r="P109" s="15"/>
      <c r="Q109" s="15"/>
      <c r="R109" s="15">
        <v>0</v>
      </c>
      <c r="S109" s="15"/>
      <c r="T109" s="15"/>
      <c r="U109" s="15"/>
      <c r="V109" s="15"/>
      <c r="W109" s="15"/>
      <c r="X109" s="15">
        <v>0</v>
      </c>
      <c r="Y109" s="15"/>
      <c r="Z109" s="15"/>
      <c r="AA109" s="15"/>
      <c r="AB109" s="15"/>
      <c r="AC109" s="15"/>
      <c r="AD109" s="15"/>
      <c r="AE109" s="15"/>
      <c r="AF109" s="15"/>
    </row>
    <row r="110" spans="2:32" ht="16" customHeight="1" x14ac:dyDescent="0.35">
      <c r="B110" s="14" t="s">
        <v>497</v>
      </c>
      <c r="C110" s="14" t="s">
        <v>1371</v>
      </c>
      <c r="D110" s="61"/>
      <c r="E110" s="30">
        <v>-2768.2368999999999</v>
      </c>
      <c r="F110" s="63"/>
      <c r="G110" s="15">
        <f t="shared" si="4"/>
        <v>-2768.2369000000003</v>
      </c>
      <c r="H110" s="63"/>
      <c r="I110" s="15">
        <f t="shared" si="3"/>
        <v>0</v>
      </c>
      <c r="J110" s="63"/>
      <c r="K110" s="15">
        <v>-2767.8479000000002</v>
      </c>
      <c r="L110" s="15">
        <v>0</v>
      </c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>
        <v>-0.38900000000000001</v>
      </c>
      <c r="X110" s="15">
        <v>0</v>
      </c>
      <c r="Y110" s="15"/>
      <c r="Z110" s="15"/>
      <c r="AA110" s="15"/>
      <c r="AB110" s="15"/>
      <c r="AC110" s="15"/>
      <c r="AD110" s="15"/>
      <c r="AE110" s="15"/>
      <c r="AF110" s="15"/>
    </row>
    <row r="111" spans="2:32" ht="16" customHeight="1" x14ac:dyDescent="0.35">
      <c r="B111" s="14" t="s">
        <v>501</v>
      </c>
      <c r="C111" s="14" t="s">
        <v>1372</v>
      </c>
      <c r="D111" s="61"/>
      <c r="E111" s="30"/>
      <c r="F111" s="63"/>
      <c r="G111" s="15">
        <f t="shared" si="4"/>
        <v>0</v>
      </c>
      <c r="H111" s="63"/>
      <c r="I111" s="15">
        <f t="shared" si="3"/>
        <v>0</v>
      </c>
      <c r="J111" s="63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 spans="2:32" ht="16" customHeight="1" x14ac:dyDescent="0.35">
      <c r="B112" s="14" t="s">
        <v>503</v>
      </c>
      <c r="C112" s="14" t="s">
        <v>1373</v>
      </c>
      <c r="D112" s="61"/>
      <c r="E112" s="30"/>
      <c r="F112" s="63"/>
      <c r="G112" s="15">
        <f t="shared" si="4"/>
        <v>0</v>
      </c>
      <c r="H112" s="63"/>
      <c r="I112" s="15">
        <f t="shared" si="3"/>
        <v>0</v>
      </c>
      <c r="J112" s="63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 spans="2:32" ht="16" customHeight="1" x14ac:dyDescent="0.35">
      <c r="B113" s="14" t="s">
        <v>507</v>
      </c>
      <c r="C113" s="14" t="s">
        <v>1374</v>
      </c>
      <c r="D113" s="61"/>
      <c r="E113" s="30">
        <v>4000</v>
      </c>
      <c r="F113" s="63"/>
      <c r="G113" s="15">
        <f t="shared" si="4"/>
        <v>4000</v>
      </c>
      <c r="H113" s="63"/>
      <c r="I113" s="15">
        <f t="shared" si="3"/>
        <v>0</v>
      </c>
      <c r="J113" s="63"/>
      <c r="K113" s="15">
        <v>4000</v>
      </c>
      <c r="L113" s="15"/>
      <c r="M113" s="15">
        <v>0</v>
      </c>
      <c r="N113" s="15"/>
      <c r="O113" s="15"/>
      <c r="P113" s="15"/>
      <c r="Q113" s="15"/>
      <c r="R113" s="15">
        <v>0</v>
      </c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spans="2:32" ht="16" customHeight="1" x14ac:dyDescent="0.35">
      <c r="B114" s="14" t="s">
        <v>509</v>
      </c>
      <c r="C114" s="14" t="s">
        <v>1375</v>
      </c>
      <c r="D114" s="61"/>
      <c r="E114" s="30"/>
      <c r="F114" s="63"/>
      <c r="G114" s="15">
        <f t="shared" si="4"/>
        <v>0</v>
      </c>
      <c r="H114" s="63"/>
      <c r="I114" s="15">
        <f t="shared" si="3"/>
        <v>0</v>
      </c>
      <c r="J114" s="63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 spans="2:32" ht="16" customHeight="1" x14ac:dyDescent="0.35">
      <c r="B115" s="14" t="s">
        <v>513</v>
      </c>
      <c r="C115" s="14" t="s">
        <v>1376</v>
      </c>
      <c r="D115" s="61"/>
      <c r="E115" s="30">
        <v>46401.963900000002</v>
      </c>
      <c r="F115" s="63"/>
      <c r="G115" s="15">
        <f t="shared" si="4"/>
        <v>46401.963900000002</v>
      </c>
      <c r="H115" s="63"/>
      <c r="I115" s="15">
        <f t="shared" si="3"/>
        <v>0</v>
      </c>
      <c r="J115" s="63"/>
      <c r="K115" s="15">
        <v>46401.963900000002</v>
      </c>
      <c r="L115" s="15">
        <v>0</v>
      </c>
      <c r="M115" s="15">
        <v>0</v>
      </c>
      <c r="N115" s="15"/>
      <c r="O115" s="15"/>
      <c r="P115" s="15"/>
      <c r="Q115" s="15"/>
      <c r="R115" s="15">
        <v>0</v>
      </c>
      <c r="S115" s="15"/>
      <c r="T115" s="15"/>
      <c r="U115" s="15"/>
      <c r="V115" s="15"/>
      <c r="W115" s="15"/>
      <c r="X115" s="15">
        <v>0</v>
      </c>
      <c r="Y115" s="15"/>
      <c r="Z115" s="15"/>
      <c r="AA115" s="15"/>
      <c r="AB115" s="15">
        <v>0</v>
      </c>
      <c r="AC115" s="15"/>
      <c r="AD115" s="15"/>
      <c r="AE115" s="15"/>
      <c r="AF115" s="15"/>
    </row>
    <row r="116" spans="2:32" ht="16" customHeight="1" x14ac:dyDescent="0.35">
      <c r="B116" s="14" t="s">
        <v>515</v>
      </c>
      <c r="C116" s="14" t="s">
        <v>1377</v>
      </c>
      <c r="D116" s="61"/>
      <c r="E116" s="30">
        <v>-32378.150310000001</v>
      </c>
      <c r="F116" s="63"/>
      <c r="G116" s="15">
        <f t="shared" si="4"/>
        <v>-32378.150310000001</v>
      </c>
      <c r="H116" s="63"/>
      <c r="I116" s="15">
        <f t="shared" si="3"/>
        <v>0</v>
      </c>
      <c r="J116" s="63"/>
      <c r="K116" s="15">
        <v>-32265.024310000001</v>
      </c>
      <c r="L116" s="15">
        <v>0</v>
      </c>
      <c r="M116" s="15">
        <v>0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>
        <v>-113.126</v>
      </c>
      <c r="X116" s="15">
        <v>0</v>
      </c>
      <c r="Y116" s="15"/>
      <c r="Z116" s="15"/>
      <c r="AA116" s="15"/>
      <c r="AB116" s="15">
        <v>0</v>
      </c>
      <c r="AC116" s="15">
        <v>0</v>
      </c>
      <c r="AD116" s="15"/>
      <c r="AE116" s="15"/>
      <c r="AF116" s="15"/>
    </row>
    <row r="117" spans="2:32" ht="16" customHeight="1" x14ac:dyDescent="0.35">
      <c r="B117" s="14" t="s">
        <v>554</v>
      </c>
      <c r="C117" s="14" t="s">
        <v>555</v>
      </c>
      <c r="D117" s="61"/>
      <c r="E117" s="30"/>
      <c r="F117" s="63"/>
      <c r="G117" s="15">
        <f t="shared" si="4"/>
        <v>0</v>
      </c>
      <c r="H117" s="63"/>
      <c r="I117" s="15">
        <f t="shared" si="3"/>
        <v>0</v>
      </c>
      <c r="J117" s="63"/>
      <c r="K117" s="15"/>
      <c r="L117" s="15"/>
      <c r="M117" s="15"/>
      <c r="N117" s="15"/>
      <c r="O117" s="15"/>
      <c r="P117" s="15"/>
      <c r="Q117" s="15"/>
      <c r="R117" s="15">
        <v>0</v>
      </c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 spans="2:32" ht="16" customHeight="1" x14ac:dyDescent="0.35">
      <c r="B118" s="14" t="s">
        <v>384</v>
      </c>
      <c r="C118" s="14" t="s">
        <v>385</v>
      </c>
      <c r="D118" s="61"/>
      <c r="E118" s="30"/>
      <c r="F118" s="63"/>
      <c r="G118" s="15">
        <f t="shared" si="4"/>
        <v>0</v>
      </c>
      <c r="H118" s="63"/>
      <c r="I118" s="15">
        <f t="shared" si="3"/>
        <v>0</v>
      </c>
      <c r="J118" s="63"/>
      <c r="K118" s="15"/>
      <c r="L118" s="15"/>
      <c r="M118" s="15"/>
      <c r="N118" s="15"/>
      <c r="O118" s="15"/>
      <c r="P118" s="15"/>
      <c r="Q118" s="15"/>
      <c r="R118" s="15">
        <v>0</v>
      </c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</row>
    <row r="119" spans="2:32" ht="16" customHeight="1" x14ac:dyDescent="0.35">
      <c r="B119" s="14" t="s">
        <v>386</v>
      </c>
      <c r="C119" s="14" t="s">
        <v>387</v>
      </c>
      <c r="D119" s="61"/>
      <c r="E119" s="30">
        <v>32861.885130000002</v>
      </c>
      <c r="F119" s="63"/>
      <c r="G119" s="15">
        <f t="shared" si="4"/>
        <v>32861.885129999995</v>
      </c>
      <c r="H119" s="63"/>
      <c r="I119" s="15">
        <f t="shared" si="3"/>
        <v>0</v>
      </c>
      <c r="J119" s="63"/>
      <c r="K119" s="15">
        <v>33028.29795</v>
      </c>
      <c r="L119" s="15"/>
      <c r="M119" s="15"/>
      <c r="N119" s="15"/>
      <c r="O119" s="15"/>
      <c r="P119" s="15"/>
      <c r="Q119" s="15"/>
      <c r="R119" s="15">
        <v>-217.73231999999999</v>
      </c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>
        <v>51.319499999999998</v>
      </c>
      <c r="AD119" s="15"/>
      <c r="AE119" s="15"/>
      <c r="AF119" s="15"/>
    </row>
    <row r="120" spans="2:32" ht="16" customHeight="1" x14ac:dyDescent="0.35">
      <c r="B120" s="14" t="s">
        <v>557</v>
      </c>
      <c r="C120" s="14" t="s">
        <v>558</v>
      </c>
      <c r="D120" s="61"/>
      <c r="E120" s="30"/>
      <c r="F120" s="63"/>
      <c r="G120" s="15">
        <f t="shared" si="4"/>
        <v>0</v>
      </c>
      <c r="H120" s="63"/>
      <c r="I120" s="15">
        <f t="shared" si="3"/>
        <v>0</v>
      </c>
      <c r="J120" s="63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</row>
    <row r="121" spans="2:32" ht="16" customHeight="1" x14ac:dyDescent="0.35">
      <c r="B121" s="16" t="s">
        <v>1378</v>
      </c>
      <c r="C121" s="16"/>
      <c r="D121" s="64"/>
      <c r="E121" s="31">
        <f>SUBTOTAL(109, E12:E120)</f>
        <v>5566340.1106899995</v>
      </c>
      <c r="F121" s="65"/>
      <c r="G121" s="17">
        <f>SUBTOTAL(109, G12:G120)</f>
        <v>5566340.1087299986</v>
      </c>
      <c r="H121" s="65"/>
      <c r="I121" s="17">
        <f>SUBTOTAL(109, I12:I120)</f>
        <v>1.9600001393484945E-3</v>
      </c>
      <c r="J121" s="65"/>
      <c r="K121" s="17">
        <f t="shared" ref="K121:AF121" si="5">SUBTOTAL(109, K12:K120)</f>
        <v>5525409.5552299982</v>
      </c>
      <c r="L121" s="17">
        <f t="shared" si="5"/>
        <v>0</v>
      </c>
      <c r="M121" s="17">
        <f t="shared" si="5"/>
        <v>0</v>
      </c>
      <c r="N121" s="17">
        <f t="shared" si="5"/>
        <v>0</v>
      </c>
      <c r="O121" s="17">
        <f t="shared" si="5"/>
        <v>0</v>
      </c>
      <c r="P121" s="17">
        <f t="shared" si="5"/>
        <v>0</v>
      </c>
      <c r="Q121" s="17">
        <f t="shared" si="5"/>
        <v>0</v>
      </c>
      <c r="R121" s="17">
        <f t="shared" si="5"/>
        <v>48641.342980000001</v>
      </c>
      <c r="S121" s="17">
        <f t="shared" si="5"/>
        <v>10811.45636</v>
      </c>
      <c r="T121" s="17">
        <f t="shared" si="5"/>
        <v>6410.0848000000005</v>
      </c>
      <c r="U121" s="17">
        <f t="shared" si="5"/>
        <v>0</v>
      </c>
      <c r="V121" s="17">
        <f t="shared" si="5"/>
        <v>0</v>
      </c>
      <c r="W121" s="17">
        <f t="shared" si="5"/>
        <v>-19950.164549999998</v>
      </c>
      <c r="X121" s="17">
        <f t="shared" si="5"/>
        <v>-3393.69623</v>
      </c>
      <c r="Y121" s="17">
        <f t="shared" si="5"/>
        <v>0</v>
      </c>
      <c r="Z121" s="17">
        <f t="shared" si="5"/>
        <v>0</v>
      </c>
      <c r="AA121" s="17">
        <f t="shared" si="5"/>
        <v>1031.2046700000001</v>
      </c>
      <c r="AB121" s="17">
        <f t="shared" si="5"/>
        <v>-182.21402999999736</v>
      </c>
      <c r="AC121" s="17">
        <f t="shared" si="5"/>
        <v>1979.8315400000001</v>
      </c>
      <c r="AD121" s="17">
        <f t="shared" si="5"/>
        <v>0</v>
      </c>
      <c r="AE121" s="17">
        <f t="shared" si="5"/>
        <v>-4417.2920399999985</v>
      </c>
      <c r="AF121" s="17">
        <f t="shared" si="5"/>
        <v>0</v>
      </c>
    </row>
    <row r="122" spans="2:32" ht="16" customHeight="1" x14ac:dyDescent="0.35">
      <c r="B122" s="11"/>
      <c r="C122" s="11"/>
      <c r="D122" s="29"/>
      <c r="E122" s="29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spans="2:32" ht="16" customHeight="1" x14ac:dyDescent="0.35">
      <c r="B123" s="14" t="s">
        <v>577</v>
      </c>
      <c r="C123" s="14" t="s">
        <v>1385</v>
      </c>
      <c r="D123" s="61"/>
      <c r="E123" s="30">
        <v>703169.21542999998</v>
      </c>
      <c r="F123" s="63"/>
      <c r="G123" s="15">
        <f t="shared" ref="G123:G154" si="6">SUM(K123:AF123)</f>
        <v>703169.21542999998</v>
      </c>
      <c r="H123" s="63"/>
      <c r="I123" s="15">
        <f t="shared" ref="I123:I186" si="7">E123-G123</f>
        <v>0</v>
      </c>
      <c r="J123" s="63"/>
      <c r="K123" s="15">
        <v>716519.21542999998</v>
      </c>
      <c r="L123" s="15"/>
      <c r="M123" s="15"/>
      <c r="N123" s="15"/>
      <c r="O123" s="15"/>
      <c r="P123" s="15"/>
      <c r="Q123" s="15"/>
      <c r="R123" s="15"/>
      <c r="S123" s="15">
        <v>60400</v>
      </c>
      <c r="T123" s="15"/>
      <c r="U123" s="15"/>
      <c r="V123" s="15"/>
      <c r="W123" s="15"/>
      <c r="X123" s="15">
        <v>-73750</v>
      </c>
      <c r="Y123" s="15"/>
      <c r="Z123" s="15"/>
      <c r="AA123" s="15"/>
      <c r="AB123" s="15"/>
      <c r="AC123" s="15"/>
      <c r="AD123" s="15"/>
      <c r="AE123" s="15"/>
      <c r="AF123" s="15"/>
    </row>
    <row r="124" spans="2:32" ht="16" customHeight="1" x14ac:dyDescent="0.35">
      <c r="B124" s="14" t="s">
        <v>579</v>
      </c>
      <c r="C124" s="14" t="s">
        <v>1379</v>
      </c>
      <c r="D124" s="61"/>
      <c r="E124" s="30"/>
      <c r="F124" s="63"/>
      <c r="G124" s="15">
        <f t="shared" si="6"/>
        <v>0</v>
      </c>
      <c r="H124" s="63"/>
      <c r="I124" s="15">
        <f t="shared" si="7"/>
        <v>0</v>
      </c>
      <c r="J124" s="63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 spans="2:32" ht="16" customHeight="1" x14ac:dyDescent="0.35">
      <c r="B125" s="14" t="s">
        <v>581</v>
      </c>
      <c r="C125" s="14" t="s">
        <v>1380</v>
      </c>
      <c r="D125" s="61"/>
      <c r="E125" s="30">
        <v>-8.9480000000000004E-2</v>
      </c>
      <c r="F125" s="63"/>
      <c r="G125" s="15">
        <f t="shared" si="6"/>
        <v>-8.9480000000000004E-2</v>
      </c>
      <c r="H125" s="63"/>
      <c r="I125" s="15">
        <f t="shared" si="7"/>
        <v>0</v>
      </c>
      <c r="J125" s="63"/>
      <c r="K125" s="15">
        <v>-8.9480000000000004E-2</v>
      </c>
      <c r="L125" s="15"/>
      <c r="M125" s="15"/>
      <c r="N125" s="15"/>
      <c r="O125" s="15"/>
      <c r="P125" s="15"/>
      <c r="Q125" s="15"/>
      <c r="R125" s="15"/>
      <c r="S125" s="15">
        <v>0</v>
      </c>
      <c r="T125" s="15"/>
      <c r="U125" s="15"/>
      <c r="V125" s="15"/>
      <c r="W125" s="15"/>
      <c r="X125" s="15">
        <v>0</v>
      </c>
      <c r="Y125" s="15"/>
      <c r="Z125" s="15"/>
      <c r="AA125" s="15"/>
      <c r="AB125" s="15"/>
      <c r="AC125" s="15"/>
      <c r="AD125" s="15"/>
      <c r="AE125" s="15"/>
      <c r="AF125" s="15">
        <v>0</v>
      </c>
    </row>
    <row r="126" spans="2:32" ht="16" customHeight="1" x14ac:dyDescent="0.35">
      <c r="B126" s="14" t="s">
        <v>583</v>
      </c>
      <c r="C126" s="14" t="s">
        <v>584</v>
      </c>
      <c r="D126" s="61"/>
      <c r="E126" s="30"/>
      <c r="F126" s="63"/>
      <c r="G126" s="15">
        <f t="shared" si="6"/>
        <v>0</v>
      </c>
      <c r="H126" s="63"/>
      <c r="I126" s="15">
        <f t="shared" si="7"/>
        <v>0</v>
      </c>
      <c r="J126" s="63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 spans="2:32" ht="16" customHeight="1" x14ac:dyDescent="0.35">
      <c r="B127" s="14" t="s">
        <v>599</v>
      </c>
      <c r="C127" s="14" t="s">
        <v>1388</v>
      </c>
      <c r="D127" s="61"/>
      <c r="E127" s="30">
        <v>163.11313999999999</v>
      </c>
      <c r="F127" s="63"/>
      <c r="G127" s="15">
        <f t="shared" si="6"/>
        <v>163.11313999999999</v>
      </c>
      <c r="H127" s="63"/>
      <c r="I127" s="15">
        <f t="shared" si="7"/>
        <v>0</v>
      </c>
      <c r="J127" s="63"/>
      <c r="K127" s="15">
        <v>163.11313999999999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>
        <v>0</v>
      </c>
      <c r="AD127" s="15"/>
      <c r="AE127" s="15"/>
      <c r="AF127" s="15"/>
    </row>
    <row r="128" spans="2:32" ht="16" customHeight="1" x14ac:dyDescent="0.35">
      <c r="B128" s="14" t="s">
        <v>585</v>
      </c>
      <c r="C128" s="14" t="s">
        <v>1386</v>
      </c>
      <c r="D128" s="61"/>
      <c r="E128" s="30">
        <v>146489.6594</v>
      </c>
      <c r="F128" s="63"/>
      <c r="G128" s="15">
        <f t="shared" si="6"/>
        <v>146489.6594</v>
      </c>
      <c r="H128" s="63"/>
      <c r="I128" s="15">
        <f t="shared" si="7"/>
        <v>0</v>
      </c>
      <c r="J128" s="63"/>
      <c r="K128" s="15">
        <v>146489.6594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spans="2:32" ht="16" customHeight="1" x14ac:dyDescent="0.35">
      <c r="B129" s="14" t="s">
        <v>587</v>
      </c>
      <c r="C129" s="14" t="s">
        <v>1381</v>
      </c>
      <c r="D129" s="61"/>
      <c r="E129" s="30"/>
      <c r="F129" s="63"/>
      <c r="G129" s="15">
        <f t="shared" si="6"/>
        <v>0</v>
      </c>
      <c r="H129" s="63"/>
      <c r="I129" s="15">
        <f t="shared" si="7"/>
        <v>0</v>
      </c>
      <c r="J129" s="63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 spans="2:32" ht="16" customHeight="1" x14ac:dyDescent="0.35">
      <c r="B130" s="14" t="s">
        <v>589</v>
      </c>
      <c r="C130" s="14" t="s">
        <v>1382</v>
      </c>
      <c r="D130" s="61"/>
      <c r="E130" s="30"/>
      <c r="F130" s="63"/>
      <c r="G130" s="15">
        <f t="shared" si="6"/>
        <v>0</v>
      </c>
      <c r="H130" s="63"/>
      <c r="I130" s="15">
        <f t="shared" si="7"/>
        <v>0</v>
      </c>
      <c r="J130" s="63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</row>
    <row r="131" spans="2:32" ht="16" customHeight="1" x14ac:dyDescent="0.35">
      <c r="B131" s="14" t="s">
        <v>591</v>
      </c>
      <c r="C131" s="14" t="s">
        <v>1383</v>
      </c>
      <c r="D131" s="61"/>
      <c r="E131" s="30">
        <v>493.60199999999998</v>
      </c>
      <c r="F131" s="63"/>
      <c r="G131" s="15">
        <f t="shared" si="6"/>
        <v>493.60200000000003</v>
      </c>
      <c r="H131" s="63"/>
      <c r="I131" s="15">
        <f t="shared" si="7"/>
        <v>0</v>
      </c>
      <c r="J131" s="63"/>
      <c r="K131" s="15">
        <v>495.05052000000001</v>
      </c>
      <c r="L131" s="15"/>
      <c r="M131" s="15"/>
      <c r="N131" s="15"/>
      <c r="O131" s="15"/>
      <c r="P131" s="15">
        <v>0</v>
      </c>
      <c r="Q131" s="15"/>
      <c r="R131" s="15"/>
      <c r="S131" s="15">
        <v>0</v>
      </c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>
        <v>-1.44852</v>
      </c>
      <c r="AF131" s="15"/>
    </row>
    <row r="132" spans="2:32" ht="16" customHeight="1" x14ac:dyDescent="0.35">
      <c r="B132" s="14" t="s">
        <v>593</v>
      </c>
      <c r="C132" s="14" t="s">
        <v>1384</v>
      </c>
      <c r="D132" s="61"/>
      <c r="E132" s="30">
        <v>48469.169179999997</v>
      </c>
      <c r="F132" s="63"/>
      <c r="G132" s="15">
        <f t="shared" si="6"/>
        <v>48469.169169999994</v>
      </c>
      <c r="H132" s="63"/>
      <c r="I132" s="15">
        <f t="shared" si="7"/>
        <v>1.0000003385357559E-5</v>
      </c>
      <c r="J132" s="63"/>
      <c r="K132" s="15">
        <v>47860.189319999998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>
        <v>627.10581999999999</v>
      </c>
      <c r="AC132" s="15"/>
      <c r="AD132" s="15"/>
      <c r="AE132" s="15">
        <v>-18.125969999999999</v>
      </c>
      <c r="AF132" s="15"/>
    </row>
    <row r="133" spans="2:32" ht="16" customHeight="1" x14ac:dyDescent="0.35">
      <c r="B133" s="14" t="s">
        <v>595</v>
      </c>
      <c r="C133" s="14" t="s">
        <v>596</v>
      </c>
      <c r="D133" s="61"/>
      <c r="E133" s="30">
        <v>0</v>
      </c>
      <c r="F133" s="63"/>
      <c r="G133" s="15">
        <f t="shared" si="6"/>
        <v>0</v>
      </c>
      <c r="H133" s="63"/>
      <c r="I133" s="15">
        <f t="shared" si="7"/>
        <v>0</v>
      </c>
      <c r="J133" s="63"/>
      <c r="K133" s="15">
        <v>0</v>
      </c>
      <c r="L133" s="15"/>
      <c r="M133" s="15"/>
      <c r="N133" s="15"/>
      <c r="O133" s="15"/>
      <c r="P133" s="15"/>
      <c r="Q133" s="15"/>
      <c r="R133" s="15">
        <v>-10500</v>
      </c>
      <c r="S133" s="15">
        <v>10500</v>
      </c>
      <c r="T133" s="15"/>
      <c r="U133" s="15"/>
      <c r="V133" s="15"/>
      <c r="W133" s="15"/>
      <c r="X133" s="15">
        <v>0</v>
      </c>
      <c r="Y133" s="15"/>
      <c r="Z133" s="15"/>
      <c r="AA133" s="15"/>
      <c r="AB133" s="15"/>
      <c r="AC133" s="15"/>
      <c r="AD133" s="15"/>
      <c r="AE133" s="15"/>
      <c r="AF133" s="15"/>
    </row>
    <row r="134" spans="2:32" ht="16" customHeight="1" x14ac:dyDescent="0.35">
      <c r="B134" s="14" t="s">
        <v>1393</v>
      </c>
      <c r="C134" s="14" t="s">
        <v>1394</v>
      </c>
      <c r="D134" s="61"/>
      <c r="E134" s="30"/>
      <c r="F134" s="63"/>
      <c r="G134" s="15">
        <f t="shared" si="6"/>
        <v>0</v>
      </c>
      <c r="H134" s="63"/>
      <c r="I134" s="15">
        <f t="shared" si="7"/>
        <v>0</v>
      </c>
      <c r="J134" s="63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</row>
    <row r="135" spans="2:32" ht="16" customHeight="1" x14ac:dyDescent="0.35">
      <c r="B135" s="14" t="s">
        <v>1395</v>
      </c>
      <c r="C135" s="14" t="s">
        <v>1396</v>
      </c>
      <c r="D135" s="61"/>
      <c r="E135" s="30">
        <v>3583.6652100000001</v>
      </c>
      <c r="F135" s="63"/>
      <c r="G135" s="15">
        <f t="shared" si="6"/>
        <v>3583.6652100000001</v>
      </c>
      <c r="H135" s="63"/>
      <c r="I135" s="15">
        <f t="shared" si="7"/>
        <v>0</v>
      </c>
      <c r="J135" s="63"/>
      <c r="K135" s="15">
        <v>2585.06718</v>
      </c>
      <c r="L135" s="15"/>
      <c r="M135" s="15"/>
      <c r="N135" s="15"/>
      <c r="O135" s="15"/>
      <c r="P135" s="15"/>
      <c r="Q135" s="15"/>
      <c r="R135" s="15">
        <v>998.59802999999999</v>
      </c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spans="2:32" ht="16" customHeight="1" x14ac:dyDescent="0.35">
      <c r="B136" s="14" t="s">
        <v>1397</v>
      </c>
      <c r="C136" s="14" t="s">
        <v>1398</v>
      </c>
      <c r="D136" s="61"/>
      <c r="E136" s="30"/>
      <c r="F136" s="63"/>
      <c r="G136" s="15">
        <f t="shared" si="6"/>
        <v>0</v>
      </c>
      <c r="H136" s="63"/>
      <c r="I136" s="15">
        <f t="shared" si="7"/>
        <v>0</v>
      </c>
      <c r="J136" s="63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</row>
    <row r="137" spans="2:32" ht="16" customHeight="1" x14ac:dyDescent="0.35">
      <c r="B137" s="14" t="s">
        <v>1399</v>
      </c>
      <c r="C137" s="14" t="s">
        <v>1400</v>
      </c>
      <c r="D137" s="61"/>
      <c r="E137" s="30"/>
      <c r="F137" s="63"/>
      <c r="G137" s="15">
        <f t="shared" si="6"/>
        <v>0</v>
      </c>
      <c r="H137" s="63"/>
      <c r="I137" s="15">
        <f t="shared" si="7"/>
        <v>0</v>
      </c>
      <c r="J137" s="63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spans="2:32" ht="16" customHeight="1" x14ac:dyDescent="0.35">
      <c r="B138" s="14" t="s">
        <v>1401</v>
      </c>
      <c r="C138" s="14" t="s">
        <v>1402</v>
      </c>
      <c r="D138" s="61"/>
      <c r="E138" s="30"/>
      <c r="F138" s="63"/>
      <c r="G138" s="15">
        <f t="shared" si="6"/>
        <v>0</v>
      </c>
      <c r="H138" s="63"/>
      <c r="I138" s="15">
        <f t="shared" si="7"/>
        <v>0</v>
      </c>
      <c r="J138" s="63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spans="2:32" ht="16" customHeight="1" x14ac:dyDescent="0.35">
      <c r="B139" s="14" t="s">
        <v>1403</v>
      </c>
      <c r="C139" s="14" t="s">
        <v>1404</v>
      </c>
      <c r="D139" s="61"/>
      <c r="E139" s="30">
        <v>999.19690000000003</v>
      </c>
      <c r="F139" s="63"/>
      <c r="G139" s="15">
        <f t="shared" si="6"/>
        <v>999.19690000000003</v>
      </c>
      <c r="H139" s="63"/>
      <c r="I139" s="15">
        <f t="shared" si="7"/>
        <v>0</v>
      </c>
      <c r="J139" s="63"/>
      <c r="K139" s="15">
        <v>994.96365000000003</v>
      </c>
      <c r="L139" s="15"/>
      <c r="M139" s="15">
        <v>0</v>
      </c>
      <c r="N139" s="15"/>
      <c r="O139" s="15"/>
      <c r="P139" s="15"/>
      <c r="Q139" s="15"/>
      <c r="R139" s="15">
        <v>4.23325</v>
      </c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</row>
    <row r="140" spans="2:32" ht="16" customHeight="1" x14ac:dyDescent="0.35">
      <c r="B140" s="14" t="s">
        <v>566</v>
      </c>
      <c r="C140" s="14" t="s">
        <v>1389</v>
      </c>
      <c r="D140" s="61"/>
      <c r="E140" s="30">
        <v>21212.34851</v>
      </c>
      <c r="F140" s="63"/>
      <c r="G140" s="15">
        <f t="shared" si="6"/>
        <v>21212.34951</v>
      </c>
      <c r="H140" s="63"/>
      <c r="I140" s="15">
        <f t="shared" si="7"/>
        <v>-1.0000000002037268E-3</v>
      </c>
      <c r="J140" s="63"/>
      <c r="K140" s="15">
        <v>23172.42987</v>
      </c>
      <c r="L140" s="15"/>
      <c r="M140" s="15"/>
      <c r="N140" s="15"/>
      <c r="O140" s="15"/>
      <c r="P140" s="15"/>
      <c r="Q140" s="15"/>
      <c r="R140" s="15">
        <v>-1960.0792300000001</v>
      </c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>
        <v>5.0000000000000001E-4</v>
      </c>
      <c r="AD140" s="15"/>
      <c r="AE140" s="15">
        <v>-1.6299999999999999E-3</v>
      </c>
      <c r="AF140" s="15"/>
    </row>
    <row r="141" spans="2:32" ht="16" customHeight="1" x14ac:dyDescent="0.35">
      <c r="B141" s="14" t="s">
        <v>615</v>
      </c>
      <c r="C141" s="14" t="s">
        <v>1409</v>
      </c>
      <c r="D141" s="61"/>
      <c r="E141" s="30">
        <v>17938.17454</v>
      </c>
      <c r="F141" s="63"/>
      <c r="G141" s="15">
        <f t="shared" si="6"/>
        <v>17938.178550000001</v>
      </c>
      <c r="H141" s="63"/>
      <c r="I141" s="15">
        <f t="shared" si="7"/>
        <v>-4.010000000562286E-3</v>
      </c>
      <c r="J141" s="63"/>
      <c r="K141" s="15">
        <v>14784.612660000001</v>
      </c>
      <c r="L141" s="15"/>
      <c r="M141" s="15"/>
      <c r="N141" s="15"/>
      <c r="O141" s="15"/>
      <c r="P141" s="15">
        <v>0</v>
      </c>
      <c r="Q141" s="15"/>
      <c r="R141" s="15">
        <v>3166.1790999999998</v>
      </c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>
        <v>-10.551130000000001</v>
      </c>
      <c r="AD141" s="15"/>
      <c r="AE141" s="15">
        <v>-2.0620799999999999</v>
      </c>
      <c r="AF141" s="15">
        <v>0</v>
      </c>
    </row>
    <row r="142" spans="2:32" ht="16" customHeight="1" x14ac:dyDescent="0.35">
      <c r="B142" s="14" t="s">
        <v>568</v>
      </c>
      <c r="C142" s="14" t="s">
        <v>1390</v>
      </c>
      <c r="D142" s="61"/>
      <c r="E142" s="30"/>
      <c r="F142" s="63"/>
      <c r="G142" s="15">
        <f t="shared" si="6"/>
        <v>0</v>
      </c>
      <c r="H142" s="63"/>
      <c r="I142" s="15">
        <f t="shared" si="7"/>
        <v>0</v>
      </c>
      <c r="J142" s="63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</row>
    <row r="143" spans="2:32" ht="16" customHeight="1" x14ac:dyDescent="0.35">
      <c r="B143" s="14" t="s">
        <v>617</v>
      </c>
      <c r="C143" s="14" t="s">
        <v>1410</v>
      </c>
      <c r="D143" s="61"/>
      <c r="E143" s="30"/>
      <c r="F143" s="63"/>
      <c r="G143" s="15">
        <f t="shared" si="6"/>
        <v>0</v>
      </c>
      <c r="H143" s="63"/>
      <c r="I143" s="15">
        <f t="shared" si="7"/>
        <v>0</v>
      </c>
      <c r="J143" s="63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</row>
    <row r="144" spans="2:32" ht="16" customHeight="1" x14ac:dyDescent="0.35">
      <c r="B144" s="14" t="s">
        <v>627</v>
      </c>
      <c r="C144" s="14" t="s">
        <v>1411</v>
      </c>
      <c r="D144" s="61"/>
      <c r="E144" s="30">
        <v>39802.934410000002</v>
      </c>
      <c r="F144" s="63"/>
      <c r="G144" s="15">
        <f t="shared" si="6"/>
        <v>39802.934410000002</v>
      </c>
      <c r="H144" s="63"/>
      <c r="I144" s="15">
        <f t="shared" si="7"/>
        <v>0</v>
      </c>
      <c r="J144" s="63"/>
      <c r="K144" s="15">
        <v>39792.421249999999</v>
      </c>
      <c r="L144" s="15"/>
      <c r="M144" s="15">
        <v>0</v>
      </c>
      <c r="N144" s="15"/>
      <c r="O144" s="15"/>
      <c r="P144" s="15"/>
      <c r="Q144" s="15"/>
      <c r="R144" s="15">
        <v>8.5803700000000003</v>
      </c>
      <c r="S144" s="15"/>
      <c r="T144" s="15"/>
      <c r="U144" s="15"/>
      <c r="V144" s="15"/>
      <c r="W144" s="15"/>
      <c r="X144" s="15"/>
      <c r="Y144" s="15"/>
      <c r="Z144" s="15"/>
      <c r="AA144" s="15"/>
      <c r="AB144" s="15">
        <v>14.621</v>
      </c>
      <c r="AC144" s="15"/>
      <c r="AD144" s="15"/>
      <c r="AE144" s="15">
        <v>-12.68821</v>
      </c>
      <c r="AF144" s="15"/>
    </row>
    <row r="145" spans="2:32" ht="16" customHeight="1" x14ac:dyDescent="0.35">
      <c r="B145" s="14" t="s">
        <v>572</v>
      </c>
      <c r="C145" s="14" t="s">
        <v>573</v>
      </c>
      <c r="D145" s="61"/>
      <c r="E145" s="30">
        <v>7420.20136</v>
      </c>
      <c r="F145" s="63"/>
      <c r="G145" s="15">
        <f t="shared" si="6"/>
        <v>7420.20136</v>
      </c>
      <c r="H145" s="63"/>
      <c r="I145" s="15">
        <f t="shared" si="7"/>
        <v>0</v>
      </c>
      <c r="J145" s="63"/>
      <c r="K145" s="15">
        <v>4554.7956100000001</v>
      </c>
      <c r="L145" s="15"/>
      <c r="M145" s="15">
        <v>0</v>
      </c>
      <c r="N145" s="15"/>
      <c r="O145" s="15"/>
      <c r="P145" s="15"/>
      <c r="Q145" s="15"/>
      <c r="R145" s="15">
        <v>2865.4057499999999</v>
      </c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spans="2:32" ht="16" customHeight="1" x14ac:dyDescent="0.35">
      <c r="B146" s="14" t="s">
        <v>629</v>
      </c>
      <c r="C146" s="14" t="s">
        <v>1570</v>
      </c>
      <c r="D146" s="61"/>
      <c r="E146" s="30"/>
      <c r="F146" s="63"/>
      <c r="G146" s="15">
        <f t="shared" si="6"/>
        <v>0</v>
      </c>
      <c r="H146" s="63"/>
      <c r="I146" s="15">
        <f t="shared" si="7"/>
        <v>0</v>
      </c>
      <c r="J146" s="63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spans="2:32" ht="16" customHeight="1" x14ac:dyDescent="0.35">
      <c r="B147" s="14" t="s">
        <v>570</v>
      </c>
      <c r="C147" s="14" t="s">
        <v>1392</v>
      </c>
      <c r="D147" s="61"/>
      <c r="E147" s="30">
        <v>199158.95551</v>
      </c>
      <c r="F147" s="63"/>
      <c r="G147" s="15">
        <f t="shared" si="6"/>
        <v>199158.95551999999</v>
      </c>
      <c r="H147" s="63"/>
      <c r="I147" s="15">
        <f t="shared" si="7"/>
        <v>-9.9999888334423304E-6</v>
      </c>
      <c r="J147" s="63"/>
      <c r="K147" s="15">
        <v>182293.30916999999</v>
      </c>
      <c r="L147" s="15"/>
      <c r="M147" s="15">
        <v>0</v>
      </c>
      <c r="N147" s="15"/>
      <c r="O147" s="15"/>
      <c r="P147" s="15">
        <v>0</v>
      </c>
      <c r="Q147" s="15"/>
      <c r="R147" s="15">
        <v>16700.556369999998</v>
      </c>
      <c r="S147" s="15"/>
      <c r="T147" s="15"/>
      <c r="U147" s="15"/>
      <c r="V147" s="15"/>
      <c r="W147" s="15"/>
      <c r="X147" s="15"/>
      <c r="Y147" s="15"/>
      <c r="Z147" s="15"/>
      <c r="AA147" s="15"/>
      <c r="AB147" s="15">
        <v>0</v>
      </c>
      <c r="AC147" s="15">
        <v>244.45607999999999</v>
      </c>
      <c r="AD147" s="15"/>
      <c r="AE147" s="15">
        <v>-79.366100000000003</v>
      </c>
      <c r="AF147" s="15">
        <v>0</v>
      </c>
    </row>
    <row r="148" spans="2:32" ht="16" customHeight="1" x14ac:dyDescent="0.35">
      <c r="B148" s="14" t="s">
        <v>643</v>
      </c>
      <c r="C148" s="14" t="s">
        <v>1571</v>
      </c>
      <c r="D148" s="61"/>
      <c r="E148" s="30"/>
      <c r="F148" s="63"/>
      <c r="G148" s="15">
        <f t="shared" si="6"/>
        <v>0</v>
      </c>
      <c r="H148" s="63"/>
      <c r="I148" s="15">
        <f t="shared" si="7"/>
        <v>0</v>
      </c>
      <c r="J148" s="63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 spans="2:32" ht="16" customHeight="1" x14ac:dyDescent="0.35">
      <c r="B149" s="14" t="s">
        <v>621</v>
      </c>
      <c r="C149" s="14" t="s">
        <v>1572</v>
      </c>
      <c r="D149" s="61"/>
      <c r="E149" s="30">
        <v>12392.874159999999</v>
      </c>
      <c r="F149" s="63"/>
      <c r="G149" s="15">
        <f t="shared" si="6"/>
        <v>12392.874169999999</v>
      </c>
      <c r="H149" s="63"/>
      <c r="I149" s="15">
        <f t="shared" si="7"/>
        <v>-9.9999997473787516E-6</v>
      </c>
      <c r="J149" s="63"/>
      <c r="K149" s="15">
        <v>14166.29069</v>
      </c>
      <c r="L149" s="15"/>
      <c r="M149" s="15"/>
      <c r="N149" s="15"/>
      <c r="O149" s="15"/>
      <c r="P149" s="15"/>
      <c r="Q149" s="15"/>
      <c r="R149" s="15">
        <v>-1768.3983000000001</v>
      </c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>
        <v>-5.0182200000000003</v>
      </c>
      <c r="AF149" s="15"/>
    </row>
    <row r="150" spans="2:32" ht="16" customHeight="1" x14ac:dyDescent="0.35">
      <c r="B150" s="14" t="s">
        <v>623</v>
      </c>
      <c r="C150" s="14" t="s">
        <v>1406</v>
      </c>
      <c r="D150" s="61"/>
      <c r="E150" s="30">
        <v>0</v>
      </c>
      <c r="F150" s="63"/>
      <c r="G150" s="15">
        <f t="shared" si="6"/>
        <v>0</v>
      </c>
      <c r="H150" s="63"/>
      <c r="I150" s="15">
        <f t="shared" si="7"/>
        <v>0</v>
      </c>
      <c r="J150" s="63"/>
      <c r="K150" s="15">
        <v>0</v>
      </c>
      <c r="L150" s="15"/>
      <c r="M150" s="15">
        <v>0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>
        <v>0</v>
      </c>
      <c r="AD150" s="15"/>
      <c r="AE150" s="15"/>
      <c r="AF150" s="15"/>
    </row>
    <row r="151" spans="2:32" ht="16" customHeight="1" x14ac:dyDescent="0.35">
      <c r="B151" s="14" t="s">
        <v>625</v>
      </c>
      <c r="C151" s="14" t="s">
        <v>1407</v>
      </c>
      <c r="D151" s="61"/>
      <c r="E151" s="30">
        <v>5092.0617000000002</v>
      </c>
      <c r="F151" s="63"/>
      <c r="G151" s="15">
        <f t="shared" si="6"/>
        <v>5092.0616899999995</v>
      </c>
      <c r="H151" s="63"/>
      <c r="I151" s="15">
        <f t="shared" si="7"/>
        <v>1.0000000656873453E-5</v>
      </c>
      <c r="J151" s="63"/>
      <c r="K151" s="15">
        <v>3640.4328599999999</v>
      </c>
      <c r="L151" s="15"/>
      <c r="M151" s="15"/>
      <c r="N151" s="15"/>
      <c r="O151" s="15"/>
      <c r="P151" s="15"/>
      <c r="Q151" s="15"/>
      <c r="R151" s="15">
        <v>1452.2497900000001</v>
      </c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>
        <v>-0.62095999999999996</v>
      </c>
      <c r="AF151" s="15"/>
    </row>
    <row r="152" spans="2:32" ht="16" customHeight="1" x14ac:dyDescent="0.35">
      <c r="B152" s="14" t="s">
        <v>619</v>
      </c>
      <c r="C152" s="14" t="s">
        <v>1408</v>
      </c>
      <c r="D152" s="61"/>
      <c r="E152" s="30">
        <v>57983.203079999999</v>
      </c>
      <c r="F152" s="63"/>
      <c r="G152" s="15">
        <f t="shared" si="6"/>
        <v>57983.203069999996</v>
      </c>
      <c r="H152" s="63"/>
      <c r="I152" s="15">
        <f t="shared" si="7"/>
        <v>1.0000003385357559E-5</v>
      </c>
      <c r="J152" s="63"/>
      <c r="K152" s="15">
        <v>60183.470509999999</v>
      </c>
      <c r="L152" s="15"/>
      <c r="M152" s="15">
        <v>0</v>
      </c>
      <c r="N152" s="15"/>
      <c r="O152" s="15"/>
      <c r="P152" s="15">
        <v>0</v>
      </c>
      <c r="Q152" s="15"/>
      <c r="R152" s="15">
        <v>-2190.0280499999999</v>
      </c>
      <c r="S152" s="15"/>
      <c r="T152" s="15"/>
      <c r="U152" s="15"/>
      <c r="V152" s="15"/>
      <c r="W152" s="15"/>
      <c r="X152" s="15"/>
      <c r="Y152" s="15"/>
      <c r="Z152" s="15"/>
      <c r="AA152" s="15"/>
      <c r="AB152" s="15">
        <v>0</v>
      </c>
      <c r="AC152" s="15">
        <v>0</v>
      </c>
      <c r="AD152" s="15"/>
      <c r="AE152" s="15">
        <v>-10.23939</v>
      </c>
      <c r="AF152" s="15">
        <v>0</v>
      </c>
    </row>
    <row r="153" spans="2:32" ht="16" customHeight="1" x14ac:dyDescent="0.35">
      <c r="B153" s="14" t="s">
        <v>1413</v>
      </c>
      <c r="C153" s="14" t="s">
        <v>1414</v>
      </c>
      <c r="D153" s="61"/>
      <c r="E153" s="30"/>
      <c r="F153" s="63"/>
      <c r="G153" s="15">
        <f t="shared" si="6"/>
        <v>0</v>
      </c>
      <c r="H153" s="63"/>
      <c r="I153" s="15">
        <f t="shared" si="7"/>
        <v>0</v>
      </c>
      <c r="J153" s="63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</row>
    <row r="154" spans="2:32" ht="16" customHeight="1" x14ac:dyDescent="0.35">
      <c r="B154" s="14" t="s">
        <v>1415</v>
      </c>
      <c r="C154" s="14" t="s">
        <v>1416</v>
      </c>
      <c r="D154" s="61"/>
      <c r="E154" s="30">
        <v>31294.3498</v>
      </c>
      <c r="F154" s="63"/>
      <c r="G154" s="15">
        <f t="shared" si="6"/>
        <v>31294.349799999996</v>
      </c>
      <c r="H154" s="63"/>
      <c r="I154" s="15">
        <f t="shared" si="7"/>
        <v>0</v>
      </c>
      <c r="J154" s="63"/>
      <c r="K154" s="15">
        <v>31468.569599999999</v>
      </c>
      <c r="L154" s="15"/>
      <c r="M154" s="15"/>
      <c r="N154" s="15"/>
      <c r="O154" s="15"/>
      <c r="P154" s="15">
        <v>0</v>
      </c>
      <c r="Q154" s="15"/>
      <c r="R154" s="15"/>
      <c r="S154" s="15"/>
      <c r="T154" s="15"/>
      <c r="U154" s="15"/>
      <c r="V154" s="15"/>
      <c r="W154" s="15">
        <v>-170.4288</v>
      </c>
      <c r="X154" s="15"/>
      <c r="Y154" s="15">
        <v>0</v>
      </c>
      <c r="Z154" s="15"/>
      <c r="AA154" s="15"/>
      <c r="AB154" s="15">
        <v>0</v>
      </c>
      <c r="AC154" s="15"/>
      <c r="AD154" s="15"/>
      <c r="AE154" s="15">
        <v>-3.7909999999999999</v>
      </c>
      <c r="AF154" s="15">
        <v>0</v>
      </c>
    </row>
    <row r="155" spans="2:32" ht="16" customHeight="1" x14ac:dyDescent="0.35">
      <c r="B155" s="14" t="s">
        <v>1417</v>
      </c>
      <c r="C155" s="14" t="s">
        <v>1418</v>
      </c>
      <c r="D155" s="61"/>
      <c r="E155" s="30">
        <v>11474.86465</v>
      </c>
      <c r="F155" s="63"/>
      <c r="G155" s="15">
        <f t="shared" ref="G155:G217" si="8">SUM(K155:AF155)</f>
        <v>11474.864650000003</v>
      </c>
      <c r="H155" s="63"/>
      <c r="I155" s="15">
        <f t="shared" si="7"/>
        <v>0</v>
      </c>
      <c r="J155" s="63"/>
      <c r="K155" s="15">
        <v>11546.58395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>
        <v>42.969290000000001</v>
      </c>
      <c r="X155" s="15"/>
      <c r="Y155" s="15">
        <v>-113.7033</v>
      </c>
      <c r="Z155" s="15"/>
      <c r="AA155" s="15"/>
      <c r="AB155" s="15">
        <v>2.7799999999999999E-3</v>
      </c>
      <c r="AC155" s="15"/>
      <c r="AD155" s="15"/>
      <c r="AE155" s="15">
        <v>-0.98807</v>
      </c>
      <c r="AF155" s="15"/>
    </row>
    <row r="156" spans="2:32" ht="16" customHeight="1" x14ac:dyDescent="0.35">
      <c r="B156" s="14" t="s">
        <v>1419</v>
      </c>
      <c r="C156" s="14" t="s">
        <v>1420</v>
      </c>
      <c r="D156" s="61"/>
      <c r="E156" s="30">
        <v>11091.47</v>
      </c>
      <c r="F156" s="63"/>
      <c r="G156" s="15">
        <f t="shared" si="8"/>
        <v>11091.47</v>
      </c>
      <c r="H156" s="63"/>
      <c r="I156" s="15">
        <f t="shared" si="7"/>
        <v>0</v>
      </c>
      <c r="J156" s="63"/>
      <c r="K156" s="15">
        <v>2096.4699999999998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>
        <v>-5</v>
      </c>
      <c r="X156" s="15"/>
      <c r="Y156" s="15">
        <v>0</v>
      </c>
      <c r="Z156" s="15"/>
      <c r="AA156" s="15"/>
      <c r="AB156" s="15">
        <v>9000</v>
      </c>
      <c r="AC156" s="15"/>
      <c r="AD156" s="15"/>
      <c r="AE156" s="15"/>
      <c r="AF156" s="15"/>
    </row>
    <row r="157" spans="2:32" ht="16" customHeight="1" x14ac:dyDescent="0.35">
      <c r="B157" s="14" t="s">
        <v>1421</v>
      </c>
      <c r="C157" s="14" t="s">
        <v>1422</v>
      </c>
      <c r="D157" s="61"/>
      <c r="E157" s="30">
        <v>0</v>
      </c>
      <c r="F157" s="63"/>
      <c r="G157" s="15">
        <f t="shared" si="8"/>
        <v>0</v>
      </c>
      <c r="H157" s="63"/>
      <c r="I157" s="15">
        <f t="shared" si="7"/>
        <v>0</v>
      </c>
      <c r="J157" s="63"/>
      <c r="K157" s="15">
        <v>0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</row>
    <row r="158" spans="2:32" ht="16" customHeight="1" x14ac:dyDescent="0.35">
      <c r="B158" s="14" t="s">
        <v>1423</v>
      </c>
      <c r="C158" s="14" t="s">
        <v>1424</v>
      </c>
      <c r="D158" s="61"/>
      <c r="E158" s="30"/>
      <c r="F158" s="63"/>
      <c r="G158" s="15">
        <f t="shared" si="8"/>
        <v>0</v>
      </c>
      <c r="H158" s="63"/>
      <c r="I158" s="15">
        <f t="shared" si="7"/>
        <v>0</v>
      </c>
      <c r="J158" s="63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spans="2:32" ht="16" customHeight="1" x14ac:dyDescent="0.35">
      <c r="B159" s="14" t="s">
        <v>602</v>
      </c>
      <c r="C159" s="14" t="s">
        <v>1427</v>
      </c>
      <c r="D159" s="61"/>
      <c r="E159" s="30">
        <v>10714.47775</v>
      </c>
      <c r="F159" s="63"/>
      <c r="G159" s="15">
        <f t="shared" si="8"/>
        <v>10714.47776</v>
      </c>
      <c r="H159" s="63"/>
      <c r="I159" s="15">
        <f t="shared" si="7"/>
        <v>-9.9999997473787516E-6</v>
      </c>
      <c r="J159" s="63"/>
      <c r="K159" s="15">
        <v>629.73469999999998</v>
      </c>
      <c r="L159" s="15"/>
      <c r="M159" s="15">
        <v>0</v>
      </c>
      <c r="N159" s="15"/>
      <c r="O159" s="15"/>
      <c r="P159" s="15">
        <v>0</v>
      </c>
      <c r="Q159" s="15"/>
      <c r="R159" s="15">
        <v>10086.79406</v>
      </c>
      <c r="S159" s="15"/>
      <c r="T159" s="15"/>
      <c r="U159" s="15"/>
      <c r="V159" s="15"/>
      <c r="W159" s="15"/>
      <c r="X159" s="15"/>
      <c r="Y159" s="15"/>
      <c r="Z159" s="15"/>
      <c r="AA159" s="15"/>
      <c r="AB159" s="15">
        <v>0.17996000000000001</v>
      </c>
      <c r="AC159" s="15"/>
      <c r="AD159" s="15"/>
      <c r="AE159" s="15">
        <v>-2.2309600000000001</v>
      </c>
      <c r="AF159" s="15">
        <v>0</v>
      </c>
    </row>
    <row r="160" spans="2:32" ht="16" customHeight="1" x14ac:dyDescent="0.35">
      <c r="B160" s="14" t="s">
        <v>604</v>
      </c>
      <c r="C160" s="14" t="s">
        <v>1428</v>
      </c>
      <c r="D160" s="61"/>
      <c r="E160" s="30"/>
      <c r="F160" s="63"/>
      <c r="G160" s="15">
        <f t="shared" si="8"/>
        <v>0</v>
      </c>
      <c r="H160" s="63"/>
      <c r="I160" s="15">
        <f t="shared" si="7"/>
        <v>0</v>
      </c>
      <c r="J160" s="63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</row>
    <row r="161" spans="2:32" ht="16" customHeight="1" x14ac:dyDescent="0.35">
      <c r="B161" s="14" t="s">
        <v>1425</v>
      </c>
      <c r="C161" s="14" t="s">
        <v>1426</v>
      </c>
      <c r="D161" s="61"/>
      <c r="E161" s="30">
        <v>831.72064</v>
      </c>
      <c r="F161" s="63"/>
      <c r="G161" s="15">
        <f t="shared" si="8"/>
        <v>831.72064</v>
      </c>
      <c r="H161" s="63"/>
      <c r="I161" s="15">
        <f t="shared" si="7"/>
        <v>0</v>
      </c>
      <c r="J161" s="63"/>
      <c r="K161" s="15">
        <v>807.60064</v>
      </c>
      <c r="L161" s="15"/>
      <c r="M161" s="15">
        <v>0</v>
      </c>
      <c r="N161" s="15"/>
      <c r="O161" s="15"/>
      <c r="P161" s="15"/>
      <c r="Q161" s="15"/>
      <c r="R161" s="15"/>
      <c r="S161" s="15"/>
      <c r="T161" s="15"/>
      <c r="U161" s="15"/>
      <c r="V161" s="15"/>
      <c r="W161" s="15">
        <v>24.12</v>
      </c>
      <c r="X161" s="15"/>
      <c r="Y161" s="15"/>
      <c r="Z161" s="15"/>
      <c r="AA161" s="15"/>
      <c r="AB161" s="15"/>
      <c r="AC161" s="15"/>
      <c r="AD161" s="15"/>
      <c r="AE161" s="15"/>
      <c r="AF161" s="15"/>
    </row>
    <row r="162" spans="2:32" ht="16" customHeight="1" x14ac:dyDescent="0.35">
      <c r="B162" s="14" t="s">
        <v>631</v>
      </c>
      <c r="C162" s="14" t="s">
        <v>632</v>
      </c>
      <c r="D162" s="61"/>
      <c r="E162" s="30"/>
      <c r="F162" s="63"/>
      <c r="G162" s="15">
        <f t="shared" si="8"/>
        <v>0</v>
      </c>
      <c r="H162" s="63"/>
      <c r="I162" s="15">
        <f t="shared" si="7"/>
        <v>0</v>
      </c>
      <c r="J162" s="63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 spans="2:32" ht="16" customHeight="1" x14ac:dyDescent="0.35">
      <c r="B163" s="14" t="s">
        <v>633</v>
      </c>
      <c r="C163" s="14" t="s">
        <v>634</v>
      </c>
      <c r="D163" s="61"/>
      <c r="E163" s="30"/>
      <c r="F163" s="63"/>
      <c r="G163" s="15">
        <f t="shared" si="8"/>
        <v>0</v>
      </c>
      <c r="H163" s="63"/>
      <c r="I163" s="15">
        <f t="shared" si="7"/>
        <v>0</v>
      </c>
      <c r="J163" s="63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</row>
    <row r="164" spans="2:32" ht="16" customHeight="1" x14ac:dyDescent="0.35">
      <c r="B164" s="14" t="s">
        <v>635</v>
      </c>
      <c r="C164" s="14" t="s">
        <v>636</v>
      </c>
      <c r="D164" s="61"/>
      <c r="E164" s="30">
        <v>-1.796</v>
      </c>
      <c r="F164" s="63"/>
      <c r="G164" s="15">
        <f t="shared" si="8"/>
        <v>-1.7989999999999995</v>
      </c>
      <c r="H164" s="63"/>
      <c r="I164" s="15">
        <f t="shared" si="7"/>
        <v>2.9999999999994476E-3</v>
      </c>
      <c r="J164" s="63"/>
      <c r="K164" s="15">
        <v>-0.124</v>
      </c>
      <c r="L164" s="15"/>
      <c r="M164" s="15"/>
      <c r="N164" s="15"/>
      <c r="O164" s="15"/>
      <c r="P164" s="15"/>
      <c r="Q164" s="15"/>
      <c r="R164" s="15">
        <v>-2.2490000000000001</v>
      </c>
      <c r="S164" s="15"/>
      <c r="T164" s="15"/>
      <c r="U164" s="15"/>
      <c r="V164" s="15"/>
      <c r="W164" s="15"/>
      <c r="X164" s="15"/>
      <c r="Y164" s="15"/>
      <c r="Z164" s="15"/>
      <c r="AA164" s="15"/>
      <c r="AB164" s="15">
        <v>3.7999999999999999E-2</v>
      </c>
      <c r="AC164" s="15">
        <v>-14.813000000000001</v>
      </c>
      <c r="AD164" s="15"/>
      <c r="AE164" s="15">
        <v>15.349</v>
      </c>
      <c r="AF164" s="15"/>
    </row>
    <row r="165" spans="2:32" ht="16" customHeight="1" x14ac:dyDescent="0.35">
      <c r="B165" s="14" t="s">
        <v>648</v>
      </c>
      <c r="C165" s="14" t="s">
        <v>1433</v>
      </c>
      <c r="D165" s="61"/>
      <c r="E165" s="30">
        <v>578910.09525000001</v>
      </c>
      <c r="F165" s="63"/>
      <c r="G165" s="15">
        <f t="shared" si="8"/>
        <v>578910.09424999997</v>
      </c>
      <c r="H165" s="63"/>
      <c r="I165" s="15">
        <f t="shared" si="7"/>
        <v>1.0000000474974513E-3</v>
      </c>
      <c r="J165" s="63"/>
      <c r="K165" s="15">
        <v>578141.80475999997</v>
      </c>
      <c r="L165" s="15"/>
      <c r="M165" s="15"/>
      <c r="N165" s="15"/>
      <c r="O165" s="15"/>
      <c r="P165" s="15"/>
      <c r="Q165" s="15"/>
      <c r="R165" s="15">
        <v>-5.1999999999999995E-4</v>
      </c>
      <c r="S165" s="15">
        <v>4677.3462</v>
      </c>
      <c r="T165" s="15"/>
      <c r="U165" s="15"/>
      <c r="V165" s="15"/>
      <c r="W165" s="15"/>
      <c r="X165" s="15"/>
      <c r="Y165" s="15"/>
      <c r="Z165" s="15"/>
      <c r="AA165" s="15"/>
      <c r="AB165" s="15">
        <v>-0.17996000000000001</v>
      </c>
      <c r="AC165" s="15">
        <v>0</v>
      </c>
      <c r="AD165" s="15"/>
      <c r="AE165" s="15">
        <v>-3908.8762299999999</v>
      </c>
      <c r="AF165" s="15"/>
    </row>
    <row r="166" spans="2:32" ht="16" customHeight="1" x14ac:dyDescent="0.35">
      <c r="B166" s="14" t="s">
        <v>650</v>
      </c>
      <c r="C166" s="14" t="s">
        <v>1573</v>
      </c>
      <c r="D166" s="61"/>
      <c r="E166" s="30"/>
      <c r="F166" s="63"/>
      <c r="G166" s="15">
        <f t="shared" si="8"/>
        <v>0</v>
      </c>
      <c r="H166" s="63"/>
      <c r="I166" s="15">
        <f t="shared" si="7"/>
        <v>0</v>
      </c>
      <c r="J166" s="63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</row>
    <row r="167" spans="2:32" ht="16" customHeight="1" x14ac:dyDescent="0.35">
      <c r="B167" s="14" t="s">
        <v>652</v>
      </c>
      <c r="C167" s="14" t="s">
        <v>1574</v>
      </c>
      <c r="D167" s="61"/>
      <c r="E167" s="30"/>
      <c r="F167" s="63"/>
      <c r="G167" s="15">
        <f t="shared" si="8"/>
        <v>0</v>
      </c>
      <c r="H167" s="63"/>
      <c r="I167" s="15">
        <f t="shared" si="7"/>
        <v>0</v>
      </c>
      <c r="J167" s="63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 spans="2:32" ht="16" customHeight="1" x14ac:dyDescent="0.35">
      <c r="B168" s="14" t="s">
        <v>654</v>
      </c>
      <c r="C168" s="14" t="s">
        <v>1431</v>
      </c>
      <c r="D168" s="61"/>
      <c r="E168" s="30">
        <v>680.94407000000001</v>
      </c>
      <c r="F168" s="63"/>
      <c r="G168" s="15">
        <f t="shared" si="8"/>
        <v>680.94407999999999</v>
      </c>
      <c r="H168" s="63"/>
      <c r="I168" s="15">
        <f t="shared" si="7"/>
        <v>-9.9999999747524271E-6</v>
      </c>
      <c r="J168" s="63"/>
      <c r="K168" s="15">
        <v>725.75987999999995</v>
      </c>
      <c r="L168" s="15"/>
      <c r="M168" s="15">
        <v>0</v>
      </c>
      <c r="N168" s="15"/>
      <c r="O168" s="15"/>
      <c r="P168" s="15">
        <v>0</v>
      </c>
      <c r="Q168" s="15"/>
      <c r="R168" s="15"/>
      <c r="S168" s="15">
        <v>0</v>
      </c>
      <c r="T168" s="15"/>
      <c r="U168" s="15"/>
      <c r="V168" s="15"/>
      <c r="W168" s="15"/>
      <c r="X168" s="15">
        <v>-42.673229999999997</v>
      </c>
      <c r="Y168" s="15"/>
      <c r="Z168" s="15"/>
      <c r="AA168" s="15"/>
      <c r="AB168" s="15"/>
      <c r="AC168" s="15"/>
      <c r="AD168" s="15"/>
      <c r="AE168" s="15">
        <v>-2.1425700000000001</v>
      </c>
      <c r="AF168" s="15">
        <v>0</v>
      </c>
    </row>
    <row r="169" spans="2:32" ht="16" customHeight="1" x14ac:dyDescent="0.35">
      <c r="B169" s="14" t="s">
        <v>656</v>
      </c>
      <c r="C169" s="14" t="s">
        <v>1432</v>
      </c>
      <c r="D169" s="61"/>
      <c r="E169" s="30">
        <v>70453.889330000005</v>
      </c>
      <c r="F169" s="63"/>
      <c r="G169" s="15">
        <f t="shared" si="8"/>
        <v>70453.889339999994</v>
      </c>
      <c r="H169" s="63"/>
      <c r="I169" s="15">
        <f t="shared" si="7"/>
        <v>-9.9999888334423304E-6</v>
      </c>
      <c r="J169" s="63"/>
      <c r="K169" s="15">
        <v>70864.746830000004</v>
      </c>
      <c r="L169" s="15"/>
      <c r="M169" s="15">
        <v>0</v>
      </c>
      <c r="N169" s="15"/>
      <c r="O169" s="15"/>
      <c r="P169" s="15"/>
      <c r="Q169" s="15"/>
      <c r="R169" s="15"/>
      <c r="S169" s="15">
        <v>-474.19954999999999</v>
      </c>
      <c r="T169" s="15">
        <v>5225.8460999999998</v>
      </c>
      <c r="U169" s="15"/>
      <c r="V169" s="15"/>
      <c r="W169" s="15"/>
      <c r="X169" s="15">
        <v>-5094.6546600000001</v>
      </c>
      <c r="Y169" s="15"/>
      <c r="Z169" s="15">
        <v>598.52937999999995</v>
      </c>
      <c r="AA169" s="15"/>
      <c r="AB169" s="15">
        <v>-1606.83204</v>
      </c>
      <c r="AC169" s="15">
        <v>953.71552999999994</v>
      </c>
      <c r="AD169" s="15"/>
      <c r="AE169" s="15">
        <v>-13.26225</v>
      </c>
      <c r="AF169" s="15"/>
    </row>
    <row r="170" spans="2:32" ht="16" customHeight="1" x14ac:dyDescent="0.35">
      <c r="B170" s="14" t="s">
        <v>663</v>
      </c>
      <c r="C170" s="14" t="s">
        <v>1575</v>
      </c>
      <c r="D170" s="61"/>
      <c r="E170" s="30">
        <v>24.42088</v>
      </c>
      <c r="F170" s="63"/>
      <c r="G170" s="15">
        <f t="shared" si="8"/>
        <v>24.42088</v>
      </c>
      <c r="H170" s="63"/>
      <c r="I170" s="15">
        <f t="shared" si="7"/>
        <v>0</v>
      </c>
      <c r="J170" s="63"/>
      <c r="K170" s="15">
        <v>24.42088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>
        <v>0</v>
      </c>
      <c r="AD170" s="15"/>
      <c r="AE170" s="15"/>
      <c r="AF170" s="15"/>
    </row>
    <row r="171" spans="2:32" ht="16" customHeight="1" x14ac:dyDescent="0.35">
      <c r="B171" s="14" t="s">
        <v>669</v>
      </c>
      <c r="C171" s="14" t="s">
        <v>670</v>
      </c>
      <c r="D171" s="61"/>
      <c r="E171" s="30">
        <v>260735.81271999999</v>
      </c>
      <c r="F171" s="63"/>
      <c r="G171" s="15">
        <f t="shared" si="8"/>
        <v>260735.81271999999</v>
      </c>
      <c r="H171" s="63"/>
      <c r="I171" s="15">
        <f t="shared" si="7"/>
        <v>0</v>
      </c>
      <c r="J171" s="63"/>
      <c r="K171" s="15">
        <v>260738.88728</v>
      </c>
      <c r="L171" s="15"/>
      <c r="M171" s="15">
        <v>0</v>
      </c>
      <c r="N171" s="15"/>
      <c r="O171" s="15"/>
      <c r="P171" s="15">
        <v>0</v>
      </c>
      <c r="Q171" s="15"/>
      <c r="R171" s="15"/>
      <c r="S171" s="15"/>
      <c r="T171" s="15"/>
      <c r="U171" s="15"/>
      <c r="V171" s="15"/>
      <c r="W171" s="15">
        <v>0</v>
      </c>
      <c r="X171" s="15"/>
      <c r="Y171" s="15"/>
      <c r="Z171" s="15"/>
      <c r="AA171" s="15"/>
      <c r="AB171" s="15"/>
      <c r="AC171" s="15">
        <v>0</v>
      </c>
      <c r="AD171" s="15"/>
      <c r="AE171" s="15">
        <v>-3.07456</v>
      </c>
      <c r="AF171" s="15">
        <v>0</v>
      </c>
    </row>
    <row r="172" spans="2:32" ht="16" customHeight="1" x14ac:dyDescent="0.35">
      <c r="B172" s="14" t="s">
        <v>1450</v>
      </c>
      <c r="C172" s="14" t="s">
        <v>1451</v>
      </c>
      <c r="D172" s="61"/>
      <c r="E172" s="30">
        <v>0</v>
      </c>
      <c r="F172" s="63"/>
      <c r="G172" s="15">
        <f t="shared" si="8"/>
        <v>0</v>
      </c>
      <c r="H172" s="63"/>
      <c r="I172" s="15">
        <f t="shared" si="7"/>
        <v>0</v>
      </c>
      <c r="J172" s="63"/>
      <c r="K172" s="15">
        <v>0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</row>
    <row r="173" spans="2:32" ht="16" customHeight="1" x14ac:dyDescent="0.35">
      <c r="B173" s="14" t="s">
        <v>1434</v>
      </c>
      <c r="C173" s="14" t="s">
        <v>1435</v>
      </c>
      <c r="D173" s="61"/>
      <c r="E173" s="30">
        <v>141995.80325</v>
      </c>
      <c r="F173" s="63"/>
      <c r="G173" s="15">
        <f t="shared" si="8"/>
        <v>141995.80324000001</v>
      </c>
      <c r="H173" s="63"/>
      <c r="I173" s="15">
        <f t="shared" si="7"/>
        <v>9.9999888334423304E-6</v>
      </c>
      <c r="J173" s="63"/>
      <c r="K173" s="15">
        <v>142916.84237999999</v>
      </c>
      <c r="L173" s="15"/>
      <c r="M173" s="15">
        <v>0</v>
      </c>
      <c r="N173" s="15"/>
      <c r="O173" s="15"/>
      <c r="P173" s="15">
        <v>0</v>
      </c>
      <c r="Q173" s="15"/>
      <c r="R173" s="15"/>
      <c r="S173" s="15"/>
      <c r="T173" s="15"/>
      <c r="U173" s="15"/>
      <c r="V173" s="15"/>
      <c r="W173" s="15">
        <v>0</v>
      </c>
      <c r="X173" s="15"/>
      <c r="Y173" s="15">
        <v>-1523.61195</v>
      </c>
      <c r="Z173" s="15">
        <v>650.55794000000003</v>
      </c>
      <c r="AA173" s="15"/>
      <c r="AB173" s="15">
        <v>0</v>
      </c>
      <c r="AC173" s="15">
        <v>0</v>
      </c>
      <c r="AD173" s="15"/>
      <c r="AE173" s="15">
        <v>-47.985129999999998</v>
      </c>
      <c r="AF173" s="15">
        <v>0</v>
      </c>
    </row>
    <row r="174" spans="2:32" ht="16" customHeight="1" x14ac:dyDescent="0.35">
      <c r="B174" s="14" t="s">
        <v>1436</v>
      </c>
      <c r="C174" s="14" t="s">
        <v>1437</v>
      </c>
      <c r="D174" s="61"/>
      <c r="E174" s="30">
        <v>0</v>
      </c>
      <c r="F174" s="63"/>
      <c r="G174" s="15">
        <f t="shared" si="8"/>
        <v>0</v>
      </c>
      <c r="H174" s="63"/>
      <c r="I174" s="15">
        <f t="shared" si="7"/>
        <v>0</v>
      </c>
      <c r="J174" s="63"/>
      <c r="K174" s="15">
        <v>9000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>
        <v>-9000</v>
      </c>
      <c r="AC174" s="15"/>
      <c r="AD174" s="15"/>
      <c r="AE174" s="15"/>
      <c r="AF174" s="15"/>
    </row>
    <row r="175" spans="2:32" ht="16" customHeight="1" x14ac:dyDescent="0.35">
      <c r="B175" s="14" t="s">
        <v>1438</v>
      </c>
      <c r="C175" s="14" t="s">
        <v>1439</v>
      </c>
      <c r="D175" s="61"/>
      <c r="E175" s="30"/>
      <c r="F175" s="63"/>
      <c r="G175" s="15">
        <f t="shared" si="8"/>
        <v>0</v>
      </c>
      <c r="H175" s="63"/>
      <c r="I175" s="15">
        <f t="shared" si="7"/>
        <v>0</v>
      </c>
      <c r="J175" s="63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</row>
    <row r="176" spans="2:32" ht="16" customHeight="1" x14ac:dyDescent="0.35">
      <c r="B176" s="14" t="s">
        <v>1440</v>
      </c>
      <c r="C176" s="14" t="s">
        <v>1441</v>
      </c>
      <c r="D176" s="61"/>
      <c r="E176" s="30">
        <v>271.86523</v>
      </c>
      <c r="F176" s="63"/>
      <c r="G176" s="15">
        <f t="shared" si="8"/>
        <v>271.86523</v>
      </c>
      <c r="H176" s="63"/>
      <c r="I176" s="15">
        <f t="shared" si="7"/>
        <v>0</v>
      </c>
      <c r="J176" s="63"/>
      <c r="K176" s="15">
        <v>271.86523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>
        <v>9.2741000000000007</v>
      </c>
      <c r="X176" s="15"/>
      <c r="Y176" s="15">
        <v>-9.2741000000000007</v>
      </c>
      <c r="Z176" s="15"/>
      <c r="AA176" s="15"/>
      <c r="AB176" s="15"/>
      <c r="AC176" s="15"/>
      <c r="AD176" s="15"/>
      <c r="AE176" s="15"/>
      <c r="AF176" s="15"/>
    </row>
    <row r="177" spans="2:32" ht="16" customHeight="1" x14ac:dyDescent="0.35">
      <c r="B177" s="14" t="s">
        <v>1442</v>
      </c>
      <c r="C177" s="14" t="s">
        <v>1443</v>
      </c>
      <c r="D177" s="61"/>
      <c r="E177" s="30">
        <v>23449.3184</v>
      </c>
      <c r="F177" s="63"/>
      <c r="G177" s="15">
        <f t="shared" si="8"/>
        <v>23449.31841</v>
      </c>
      <c r="H177" s="63"/>
      <c r="I177" s="15">
        <f t="shared" si="7"/>
        <v>-9.9999997473787516E-6</v>
      </c>
      <c r="J177" s="63"/>
      <c r="K177" s="15">
        <v>23001.02579</v>
      </c>
      <c r="L177" s="15"/>
      <c r="M177" s="15">
        <v>0</v>
      </c>
      <c r="N177" s="15"/>
      <c r="O177" s="15"/>
      <c r="P177" s="15"/>
      <c r="Q177" s="15"/>
      <c r="R177" s="15"/>
      <c r="S177" s="15"/>
      <c r="T177" s="15"/>
      <c r="U177" s="15"/>
      <c r="V177" s="15"/>
      <c r="W177" s="15">
        <v>1161.1935900000001</v>
      </c>
      <c r="X177" s="15"/>
      <c r="Y177" s="15">
        <v>-711.59585000000004</v>
      </c>
      <c r="Z177" s="15"/>
      <c r="AA177" s="15"/>
      <c r="AB177" s="15">
        <v>-2.7799999999999999E-3</v>
      </c>
      <c r="AC177" s="15"/>
      <c r="AD177" s="15"/>
      <c r="AE177" s="15">
        <v>-1.3023400000000001</v>
      </c>
      <c r="AF177" s="15"/>
    </row>
    <row r="178" spans="2:32" ht="16" customHeight="1" x14ac:dyDescent="0.35">
      <c r="B178" s="14" t="s">
        <v>1444</v>
      </c>
      <c r="C178" s="14" t="s">
        <v>1445</v>
      </c>
      <c r="D178" s="61"/>
      <c r="E178" s="30"/>
      <c r="F178" s="63"/>
      <c r="G178" s="15">
        <f t="shared" si="8"/>
        <v>0</v>
      </c>
      <c r="H178" s="63"/>
      <c r="I178" s="15">
        <f t="shared" si="7"/>
        <v>0</v>
      </c>
      <c r="J178" s="63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 spans="2:32" ht="16" customHeight="1" x14ac:dyDescent="0.35">
      <c r="B179" s="14" t="s">
        <v>1446</v>
      </c>
      <c r="C179" s="14" t="s">
        <v>1447</v>
      </c>
      <c r="D179" s="61"/>
      <c r="E179" s="30"/>
      <c r="F179" s="63"/>
      <c r="G179" s="15">
        <f t="shared" si="8"/>
        <v>0</v>
      </c>
      <c r="H179" s="63"/>
      <c r="I179" s="15">
        <f t="shared" si="7"/>
        <v>0</v>
      </c>
      <c r="J179" s="63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spans="2:32" ht="16" customHeight="1" x14ac:dyDescent="0.35">
      <c r="B180" s="14" t="s">
        <v>1448</v>
      </c>
      <c r="C180" s="14" t="s">
        <v>1449</v>
      </c>
      <c r="D180" s="61"/>
      <c r="E180" s="30"/>
      <c r="F180" s="63"/>
      <c r="G180" s="15">
        <f t="shared" si="8"/>
        <v>0</v>
      </c>
      <c r="H180" s="63"/>
      <c r="I180" s="15">
        <f t="shared" si="7"/>
        <v>0</v>
      </c>
      <c r="J180" s="63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 spans="2:32" ht="16" customHeight="1" x14ac:dyDescent="0.35">
      <c r="B181" s="14" t="s">
        <v>674</v>
      </c>
      <c r="C181" s="14" t="s">
        <v>1452</v>
      </c>
      <c r="D181" s="61"/>
      <c r="E181" s="30">
        <v>80414.377729999993</v>
      </c>
      <c r="F181" s="63"/>
      <c r="G181" s="15">
        <f t="shared" si="8"/>
        <v>80414.377719999989</v>
      </c>
      <c r="H181" s="63"/>
      <c r="I181" s="15">
        <f t="shared" si="7"/>
        <v>1.0000003385357559E-5</v>
      </c>
      <c r="J181" s="63"/>
      <c r="K181" s="15">
        <v>81380.026119999995</v>
      </c>
      <c r="L181" s="15"/>
      <c r="M181" s="15">
        <v>0</v>
      </c>
      <c r="N181" s="15"/>
      <c r="O181" s="15"/>
      <c r="P181" s="15"/>
      <c r="Q181" s="15"/>
      <c r="R181" s="15"/>
      <c r="S181" s="15"/>
      <c r="T181" s="15">
        <v>1184.2387000000001</v>
      </c>
      <c r="U181" s="15"/>
      <c r="V181" s="15"/>
      <c r="W181" s="15"/>
      <c r="X181" s="15">
        <v>-3833.20937</v>
      </c>
      <c r="Y181" s="15"/>
      <c r="Z181" s="15">
        <v>537.76873000000001</v>
      </c>
      <c r="AA181" s="15"/>
      <c r="AB181" s="15">
        <v>702.85418000000004</v>
      </c>
      <c r="AC181" s="15">
        <v>472.99293</v>
      </c>
      <c r="AD181" s="15"/>
      <c r="AE181" s="15">
        <v>-30.293569999999999</v>
      </c>
      <c r="AF181" s="15"/>
    </row>
    <row r="182" spans="2:32" ht="16" customHeight="1" x14ac:dyDescent="0.35">
      <c r="B182" s="14" t="s">
        <v>677</v>
      </c>
      <c r="C182" s="14" t="s">
        <v>678</v>
      </c>
      <c r="D182" s="61"/>
      <c r="E182" s="30">
        <v>-1.6670000000000001E-2</v>
      </c>
      <c r="F182" s="63"/>
      <c r="G182" s="15">
        <f t="shared" si="8"/>
        <v>-1.6670000000000001E-2</v>
      </c>
      <c r="H182" s="63"/>
      <c r="I182" s="15">
        <f t="shared" si="7"/>
        <v>0</v>
      </c>
      <c r="J182" s="63"/>
      <c r="K182" s="15"/>
      <c r="L182" s="15"/>
      <c r="M182" s="15"/>
      <c r="N182" s="15"/>
      <c r="O182" s="15"/>
      <c r="P182" s="15"/>
      <c r="Q182" s="15"/>
      <c r="R182" s="15">
        <v>-1.6670000000000001E-2</v>
      </c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spans="2:32" ht="16" customHeight="1" x14ac:dyDescent="0.35">
      <c r="B183" s="14" t="s">
        <v>658</v>
      </c>
      <c r="C183" s="14" t="s">
        <v>659</v>
      </c>
      <c r="D183" s="61"/>
      <c r="E183" s="30">
        <v>-29.22</v>
      </c>
      <c r="F183" s="63"/>
      <c r="G183" s="15">
        <f t="shared" si="8"/>
        <v>-29.21799999999843</v>
      </c>
      <c r="H183" s="63"/>
      <c r="I183" s="15">
        <f t="shared" si="7"/>
        <v>-2.000000001569191E-3</v>
      </c>
      <c r="J183" s="63"/>
      <c r="K183" s="15">
        <v>151.43199999999999</v>
      </c>
      <c r="L183" s="15"/>
      <c r="M183" s="15"/>
      <c r="N183" s="15"/>
      <c r="O183" s="15"/>
      <c r="P183" s="15"/>
      <c r="Q183" s="15"/>
      <c r="R183" s="15">
        <v>24657.399000000001</v>
      </c>
      <c r="S183" s="15">
        <v>-24837.109</v>
      </c>
      <c r="T183" s="15"/>
      <c r="U183" s="15"/>
      <c r="V183" s="15"/>
      <c r="W183" s="15"/>
      <c r="X183" s="15"/>
      <c r="Y183" s="15"/>
      <c r="Z183" s="15"/>
      <c r="AA183" s="15"/>
      <c r="AB183" s="15">
        <v>0</v>
      </c>
      <c r="AC183" s="15">
        <v>0</v>
      </c>
      <c r="AD183" s="15"/>
      <c r="AE183" s="15">
        <v>-0.94</v>
      </c>
      <c r="AF183" s="15"/>
    </row>
    <row r="184" spans="2:32" ht="16" customHeight="1" x14ac:dyDescent="0.35">
      <c r="B184" s="14" t="s">
        <v>1453</v>
      </c>
      <c r="C184" s="14" t="s">
        <v>1454</v>
      </c>
      <c r="D184" s="61"/>
      <c r="E184" s="30">
        <v>9844.0452600000008</v>
      </c>
      <c r="F184" s="63"/>
      <c r="G184" s="15">
        <f t="shared" si="8"/>
        <v>9844.0452600000008</v>
      </c>
      <c r="H184" s="63"/>
      <c r="I184" s="15">
        <f t="shared" si="7"/>
        <v>0</v>
      </c>
      <c r="J184" s="63"/>
      <c r="K184" s="15">
        <v>9844.0452600000008</v>
      </c>
      <c r="L184" s="15"/>
      <c r="M184" s="15">
        <v>0</v>
      </c>
      <c r="N184" s="15">
        <v>0</v>
      </c>
      <c r="O184" s="15"/>
      <c r="P184" s="15">
        <v>0</v>
      </c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>
        <v>0</v>
      </c>
    </row>
    <row r="185" spans="2:32" ht="16" customHeight="1" x14ac:dyDescent="0.35">
      <c r="B185" s="14" t="s">
        <v>1455</v>
      </c>
      <c r="C185" s="14" t="s">
        <v>1456</v>
      </c>
      <c r="D185" s="61"/>
      <c r="E185" s="30">
        <v>-1.5</v>
      </c>
      <c r="F185" s="63"/>
      <c r="G185" s="15">
        <f t="shared" si="8"/>
        <v>-1.5</v>
      </c>
      <c r="H185" s="63"/>
      <c r="I185" s="15">
        <f t="shared" si="7"/>
        <v>0</v>
      </c>
      <c r="J185" s="63"/>
      <c r="K185" s="15">
        <v>-1.5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 spans="2:32" ht="16" customHeight="1" x14ac:dyDescent="0.35">
      <c r="B186" s="14" t="s">
        <v>688</v>
      </c>
      <c r="C186" s="14" t="s">
        <v>1457</v>
      </c>
      <c r="D186" s="61"/>
      <c r="E186" s="30">
        <v>1982351.60784</v>
      </c>
      <c r="F186" s="63"/>
      <c r="G186" s="15">
        <f t="shared" si="8"/>
        <v>1982351.60784</v>
      </c>
      <c r="H186" s="63"/>
      <c r="I186" s="15">
        <f t="shared" si="7"/>
        <v>0</v>
      </c>
      <c r="J186" s="63"/>
      <c r="K186" s="15">
        <v>1982351.60784</v>
      </c>
      <c r="L186" s="15"/>
      <c r="M186" s="15">
        <v>0</v>
      </c>
      <c r="N186" s="15">
        <v>0</v>
      </c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</row>
    <row r="187" spans="2:32" ht="16" customHeight="1" x14ac:dyDescent="0.35">
      <c r="B187" s="14" t="s">
        <v>691</v>
      </c>
      <c r="C187" s="14" t="s">
        <v>1576</v>
      </c>
      <c r="D187" s="61"/>
      <c r="E187" s="30"/>
      <c r="F187" s="63"/>
      <c r="G187" s="15">
        <f t="shared" si="8"/>
        <v>0</v>
      </c>
      <c r="H187" s="63"/>
      <c r="I187" s="15">
        <f t="shared" ref="I187:I217" si="9">E187-G187</f>
        <v>0</v>
      </c>
      <c r="J187" s="63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 spans="2:32" ht="16" customHeight="1" x14ac:dyDescent="0.35">
      <c r="B188" s="14" t="s">
        <v>694</v>
      </c>
      <c r="C188" s="14" t="s">
        <v>695</v>
      </c>
      <c r="D188" s="61"/>
      <c r="E188" s="30">
        <v>2726.6811400000001</v>
      </c>
      <c r="F188" s="63"/>
      <c r="G188" s="15">
        <f t="shared" si="8"/>
        <v>2726.6811400000001</v>
      </c>
      <c r="H188" s="63"/>
      <c r="I188" s="15">
        <f t="shared" si="9"/>
        <v>0</v>
      </c>
      <c r="J188" s="63"/>
      <c r="K188" s="15">
        <v>2726.6811400000001</v>
      </c>
      <c r="L188" s="15"/>
      <c r="M188" s="15"/>
      <c r="N188" s="15"/>
      <c r="O188" s="15"/>
      <c r="P188" s="15">
        <v>0</v>
      </c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>
        <v>0</v>
      </c>
      <c r="AC188" s="15"/>
      <c r="AD188" s="15"/>
      <c r="AE188" s="15"/>
      <c r="AF188" s="15">
        <v>0</v>
      </c>
    </row>
    <row r="189" spans="2:32" ht="16" customHeight="1" x14ac:dyDescent="0.35">
      <c r="B189" s="14" t="s">
        <v>696</v>
      </c>
      <c r="C189" s="14" t="s">
        <v>1458</v>
      </c>
      <c r="D189" s="61"/>
      <c r="E189" s="30">
        <v>-473965.39189999999</v>
      </c>
      <c r="F189" s="63"/>
      <c r="G189" s="15">
        <f t="shared" si="8"/>
        <v>-473965.3909</v>
      </c>
      <c r="H189" s="63"/>
      <c r="I189" s="15">
        <f t="shared" si="9"/>
        <v>-9.9999998928979039E-4</v>
      </c>
      <c r="J189" s="63"/>
      <c r="K189" s="15">
        <v>-473984.40389999998</v>
      </c>
      <c r="L189" s="15"/>
      <c r="M189" s="15">
        <v>0</v>
      </c>
      <c r="N189" s="15">
        <v>0</v>
      </c>
      <c r="O189" s="15">
        <v>0</v>
      </c>
      <c r="P189" s="15">
        <v>0</v>
      </c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>
        <v>19.013000000000002</v>
      </c>
      <c r="AC189" s="15">
        <v>0</v>
      </c>
      <c r="AD189" s="15"/>
      <c r="AE189" s="15"/>
      <c r="AF189" s="15">
        <v>0</v>
      </c>
    </row>
    <row r="190" spans="2:32" ht="16" customHeight="1" x14ac:dyDescent="0.35">
      <c r="B190" s="14" t="s">
        <v>698</v>
      </c>
      <c r="C190" s="14" t="s">
        <v>699</v>
      </c>
      <c r="D190" s="61"/>
      <c r="E190" s="30">
        <v>-24896.02706</v>
      </c>
      <c r="F190" s="63"/>
      <c r="G190" s="15">
        <f t="shared" si="8"/>
        <v>-24896.02706</v>
      </c>
      <c r="H190" s="63"/>
      <c r="I190" s="15">
        <f t="shared" si="9"/>
        <v>0</v>
      </c>
      <c r="J190" s="63"/>
      <c r="K190" s="15">
        <v>-50876.331819999999</v>
      </c>
      <c r="L190" s="15"/>
      <c r="M190" s="15"/>
      <c r="N190" s="15"/>
      <c r="O190" s="15">
        <v>0</v>
      </c>
      <c r="P190" s="15"/>
      <c r="Q190" s="15">
        <v>25980.304759999999</v>
      </c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</row>
    <row r="191" spans="2:32" ht="16" customHeight="1" x14ac:dyDescent="0.35">
      <c r="B191" s="14" t="s">
        <v>700</v>
      </c>
      <c r="C191" s="14" t="s">
        <v>1460</v>
      </c>
      <c r="D191" s="61"/>
      <c r="E191" s="30">
        <v>1624414</v>
      </c>
      <c r="F191" s="63"/>
      <c r="G191" s="15">
        <f t="shared" si="8"/>
        <v>1624414</v>
      </c>
      <c r="H191" s="63"/>
      <c r="I191" s="15">
        <f t="shared" si="9"/>
        <v>0</v>
      </c>
      <c r="J191" s="63"/>
      <c r="K191" s="15">
        <v>1624414</v>
      </c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>
        <v>0</v>
      </c>
    </row>
    <row r="192" spans="2:32" ht="16" customHeight="1" x14ac:dyDescent="0.35">
      <c r="B192" s="14" t="s">
        <v>702</v>
      </c>
      <c r="C192" s="14" t="s">
        <v>1461</v>
      </c>
      <c r="D192" s="61"/>
      <c r="E192" s="30">
        <v>-519.91142000000002</v>
      </c>
      <c r="F192" s="63"/>
      <c r="G192" s="15">
        <f t="shared" si="8"/>
        <v>-519.91242</v>
      </c>
      <c r="H192" s="63"/>
      <c r="I192" s="15">
        <f t="shared" si="9"/>
        <v>9.9999999997635314E-4</v>
      </c>
      <c r="J192" s="63"/>
      <c r="K192" s="15">
        <v>-231.71815000000001</v>
      </c>
      <c r="L192" s="15"/>
      <c r="M192" s="15"/>
      <c r="N192" s="15"/>
      <c r="O192" s="15"/>
      <c r="P192" s="15">
        <v>0</v>
      </c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>
        <v>-4.0410000000000004</v>
      </c>
      <c r="AC192" s="15"/>
      <c r="AD192" s="15"/>
      <c r="AE192" s="15">
        <v>-284.15327000000002</v>
      </c>
      <c r="AF192" s="15">
        <v>0</v>
      </c>
    </row>
    <row r="193" spans="2:32" ht="16" customHeight="1" x14ac:dyDescent="0.35">
      <c r="B193" s="14" t="s">
        <v>704</v>
      </c>
      <c r="C193" s="14" t="s">
        <v>705</v>
      </c>
      <c r="D193" s="61"/>
      <c r="E193" s="30"/>
      <c r="F193" s="63"/>
      <c r="G193" s="15">
        <f t="shared" si="8"/>
        <v>0</v>
      </c>
      <c r="H193" s="63"/>
      <c r="I193" s="15">
        <f t="shared" si="9"/>
        <v>0</v>
      </c>
      <c r="J193" s="63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 spans="2:32" ht="16" customHeight="1" x14ac:dyDescent="0.35">
      <c r="B194" s="14" t="s">
        <v>706</v>
      </c>
      <c r="C194" s="14" t="s">
        <v>1462</v>
      </c>
      <c r="D194" s="61"/>
      <c r="E194" s="30"/>
      <c r="F194" s="63"/>
      <c r="G194" s="15">
        <f t="shared" si="8"/>
        <v>0</v>
      </c>
      <c r="H194" s="63"/>
      <c r="I194" s="15">
        <f t="shared" si="9"/>
        <v>0</v>
      </c>
      <c r="J194" s="63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 spans="2:32" ht="16" customHeight="1" x14ac:dyDescent="0.35">
      <c r="B195" s="14" t="s">
        <v>708</v>
      </c>
      <c r="C195" s="14" t="s">
        <v>709</v>
      </c>
      <c r="D195" s="61"/>
      <c r="E195" s="30"/>
      <c r="F195" s="63"/>
      <c r="G195" s="15">
        <f t="shared" si="8"/>
        <v>0</v>
      </c>
      <c r="H195" s="63"/>
      <c r="I195" s="15">
        <f t="shared" si="9"/>
        <v>0</v>
      </c>
      <c r="J195" s="63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 spans="2:32" ht="16" customHeight="1" x14ac:dyDescent="0.35">
      <c r="B196" s="14" t="s">
        <v>710</v>
      </c>
      <c r="C196" s="14" t="s">
        <v>711</v>
      </c>
      <c r="D196" s="61"/>
      <c r="E196" s="30"/>
      <c r="F196" s="63"/>
      <c r="G196" s="15">
        <f t="shared" si="8"/>
        <v>0</v>
      </c>
      <c r="H196" s="63"/>
      <c r="I196" s="15">
        <f t="shared" si="9"/>
        <v>0</v>
      </c>
      <c r="J196" s="63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 spans="2:32" ht="16" customHeight="1" x14ac:dyDescent="0.35">
      <c r="B197" s="14" t="s">
        <v>712</v>
      </c>
      <c r="C197" s="14" t="s">
        <v>713</v>
      </c>
      <c r="D197" s="61"/>
      <c r="E197" s="30"/>
      <c r="F197" s="63"/>
      <c r="G197" s="15">
        <f t="shared" si="8"/>
        <v>0</v>
      </c>
      <c r="H197" s="63"/>
      <c r="I197" s="15">
        <f t="shared" si="9"/>
        <v>0</v>
      </c>
      <c r="J197" s="63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spans="2:32" ht="16" customHeight="1" x14ac:dyDescent="0.35">
      <c r="B198" s="14" t="s">
        <v>714</v>
      </c>
      <c r="C198" s="14" t="s">
        <v>1577</v>
      </c>
      <c r="D198" s="61"/>
      <c r="E198" s="30">
        <v>0</v>
      </c>
      <c r="F198" s="63"/>
      <c r="G198" s="15">
        <f t="shared" si="8"/>
        <v>0</v>
      </c>
      <c r="H198" s="63"/>
      <c r="I198" s="15">
        <f t="shared" si="9"/>
        <v>0</v>
      </c>
      <c r="J198" s="63"/>
      <c r="K198" s="15">
        <v>0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>
        <v>0</v>
      </c>
      <c r="AC198" s="15"/>
      <c r="AD198" s="15"/>
      <c r="AE198" s="15"/>
      <c r="AF198" s="15"/>
    </row>
    <row r="199" spans="2:32" ht="16" customHeight="1" x14ac:dyDescent="0.35">
      <c r="B199" s="14" t="s">
        <v>716</v>
      </c>
      <c r="C199" s="14" t="s">
        <v>1464</v>
      </c>
      <c r="D199" s="61"/>
      <c r="E199" s="30"/>
      <c r="F199" s="63"/>
      <c r="G199" s="15">
        <f t="shared" si="8"/>
        <v>0</v>
      </c>
      <c r="H199" s="63"/>
      <c r="I199" s="15">
        <f t="shared" si="9"/>
        <v>0</v>
      </c>
      <c r="J199" s="63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spans="2:32" ht="16" customHeight="1" x14ac:dyDescent="0.35">
      <c r="B200" s="14" t="s">
        <v>718</v>
      </c>
      <c r="C200" s="14" t="s">
        <v>1465</v>
      </c>
      <c r="D200" s="61"/>
      <c r="E200" s="30"/>
      <c r="F200" s="63"/>
      <c r="G200" s="15">
        <f t="shared" si="8"/>
        <v>0</v>
      </c>
      <c r="H200" s="63"/>
      <c r="I200" s="15">
        <f t="shared" si="9"/>
        <v>0</v>
      </c>
      <c r="J200" s="63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  <row r="201" spans="2:32" ht="16" customHeight="1" x14ac:dyDescent="0.35">
      <c r="B201" s="14" t="s">
        <v>720</v>
      </c>
      <c r="C201" s="14" t="s">
        <v>721</v>
      </c>
      <c r="D201" s="61"/>
      <c r="E201" s="30">
        <v>7641.9060399999998</v>
      </c>
      <c r="F201" s="63"/>
      <c r="G201" s="15">
        <f t="shared" si="8"/>
        <v>7641.9060399999998</v>
      </c>
      <c r="H201" s="63"/>
      <c r="I201" s="15">
        <f t="shared" si="9"/>
        <v>0</v>
      </c>
      <c r="J201" s="63"/>
      <c r="K201" s="15">
        <v>7641.9060399999998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>
        <v>0</v>
      </c>
      <c r="AD201" s="15">
        <v>0</v>
      </c>
      <c r="AE201" s="15"/>
      <c r="AF201" s="15"/>
    </row>
    <row r="202" spans="2:32" ht="16" customHeight="1" x14ac:dyDescent="0.35">
      <c r="B202" s="14" t="s">
        <v>722</v>
      </c>
      <c r="C202" s="14" t="s">
        <v>723</v>
      </c>
      <c r="D202" s="61"/>
      <c r="E202" s="30">
        <v>-1776.82339</v>
      </c>
      <c r="F202" s="63"/>
      <c r="G202" s="15">
        <f t="shared" si="8"/>
        <v>-1776.82339</v>
      </c>
      <c r="H202" s="63"/>
      <c r="I202" s="15">
        <f t="shared" si="9"/>
        <v>0</v>
      </c>
      <c r="J202" s="63"/>
      <c r="K202" s="15">
        <v>-1776.82339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>
        <v>0</v>
      </c>
      <c r="AD202" s="15">
        <v>0</v>
      </c>
      <c r="AE202" s="15"/>
      <c r="AF202" s="15"/>
    </row>
    <row r="203" spans="2:32" ht="16" customHeight="1" x14ac:dyDescent="0.35">
      <c r="B203" s="14" t="s">
        <v>724</v>
      </c>
      <c r="C203" s="14" t="s">
        <v>1466</v>
      </c>
      <c r="D203" s="61"/>
      <c r="E203" s="30"/>
      <c r="F203" s="63"/>
      <c r="G203" s="15">
        <f t="shared" si="8"/>
        <v>0</v>
      </c>
      <c r="H203" s="63"/>
      <c r="I203" s="15">
        <f t="shared" si="9"/>
        <v>0</v>
      </c>
      <c r="J203" s="63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</row>
    <row r="204" spans="2:32" ht="16" customHeight="1" x14ac:dyDescent="0.35">
      <c r="B204" s="14" t="s">
        <v>726</v>
      </c>
      <c r="C204" s="14" t="s">
        <v>727</v>
      </c>
      <c r="D204" s="61"/>
      <c r="E204" s="30"/>
      <c r="F204" s="63"/>
      <c r="G204" s="15">
        <f t="shared" si="8"/>
        <v>0</v>
      </c>
      <c r="H204" s="63"/>
      <c r="I204" s="15">
        <f t="shared" si="9"/>
        <v>0</v>
      </c>
      <c r="J204" s="63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</row>
    <row r="205" spans="2:32" ht="16" customHeight="1" x14ac:dyDescent="0.35">
      <c r="B205" s="14" t="s">
        <v>728</v>
      </c>
      <c r="C205" s="14" t="s">
        <v>1467</v>
      </c>
      <c r="D205" s="61"/>
      <c r="E205" s="30"/>
      <c r="F205" s="63"/>
      <c r="G205" s="15">
        <f t="shared" si="8"/>
        <v>0</v>
      </c>
      <c r="H205" s="63"/>
      <c r="I205" s="15">
        <f t="shared" si="9"/>
        <v>0</v>
      </c>
      <c r="J205" s="63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</row>
    <row r="206" spans="2:32" ht="16" customHeight="1" x14ac:dyDescent="0.35">
      <c r="B206" s="14" t="s">
        <v>730</v>
      </c>
      <c r="C206" s="14" t="s">
        <v>1468</v>
      </c>
      <c r="D206" s="61"/>
      <c r="E206" s="30"/>
      <c r="F206" s="63"/>
      <c r="G206" s="15">
        <f t="shared" si="8"/>
        <v>0</v>
      </c>
      <c r="H206" s="63"/>
      <c r="I206" s="15">
        <f t="shared" si="9"/>
        <v>0</v>
      </c>
      <c r="J206" s="63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</row>
    <row r="207" spans="2:32" ht="16" customHeight="1" x14ac:dyDescent="0.35">
      <c r="B207" s="14" t="s">
        <v>732</v>
      </c>
      <c r="C207" s="14" t="s">
        <v>1469</v>
      </c>
      <c r="D207" s="61"/>
      <c r="E207" s="30">
        <v>-46148.600780000001</v>
      </c>
      <c r="F207" s="63"/>
      <c r="G207" s="15">
        <f t="shared" si="8"/>
        <v>-46148.600780000001</v>
      </c>
      <c r="H207" s="63"/>
      <c r="I207" s="15">
        <f t="shared" si="9"/>
        <v>0</v>
      </c>
      <c r="J207" s="63"/>
      <c r="K207" s="15">
        <v>-46148.600780000001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</row>
    <row r="208" spans="2:32" ht="16" customHeight="1" x14ac:dyDescent="0.35">
      <c r="B208" s="14" t="s">
        <v>734</v>
      </c>
      <c r="C208" s="14" t="s">
        <v>1470</v>
      </c>
      <c r="D208" s="61"/>
      <c r="E208" s="30"/>
      <c r="F208" s="63"/>
      <c r="G208" s="15">
        <f t="shared" si="8"/>
        <v>0</v>
      </c>
      <c r="H208" s="63"/>
      <c r="I208" s="15">
        <f t="shared" si="9"/>
        <v>0</v>
      </c>
      <c r="J208" s="63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</row>
    <row r="209" spans="2:32" ht="16" customHeight="1" x14ac:dyDescent="0.35">
      <c r="B209" s="14" t="s">
        <v>736</v>
      </c>
      <c r="C209" s="14" t="s">
        <v>1471</v>
      </c>
      <c r="D209" s="61"/>
      <c r="E209" s="30"/>
      <c r="F209" s="63"/>
      <c r="G209" s="15">
        <f t="shared" si="8"/>
        <v>0</v>
      </c>
      <c r="H209" s="63"/>
      <c r="I209" s="15">
        <f t="shared" si="9"/>
        <v>0</v>
      </c>
      <c r="J209" s="63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</row>
    <row r="210" spans="2:32" ht="16" customHeight="1" x14ac:dyDescent="0.35">
      <c r="B210" s="14" t="s">
        <v>1472</v>
      </c>
      <c r="C210" s="14" t="s">
        <v>1473</v>
      </c>
      <c r="D210" s="61"/>
      <c r="E210" s="30">
        <v>1E-3</v>
      </c>
      <c r="F210" s="63"/>
      <c r="G210" s="15">
        <f t="shared" si="8"/>
        <v>0</v>
      </c>
      <c r="H210" s="63"/>
      <c r="I210" s="15">
        <f t="shared" si="9"/>
        <v>1E-3</v>
      </c>
      <c r="J210" s="63"/>
      <c r="K210" s="15">
        <v>0</v>
      </c>
      <c r="L210" s="15"/>
      <c r="M210" s="15"/>
      <c r="N210" s="15"/>
      <c r="O210" s="15">
        <v>0</v>
      </c>
      <c r="P210" s="15">
        <v>0</v>
      </c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>
        <v>0</v>
      </c>
      <c r="AC210" s="15"/>
      <c r="AD210" s="15"/>
      <c r="AE210" s="15"/>
      <c r="AF210" s="15">
        <v>0</v>
      </c>
    </row>
    <row r="211" spans="2:32" ht="16" customHeight="1" x14ac:dyDescent="0.35">
      <c r="B211" s="14" t="s">
        <v>1474</v>
      </c>
      <c r="C211" s="14" t="s">
        <v>1475</v>
      </c>
      <c r="D211" s="61"/>
      <c r="E211" s="30">
        <v>-10.532999999999999</v>
      </c>
      <c r="F211" s="63"/>
      <c r="G211" s="15">
        <f t="shared" si="8"/>
        <v>-10.532999999999999</v>
      </c>
      <c r="H211" s="63"/>
      <c r="I211" s="15">
        <f t="shared" si="9"/>
        <v>0</v>
      </c>
      <c r="J211" s="63"/>
      <c r="K211" s="15">
        <v>-10.532999999999999</v>
      </c>
      <c r="L211" s="15"/>
      <c r="M211" s="15"/>
      <c r="N211" s="15"/>
      <c r="O211" s="15">
        <v>0</v>
      </c>
      <c r="P211" s="15">
        <v>0</v>
      </c>
      <c r="Q211" s="15">
        <v>19.013000000000002</v>
      </c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>
        <v>-19.013000000000002</v>
      </c>
      <c r="AC211" s="15"/>
      <c r="AD211" s="15"/>
      <c r="AE211" s="15"/>
      <c r="AF211" s="15"/>
    </row>
    <row r="212" spans="2:32" ht="16" customHeight="1" x14ac:dyDescent="0.35">
      <c r="B212" s="14" t="s">
        <v>1476</v>
      </c>
      <c r="C212" s="14" t="s">
        <v>1477</v>
      </c>
      <c r="D212" s="61"/>
      <c r="E212" s="30">
        <v>-1E-3</v>
      </c>
      <c r="F212" s="63"/>
      <c r="G212" s="15">
        <f t="shared" si="8"/>
        <v>0</v>
      </c>
      <c r="H212" s="63"/>
      <c r="I212" s="15">
        <f t="shared" si="9"/>
        <v>-1E-3</v>
      </c>
      <c r="J212" s="63"/>
      <c r="K212" s="15">
        <v>0</v>
      </c>
      <c r="L212" s="15"/>
      <c r="M212" s="15"/>
      <c r="N212" s="15"/>
      <c r="O212" s="15"/>
      <c r="P212" s="15">
        <v>0</v>
      </c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>
        <v>4.0410000000000004</v>
      </c>
      <c r="AC212" s="15"/>
      <c r="AD212" s="15"/>
      <c r="AE212" s="15">
        <v>-4.0410000000000004</v>
      </c>
      <c r="AF212" s="15">
        <v>0</v>
      </c>
    </row>
    <row r="213" spans="2:32" ht="16" customHeight="1" x14ac:dyDescent="0.35">
      <c r="B213" s="14" t="s">
        <v>1478</v>
      </c>
      <c r="C213" s="14" t="s">
        <v>1479</v>
      </c>
      <c r="D213" s="61"/>
      <c r="E213" s="30"/>
      <c r="F213" s="63"/>
      <c r="G213" s="15">
        <f t="shared" si="8"/>
        <v>0</v>
      </c>
      <c r="H213" s="63"/>
      <c r="I213" s="15">
        <f t="shared" si="9"/>
        <v>0</v>
      </c>
      <c r="J213" s="63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</row>
    <row r="214" spans="2:32" ht="16" customHeight="1" x14ac:dyDescent="0.35">
      <c r="B214" s="14" t="s">
        <v>1480</v>
      </c>
      <c r="C214" s="14" t="s">
        <v>1481</v>
      </c>
      <c r="D214" s="61"/>
      <c r="E214" s="30"/>
      <c r="F214" s="63"/>
      <c r="G214" s="15">
        <f t="shared" si="8"/>
        <v>0</v>
      </c>
      <c r="H214" s="63"/>
      <c r="I214" s="15">
        <f t="shared" si="9"/>
        <v>0</v>
      </c>
      <c r="J214" s="63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</row>
    <row r="215" spans="2:32" ht="16" customHeight="1" x14ac:dyDescent="0.35">
      <c r="B215" s="14" t="s">
        <v>1482</v>
      </c>
      <c r="C215" s="14" t="s">
        <v>1483</v>
      </c>
      <c r="D215" s="61"/>
      <c r="E215" s="30"/>
      <c r="F215" s="63"/>
      <c r="G215" s="15">
        <f t="shared" si="8"/>
        <v>0</v>
      </c>
      <c r="H215" s="63"/>
      <c r="I215" s="15">
        <f t="shared" si="9"/>
        <v>0</v>
      </c>
      <c r="J215" s="63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</row>
    <row r="216" spans="2:32" ht="16" customHeight="1" x14ac:dyDescent="0.35">
      <c r="B216" s="14" t="s">
        <v>1484</v>
      </c>
      <c r="C216" s="14" t="s">
        <v>1485</v>
      </c>
      <c r="D216" s="61"/>
      <c r="E216" s="30"/>
      <c r="F216" s="63"/>
      <c r="G216" s="15">
        <f t="shared" si="8"/>
        <v>0</v>
      </c>
      <c r="H216" s="63"/>
      <c r="I216" s="15">
        <f t="shared" si="9"/>
        <v>0</v>
      </c>
      <c r="J216" s="63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</row>
    <row r="217" spans="2:32" ht="16" customHeight="1" x14ac:dyDescent="0.35">
      <c r="B217" s="14" t="s">
        <v>1486</v>
      </c>
      <c r="C217" s="14" t="s">
        <v>1487</v>
      </c>
      <c r="D217" s="61"/>
      <c r="E217" s="30"/>
      <c r="F217" s="63"/>
      <c r="G217" s="15">
        <f t="shared" si="8"/>
        <v>0</v>
      </c>
      <c r="H217" s="63"/>
      <c r="I217" s="15">
        <f t="shared" si="9"/>
        <v>0</v>
      </c>
      <c r="J217" s="63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</row>
    <row r="218" spans="2:32" ht="16" customHeight="1" x14ac:dyDescent="0.35">
      <c r="B218" s="16" t="s">
        <v>1578</v>
      </c>
      <c r="C218" s="16"/>
      <c r="D218" s="64"/>
      <c r="E218" s="31">
        <f>SUBTOTAL(109, E123:E217)</f>
        <v>5566340.1148100002</v>
      </c>
      <c r="F218" s="65"/>
      <c r="G218" s="17">
        <f>SUBTOTAL(109, G123:G217)</f>
        <v>5566340.1178299999</v>
      </c>
      <c r="H218" s="65"/>
      <c r="I218" s="17">
        <f>SUBTOTAL(109, I123:I217)</f>
        <v>-3.0199999213891271E-3</v>
      </c>
      <c r="J218" s="65"/>
      <c r="K218" s="17">
        <f t="shared" ref="K218:AF218" si="10">SUBTOTAL(109, K123:K217)</f>
        <v>5525408.907060001</v>
      </c>
      <c r="L218" s="17">
        <f t="shared" si="10"/>
        <v>0</v>
      </c>
      <c r="M218" s="17">
        <f t="shared" si="10"/>
        <v>0</v>
      </c>
      <c r="N218" s="17">
        <f t="shared" si="10"/>
        <v>0</v>
      </c>
      <c r="O218" s="17">
        <f t="shared" si="10"/>
        <v>0</v>
      </c>
      <c r="P218" s="17">
        <f t="shared" si="10"/>
        <v>0</v>
      </c>
      <c r="Q218" s="17">
        <f t="shared" si="10"/>
        <v>25999.317759999998</v>
      </c>
      <c r="R218" s="17">
        <f t="shared" si="10"/>
        <v>43519.22395</v>
      </c>
      <c r="S218" s="17">
        <f t="shared" si="10"/>
        <v>50266.037649999998</v>
      </c>
      <c r="T218" s="17">
        <f t="shared" si="10"/>
        <v>6410.0847999999996</v>
      </c>
      <c r="U218" s="17">
        <f t="shared" si="10"/>
        <v>0</v>
      </c>
      <c r="V218" s="17">
        <f t="shared" si="10"/>
        <v>0</v>
      </c>
      <c r="W218" s="17">
        <f t="shared" si="10"/>
        <v>1062.1281800000002</v>
      </c>
      <c r="X218" s="17">
        <f t="shared" si="10"/>
        <v>-82720.537259999997</v>
      </c>
      <c r="Y218" s="17">
        <f t="shared" si="10"/>
        <v>-2358.1851999999999</v>
      </c>
      <c r="Z218" s="17">
        <f t="shared" si="10"/>
        <v>1786.8560500000001</v>
      </c>
      <c r="AA218" s="17">
        <f t="shared" si="10"/>
        <v>0</v>
      </c>
      <c r="AB218" s="17">
        <f t="shared" si="10"/>
        <v>-262.21303999999918</v>
      </c>
      <c r="AC218" s="17">
        <f t="shared" si="10"/>
        <v>1645.8009099999999</v>
      </c>
      <c r="AD218" s="17">
        <f t="shared" si="10"/>
        <v>0</v>
      </c>
      <c r="AE218" s="17">
        <f t="shared" si="10"/>
        <v>-4417.3030299999991</v>
      </c>
      <c r="AF218" s="17">
        <f t="shared" si="10"/>
        <v>0</v>
      </c>
    </row>
    <row r="219" spans="2:32" ht="16" customHeight="1" x14ac:dyDescent="0.35">
      <c r="B219" s="11"/>
      <c r="C219" s="11"/>
      <c r="D219" s="29"/>
      <c r="E219" s="29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spans="2:32" ht="16" customHeight="1" x14ac:dyDescent="0.35">
      <c r="B220" s="99" t="s">
        <v>751</v>
      </c>
      <c r="C220" s="99"/>
      <c r="D220" s="100"/>
      <c r="E220" s="101">
        <f>E121-E218</f>
        <v>-4.1200006380677223E-3</v>
      </c>
      <c r="F220" s="102"/>
      <c r="G220" s="103">
        <f>G121-G218</f>
        <v>-9.1000013053417206E-3</v>
      </c>
      <c r="H220" s="102"/>
      <c r="I220" s="103">
        <f>I121-I218</f>
        <v>4.9800000607376216E-3</v>
      </c>
      <c r="J220" s="102"/>
      <c r="K220" s="103">
        <f t="shared" ref="K220:AF220" si="11">K121-K218</f>
        <v>0.64816999714821577</v>
      </c>
      <c r="L220" s="103">
        <f t="shared" si="11"/>
        <v>0</v>
      </c>
      <c r="M220" s="103">
        <f t="shared" si="11"/>
        <v>0</v>
      </c>
      <c r="N220" s="103">
        <f t="shared" si="11"/>
        <v>0</v>
      </c>
      <c r="O220" s="103">
        <f t="shared" si="11"/>
        <v>0</v>
      </c>
      <c r="P220" s="103">
        <f t="shared" si="11"/>
        <v>0</v>
      </c>
      <c r="Q220" s="103">
        <f t="shared" si="11"/>
        <v>-25999.317759999998</v>
      </c>
      <c r="R220" s="103">
        <f t="shared" si="11"/>
        <v>5122.1190300000017</v>
      </c>
      <c r="S220" s="103">
        <f t="shared" si="11"/>
        <v>-39454.581290000002</v>
      </c>
      <c r="T220" s="103">
        <f t="shared" si="11"/>
        <v>0</v>
      </c>
      <c r="U220" s="103">
        <f t="shared" si="11"/>
        <v>0</v>
      </c>
      <c r="V220" s="103">
        <f t="shared" si="11"/>
        <v>0</v>
      </c>
      <c r="W220" s="103">
        <f t="shared" si="11"/>
        <v>-21012.292729999997</v>
      </c>
      <c r="X220" s="103">
        <f t="shared" si="11"/>
        <v>79326.841029999996</v>
      </c>
      <c r="Y220" s="103">
        <f t="shared" si="11"/>
        <v>2358.1851999999999</v>
      </c>
      <c r="Z220" s="103">
        <f t="shared" si="11"/>
        <v>-1786.8560500000001</v>
      </c>
      <c r="AA220" s="103">
        <f t="shared" si="11"/>
        <v>1031.2046700000001</v>
      </c>
      <c r="AB220" s="103">
        <f t="shared" si="11"/>
        <v>79.999010000001817</v>
      </c>
      <c r="AC220" s="103">
        <f t="shared" si="11"/>
        <v>334.0306300000002</v>
      </c>
      <c r="AD220" s="103">
        <f t="shared" si="11"/>
        <v>0</v>
      </c>
      <c r="AE220" s="103">
        <f t="shared" si="11"/>
        <v>1.0990000000674627E-2</v>
      </c>
      <c r="AF220" s="103">
        <f t="shared" si="11"/>
        <v>0</v>
      </c>
    </row>
    <row r="221" spans="2:32" ht="16" customHeight="1" x14ac:dyDescent="0.45">
      <c r="B221" s="9"/>
      <c r="C221" s="9"/>
      <c r="D221" s="9"/>
      <c r="E221" s="9"/>
      <c r="F221" s="13"/>
      <c r="G221" s="13"/>
      <c r="H221" s="13"/>
      <c r="I221" s="13"/>
      <c r="J221" s="13"/>
      <c r="K221" s="13"/>
      <c r="L221" s="98"/>
      <c r="M221" s="98"/>
      <c r="N221" s="98"/>
      <c r="O221" s="98"/>
      <c r="P221" s="98"/>
      <c r="Q221" s="98"/>
      <c r="R221" s="98"/>
      <c r="S221" s="98"/>
    </row>
    <row r="222" spans="2:32" ht="16" customHeight="1" x14ac:dyDescent="0.3">
      <c r="B222" s="98"/>
      <c r="C222" s="97"/>
      <c r="D222" s="97"/>
      <c r="E222" s="97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</row>
    <row r="223" spans="2:32" ht="16" customHeight="1" x14ac:dyDescent="0.3">
      <c r="B223" s="98"/>
      <c r="C223" s="97"/>
      <c r="D223" s="97"/>
      <c r="E223" s="97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</row>
    <row r="224" spans="2:32" ht="16" customHeight="1" x14ac:dyDescent="0.3">
      <c r="B224" s="98"/>
      <c r="C224" s="97"/>
      <c r="D224" s="97"/>
      <c r="E224" s="97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</row>
    <row r="225" spans="2:19" ht="16" customHeight="1" x14ac:dyDescent="0.3">
      <c r="B225" s="98"/>
      <c r="C225" s="97"/>
      <c r="D225" s="97"/>
      <c r="E225" s="97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</row>
    <row r="226" spans="2:19" ht="16" customHeight="1" x14ac:dyDescent="0.3">
      <c r="B226" s="98"/>
      <c r="C226" s="97"/>
      <c r="D226" s="97"/>
      <c r="E226" s="97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</row>
    <row r="227" spans="2:19" ht="16" customHeight="1" x14ac:dyDescent="0.3">
      <c r="B227" s="98"/>
      <c r="C227" s="97"/>
      <c r="D227" s="97"/>
      <c r="E227" s="97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</row>
    <row r="228" spans="2:19" ht="16" customHeight="1" x14ac:dyDescent="0.3">
      <c r="B228" s="98"/>
      <c r="C228" s="97"/>
      <c r="D228" s="97"/>
      <c r="E228" s="97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</row>
    <row r="229" spans="2:19" ht="16" customHeight="1" x14ac:dyDescent="0.3">
      <c r="B229" s="98"/>
      <c r="C229" s="97"/>
      <c r="D229" s="97"/>
      <c r="E229" s="97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</row>
    <row r="230" spans="2:19" ht="16" customHeight="1" x14ac:dyDescent="0.3">
      <c r="B230" s="98"/>
      <c r="C230" s="97"/>
      <c r="D230" s="97"/>
      <c r="E230" s="97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</row>
    <row r="231" spans="2:19" ht="16" customHeight="1" x14ac:dyDescent="0.3">
      <c r="B231" s="98"/>
      <c r="C231" s="97"/>
      <c r="D231" s="97"/>
      <c r="E231" s="97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</row>
    <row r="232" spans="2:19" ht="16" customHeight="1" x14ac:dyDescent="0.3">
      <c r="B232" s="98"/>
      <c r="C232" s="97"/>
      <c r="D232" s="97"/>
      <c r="E232" s="97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</row>
    <row r="233" spans="2:19" ht="16" customHeight="1" x14ac:dyDescent="0.3">
      <c r="B233" s="98"/>
      <c r="C233" s="97"/>
      <c r="D233" s="97"/>
      <c r="E233" s="97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</row>
    <row r="234" spans="2:19" ht="16" customHeight="1" x14ac:dyDescent="0.3">
      <c r="B234" s="98"/>
      <c r="C234" s="97"/>
      <c r="D234" s="97"/>
      <c r="E234" s="97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</row>
    <row r="235" spans="2:19" ht="16" customHeight="1" x14ac:dyDescent="0.3">
      <c r="B235" s="98"/>
      <c r="C235" s="97"/>
      <c r="D235" s="97"/>
      <c r="E235" s="97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</row>
    <row r="236" spans="2:19" ht="16" customHeight="1" x14ac:dyDescent="0.3">
      <c r="B236" s="98"/>
      <c r="C236" s="97"/>
      <c r="D236" s="97"/>
      <c r="E236" s="97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</row>
    <row r="237" spans="2:19" ht="16" customHeight="1" x14ac:dyDescent="0.3">
      <c r="B237" s="98"/>
      <c r="C237" s="97"/>
      <c r="D237" s="97"/>
      <c r="E237" s="97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</row>
    <row r="238" spans="2:19" ht="16" customHeight="1" x14ac:dyDescent="0.3">
      <c r="B238" s="98"/>
      <c r="C238" s="97"/>
      <c r="D238" s="97"/>
      <c r="E238" s="97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</row>
    <row r="239" spans="2:19" ht="16" customHeight="1" x14ac:dyDescent="0.3">
      <c r="B239" s="98"/>
      <c r="C239" s="97"/>
      <c r="D239" s="97"/>
      <c r="E239" s="97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</row>
    <row r="240" spans="2:19" ht="16" customHeight="1" x14ac:dyDescent="0.3">
      <c r="B240" s="98"/>
      <c r="C240" s="97"/>
      <c r="D240" s="97"/>
      <c r="E240" s="97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</row>
    <row r="241" spans="2:19" ht="16" customHeight="1" x14ac:dyDescent="0.3">
      <c r="B241" s="98"/>
      <c r="C241" s="97"/>
      <c r="D241" s="97"/>
      <c r="E241" s="97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</row>
    <row r="242" spans="2:19" ht="16" customHeight="1" x14ac:dyDescent="0.3">
      <c r="B242" s="98"/>
      <c r="C242" s="97"/>
      <c r="D242" s="97"/>
      <c r="E242" s="97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</row>
    <row r="243" spans="2:19" ht="16" customHeight="1" x14ac:dyDescent="0.3">
      <c r="B243" s="98"/>
      <c r="C243" s="97"/>
      <c r="D243" s="97"/>
      <c r="E243" s="97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</row>
    <row r="244" spans="2:19" ht="16" customHeight="1" x14ac:dyDescent="0.3">
      <c r="B244" s="98"/>
      <c r="C244" s="97"/>
      <c r="D244" s="97"/>
      <c r="E244" s="97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</row>
    <row r="245" spans="2:19" ht="16" customHeight="1" x14ac:dyDescent="0.3">
      <c r="B245" s="98"/>
      <c r="C245" s="97"/>
      <c r="D245" s="97"/>
      <c r="E245" s="97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</row>
    <row r="246" spans="2:19" ht="16" customHeight="1" x14ac:dyDescent="0.3">
      <c r="B246" s="98"/>
      <c r="C246" s="97"/>
      <c r="D246" s="97"/>
      <c r="E246" s="97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</row>
    <row r="247" spans="2:19" ht="16" customHeight="1" x14ac:dyDescent="0.3">
      <c r="B247" s="98"/>
      <c r="C247" s="97"/>
      <c r="D247" s="97"/>
      <c r="E247" s="97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</row>
    <row r="248" spans="2:19" ht="16" customHeight="1" x14ac:dyDescent="0.3">
      <c r="B248" s="98"/>
      <c r="C248" s="97"/>
      <c r="D248" s="97"/>
      <c r="E248" s="97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</row>
    <row r="249" spans="2:19" ht="16" customHeight="1" x14ac:dyDescent="0.3">
      <c r="B249" s="98"/>
      <c r="C249" s="97"/>
      <c r="D249" s="97"/>
      <c r="E249" s="97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</row>
    <row r="250" spans="2:19" ht="16" customHeight="1" x14ac:dyDescent="0.3">
      <c r="B250" s="98"/>
      <c r="C250" s="97"/>
      <c r="D250" s="97"/>
      <c r="E250" s="97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</row>
    <row r="251" spans="2:19" ht="16" customHeight="1" x14ac:dyDescent="0.3">
      <c r="B251" s="98"/>
      <c r="C251" s="97"/>
      <c r="D251" s="97"/>
      <c r="E251" s="97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</row>
    <row r="252" spans="2:19" ht="16" customHeight="1" x14ac:dyDescent="0.3">
      <c r="B252" s="98"/>
      <c r="C252" s="97"/>
      <c r="D252" s="97"/>
      <c r="E252" s="97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</row>
    <row r="253" spans="2:19" ht="16" customHeight="1" x14ac:dyDescent="0.3">
      <c r="B253" s="98"/>
      <c r="C253" s="97"/>
      <c r="D253" s="97"/>
      <c r="E253" s="97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</row>
    <row r="254" spans="2:19" ht="16" customHeight="1" x14ac:dyDescent="0.3">
      <c r="B254" s="98"/>
      <c r="C254" s="97"/>
      <c r="D254" s="97"/>
      <c r="E254" s="97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</row>
    <row r="255" spans="2:19" ht="16" customHeight="1" x14ac:dyDescent="0.3">
      <c r="B255" s="98"/>
      <c r="C255" s="97"/>
      <c r="D255" s="97"/>
      <c r="E255" s="97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</row>
    <row r="256" spans="2:19" ht="16" customHeight="1" x14ac:dyDescent="0.3">
      <c r="B256" s="98"/>
      <c r="C256" s="97"/>
      <c r="D256" s="97"/>
      <c r="E256" s="97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</row>
    <row r="257" spans="2:19" ht="16" customHeight="1" x14ac:dyDescent="0.3">
      <c r="B257" s="98"/>
      <c r="C257" s="97"/>
      <c r="D257" s="97"/>
      <c r="E257" s="97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</row>
    <row r="258" spans="2:19" ht="16" customHeight="1" x14ac:dyDescent="0.3">
      <c r="B258" s="98"/>
      <c r="C258" s="97"/>
      <c r="D258" s="97"/>
      <c r="E258" s="97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</row>
    <row r="259" spans="2:19" ht="16" customHeight="1" x14ac:dyDescent="0.3">
      <c r="B259" s="98"/>
      <c r="C259" s="97"/>
      <c r="D259" s="97"/>
      <c r="E259" s="97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</row>
    <row r="260" spans="2:19" ht="16" customHeight="1" x14ac:dyDescent="0.3">
      <c r="B260" s="98"/>
      <c r="C260" s="97"/>
      <c r="D260" s="97"/>
      <c r="E260" s="97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</row>
    <row r="261" spans="2:19" ht="16" customHeight="1" x14ac:dyDescent="0.3">
      <c r="B261" s="98"/>
      <c r="C261" s="97"/>
      <c r="D261" s="97"/>
      <c r="E261" s="97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</row>
    <row r="262" spans="2:19" ht="16" customHeight="1" x14ac:dyDescent="0.3">
      <c r="B262" s="98"/>
      <c r="C262" s="97"/>
      <c r="D262" s="97"/>
      <c r="E262" s="97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</row>
    <row r="263" spans="2:19" ht="16" customHeight="1" x14ac:dyDescent="0.3">
      <c r="B263" s="98"/>
      <c r="C263" s="97"/>
      <c r="D263" s="97"/>
      <c r="E263" s="97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</row>
    <row r="264" spans="2:19" ht="16" customHeight="1" x14ac:dyDescent="0.3">
      <c r="B264" s="98"/>
      <c r="C264" s="97"/>
      <c r="D264" s="97"/>
      <c r="E264" s="97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</row>
    <row r="265" spans="2:19" ht="16" customHeight="1" x14ac:dyDescent="0.3">
      <c r="B265" s="98"/>
      <c r="C265" s="97"/>
      <c r="D265" s="97"/>
      <c r="E265" s="97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</row>
    <row r="266" spans="2:19" ht="16" customHeight="1" x14ac:dyDescent="0.3">
      <c r="B266" s="98"/>
      <c r="C266" s="97"/>
      <c r="D266" s="97"/>
      <c r="E266" s="97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</row>
    <row r="267" spans="2:19" ht="16" customHeight="1" x14ac:dyDescent="0.3">
      <c r="B267" s="98"/>
      <c r="C267" s="97"/>
      <c r="D267" s="97"/>
      <c r="E267" s="97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</row>
    <row r="268" spans="2:19" ht="16" customHeight="1" x14ac:dyDescent="0.3">
      <c r="B268" s="98"/>
      <c r="C268" s="97"/>
      <c r="D268" s="97"/>
      <c r="E268" s="97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</row>
    <row r="269" spans="2:19" ht="16" customHeight="1" x14ac:dyDescent="0.3">
      <c r="B269" s="98"/>
      <c r="C269" s="97"/>
      <c r="D269" s="97"/>
      <c r="E269" s="97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</row>
    <row r="270" spans="2:19" ht="16" customHeight="1" x14ac:dyDescent="0.3">
      <c r="B270" s="98"/>
      <c r="C270" s="97"/>
      <c r="D270" s="97"/>
      <c r="E270" s="97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</row>
    <row r="271" spans="2:19" ht="16" customHeight="1" x14ac:dyDescent="0.3">
      <c r="B271" s="98"/>
      <c r="C271" s="97"/>
      <c r="D271" s="97"/>
      <c r="E271" s="97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</row>
    <row r="272" spans="2:19" ht="16" customHeight="1" x14ac:dyDescent="0.3">
      <c r="B272" s="98"/>
      <c r="C272" s="97"/>
      <c r="D272" s="97"/>
      <c r="E272" s="97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</row>
    <row r="273" spans="2:19" ht="16" customHeight="1" x14ac:dyDescent="0.3">
      <c r="B273" s="98"/>
      <c r="C273" s="97"/>
      <c r="D273" s="97"/>
      <c r="E273" s="97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</row>
    <row r="274" spans="2:19" ht="16" customHeight="1" x14ac:dyDescent="0.3">
      <c r="B274" s="98"/>
      <c r="C274" s="97"/>
      <c r="D274" s="97"/>
      <c r="E274" s="97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</row>
    <row r="275" spans="2:19" ht="16" customHeight="1" x14ac:dyDescent="0.3">
      <c r="B275" s="98"/>
      <c r="C275" s="97"/>
      <c r="D275" s="97"/>
      <c r="E275" s="97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</row>
    <row r="276" spans="2:19" ht="16" customHeight="1" x14ac:dyDescent="0.3">
      <c r="B276" s="98"/>
      <c r="C276" s="97"/>
      <c r="D276" s="97"/>
      <c r="E276" s="97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</row>
    <row r="277" spans="2:19" ht="16" customHeight="1" x14ac:dyDescent="0.3">
      <c r="B277" s="98"/>
      <c r="C277" s="97"/>
      <c r="D277" s="97"/>
      <c r="E277" s="97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</row>
    <row r="278" spans="2:19" ht="16" customHeight="1" x14ac:dyDescent="0.3">
      <c r="B278" s="98"/>
      <c r="C278" s="97"/>
      <c r="D278" s="97"/>
      <c r="E278" s="97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</row>
    <row r="279" spans="2:19" ht="16" customHeight="1" x14ac:dyDescent="0.3">
      <c r="B279" s="98"/>
      <c r="C279" s="97"/>
      <c r="D279" s="97"/>
      <c r="E279" s="97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</row>
    <row r="280" spans="2:19" ht="16" customHeight="1" x14ac:dyDescent="0.3">
      <c r="B280" s="98"/>
      <c r="C280" s="97"/>
      <c r="D280" s="97"/>
      <c r="E280" s="97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</row>
    <row r="281" spans="2:19" ht="16" customHeight="1" x14ac:dyDescent="0.3">
      <c r="B281" s="98"/>
      <c r="C281" s="97"/>
      <c r="D281" s="97"/>
      <c r="E281" s="97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</row>
    <row r="282" spans="2:19" ht="16" customHeight="1" x14ac:dyDescent="0.3">
      <c r="B282" s="98"/>
      <c r="C282" s="97"/>
      <c r="D282" s="97"/>
      <c r="E282" s="97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</row>
    <row r="283" spans="2:19" ht="16" customHeight="1" x14ac:dyDescent="0.3">
      <c r="B283" s="98"/>
      <c r="C283" s="97"/>
      <c r="D283" s="97"/>
      <c r="E283" s="97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</row>
    <row r="284" spans="2:19" ht="16" customHeight="1" x14ac:dyDescent="0.3">
      <c r="B284" s="98"/>
      <c r="C284" s="97"/>
      <c r="D284" s="97"/>
      <c r="E284" s="97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</row>
    <row r="285" spans="2:19" ht="16" customHeight="1" x14ac:dyDescent="0.3">
      <c r="B285" s="98"/>
      <c r="C285" s="97"/>
      <c r="D285" s="97"/>
      <c r="E285" s="97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</row>
    <row r="286" spans="2:19" ht="16" customHeight="1" x14ac:dyDescent="0.3">
      <c r="B286" s="98"/>
      <c r="C286" s="97"/>
      <c r="D286" s="97"/>
      <c r="E286" s="97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</row>
    <row r="287" spans="2:19" ht="16" customHeight="1" x14ac:dyDescent="0.3">
      <c r="B287" s="98"/>
      <c r="C287" s="97"/>
      <c r="D287" s="97"/>
      <c r="E287" s="97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</row>
    <row r="288" spans="2:19" ht="16" customHeight="1" x14ac:dyDescent="0.3">
      <c r="B288" s="98"/>
      <c r="C288" s="97"/>
      <c r="D288" s="97"/>
      <c r="E288" s="97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</row>
    <row r="289" spans="2:19" ht="16" customHeight="1" x14ac:dyDescent="0.3">
      <c r="B289" s="98"/>
      <c r="C289" s="97"/>
      <c r="D289" s="97"/>
      <c r="E289" s="97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</row>
    <row r="290" spans="2:19" ht="16" customHeight="1" x14ac:dyDescent="0.3">
      <c r="B290" s="98"/>
      <c r="C290" s="97"/>
      <c r="D290" s="97"/>
      <c r="E290" s="97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</row>
    <row r="291" spans="2:19" ht="16" customHeight="1" x14ac:dyDescent="0.3">
      <c r="B291" s="98"/>
      <c r="C291" s="97"/>
      <c r="D291" s="97"/>
      <c r="E291" s="97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</row>
    <row r="292" spans="2:19" ht="16" customHeight="1" x14ac:dyDescent="0.3">
      <c r="B292" s="98"/>
      <c r="C292" s="97"/>
      <c r="D292" s="97"/>
      <c r="E292" s="97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</row>
    <row r="293" spans="2:19" ht="16" customHeight="1" x14ac:dyDescent="0.3">
      <c r="B293" s="98"/>
      <c r="C293" s="97"/>
      <c r="D293" s="97"/>
      <c r="E293" s="97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</row>
    <row r="294" spans="2:19" ht="16" customHeight="1" x14ac:dyDescent="0.3">
      <c r="B294" s="98"/>
      <c r="C294" s="97"/>
      <c r="D294" s="97"/>
      <c r="E294" s="97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</row>
    <row r="295" spans="2:19" ht="16" customHeight="1" x14ac:dyDescent="0.3">
      <c r="B295" s="98"/>
      <c r="C295" s="97"/>
      <c r="D295" s="97"/>
      <c r="E295" s="97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</row>
    <row r="296" spans="2:19" ht="16" customHeight="1" x14ac:dyDescent="0.3">
      <c r="B296" s="98"/>
      <c r="C296" s="97"/>
      <c r="D296" s="97"/>
      <c r="E296" s="97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</row>
    <row r="297" spans="2:19" ht="16" customHeight="1" x14ac:dyDescent="0.3">
      <c r="B297" s="98"/>
      <c r="C297" s="97"/>
      <c r="D297" s="97"/>
      <c r="E297" s="97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</row>
    <row r="298" spans="2:19" ht="16" customHeight="1" x14ac:dyDescent="0.3">
      <c r="B298" s="98"/>
      <c r="C298" s="97"/>
      <c r="D298" s="97"/>
      <c r="E298" s="97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</row>
    <row r="299" spans="2:19" ht="16" customHeight="1" x14ac:dyDescent="0.3">
      <c r="B299" s="98"/>
      <c r="C299" s="97"/>
      <c r="D299" s="97"/>
      <c r="E299" s="97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</row>
    <row r="300" spans="2:19" ht="16" customHeight="1" x14ac:dyDescent="0.3">
      <c r="B300" s="98"/>
      <c r="C300" s="97"/>
      <c r="D300" s="97"/>
      <c r="E300" s="97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</row>
    <row r="301" spans="2:19" ht="16" customHeight="1" x14ac:dyDescent="0.3">
      <c r="B301" s="98"/>
      <c r="C301" s="97"/>
      <c r="D301" s="97"/>
      <c r="E301" s="97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</row>
    <row r="302" spans="2:19" ht="16" customHeight="1" x14ac:dyDescent="0.3">
      <c r="B302" s="98"/>
      <c r="C302" s="97"/>
      <c r="D302" s="97"/>
      <c r="E302" s="97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</row>
    <row r="303" spans="2:19" ht="16" customHeight="1" x14ac:dyDescent="0.3">
      <c r="B303" s="98"/>
      <c r="C303" s="97"/>
      <c r="D303" s="97"/>
      <c r="E303" s="97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</row>
    <row r="304" spans="2:19" ht="16" customHeight="1" x14ac:dyDescent="0.3">
      <c r="B304" s="98"/>
      <c r="C304" s="97"/>
      <c r="D304" s="97"/>
      <c r="E304" s="97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</row>
    <row r="305" spans="2:19" ht="16" customHeight="1" x14ac:dyDescent="0.3">
      <c r="B305" s="98"/>
      <c r="C305" s="97"/>
      <c r="D305" s="97"/>
      <c r="E305" s="97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</row>
    <row r="306" spans="2:19" ht="16" customHeight="1" x14ac:dyDescent="0.3">
      <c r="B306" s="98"/>
      <c r="C306" s="97"/>
      <c r="D306" s="97"/>
      <c r="E306" s="97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</row>
    <row r="307" spans="2:19" ht="16" customHeight="1" x14ac:dyDescent="0.3">
      <c r="B307" s="98"/>
      <c r="C307" s="97"/>
      <c r="D307" s="97"/>
      <c r="E307" s="97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</row>
    <row r="308" spans="2:19" ht="16" customHeight="1" x14ac:dyDescent="0.3">
      <c r="B308" s="98"/>
      <c r="C308" s="97"/>
      <c r="D308" s="97"/>
      <c r="E308" s="97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</row>
    <row r="309" spans="2:19" ht="16" customHeight="1" x14ac:dyDescent="0.3">
      <c r="B309" s="98"/>
      <c r="C309" s="97"/>
      <c r="D309" s="97"/>
      <c r="E309" s="97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</row>
    <row r="310" spans="2:19" ht="16" customHeight="1" x14ac:dyDescent="0.3">
      <c r="B310" s="98"/>
      <c r="C310" s="97"/>
      <c r="D310" s="97"/>
      <c r="E310" s="97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</row>
    <row r="311" spans="2:19" ht="16" customHeight="1" x14ac:dyDescent="0.3">
      <c r="B311" s="98"/>
      <c r="C311" s="97"/>
      <c r="D311" s="97"/>
      <c r="E311" s="97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</row>
    <row r="312" spans="2:19" ht="16" customHeight="1" x14ac:dyDescent="0.3">
      <c r="B312" s="98"/>
      <c r="C312" s="97"/>
      <c r="D312" s="97"/>
      <c r="E312" s="97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</row>
    <row r="313" spans="2:19" ht="16" customHeight="1" x14ac:dyDescent="0.3">
      <c r="B313" s="98"/>
      <c r="C313" s="97"/>
      <c r="D313" s="97"/>
      <c r="E313" s="97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</row>
    <row r="314" spans="2:19" ht="16" customHeight="1" x14ac:dyDescent="0.3">
      <c r="B314" s="98"/>
      <c r="C314" s="97"/>
      <c r="D314" s="97"/>
      <c r="E314" s="97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</row>
    <row r="315" spans="2:19" ht="16" customHeight="1" x14ac:dyDescent="0.3">
      <c r="B315" s="98"/>
      <c r="C315" s="97"/>
      <c r="D315" s="97"/>
      <c r="E315" s="97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</row>
    <row r="316" spans="2:19" ht="16" customHeight="1" x14ac:dyDescent="0.3">
      <c r="B316" s="98"/>
      <c r="C316" s="97"/>
      <c r="D316" s="97"/>
      <c r="E316" s="97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</row>
    <row r="317" spans="2:19" ht="16" customHeight="1" x14ac:dyDescent="0.3">
      <c r="B317" s="98"/>
      <c r="C317" s="97"/>
      <c r="D317" s="97"/>
      <c r="E317" s="97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</row>
    <row r="318" spans="2:19" ht="16" customHeight="1" x14ac:dyDescent="0.3">
      <c r="B318" s="98"/>
      <c r="C318" s="97"/>
      <c r="D318" s="97"/>
      <c r="E318" s="97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</row>
    <row r="319" spans="2:19" ht="16" customHeight="1" x14ac:dyDescent="0.3">
      <c r="B319" s="98"/>
      <c r="C319" s="97"/>
      <c r="D319" s="97"/>
      <c r="E319" s="97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</row>
    <row r="320" spans="2:19" ht="16" customHeight="1" x14ac:dyDescent="0.3">
      <c r="B320" s="98"/>
      <c r="C320" s="97"/>
      <c r="D320" s="97"/>
      <c r="E320" s="97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</row>
    <row r="321" spans="2:19" ht="16" customHeight="1" x14ac:dyDescent="0.3">
      <c r="B321" s="98"/>
      <c r="C321" s="97"/>
      <c r="D321" s="97"/>
      <c r="E321" s="97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</row>
    <row r="322" spans="2:19" ht="16" customHeight="1" x14ac:dyDescent="0.3">
      <c r="B322" s="98"/>
      <c r="C322" s="97"/>
      <c r="D322" s="97"/>
      <c r="E322" s="97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</row>
    <row r="323" spans="2:19" ht="16" customHeight="1" x14ac:dyDescent="0.3">
      <c r="B323" s="98"/>
      <c r="C323" s="97"/>
      <c r="D323" s="97"/>
      <c r="E323" s="97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</row>
    <row r="324" spans="2:19" ht="16" customHeight="1" x14ac:dyDescent="0.3">
      <c r="B324" s="98"/>
      <c r="C324" s="97"/>
      <c r="D324" s="97"/>
      <c r="E324" s="97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</row>
    <row r="325" spans="2:19" ht="16" customHeight="1" x14ac:dyDescent="0.3">
      <c r="B325" s="98"/>
      <c r="C325" s="97"/>
      <c r="D325" s="97"/>
      <c r="E325" s="97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</row>
    <row r="326" spans="2:19" ht="16" customHeight="1" x14ac:dyDescent="0.3">
      <c r="B326" s="98"/>
      <c r="C326" s="97"/>
      <c r="D326" s="97"/>
      <c r="E326" s="97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</row>
    <row r="327" spans="2:19" ht="16" customHeight="1" x14ac:dyDescent="0.3">
      <c r="B327" s="98"/>
      <c r="C327" s="97"/>
      <c r="D327" s="97"/>
      <c r="E327" s="97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</row>
    <row r="328" spans="2:19" ht="16" customHeight="1" x14ac:dyDescent="0.3">
      <c r="B328" s="98"/>
      <c r="C328" s="97"/>
      <c r="D328" s="97"/>
      <c r="E328" s="97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</row>
    <row r="329" spans="2:19" ht="16" customHeight="1" x14ac:dyDescent="0.3">
      <c r="B329" s="98"/>
      <c r="C329" s="97"/>
      <c r="D329" s="97"/>
      <c r="E329" s="97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</row>
    <row r="330" spans="2:19" ht="16" customHeight="1" x14ac:dyDescent="0.3">
      <c r="B330" s="98"/>
      <c r="C330" s="97"/>
      <c r="D330" s="97"/>
      <c r="E330" s="97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</row>
    <row r="331" spans="2:19" ht="16" customHeight="1" x14ac:dyDescent="0.3">
      <c r="B331" s="98"/>
      <c r="C331" s="97"/>
      <c r="D331" s="97"/>
      <c r="E331" s="97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</row>
    <row r="332" spans="2:19" ht="16" customHeight="1" x14ac:dyDescent="0.3">
      <c r="B332" s="98"/>
      <c r="C332" s="97"/>
      <c r="D332" s="97"/>
      <c r="E332" s="97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</row>
    <row r="333" spans="2:19" ht="16" customHeight="1" x14ac:dyDescent="0.3">
      <c r="B333" s="98"/>
      <c r="C333" s="97"/>
      <c r="D333" s="97"/>
      <c r="E333" s="97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</row>
    <row r="334" spans="2:19" ht="16" customHeight="1" x14ac:dyDescent="0.3">
      <c r="B334" s="98"/>
      <c r="C334" s="97"/>
      <c r="D334" s="97"/>
      <c r="E334" s="97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</row>
    <row r="335" spans="2:19" ht="16" customHeight="1" x14ac:dyDescent="0.3">
      <c r="B335" s="98"/>
      <c r="C335" s="97"/>
      <c r="D335" s="97"/>
      <c r="E335" s="97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</row>
    <row r="336" spans="2:19" ht="16" customHeight="1" x14ac:dyDescent="0.3">
      <c r="B336" s="98"/>
      <c r="C336" s="97"/>
      <c r="D336" s="97"/>
      <c r="E336" s="97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</row>
    <row r="337" spans="2:19" ht="16" customHeight="1" x14ac:dyDescent="0.3">
      <c r="B337" s="98"/>
      <c r="C337" s="97"/>
      <c r="D337" s="97"/>
      <c r="E337" s="97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</row>
    <row r="338" spans="2:19" ht="16" customHeight="1" x14ac:dyDescent="0.3">
      <c r="B338" s="98"/>
      <c r="C338" s="97"/>
      <c r="D338" s="97"/>
      <c r="E338" s="97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</row>
    <row r="339" spans="2:19" ht="16" customHeight="1" x14ac:dyDescent="0.3">
      <c r="B339" s="98"/>
      <c r="C339" s="97"/>
      <c r="D339" s="97"/>
      <c r="E339" s="97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</row>
    <row r="340" spans="2:19" ht="16" customHeight="1" x14ac:dyDescent="0.3">
      <c r="B340" s="98"/>
      <c r="C340" s="97"/>
      <c r="D340" s="97"/>
      <c r="E340" s="97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</row>
    <row r="341" spans="2:19" ht="16" customHeight="1" x14ac:dyDescent="0.3">
      <c r="B341" s="98"/>
      <c r="C341" s="97"/>
      <c r="D341" s="97"/>
      <c r="E341" s="97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</row>
    <row r="342" spans="2:19" ht="16" customHeight="1" x14ac:dyDescent="0.3">
      <c r="B342" s="98"/>
      <c r="C342" s="97"/>
      <c r="D342" s="97"/>
      <c r="E342" s="97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</row>
    <row r="343" spans="2:19" ht="16" customHeight="1" x14ac:dyDescent="0.3">
      <c r="B343" s="98"/>
      <c r="C343" s="97"/>
      <c r="D343" s="97"/>
      <c r="E343" s="97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</row>
    <row r="344" spans="2:19" ht="16" customHeight="1" x14ac:dyDescent="0.3">
      <c r="B344" s="98"/>
      <c r="C344" s="97"/>
      <c r="D344" s="97"/>
      <c r="E344" s="97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</row>
    <row r="345" spans="2:19" ht="16" customHeight="1" x14ac:dyDescent="0.3">
      <c r="B345" s="98"/>
      <c r="C345" s="97"/>
      <c r="D345" s="97"/>
      <c r="E345" s="97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</row>
    <row r="346" spans="2:19" ht="16" customHeight="1" x14ac:dyDescent="0.3">
      <c r="B346" s="98"/>
      <c r="C346" s="97"/>
      <c r="D346" s="97"/>
      <c r="E346" s="97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</row>
    <row r="347" spans="2:19" ht="16" customHeight="1" x14ac:dyDescent="0.3">
      <c r="B347" s="98"/>
      <c r="C347" s="97"/>
      <c r="D347" s="97"/>
      <c r="E347" s="97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</row>
    <row r="348" spans="2:19" ht="16" customHeight="1" x14ac:dyDescent="0.3">
      <c r="B348" s="98"/>
      <c r="C348" s="97"/>
      <c r="D348" s="97"/>
      <c r="E348" s="97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</row>
    <row r="349" spans="2:19" ht="16" customHeight="1" x14ac:dyDescent="0.3">
      <c r="B349" s="98"/>
      <c r="C349" s="97"/>
      <c r="D349" s="97"/>
      <c r="E349" s="97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</row>
    <row r="350" spans="2:19" ht="16" customHeight="1" x14ac:dyDescent="0.3">
      <c r="B350" s="98"/>
      <c r="C350" s="97"/>
      <c r="D350" s="97"/>
      <c r="E350" s="97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</row>
    <row r="351" spans="2:19" ht="16" customHeight="1" x14ac:dyDescent="0.3">
      <c r="B351" s="98"/>
      <c r="C351" s="97"/>
      <c r="D351" s="97"/>
      <c r="E351" s="97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</row>
  </sheetData>
  <mergeCells count="1">
    <mergeCell ref="B8:C8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172A8-028C-42EC-8E6C-7FB1DC156F92}">
  <dimension ref="A3:BG351"/>
  <sheetViews>
    <sheetView showGridLines="0" zoomScale="90" zoomScaleNormal="90" workbookViewId="0">
      <pane xSplit="10" ySplit="10" topLeftCell="K11" activePane="bottomRight" state="frozen"/>
      <selection pane="topRight" activeCell="K1" sqref="K1"/>
      <selection pane="bottomLeft" activeCell="A9" sqref="A9"/>
      <selection pane="bottomRight" activeCell="P12" sqref="P12"/>
    </sheetView>
  </sheetViews>
  <sheetFormatPr defaultColWidth="9.1796875" defaultRowHeight="16" customHeight="1" outlineLevelCol="1" x14ac:dyDescent="0.35"/>
  <cols>
    <col min="1" max="1" width="1.7265625" style="1" customWidth="1"/>
    <col min="2" max="2" width="10.7265625" style="1" customWidth="1"/>
    <col min="3" max="3" width="60.7265625" style="1" customWidth="1"/>
    <col min="4" max="4" width="1.54296875" style="1" customWidth="1"/>
    <col min="5" max="5" width="14.7265625" style="1" customWidth="1"/>
    <col min="6" max="6" width="1.54296875" style="1" hidden="1" customWidth="1" outlineLevel="1"/>
    <col min="7" max="7" width="14.7265625" style="1" hidden="1" customWidth="1" outlineLevel="1"/>
    <col min="8" max="8" width="1.54296875" style="1" hidden="1" customWidth="1" outlineLevel="1"/>
    <col min="9" max="9" width="14.7265625" style="1" hidden="1" customWidth="1" outlineLevel="1"/>
    <col min="10" max="10" width="2.7265625" style="1" customWidth="1" collapsed="1"/>
    <col min="11" max="79" width="14.7265625" style="1" customWidth="1"/>
    <col min="80" max="16384" width="9.1796875" style="1"/>
  </cols>
  <sheetData>
    <row r="3" spans="1:59" ht="16" customHeight="1" x14ac:dyDescent="0.35">
      <c r="B3" s="2" t="s">
        <v>1506</v>
      </c>
    </row>
    <row r="4" spans="1:59" ht="16" customHeight="1" x14ac:dyDescent="0.35">
      <c r="B4" s="4" t="s">
        <v>270</v>
      </c>
    </row>
    <row r="5" spans="1:59" ht="16" customHeight="1" x14ac:dyDescent="0.35">
      <c r="B5" s="4" t="s">
        <v>1016</v>
      </c>
    </row>
    <row r="6" spans="1:59" ht="16" customHeight="1" x14ac:dyDescent="0.35">
      <c r="A6" s="5"/>
      <c r="B6" s="4" t="s">
        <v>1507</v>
      </c>
    </row>
    <row r="7" spans="1:59" ht="16" customHeight="1" x14ac:dyDescent="0.35">
      <c r="A7" s="5"/>
      <c r="B7" s="4"/>
    </row>
    <row r="8" spans="1:59" ht="16" customHeight="1" x14ac:dyDescent="0.35">
      <c r="A8" s="5"/>
      <c r="B8" s="56">
        <v>46194.599302662034</v>
      </c>
      <c r="C8" s="56"/>
    </row>
    <row r="9" spans="1:59" ht="91.5" thickBot="1" x14ac:dyDescent="0.5">
      <c r="B9" s="7"/>
      <c r="C9" s="28"/>
      <c r="D9" s="59"/>
      <c r="E9" s="8" t="s">
        <v>1508</v>
      </c>
      <c r="F9" s="59"/>
      <c r="G9" s="8" t="s">
        <v>1509</v>
      </c>
      <c r="H9" s="59"/>
      <c r="I9" s="8" t="s">
        <v>751</v>
      </c>
      <c r="J9" s="59"/>
      <c r="K9" s="8" t="s">
        <v>1510</v>
      </c>
      <c r="L9" s="8" t="s">
        <v>1511</v>
      </c>
      <c r="M9" s="8" t="s">
        <v>1512</v>
      </c>
      <c r="N9" s="8" t="s">
        <v>1579</v>
      </c>
      <c r="O9" s="8" t="s">
        <v>1513</v>
      </c>
      <c r="P9" s="8" t="s">
        <v>1514</v>
      </c>
      <c r="Q9" s="8" t="s">
        <v>1515</v>
      </c>
      <c r="R9" s="8" t="s">
        <v>1516</v>
      </c>
      <c r="S9" s="8" t="s">
        <v>1517</v>
      </c>
      <c r="T9" s="8" t="s">
        <v>1518</v>
      </c>
      <c r="U9" s="8" t="s">
        <v>1519</v>
      </c>
      <c r="V9" s="8" t="s">
        <v>1520</v>
      </c>
      <c r="W9" s="8" t="s">
        <v>1521</v>
      </c>
      <c r="X9" s="8" t="s">
        <v>1522</v>
      </c>
      <c r="Y9" s="8" t="s">
        <v>1523</v>
      </c>
      <c r="Z9" s="8" t="s">
        <v>1524</v>
      </c>
      <c r="AA9" s="8" t="s">
        <v>1525</v>
      </c>
      <c r="AB9" s="8" t="s">
        <v>1526</v>
      </c>
      <c r="AC9" s="8" t="s">
        <v>1527</v>
      </c>
      <c r="AD9" s="8" t="s">
        <v>1528</v>
      </c>
      <c r="AE9" s="8" t="s">
        <v>1529</v>
      </c>
      <c r="AF9" s="8" t="s">
        <v>1530</v>
      </c>
      <c r="AG9" s="8" t="s">
        <v>1531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</row>
    <row r="10" spans="1:59" ht="26.5" thickBot="1" x14ac:dyDescent="0.5">
      <c r="B10" s="28"/>
      <c r="C10" s="28"/>
      <c r="D10" s="59"/>
      <c r="E10" s="8" t="s">
        <v>1532</v>
      </c>
      <c r="F10" s="59"/>
      <c r="G10" s="8"/>
      <c r="H10" s="59"/>
      <c r="I10" s="8"/>
      <c r="J10" s="59"/>
      <c r="K10" s="8" t="s">
        <v>1533</v>
      </c>
      <c r="L10" s="8" t="s">
        <v>1534</v>
      </c>
      <c r="M10" s="8" t="s">
        <v>1535</v>
      </c>
      <c r="N10" s="8" t="s">
        <v>1580</v>
      </c>
      <c r="O10" s="8" t="s">
        <v>1536</v>
      </c>
      <c r="P10" s="8" t="s">
        <v>1537</v>
      </c>
      <c r="Q10" s="8" t="s">
        <v>1538</v>
      </c>
      <c r="R10" s="8" t="s">
        <v>1539</v>
      </c>
      <c r="S10" s="8" t="s">
        <v>1540</v>
      </c>
      <c r="T10" s="8" t="s">
        <v>1541</v>
      </c>
      <c r="U10" s="8" t="s">
        <v>1542</v>
      </c>
      <c r="V10" s="8" t="s">
        <v>1543</v>
      </c>
      <c r="W10" s="8" t="s">
        <v>1544</v>
      </c>
      <c r="X10" s="8" t="s">
        <v>1545</v>
      </c>
      <c r="Y10" s="8" t="s">
        <v>1546</v>
      </c>
      <c r="Z10" s="8" t="s">
        <v>1547</v>
      </c>
      <c r="AA10" s="8" t="s">
        <v>1548</v>
      </c>
      <c r="AB10" s="8" t="s">
        <v>1549</v>
      </c>
      <c r="AC10" s="8" t="s">
        <v>1550</v>
      </c>
      <c r="AD10" s="8" t="s">
        <v>1551</v>
      </c>
      <c r="AE10" s="8" t="s">
        <v>1552</v>
      </c>
      <c r="AF10" s="8" t="s">
        <v>1553</v>
      </c>
      <c r="AG10" s="8" t="s">
        <v>1554</v>
      </c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</row>
    <row r="11" spans="1:59" ht="16" customHeight="1" x14ac:dyDescent="0.45">
      <c r="B11" s="11"/>
      <c r="C11" s="11"/>
      <c r="D11" s="29"/>
      <c r="E11" s="29"/>
      <c r="F11" s="12"/>
      <c r="G11" s="12"/>
      <c r="H11" s="12"/>
      <c r="I11" s="12"/>
      <c r="J11" s="12"/>
      <c r="K11" s="29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</row>
    <row r="12" spans="1:59" ht="16" customHeight="1" x14ac:dyDescent="0.45">
      <c r="B12" s="14" t="s">
        <v>285</v>
      </c>
      <c r="C12" s="14" t="s">
        <v>286</v>
      </c>
      <c r="D12" s="61"/>
      <c r="E12" s="30">
        <v>3641.1020899999999</v>
      </c>
      <c r="F12" s="63"/>
      <c r="G12" s="15">
        <f t="shared" ref="G12:G43" si="0">SUM(K12:AG12)</f>
        <v>3641.1020899999999</v>
      </c>
      <c r="H12" s="63"/>
      <c r="I12" s="15">
        <f t="shared" ref="I12:I75" si="1">E12-G12</f>
        <v>0</v>
      </c>
      <c r="J12" s="63"/>
      <c r="K12" s="15">
        <v>1900.72622</v>
      </c>
      <c r="L12" s="15"/>
      <c r="M12" s="15">
        <v>0</v>
      </c>
      <c r="N12" s="15"/>
      <c r="O12" s="15"/>
      <c r="P12" s="15"/>
      <c r="Q12" s="15">
        <v>0</v>
      </c>
      <c r="R12" s="15"/>
      <c r="S12" s="15">
        <v>1736.6642999999999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>
        <v>3.71157</v>
      </c>
      <c r="AG12" s="15">
        <v>0</v>
      </c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</row>
    <row r="13" spans="1:59" ht="16" customHeight="1" x14ac:dyDescent="0.45">
      <c r="B13" s="14" t="s">
        <v>287</v>
      </c>
      <c r="C13" s="14" t="s">
        <v>288</v>
      </c>
      <c r="D13" s="61"/>
      <c r="E13" s="30"/>
      <c r="F13" s="63"/>
      <c r="G13" s="15">
        <f t="shared" si="0"/>
        <v>0</v>
      </c>
      <c r="H13" s="63"/>
      <c r="I13" s="15">
        <f t="shared" si="1"/>
        <v>0</v>
      </c>
      <c r="J13" s="63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</row>
    <row r="14" spans="1:59" ht="16" customHeight="1" x14ac:dyDescent="0.45">
      <c r="B14" s="14" t="s">
        <v>291</v>
      </c>
      <c r="C14" s="14" t="s">
        <v>292</v>
      </c>
      <c r="D14" s="61"/>
      <c r="E14" s="30"/>
      <c r="F14" s="63"/>
      <c r="G14" s="15">
        <f t="shared" si="0"/>
        <v>0</v>
      </c>
      <c r="H14" s="63"/>
      <c r="I14" s="15">
        <f t="shared" si="1"/>
        <v>0</v>
      </c>
      <c r="J14" s="63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</row>
    <row r="15" spans="1:59" ht="16" customHeight="1" x14ac:dyDescent="0.45">
      <c r="B15" s="14" t="s">
        <v>1268</v>
      </c>
      <c r="C15" s="14" t="s">
        <v>1269</v>
      </c>
      <c r="D15" s="61"/>
      <c r="E15" s="30"/>
      <c r="F15" s="63"/>
      <c r="G15" s="15">
        <f t="shared" si="0"/>
        <v>0</v>
      </c>
      <c r="H15" s="63"/>
      <c r="I15" s="15">
        <f t="shared" si="1"/>
        <v>0</v>
      </c>
      <c r="J15" s="63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</row>
    <row r="16" spans="1:59" ht="16" customHeight="1" x14ac:dyDescent="0.45">
      <c r="B16" s="14" t="s">
        <v>1270</v>
      </c>
      <c r="C16" s="14" t="s">
        <v>1271</v>
      </c>
      <c r="D16" s="61"/>
      <c r="E16" s="30"/>
      <c r="F16" s="63"/>
      <c r="G16" s="15">
        <f t="shared" si="0"/>
        <v>0</v>
      </c>
      <c r="H16" s="63"/>
      <c r="I16" s="15">
        <f t="shared" si="1"/>
        <v>0</v>
      </c>
      <c r="J16" s="63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</row>
    <row r="17" spans="2:48" ht="16" customHeight="1" x14ac:dyDescent="0.45">
      <c r="B17" s="14" t="s">
        <v>298</v>
      </c>
      <c r="C17" s="14" t="s">
        <v>299</v>
      </c>
      <c r="D17" s="61"/>
      <c r="E17" s="30">
        <v>0</v>
      </c>
      <c r="F17" s="63"/>
      <c r="G17" s="15">
        <f t="shared" si="0"/>
        <v>0</v>
      </c>
      <c r="H17" s="63"/>
      <c r="I17" s="15">
        <f t="shared" si="1"/>
        <v>0</v>
      </c>
      <c r="J17" s="63"/>
      <c r="K17" s="15"/>
      <c r="L17" s="15"/>
      <c r="M17" s="15"/>
      <c r="N17" s="15"/>
      <c r="O17" s="15"/>
      <c r="P17" s="15"/>
      <c r="Q17" s="15"/>
      <c r="R17" s="15"/>
      <c r="S17" s="15">
        <v>0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</row>
    <row r="18" spans="2:48" ht="16" customHeight="1" x14ac:dyDescent="0.45">
      <c r="B18" s="14" t="s">
        <v>1272</v>
      </c>
      <c r="C18" s="14" t="s">
        <v>1555</v>
      </c>
      <c r="D18" s="61"/>
      <c r="E18" s="30"/>
      <c r="F18" s="63"/>
      <c r="G18" s="15">
        <f t="shared" si="0"/>
        <v>0</v>
      </c>
      <c r="H18" s="63"/>
      <c r="I18" s="15">
        <f t="shared" si="1"/>
        <v>0</v>
      </c>
      <c r="J18" s="63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</row>
    <row r="19" spans="2:48" ht="16" customHeight="1" x14ac:dyDescent="0.45">
      <c r="B19" s="14" t="s">
        <v>1274</v>
      </c>
      <c r="C19" s="14" t="s">
        <v>1556</v>
      </c>
      <c r="D19" s="61"/>
      <c r="E19" s="30"/>
      <c r="F19" s="63"/>
      <c r="G19" s="15">
        <f t="shared" si="0"/>
        <v>0</v>
      </c>
      <c r="H19" s="63"/>
      <c r="I19" s="15">
        <f t="shared" si="1"/>
        <v>0</v>
      </c>
      <c r="J19" s="63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</row>
    <row r="20" spans="2:48" ht="16" customHeight="1" x14ac:dyDescent="0.35">
      <c r="B20" s="14" t="s">
        <v>1276</v>
      </c>
      <c r="C20" s="14" t="s">
        <v>1557</v>
      </c>
      <c r="D20" s="61"/>
      <c r="E20" s="30">
        <v>2138.56378</v>
      </c>
      <c r="F20" s="63"/>
      <c r="G20" s="15">
        <f t="shared" si="0"/>
        <v>2138.5637800000004</v>
      </c>
      <c r="H20" s="63"/>
      <c r="I20" s="15">
        <f t="shared" si="1"/>
        <v>0</v>
      </c>
      <c r="J20" s="63"/>
      <c r="K20" s="15">
        <v>2138.3217800000002</v>
      </c>
      <c r="L20" s="15"/>
      <c r="M20" s="15">
        <v>0</v>
      </c>
      <c r="N20" s="15"/>
      <c r="O20" s="15"/>
      <c r="P20" s="15"/>
      <c r="Q20" s="15"/>
      <c r="R20" s="15"/>
      <c r="S20" s="15"/>
      <c r="T20" s="15">
        <v>0.24199999999999999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</row>
    <row r="21" spans="2:48" ht="16" customHeight="1" x14ac:dyDescent="0.35">
      <c r="B21" s="14" t="s">
        <v>1278</v>
      </c>
      <c r="C21" s="14" t="s">
        <v>1558</v>
      </c>
      <c r="D21" s="61"/>
      <c r="E21" s="30"/>
      <c r="F21" s="63"/>
      <c r="G21" s="15">
        <f t="shared" si="0"/>
        <v>0</v>
      </c>
      <c r="H21" s="63"/>
      <c r="I21" s="15">
        <f t="shared" si="1"/>
        <v>0</v>
      </c>
      <c r="J21" s="63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2:48" ht="16" customHeight="1" x14ac:dyDescent="0.35">
      <c r="B22" s="14" t="s">
        <v>311</v>
      </c>
      <c r="C22" s="14" t="s">
        <v>312</v>
      </c>
      <c r="D22" s="61"/>
      <c r="E22" s="30">
        <v>6233.8064999999997</v>
      </c>
      <c r="F22" s="63"/>
      <c r="G22" s="15">
        <f t="shared" si="0"/>
        <v>6233.8064999999997</v>
      </c>
      <c r="H22" s="63"/>
      <c r="I22" s="15">
        <f t="shared" si="1"/>
        <v>0</v>
      </c>
      <c r="J22" s="63"/>
      <c r="K22" s="15">
        <v>6233.8064999999997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>
        <v>0</v>
      </c>
      <c r="AE22" s="15"/>
      <c r="AF22" s="15"/>
      <c r="AG22" s="15"/>
    </row>
    <row r="23" spans="2:48" ht="16" customHeight="1" x14ac:dyDescent="0.35">
      <c r="B23" s="14" t="s">
        <v>304</v>
      </c>
      <c r="C23" s="14" t="s">
        <v>1280</v>
      </c>
      <c r="D23" s="61"/>
      <c r="E23" s="30"/>
      <c r="F23" s="63"/>
      <c r="G23" s="15">
        <f t="shared" si="0"/>
        <v>0</v>
      </c>
      <c r="H23" s="63"/>
      <c r="I23" s="15">
        <f t="shared" si="1"/>
        <v>0</v>
      </c>
      <c r="J23" s="63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 spans="2:48" ht="16" customHeight="1" x14ac:dyDescent="0.35">
      <c r="B24" s="14" t="s">
        <v>306</v>
      </c>
      <c r="C24" s="14" t="s">
        <v>1281</v>
      </c>
      <c r="D24" s="61"/>
      <c r="E24" s="30"/>
      <c r="F24" s="63"/>
      <c r="G24" s="15">
        <f t="shared" si="0"/>
        <v>0</v>
      </c>
      <c r="H24" s="63"/>
      <c r="I24" s="15">
        <f t="shared" si="1"/>
        <v>0</v>
      </c>
      <c r="J24" s="63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 spans="2:48" ht="16" customHeight="1" x14ac:dyDescent="0.35">
      <c r="B25" s="14" t="s">
        <v>314</v>
      </c>
      <c r="C25" s="14" t="s">
        <v>1282</v>
      </c>
      <c r="D25" s="61"/>
      <c r="E25" s="30">
        <v>1524.81196</v>
      </c>
      <c r="F25" s="63"/>
      <c r="G25" s="15">
        <f t="shared" si="0"/>
        <v>1524.81197</v>
      </c>
      <c r="H25" s="63"/>
      <c r="I25" s="15">
        <f t="shared" si="1"/>
        <v>-9.9999999747524271E-6</v>
      </c>
      <c r="J25" s="63"/>
      <c r="K25" s="15">
        <v>1116.18912</v>
      </c>
      <c r="L25" s="15"/>
      <c r="M25" s="15"/>
      <c r="N25" s="15"/>
      <c r="O25" s="15"/>
      <c r="P25" s="15"/>
      <c r="Q25" s="15"/>
      <c r="R25" s="15"/>
      <c r="S25" s="15">
        <v>406.65647000000001</v>
      </c>
      <c r="T25" s="15"/>
      <c r="U25" s="15"/>
      <c r="V25" s="15"/>
      <c r="W25" s="15"/>
      <c r="X25" s="15"/>
      <c r="Y25" s="15"/>
      <c r="Z25" s="15"/>
      <c r="AA25" s="15"/>
      <c r="AB25" s="15"/>
      <c r="AC25" s="15">
        <v>3.2000000000000003E-4</v>
      </c>
      <c r="AD25" s="15">
        <v>1.96713</v>
      </c>
      <c r="AE25" s="15"/>
      <c r="AF25" s="15">
        <v>-1.07E-3</v>
      </c>
      <c r="AG25" s="15"/>
    </row>
    <row r="26" spans="2:48" ht="16" customHeight="1" x14ac:dyDescent="0.35">
      <c r="B26" s="14" t="s">
        <v>343</v>
      </c>
      <c r="C26" s="14" t="s">
        <v>1287</v>
      </c>
      <c r="D26" s="61"/>
      <c r="E26" s="30">
        <v>3977.9576200000001</v>
      </c>
      <c r="F26" s="63"/>
      <c r="G26" s="15">
        <f t="shared" si="0"/>
        <v>3977.95561</v>
      </c>
      <c r="H26" s="63"/>
      <c r="I26" s="15">
        <f t="shared" si="1"/>
        <v>2.0100000001548324E-3</v>
      </c>
      <c r="J26" s="63"/>
      <c r="K26" s="15">
        <v>4430.7061000000003</v>
      </c>
      <c r="L26" s="15"/>
      <c r="M26" s="15"/>
      <c r="N26" s="15"/>
      <c r="O26" s="15"/>
      <c r="P26" s="15"/>
      <c r="Q26" s="15"/>
      <c r="R26" s="15"/>
      <c r="S26" s="15">
        <v>-453.25538</v>
      </c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>
        <v>0.50636000000000003</v>
      </c>
      <c r="AE26" s="15"/>
      <c r="AF26" s="15">
        <v>-1.47E-3</v>
      </c>
      <c r="AG26" s="15"/>
    </row>
    <row r="27" spans="2:48" ht="16" customHeight="1" x14ac:dyDescent="0.35">
      <c r="B27" s="14" t="s">
        <v>316</v>
      </c>
      <c r="C27" s="14" t="s">
        <v>1283</v>
      </c>
      <c r="D27" s="61"/>
      <c r="E27" s="30">
        <v>0</v>
      </c>
      <c r="F27" s="63"/>
      <c r="G27" s="15">
        <f t="shared" si="0"/>
        <v>0</v>
      </c>
      <c r="H27" s="63"/>
      <c r="I27" s="15">
        <f t="shared" si="1"/>
        <v>0</v>
      </c>
      <c r="J27" s="63"/>
      <c r="K27" s="15">
        <v>0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>
        <v>0</v>
      </c>
      <c r="AG27" s="15"/>
    </row>
    <row r="28" spans="2:48" ht="16" customHeight="1" x14ac:dyDescent="0.35">
      <c r="B28" s="14" t="s">
        <v>320</v>
      </c>
      <c r="C28" s="14" t="s">
        <v>1284</v>
      </c>
      <c r="D28" s="61"/>
      <c r="E28" s="30"/>
      <c r="F28" s="63"/>
      <c r="G28" s="15">
        <f t="shared" si="0"/>
        <v>0</v>
      </c>
      <c r="H28" s="63"/>
      <c r="I28" s="15">
        <f t="shared" si="1"/>
        <v>0</v>
      </c>
      <c r="J28" s="63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29" spans="2:48" ht="16" customHeight="1" x14ac:dyDescent="0.35">
      <c r="B29" s="14" t="s">
        <v>322</v>
      </c>
      <c r="C29" s="14" t="s">
        <v>1285</v>
      </c>
      <c r="D29" s="61"/>
      <c r="E29" s="30">
        <v>-8754.4739100000006</v>
      </c>
      <c r="F29" s="63"/>
      <c r="G29" s="15">
        <f t="shared" si="0"/>
        <v>-8754.4739100000006</v>
      </c>
      <c r="H29" s="63"/>
      <c r="I29" s="15">
        <f t="shared" si="1"/>
        <v>0</v>
      </c>
      <c r="J29" s="63"/>
      <c r="K29" s="15">
        <v>-7892.0954000000002</v>
      </c>
      <c r="L29" s="15"/>
      <c r="M29" s="15">
        <v>0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>
        <v>-872.36622</v>
      </c>
      <c r="Y29" s="15"/>
      <c r="Z29" s="15"/>
      <c r="AA29" s="15"/>
      <c r="AB29" s="15"/>
      <c r="AC29" s="15"/>
      <c r="AD29" s="15">
        <v>9.9877099999999999</v>
      </c>
      <c r="AE29" s="15"/>
      <c r="AF29" s="15"/>
      <c r="AG29" s="15"/>
    </row>
    <row r="30" spans="2:48" ht="16" customHeight="1" x14ac:dyDescent="0.35">
      <c r="B30" s="14" t="s">
        <v>345</v>
      </c>
      <c r="C30" s="14" t="s">
        <v>1288</v>
      </c>
      <c r="D30" s="61"/>
      <c r="E30" s="30"/>
      <c r="F30" s="63"/>
      <c r="G30" s="15">
        <f t="shared" si="0"/>
        <v>0</v>
      </c>
      <c r="H30" s="63"/>
      <c r="I30" s="15">
        <f t="shared" si="1"/>
        <v>0</v>
      </c>
      <c r="J30" s="63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 spans="2:48" ht="16" customHeight="1" x14ac:dyDescent="0.35">
      <c r="B31" s="14" t="s">
        <v>347</v>
      </c>
      <c r="C31" s="14" t="s">
        <v>1289</v>
      </c>
      <c r="D31" s="61"/>
      <c r="E31" s="30">
        <v>1541.2628400000001</v>
      </c>
      <c r="F31" s="63"/>
      <c r="G31" s="15">
        <f t="shared" si="0"/>
        <v>1541.2628400000001</v>
      </c>
      <c r="H31" s="63"/>
      <c r="I31" s="15">
        <f t="shared" si="1"/>
        <v>0</v>
      </c>
      <c r="J31" s="63"/>
      <c r="K31" s="15">
        <v>897.98783000000003</v>
      </c>
      <c r="L31" s="15"/>
      <c r="M31" s="15">
        <v>0</v>
      </c>
      <c r="N31" s="15"/>
      <c r="O31" s="15"/>
      <c r="P31" s="15"/>
      <c r="Q31" s="15">
        <v>0</v>
      </c>
      <c r="R31" s="15"/>
      <c r="S31" s="15">
        <v>640.11814000000004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>
        <v>-1.0000000000000001E-5</v>
      </c>
      <c r="AE31" s="15"/>
      <c r="AF31" s="15">
        <v>3.1568800000000001</v>
      </c>
      <c r="AG31" s="15">
        <v>0</v>
      </c>
    </row>
    <row r="32" spans="2:48" ht="16" customHeight="1" x14ac:dyDescent="0.35">
      <c r="B32" s="14" t="s">
        <v>349</v>
      </c>
      <c r="C32" s="14" t="s">
        <v>1290</v>
      </c>
      <c r="D32" s="61"/>
      <c r="E32" s="30"/>
      <c r="F32" s="63"/>
      <c r="G32" s="15">
        <f t="shared" si="0"/>
        <v>0</v>
      </c>
      <c r="H32" s="63"/>
      <c r="I32" s="15">
        <f t="shared" si="1"/>
        <v>0</v>
      </c>
      <c r="J32" s="63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</row>
    <row r="33" spans="2:33" ht="16" customHeight="1" x14ac:dyDescent="0.35">
      <c r="B33" s="14" t="s">
        <v>351</v>
      </c>
      <c r="C33" s="14" t="s">
        <v>1291</v>
      </c>
      <c r="D33" s="61"/>
      <c r="E33" s="30"/>
      <c r="F33" s="63"/>
      <c r="G33" s="15">
        <f t="shared" si="0"/>
        <v>0</v>
      </c>
      <c r="H33" s="63"/>
      <c r="I33" s="15">
        <f t="shared" si="1"/>
        <v>0</v>
      </c>
      <c r="J33" s="63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 spans="2:33" ht="16" customHeight="1" x14ac:dyDescent="0.35">
      <c r="B34" s="14" t="s">
        <v>318</v>
      </c>
      <c r="C34" s="14" t="s">
        <v>1286</v>
      </c>
      <c r="D34" s="61"/>
      <c r="E34" s="30">
        <v>371003.11351</v>
      </c>
      <c r="F34" s="63"/>
      <c r="G34" s="15">
        <f t="shared" si="0"/>
        <v>371003.11351</v>
      </c>
      <c r="H34" s="63"/>
      <c r="I34" s="15">
        <f t="shared" si="1"/>
        <v>0</v>
      </c>
      <c r="J34" s="63"/>
      <c r="K34" s="15">
        <v>300732.76509</v>
      </c>
      <c r="L34" s="15"/>
      <c r="M34" s="15">
        <v>0</v>
      </c>
      <c r="N34" s="15"/>
      <c r="O34" s="15"/>
      <c r="P34" s="15"/>
      <c r="Q34" s="15">
        <v>0</v>
      </c>
      <c r="R34" s="15"/>
      <c r="S34" s="15">
        <v>70283.29535</v>
      </c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>
        <v>-9.9877099999999999</v>
      </c>
      <c r="AE34" s="15"/>
      <c r="AF34" s="15">
        <v>-2.9592200000000002</v>
      </c>
      <c r="AG34" s="15">
        <v>0</v>
      </c>
    </row>
    <row r="35" spans="2:33" ht="16" customHeight="1" x14ac:dyDescent="0.35">
      <c r="B35" s="14" t="s">
        <v>324</v>
      </c>
      <c r="C35" s="14" t="s">
        <v>325</v>
      </c>
      <c r="D35" s="61"/>
      <c r="E35" s="30">
        <v>269.54039999999998</v>
      </c>
      <c r="F35" s="63"/>
      <c r="G35" s="15">
        <f t="shared" si="0"/>
        <v>269.54040000000003</v>
      </c>
      <c r="H35" s="63"/>
      <c r="I35" s="15">
        <f t="shared" si="1"/>
        <v>0</v>
      </c>
      <c r="J35" s="63"/>
      <c r="K35" s="15">
        <v>471.61576000000002</v>
      </c>
      <c r="L35" s="15"/>
      <c r="M35" s="15"/>
      <c r="N35" s="15"/>
      <c r="O35" s="15"/>
      <c r="P35" s="15"/>
      <c r="Q35" s="15"/>
      <c r="R35" s="15"/>
      <c r="S35" s="15">
        <v>-203.26704000000001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>
        <v>1.1916800000000001</v>
      </c>
      <c r="AG35" s="15"/>
    </row>
    <row r="36" spans="2:33" ht="16" customHeight="1" x14ac:dyDescent="0.35">
      <c r="B36" s="14" t="s">
        <v>329</v>
      </c>
      <c r="C36" s="14" t="s">
        <v>330</v>
      </c>
      <c r="D36" s="61"/>
      <c r="E36" s="30">
        <v>46975.73934</v>
      </c>
      <c r="F36" s="63"/>
      <c r="G36" s="15">
        <f t="shared" si="0"/>
        <v>46975.73934</v>
      </c>
      <c r="H36" s="63"/>
      <c r="I36" s="15">
        <f t="shared" si="1"/>
        <v>0</v>
      </c>
      <c r="J36" s="63"/>
      <c r="K36" s="15">
        <v>52966.662069999998</v>
      </c>
      <c r="L36" s="15"/>
      <c r="M36" s="15"/>
      <c r="N36" s="15"/>
      <c r="O36" s="15"/>
      <c r="P36" s="15"/>
      <c r="Q36" s="15">
        <v>0</v>
      </c>
      <c r="R36" s="15"/>
      <c r="S36" s="15">
        <v>-5917.1197099999999</v>
      </c>
      <c r="T36" s="15"/>
      <c r="U36" s="15"/>
      <c r="V36" s="15"/>
      <c r="W36" s="15"/>
      <c r="X36" s="15"/>
      <c r="Y36" s="15"/>
      <c r="Z36" s="15"/>
      <c r="AA36" s="15"/>
      <c r="AB36" s="15">
        <v>-82.557109999999994</v>
      </c>
      <c r="AC36" s="15"/>
      <c r="AD36" s="15"/>
      <c r="AE36" s="15"/>
      <c r="AF36" s="15">
        <v>8.7540899999999997</v>
      </c>
      <c r="AG36" s="15">
        <v>0</v>
      </c>
    </row>
    <row r="37" spans="2:33" ht="16" customHeight="1" x14ac:dyDescent="0.35">
      <c r="B37" s="14" t="s">
        <v>333</v>
      </c>
      <c r="C37" s="14" t="s">
        <v>1559</v>
      </c>
      <c r="D37" s="61"/>
      <c r="E37" s="30">
        <v>213499.91732000001</v>
      </c>
      <c r="F37" s="63"/>
      <c r="G37" s="15">
        <f t="shared" si="0"/>
        <v>213499.91730999999</v>
      </c>
      <c r="H37" s="63"/>
      <c r="I37" s="15">
        <f t="shared" si="1"/>
        <v>1.0000017937272787E-5</v>
      </c>
      <c r="J37" s="63"/>
      <c r="K37" s="15">
        <v>201299.56060999999</v>
      </c>
      <c r="L37" s="15"/>
      <c r="M37" s="15">
        <v>0</v>
      </c>
      <c r="N37" s="15"/>
      <c r="O37" s="15"/>
      <c r="P37" s="15"/>
      <c r="Q37" s="15">
        <v>0</v>
      </c>
      <c r="R37" s="15"/>
      <c r="S37" s="15">
        <v>9482.0200299999997</v>
      </c>
      <c r="T37" s="15"/>
      <c r="U37" s="15"/>
      <c r="V37" s="15"/>
      <c r="W37" s="15"/>
      <c r="X37" s="15"/>
      <c r="Y37" s="15"/>
      <c r="Z37" s="15"/>
      <c r="AA37" s="15"/>
      <c r="AB37" s="15">
        <v>1932.0134499999999</v>
      </c>
      <c r="AC37" s="15"/>
      <c r="AD37" s="15">
        <v>750.74311999999998</v>
      </c>
      <c r="AE37" s="15"/>
      <c r="AF37" s="15">
        <v>35.580100000000002</v>
      </c>
      <c r="AG37" s="15">
        <v>0</v>
      </c>
    </row>
    <row r="38" spans="2:33" ht="16" customHeight="1" x14ac:dyDescent="0.35">
      <c r="B38" s="14" t="s">
        <v>331</v>
      </c>
      <c r="C38" s="14" t="s">
        <v>332</v>
      </c>
      <c r="D38" s="61"/>
      <c r="E38" s="30"/>
      <c r="F38" s="63"/>
      <c r="G38" s="15">
        <f t="shared" si="0"/>
        <v>0</v>
      </c>
      <c r="H38" s="63"/>
      <c r="I38" s="15">
        <f t="shared" si="1"/>
        <v>0</v>
      </c>
      <c r="J38" s="63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</row>
    <row r="39" spans="2:33" ht="16" customHeight="1" x14ac:dyDescent="0.35">
      <c r="B39" s="14" t="s">
        <v>335</v>
      </c>
      <c r="C39" s="14" t="s">
        <v>336</v>
      </c>
      <c r="D39" s="61"/>
      <c r="E39" s="30">
        <v>5.3106900000000001</v>
      </c>
      <c r="F39" s="63"/>
      <c r="G39" s="15">
        <f t="shared" si="0"/>
        <v>5.310690000000001</v>
      </c>
      <c r="H39" s="63"/>
      <c r="I39" s="15">
        <f t="shared" si="1"/>
        <v>0</v>
      </c>
      <c r="J39" s="63"/>
      <c r="K39" s="15">
        <v>7.7582500000000003</v>
      </c>
      <c r="L39" s="15"/>
      <c r="M39" s="15"/>
      <c r="N39" s="15"/>
      <c r="O39" s="15"/>
      <c r="P39" s="15"/>
      <c r="Q39" s="15">
        <v>0</v>
      </c>
      <c r="R39" s="15"/>
      <c r="S39" s="15">
        <v>-2.4714800000000001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>
        <v>2.392E-2</v>
      </c>
      <c r="AG39" s="15">
        <v>0</v>
      </c>
    </row>
    <row r="40" spans="2:33" ht="16" customHeight="1" x14ac:dyDescent="0.35">
      <c r="B40" s="14" t="s">
        <v>337</v>
      </c>
      <c r="C40" s="14" t="s">
        <v>338</v>
      </c>
      <c r="D40" s="61"/>
      <c r="E40" s="30">
        <v>16841.884099999999</v>
      </c>
      <c r="F40" s="63"/>
      <c r="G40" s="15">
        <f t="shared" si="0"/>
        <v>16841.884100000003</v>
      </c>
      <c r="H40" s="63"/>
      <c r="I40" s="15">
        <f t="shared" si="1"/>
        <v>0</v>
      </c>
      <c r="J40" s="63"/>
      <c r="K40" s="15">
        <v>15493.6828</v>
      </c>
      <c r="L40" s="15"/>
      <c r="M40" s="15">
        <v>0</v>
      </c>
      <c r="N40" s="15"/>
      <c r="O40" s="15"/>
      <c r="P40" s="15"/>
      <c r="Q40" s="15">
        <v>0</v>
      </c>
      <c r="R40" s="15"/>
      <c r="S40" s="15">
        <v>1467.9558</v>
      </c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>
        <v>-133.93713</v>
      </c>
      <c r="AE40" s="15"/>
      <c r="AF40" s="15">
        <v>14.18263</v>
      </c>
      <c r="AG40" s="15">
        <v>0</v>
      </c>
    </row>
    <row r="41" spans="2:33" ht="16" customHeight="1" x14ac:dyDescent="0.35">
      <c r="B41" s="14" t="s">
        <v>339</v>
      </c>
      <c r="C41" s="14" t="s">
        <v>340</v>
      </c>
      <c r="D41" s="61"/>
      <c r="E41" s="30">
        <v>12.2</v>
      </c>
      <c r="F41" s="63"/>
      <c r="G41" s="15">
        <f t="shared" si="0"/>
        <v>12.199999999999989</v>
      </c>
      <c r="H41" s="63"/>
      <c r="I41" s="15">
        <f t="shared" si="1"/>
        <v>0</v>
      </c>
      <c r="J41" s="63"/>
      <c r="K41" s="15">
        <v>483.13499999999999</v>
      </c>
      <c r="L41" s="15"/>
      <c r="M41" s="15"/>
      <c r="N41" s="15"/>
      <c r="O41" s="15"/>
      <c r="P41" s="15"/>
      <c r="Q41" s="15"/>
      <c r="R41" s="15"/>
      <c r="S41" s="15">
        <v>-470.935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 spans="2:33" ht="16" customHeight="1" x14ac:dyDescent="0.35">
      <c r="B42" s="14" t="s">
        <v>1292</v>
      </c>
      <c r="C42" s="14" t="s">
        <v>1293</v>
      </c>
      <c r="D42" s="61"/>
      <c r="E42" s="30"/>
      <c r="F42" s="63"/>
      <c r="G42" s="15">
        <f t="shared" si="0"/>
        <v>0</v>
      </c>
      <c r="H42" s="63"/>
      <c r="I42" s="15">
        <f t="shared" si="1"/>
        <v>0</v>
      </c>
      <c r="J42" s="63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spans="2:33" ht="16" customHeight="1" x14ac:dyDescent="0.35">
      <c r="B43" s="14" t="s">
        <v>1294</v>
      </c>
      <c r="C43" s="14" t="s">
        <v>1295</v>
      </c>
      <c r="D43" s="61"/>
      <c r="E43" s="30"/>
      <c r="F43" s="63"/>
      <c r="G43" s="15">
        <f t="shared" si="0"/>
        <v>0</v>
      </c>
      <c r="H43" s="63"/>
      <c r="I43" s="15">
        <f t="shared" si="1"/>
        <v>0</v>
      </c>
      <c r="J43" s="63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</row>
    <row r="44" spans="2:33" ht="16" customHeight="1" x14ac:dyDescent="0.35">
      <c r="B44" s="14" t="s">
        <v>1296</v>
      </c>
      <c r="C44" s="14" t="s">
        <v>1297</v>
      </c>
      <c r="D44" s="61"/>
      <c r="E44" s="30"/>
      <c r="F44" s="63"/>
      <c r="G44" s="15">
        <f t="shared" ref="G44:G107" si="2">SUM(K44:AG44)</f>
        <v>0</v>
      </c>
      <c r="H44" s="63"/>
      <c r="I44" s="15">
        <f t="shared" si="1"/>
        <v>0</v>
      </c>
      <c r="J44" s="63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spans="2:33" ht="16" customHeight="1" x14ac:dyDescent="0.35">
      <c r="B45" s="14" t="s">
        <v>1298</v>
      </c>
      <c r="C45" s="14" t="s">
        <v>1299</v>
      </c>
      <c r="D45" s="61"/>
      <c r="E45" s="30"/>
      <c r="F45" s="63"/>
      <c r="G45" s="15">
        <f t="shared" si="2"/>
        <v>0</v>
      </c>
      <c r="H45" s="63"/>
      <c r="I45" s="15">
        <f t="shared" si="1"/>
        <v>0</v>
      </c>
      <c r="J45" s="63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</row>
    <row r="46" spans="2:33" ht="16" customHeight="1" x14ac:dyDescent="0.35">
      <c r="B46" s="14" t="s">
        <v>1300</v>
      </c>
      <c r="C46" s="14" t="s">
        <v>1301</v>
      </c>
      <c r="D46" s="61"/>
      <c r="E46" s="30"/>
      <c r="F46" s="63"/>
      <c r="G46" s="15">
        <f t="shared" si="2"/>
        <v>0</v>
      </c>
      <c r="H46" s="63"/>
      <c r="I46" s="15">
        <f t="shared" si="1"/>
        <v>0</v>
      </c>
      <c r="J46" s="63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</row>
    <row r="47" spans="2:33" ht="16" customHeight="1" x14ac:dyDescent="0.35">
      <c r="B47" s="14" t="s">
        <v>1302</v>
      </c>
      <c r="C47" s="14" t="s">
        <v>1303</v>
      </c>
      <c r="D47" s="61"/>
      <c r="E47" s="30"/>
      <c r="F47" s="63"/>
      <c r="G47" s="15">
        <f t="shared" si="2"/>
        <v>0</v>
      </c>
      <c r="H47" s="63"/>
      <c r="I47" s="15">
        <f t="shared" si="1"/>
        <v>0</v>
      </c>
      <c r="J47" s="63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</row>
    <row r="48" spans="2:33" ht="16" customHeight="1" x14ac:dyDescent="0.35">
      <c r="B48" s="14" t="s">
        <v>359</v>
      </c>
      <c r="C48" s="14" t="s">
        <v>1560</v>
      </c>
      <c r="D48" s="61"/>
      <c r="E48" s="30">
        <v>17103.491839999999</v>
      </c>
      <c r="F48" s="63"/>
      <c r="G48" s="15">
        <f t="shared" si="2"/>
        <v>17103.491839999999</v>
      </c>
      <c r="H48" s="63"/>
      <c r="I48" s="15">
        <f t="shared" si="1"/>
        <v>0</v>
      </c>
      <c r="J48" s="63"/>
      <c r="K48" s="15">
        <v>21617.629949999999</v>
      </c>
      <c r="L48" s="15"/>
      <c r="M48" s="15">
        <v>0</v>
      </c>
      <c r="N48" s="15"/>
      <c r="O48" s="15"/>
      <c r="P48" s="15"/>
      <c r="Q48" s="15">
        <v>0</v>
      </c>
      <c r="R48" s="15"/>
      <c r="S48" s="15">
        <v>-4463.6740099999997</v>
      </c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>
        <v>-51.319499999999998</v>
      </c>
      <c r="AE48" s="15"/>
      <c r="AF48" s="15">
        <v>0.85540000000000005</v>
      </c>
      <c r="AG48" s="15">
        <v>0</v>
      </c>
    </row>
    <row r="49" spans="2:33" ht="16" customHeight="1" x14ac:dyDescent="0.35">
      <c r="B49" s="14" t="s">
        <v>1304</v>
      </c>
      <c r="C49" s="14" t="s">
        <v>1305</v>
      </c>
      <c r="D49" s="61"/>
      <c r="E49" s="30"/>
      <c r="F49" s="63"/>
      <c r="G49" s="15">
        <f t="shared" si="2"/>
        <v>0</v>
      </c>
      <c r="H49" s="63"/>
      <c r="I49" s="15">
        <f t="shared" si="1"/>
        <v>0</v>
      </c>
      <c r="J49" s="63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</row>
    <row r="50" spans="2:33" ht="16" customHeight="1" x14ac:dyDescent="0.35">
      <c r="B50" s="14" t="s">
        <v>1306</v>
      </c>
      <c r="C50" s="14" t="s">
        <v>1307</v>
      </c>
      <c r="D50" s="61"/>
      <c r="E50" s="30"/>
      <c r="F50" s="63"/>
      <c r="G50" s="15">
        <f t="shared" si="2"/>
        <v>0</v>
      </c>
      <c r="H50" s="63"/>
      <c r="I50" s="15">
        <f t="shared" si="1"/>
        <v>0</v>
      </c>
      <c r="J50" s="63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 spans="2:33" ht="16" customHeight="1" x14ac:dyDescent="0.35">
      <c r="B51" s="14" t="s">
        <v>1308</v>
      </c>
      <c r="C51" s="14" t="s">
        <v>1309</v>
      </c>
      <c r="D51" s="61"/>
      <c r="E51" s="30"/>
      <c r="F51" s="63"/>
      <c r="G51" s="15">
        <f t="shared" si="2"/>
        <v>0</v>
      </c>
      <c r="H51" s="63"/>
      <c r="I51" s="15">
        <f t="shared" si="1"/>
        <v>0</v>
      </c>
      <c r="J51" s="63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</row>
    <row r="52" spans="2:33" ht="16" customHeight="1" x14ac:dyDescent="0.35">
      <c r="B52" s="14" t="s">
        <v>1310</v>
      </c>
      <c r="C52" s="14" t="s">
        <v>1311</v>
      </c>
      <c r="D52" s="61"/>
      <c r="E52" s="30"/>
      <c r="F52" s="63"/>
      <c r="G52" s="15">
        <f t="shared" si="2"/>
        <v>0</v>
      </c>
      <c r="H52" s="63"/>
      <c r="I52" s="15">
        <f t="shared" si="1"/>
        <v>0</v>
      </c>
      <c r="J52" s="63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</row>
    <row r="53" spans="2:33" ht="16" customHeight="1" x14ac:dyDescent="0.35">
      <c r="B53" s="14" t="s">
        <v>1312</v>
      </c>
      <c r="C53" s="14" t="s">
        <v>1313</v>
      </c>
      <c r="D53" s="61"/>
      <c r="E53" s="30"/>
      <c r="F53" s="63"/>
      <c r="G53" s="15">
        <f t="shared" si="2"/>
        <v>0</v>
      </c>
      <c r="H53" s="63"/>
      <c r="I53" s="15">
        <f t="shared" si="1"/>
        <v>0</v>
      </c>
      <c r="J53" s="63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 spans="2:33" ht="16" customHeight="1" x14ac:dyDescent="0.35">
      <c r="B54" s="14" t="s">
        <v>1314</v>
      </c>
      <c r="C54" s="14" t="s">
        <v>1315</v>
      </c>
      <c r="D54" s="61"/>
      <c r="E54" s="30"/>
      <c r="F54" s="63"/>
      <c r="G54" s="15">
        <f t="shared" si="2"/>
        <v>0</v>
      </c>
      <c r="H54" s="63"/>
      <c r="I54" s="15">
        <f t="shared" si="1"/>
        <v>0</v>
      </c>
      <c r="J54" s="63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</row>
    <row r="55" spans="2:33" ht="16" customHeight="1" x14ac:dyDescent="0.35">
      <c r="B55" s="14" t="s">
        <v>1316</v>
      </c>
      <c r="C55" s="14" t="s">
        <v>1317</v>
      </c>
      <c r="D55" s="61"/>
      <c r="E55" s="30"/>
      <c r="F55" s="63"/>
      <c r="G55" s="15">
        <f t="shared" si="2"/>
        <v>0</v>
      </c>
      <c r="H55" s="63"/>
      <c r="I55" s="15">
        <f t="shared" si="1"/>
        <v>0</v>
      </c>
      <c r="J55" s="63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</row>
    <row r="56" spans="2:33" ht="16" customHeight="1" x14ac:dyDescent="0.35">
      <c r="B56" s="14" t="s">
        <v>361</v>
      </c>
      <c r="C56" s="14" t="s">
        <v>1318</v>
      </c>
      <c r="D56" s="61"/>
      <c r="E56" s="30">
        <v>245.958</v>
      </c>
      <c r="F56" s="63"/>
      <c r="G56" s="15">
        <f t="shared" si="2"/>
        <v>245.958</v>
      </c>
      <c r="H56" s="63"/>
      <c r="I56" s="15">
        <f t="shared" si="1"/>
        <v>0</v>
      </c>
      <c r="J56" s="63"/>
      <c r="K56" s="15">
        <v>166.1</v>
      </c>
      <c r="L56" s="15"/>
      <c r="M56" s="15">
        <v>0</v>
      </c>
      <c r="N56" s="15"/>
      <c r="O56" s="15"/>
      <c r="P56" s="15"/>
      <c r="Q56" s="15"/>
      <c r="R56" s="15"/>
      <c r="S56" s="15">
        <v>79.858000000000004</v>
      </c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2:33" ht="16" customHeight="1" x14ac:dyDescent="0.35">
      <c r="B57" s="14" t="s">
        <v>368</v>
      </c>
      <c r="C57" s="14" t="s">
        <v>1561</v>
      </c>
      <c r="D57" s="61"/>
      <c r="E57" s="30"/>
      <c r="F57" s="63"/>
      <c r="G57" s="15">
        <f t="shared" si="2"/>
        <v>0</v>
      </c>
      <c r="H57" s="63"/>
      <c r="I57" s="15">
        <f t="shared" si="1"/>
        <v>0</v>
      </c>
      <c r="J57" s="63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spans="2:33" ht="16" customHeight="1" x14ac:dyDescent="0.35">
      <c r="B58" s="14" t="s">
        <v>363</v>
      </c>
      <c r="C58" s="14" t="s">
        <v>364</v>
      </c>
      <c r="D58" s="61"/>
      <c r="E58" s="30">
        <v>13845.00405</v>
      </c>
      <c r="F58" s="63"/>
      <c r="G58" s="15">
        <f t="shared" si="2"/>
        <v>13845.00405</v>
      </c>
      <c r="H58" s="63"/>
      <c r="I58" s="15">
        <f t="shared" si="1"/>
        <v>0</v>
      </c>
      <c r="J58" s="63"/>
      <c r="K58" s="15">
        <v>8818.4189499999993</v>
      </c>
      <c r="L58" s="15"/>
      <c r="M58" s="15"/>
      <c r="N58" s="15"/>
      <c r="O58" s="15"/>
      <c r="P58" s="15"/>
      <c r="Q58" s="15"/>
      <c r="R58" s="15"/>
      <c r="S58" s="15">
        <v>5026.5851000000002</v>
      </c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spans="2:33" ht="16" customHeight="1" x14ac:dyDescent="0.35">
      <c r="B59" s="14" t="s">
        <v>1320</v>
      </c>
      <c r="C59" s="14" t="s">
        <v>375</v>
      </c>
      <c r="D59" s="61"/>
      <c r="E59" s="30">
        <v>7.1000000000000002E-4</v>
      </c>
      <c r="F59" s="63"/>
      <c r="G59" s="15">
        <f t="shared" si="2"/>
        <v>7.1000000000000002E-4</v>
      </c>
      <c r="H59" s="63"/>
      <c r="I59" s="15">
        <f t="shared" si="1"/>
        <v>0</v>
      </c>
      <c r="J59" s="63"/>
      <c r="K59" s="15">
        <v>7.1000000000000002E-4</v>
      </c>
      <c r="L59" s="15"/>
      <c r="M59" s="15"/>
      <c r="N59" s="15"/>
      <c r="O59" s="15"/>
      <c r="P59" s="15"/>
      <c r="Q59" s="15"/>
      <c r="R59" s="15"/>
      <c r="S59" s="15"/>
      <c r="T59" s="15">
        <v>0</v>
      </c>
      <c r="U59" s="15"/>
      <c r="V59" s="15"/>
      <c r="W59" s="15"/>
      <c r="X59" s="15"/>
      <c r="Y59" s="15"/>
      <c r="Z59" s="15"/>
      <c r="AA59" s="15"/>
      <c r="AB59" s="15"/>
      <c r="AC59" s="15"/>
      <c r="AD59" s="15">
        <v>0</v>
      </c>
      <c r="AE59" s="15"/>
      <c r="AF59" s="15"/>
      <c r="AG59" s="15"/>
    </row>
    <row r="60" spans="2:33" ht="16" customHeight="1" x14ac:dyDescent="0.35">
      <c r="B60" s="14" t="s">
        <v>1321</v>
      </c>
      <c r="C60" s="14" t="s">
        <v>1322</v>
      </c>
      <c r="D60" s="61"/>
      <c r="E60" s="30"/>
      <c r="F60" s="63"/>
      <c r="G60" s="15">
        <f t="shared" si="2"/>
        <v>0</v>
      </c>
      <c r="H60" s="63"/>
      <c r="I60" s="15">
        <f t="shared" si="1"/>
        <v>0</v>
      </c>
      <c r="J60" s="63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</row>
    <row r="61" spans="2:33" ht="16" customHeight="1" x14ac:dyDescent="0.35">
      <c r="B61" s="14" t="s">
        <v>1323</v>
      </c>
      <c r="C61" s="14" t="s">
        <v>1324</v>
      </c>
      <c r="D61" s="61"/>
      <c r="E61" s="30">
        <v>-2488790.3199999998</v>
      </c>
      <c r="F61" s="63"/>
      <c r="G61" s="15">
        <f t="shared" si="2"/>
        <v>-2488790.3199999998</v>
      </c>
      <c r="H61" s="63"/>
      <c r="I61" s="15">
        <f t="shared" si="1"/>
        <v>0</v>
      </c>
      <c r="J61" s="63"/>
      <c r="K61" s="15">
        <v>-2488790.3199999998</v>
      </c>
      <c r="L61" s="15"/>
      <c r="M61" s="15">
        <v>0</v>
      </c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>
        <v>0</v>
      </c>
      <c r="AD61" s="15"/>
      <c r="AE61" s="15"/>
      <c r="AF61" s="15"/>
      <c r="AG61" s="15"/>
    </row>
    <row r="62" spans="2:33" ht="16" customHeight="1" x14ac:dyDescent="0.35">
      <c r="B62" s="14" t="s">
        <v>1325</v>
      </c>
      <c r="C62" s="14" t="s">
        <v>1326</v>
      </c>
      <c r="D62" s="61"/>
      <c r="E62" s="30">
        <v>2488790.3199999998</v>
      </c>
      <c r="F62" s="63"/>
      <c r="G62" s="15">
        <f t="shared" si="2"/>
        <v>2488790.3199999998</v>
      </c>
      <c r="H62" s="63"/>
      <c r="I62" s="15">
        <f t="shared" si="1"/>
        <v>0</v>
      </c>
      <c r="J62" s="63"/>
      <c r="K62" s="15">
        <v>2488790.3199999998</v>
      </c>
      <c r="L62" s="15"/>
      <c r="M62" s="15"/>
      <c r="N62" s="15"/>
      <c r="O62" s="15"/>
      <c r="P62" s="15"/>
      <c r="Q62" s="15"/>
      <c r="R62" s="15"/>
      <c r="S62" s="15"/>
      <c r="T62" s="15">
        <v>0</v>
      </c>
      <c r="U62" s="15"/>
      <c r="V62" s="15"/>
      <c r="W62" s="15"/>
      <c r="X62" s="15"/>
      <c r="Y62" s="15"/>
      <c r="Z62" s="15"/>
      <c r="AA62" s="15"/>
      <c r="AB62" s="15"/>
      <c r="AC62" s="15"/>
      <c r="AD62" s="15">
        <v>0</v>
      </c>
      <c r="AE62" s="15"/>
      <c r="AF62" s="15"/>
      <c r="AG62" s="15"/>
    </row>
    <row r="63" spans="2:33" ht="16" customHeight="1" x14ac:dyDescent="0.35">
      <c r="B63" s="14" t="s">
        <v>391</v>
      </c>
      <c r="C63" s="14" t="s">
        <v>392</v>
      </c>
      <c r="D63" s="61"/>
      <c r="E63" s="30">
        <v>0</v>
      </c>
      <c r="F63" s="63"/>
      <c r="G63" s="15">
        <f t="shared" si="2"/>
        <v>0</v>
      </c>
      <c r="H63" s="63"/>
      <c r="I63" s="15">
        <f t="shared" si="1"/>
        <v>0</v>
      </c>
      <c r="J63" s="63"/>
      <c r="K63" s="15">
        <v>0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</row>
    <row r="64" spans="2:33" ht="16" customHeight="1" x14ac:dyDescent="0.35">
      <c r="B64" s="14" t="s">
        <v>393</v>
      </c>
      <c r="C64" s="14" t="s">
        <v>394</v>
      </c>
      <c r="D64" s="61"/>
      <c r="E64" s="30"/>
      <c r="F64" s="63"/>
      <c r="G64" s="15">
        <f t="shared" si="2"/>
        <v>0</v>
      </c>
      <c r="H64" s="63"/>
      <c r="I64" s="15">
        <f t="shared" si="1"/>
        <v>0</v>
      </c>
      <c r="J64" s="63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</row>
    <row r="65" spans="2:33" ht="16" customHeight="1" x14ac:dyDescent="0.35">
      <c r="B65" s="14" t="s">
        <v>1327</v>
      </c>
      <c r="C65" s="14" t="s">
        <v>1562</v>
      </c>
      <c r="D65" s="61"/>
      <c r="E65" s="30"/>
      <c r="F65" s="63"/>
      <c r="G65" s="15">
        <f t="shared" si="2"/>
        <v>0</v>
      </c>
      <c r="H65" s="63"/>
      <c r="I65" s="15">
        <f t="shared" si="1"/>
        <v>0</v>
      </c>
      <c r="J65" s="63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</row>
    <row r="66" spans="2:33" ht="16" customHeight="1" x14ac:dyDescent="0.35">
      <c r="B66" s="14" t="s">
        <v>1329</v>
      </c>
      <c r="C66" s="14" t="s">
        <v>1563</v>
      </c>
      <c r="D66" s="61"/>
      <c r="E66" s="30"/>
      <c r="F66" s="63"/>
      <c r="G66" s="15">
        <f t="shared" si="2"/>
        <v>0</v>
      </c>
      <c r="H66" s="63"/>
      <c r="I66" s="15">
        <f t="shared" si="1"/>
        <v>0</v>
      </c>
      <c r="J66" s="63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</row>
    <row r="67" spans="2:33" ht="16" customHeight="1" x14ac:dyDescent="0.35">
      <c r="B67" s="14" t="s">
        <v>378</v>
      </c>
      <c r="C67" s="14" t="s">
        <v>379</v>
      </c>
      <c r="D67" s="61"/>
      <c r="E67" s="30">
        <v>525002.31137999997</v>
      </c>
      <c r="F67" s="63"/>
      <c r="G67" s="15">
        <f t="shared" si="2"/>
        <v>525002.31137999997</v>
      </c>
      <c r="H67" s="63"/>
      <c r="I67" s="15">
        <f t="shared" si="1"/>
        <v>0</v>
      </c>
      <c r="J67" s="63"/>
      <c r="K67" s="15">
        <v>512785.33191000001</v>
      </c>
      <c r="L67" s="15"/>
      <c r="M67" s="15"/>
      <c r="N67" s="15"/>
      <c r="O67" s="15"/>
      <c r="P67" s="15"/>
      <c r="Q67" s="15"/>
      <c r="R67" s="15"/>
      <c r="S67" s="15">
        <v>10120.22546</v>
      </c>
      <c r="T67" s="15"/>
      <c r="U67" s="15"/>
      <c r="V67" s="15"/>
      <c r="W67" s="15"/>
      <c r="X67" s="15"/>
      <c r="Y67" s="15"/>
      <c r="Z67" s="15"/>
      <c r="AA67" s="15"/>
      <c r="AB67" s="15"/>
      <c r="AC67" s="15">
        <v>0</v>
      </c>
      <c r="AD67" s="15">
        <v>-0.23091999999999999</v>
      </c>
      <c r="AE67" s="15"/>
      <c r="AF67" s="15">
        <v>2096.9849300000001</v>
      </c>
      <c r="AG67" s="15"/>
    </row>
    <row r="68" spans="2:33" ht="16" customHeight="1" x14ac:dyDescent="0.35">
      <c r="B68" s="14" t="s">
        <v>1331</v>
      </c>
      <c r="C68" s="14" t="s">
        <v>1564</v>
      </c>
      <c r="D68" s="61"/>
      <c r="E68" s="30"/>
      <c r="F68" s="63"/>
      <c r="G68" s="15">
        <f t="shared" si="2"/>
        <v>0</v>
      </c>
      <c r="H68" s="63"/>
      <c r="I68" s="15">
        <f t="shared" si="1"/>
        <v>0</v>
      </c>
      <c r="J68" s="63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 spans="2:33" ht="16" customHeight="1" x14ac:dyDescent="0.35">
      <c r="B69" s="14" t="s">
        <v>1333</v>
      </c>
      <c r="C69" s="14" t="s">
        <v>1565</v>
      </c>
      <c r="D69" s="61"/>
      <c r="E69" s="30"/>
      <c r="F69" s="63"/>
      <c r="G69" s="15">
        <f t="shared" si="2"/>
        <v>0</v>
      </c>
      <c r="H69" s="63"/>
      <c r="I69" s="15">
        <f t="shared" si="1"/>
        <v>0</v>
      </c>
      <c r="J69" s="63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</row>
    <row r="70" spans="2:33" ht="16" customHeight="1" x14ac:dyDescent="0.35">
      <c r="B70" s="14" t="s">
        <v>1335</v>
      </c>
      <c r="C70" s="14" t="s">
        <v>1336</v>
      </c>
      <c r="D70" s="61"/>
      <c r="E70" s="30"/>
      <c r="F70" s="63"/>
      <c r="G70" s="15">
        <f t="shared" si="2"/>
        <v>0</v>
      </c>
      <c r="H70" s="63"/>
      <c r="I70" s="15">
        <f t="shared" si="1"/>
        <v>0</v>
      </c>
      <c r="J70" s="63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</row>
    <row r="71" spans="2:33" ht="16" customHeight="1" x14ac:dyDescent="0.35">
      <c r="B71" s="14" t="s">
        <v>1337</v>
      </c>
      <c r="C71" s="14" t="s">
        <v>1566</v>
      </c>
      <c r="D71" s="61"/>
      <c r="E71" s="30"/>
      <c r="F71" s="63"/>
      <c r="G71" s="15">
        <f t="shared" si="2"/>
        <v>0</v>
      </c>
      <c r="H71" s="63"/>
      <c r="I71" s="15">
        <f t="shared" si="1"/>
        <v>0</v>
      </c>
      <c r="J71" s="63"/>
      <c r="K71" s="15">
        <v>125</v>
      </c>
      <c r="L71" s="15"/>
      <c r="M71" s="15"/>
      <c r="N71" s="15"/>
      <c r="O71" s="15"/>
      <c r="P71" s="15"/>
      <c r="Q71" s="15"/>
      <c r="R71" s="15"/>
      <c r="S71" s="15"/>
      <c r="T71" s="15">
        <v>-125</v>
      </c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 spans="2:33" ht="16" customHeight="1" x14ac:dyDescent="0.35">
      <c r="B72" s="14" t="s">
        <v>1339</v>
      </c>
      <c r="C72" s="14" t="s">
        <v>1567</v>
      </c>
      <c r="D72" s="61"/>
      <c r="E72" s="30"/>
      <c r="F72" s="63"/>
      <c r="G72" s="15">
        <f t="shared" si="2"/>
        <v>0</v>
      </c>
      <c r="H72" s="63"/>
      <c r="I72" s="15">
        <f t="shared" si="1"/>
        <v>0</v>
      </c>
      <c r="J72" s="63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</row>
    <row r="73" spans="2:33" ht="16" customHeight="1" x14ac:dyDescent="0.35">
      <c r="B73" s="14" t="s">
        <v>1341</v>
      </c>
      <c r="C73" s="14" t="s">
        <v>1568</v>
      </c>
      <c r="D73" s="61"/>
      <c r="E73" s="30"/>
      <c r="F73" s="63"/>
      <c r="G73" s="15">
        <f t="shared" si="2"/>
        <v>0</v>
      </c>
      <c r="H73" s="63"/>
      <c r="I73" s="15">
        <f t="shared" si="1"/>
        <v>0</v>
      </c>
      <c r="J73" s="63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</row>
    <row r="74" spans="2:33" ht="16" customHeight="1" x14ac:dyDescent="0.35">
      <c r="B74" s="14" t="s">
        <v>397</v>
      </c>
      <c r="C74" s="14" t="s">
        <v>1569</v>
      </c>
      <c r="D74" s="61"/>
      <c r="E74" s="30">
        <v>1595.63356</v>
      </c>
      <c r="F74" s="63"/>
      <c r="G74" s="15">
        <f t="shared" si="2"/>
        <v>1595.63356</v>
      </c>
      <c r="H74" s="63"/>
      <c r="I74" s="15">
        <f t="shared" si="1"/>
        <v>0</v>
      </c>
      <c r="J74" s="63"/>
      <c r="K74" s="15">
        <v>1595.63356</v>
      </c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>
        <v>0</v>
      </c>
      <c r="AE74" s="15"/>
      <c r="AF74" s="15"/>
      <c r="AG74" s="15"/>
    </row>
    <row r="75" spans="2:33" ht="16" customHeight="1" x14ac:dyDescent="0.35">
      <c r="B75" s="14" t="s">
        <v>400</v>
      </c>
      <c r="C75" s="14" t="s">
        <v>401</v>
      </c>
      <c r="D75" s="61"/>
      <c r="E75" s="30">
        <v>2180719.2922700001</v>
      </c>
      <c r="F75" s="63"/>
      <c r="G75" s="15">
        <f t="shared" si="2"/>
        <v>2180719.2922699996</v>
      </c>
      <c r="H75" s="63"/>
      <c r="I75" s="15">
        <f t="shared" si="1"/>
        <v>0</v>
      </c>
      <c r="J75" s="63"/>
      <c r="K75" s="15">
        <v>2177048.29843</v>
      </c>
      <c r="L75" s="15"/>
      <c r="M75" s="15">
        <v>0</v>
      </c>
      <c r="N75" s="15"/>
      <c r="O75" s="15"/>
      <c r="P75" s="15"/>
      <c r="Q75" s="15">
        <v>0</v>
      </c>
      <c r="R75" s="15"/>
      <c r="S75" s="15"/>
      <c r="T75" s="15"/>
      <c r="U75" s="15"/>
      <c r="V75" s="15"/>
      <c r="W75" s="15"/>
      <c r="X75" s="15"/>
      <c r="Y75" s="15">
        <v>0</v>
      </c>
      <c r="Z75" s="15"/>
      <c r="AA75" s="15"/>
      <c r="AB75" s="15"/>
      <c r="AC75" s="15">
        <v>3538.5704300000002</v>
      </c>
      <c r="AD75" s="15">
        <v>0</v>
      </c>
      <c r="AE75" s="15"/>
      <c r="AF75" s="15">
        <v>132.42340999999999</v>
      </c>
      <c r="AG75" s="15">
        <v>0</v>
      </c>
    </row>
    <row r="76" spans="2:33" ht="16" customHeight="1" x14ac:dyDescent="0.35">
      <c r="B76" s="14" t="s">
        <v>402</v>
      </c>
      <c r="C76" s="14" t="s">
        <v>1343</v>
      </c>
      <c r="D76" s="61"/>
      <c r="E76" s="30">
        <v>-828671.98026999994</v>
      </c>
      <c r="F76" s="63"/>
      <c r="G76" s="15">
        <f t="shared" si="2"/>
        <v>-828671.98025999998</v>
      </c>
      <c r="H76" s="63"/>
      <c r="I76" s="15">
        <f t="shared" ref="I76:I120" si="3">E76-G76</f>
        <v>-9.9999597296118736E-6</v>
      </c>
      <c r="J76" s="63"/>
      <c r="K76" s="15">
        <v>-820821.27974999999</v>
      </c>
      <c r="L76" s="15"/>
      <c r="M76" s="15">
        <v>0</v>
      </c>
      <c r="N76" s="15"/>
      <c r="O76" s="15"/>
      <c r="P76" s="15"/>
      <c r="Q76" s="15">
        <v>0</v>
      </c>
      <c r="R76" s="15"/>
      <c r="S76" s="15"/>
      <c r="T76" s="15"/>
      <c r="U76" s="15"/>
      <c r="V76" s="15"/>
      <c r="W76" s="15"/>
      <c r="X76" s="15">
        <v>-7827.1511300000002</v>
      </c>
      <c r="Y76" s="15">
        <v>0</v>
      </c>
      <c r="Z76" s="15"/>
      <c r="AA76" s="15"/>
      <c r="AB76" s="15"/>
      <c r="AC76" s="15"/>
      <c r="AD76" s="15">
        <v>0</v>
      </c>
      <c r="AE76" s="15"/>
      <c r="AF76" s="15">
        <v>-23.549379999999999</v>
      </c>
      <c r="AG76" s="15">
        <v>0</v>
      </c>
    </row>
    <row r="77" spans="2:33" ht="16" customHeight="1" x14ac:dyDescent="0.35">
      <c r="B77" s="14" t="s">
        <v>438</v>
      </c>
      <c r="C77" s="14" t="s">
        <v>1344</v>
      </c>
      <c r="D77" s="61"/>
      <c r="E77" s="30">
        <v>303.52346999999997</v>
      </c>
      <c r="F77" s="63"/>
      <c r="G77" s="15">
        <f t="shared" si="2"/>
        <v>303.52346999999997</v>
      </c>
      <c r="H77" s="63"/>
      <c r="I77" s="15">
        <f t="shared" si="3"/>
        <v>0</v>
      </c>
      <c r="J77" s="63"/>
      <c r="K77" s="15">
        <v>303.52346999999997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>
        <v>0</v>
      </c>
      <c r="AE77" s="15"/>
      <c r="AF77" s="15"/>
      <c r="AG77" s="15"/>
    </row>
    <row r="78" spans="2:33" ht="16" customHeight="1" x14ac:dyDescent="0.35">
      <c r="B78" s="14" t="s">
        <v>544</v>
      </c>
      <c r="C78" s="14" t="s">
        <v>1345</v>
      </c>
      <c r="D78" s="61"/>
      <c r="E78" s="30">
        <v>15293.701590000001</v>
      </c>
      <c r="F78" s="63"/>
      <c r="G78" s="15">
        <f t="shared" si="2"/>
        <v>15293.701589999999</v>
      </c>
      <c r="H78" s="63"/>
      <c r="I78" s="15">
        <f t="shared" si="3"/>
        <v>0</v>
      </c>
      <c r="J78" s="63"/>
      <c r="K78" s="15">
        <v>15662.769619999999</v>
      </c>
      <c r="L78" s="15"/>
      <c r="M78" s="15"/>
      <c r="N78" s="15"/>
      <c r="O78" s="15"/>
      <c r="P78" s="15"/>
      <c r="Q78" s="15"/>
      <c r="R78" s="15"/>
      <c r="S78" s="15"/>
      <c r="T78" s="15"/>
      <c r="U78" s="15">
        <v>0</v>
      </c>
      <c r="V78" s="15"/>
      <c r="W78" s="15"/>
      <c r="X78" s="15"/>
      <c r="Y78" s="15">
        <v>-776.00670000000002</v>
      </c>
      <c r="Z78" s="15"/>
      <c r="AA78" s="15"/>
      <c r="AB78" s="15"/>
      <c r="AC78" s="15">
        <v>36.4129</v>
      </c>
      <c r="AD78" s="15">
        <v>370.52577000000002</v>
      </c>
      <c r="AE78" s="15"/>
      <c r="AF78" s="15"/>
      <c r="AG78" s="15"/>
    </row>
    <row r="79" spans="2:33" ht="16" customHeight="1" x14ac:dyDescent="0.35">
      <c r="B79" s="14" t="s">
        <v>440</v>
      </c>
      <c r="C79" s="14" t="s">
        <v>1346</v>
      </c>
      <c r="D79" s="61"/>
      <c r="E79" s="30">
        <v>-303.52346999999997</v>
      </c>
      <c r="F79" s="63"/>
      <c r="G79" s="15">
        <f t="shared" si="2"/>
        <v>-303.52347000000003</v>
      </c>
      <c r="H79" s="63"/>
      <c r="I79" s="15">
        <f t="shared" si="3"/>
        <v>0</v>
      </c>
      <c r="J79" s="63"/>
      <c r="K79" s="15">
        <v>-206.80134000000001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>
        <v>-96.722130000000007</v>
      </c>
      <c r="AD79" s="15">
        <v>0</v>
      </c>
      <c r="AE79" s="15"/>
      <c r="AF79" s="15"/>
      <c r="AG79" s="15"/>
    </row>
    <row r="80" spans="2:33" ht="16" customHeight="1" x14ac:dyDescent="0.35">
      <c r="B80" s="14" t="s">
        <v>406</v>
      </c>
      <c r="C80" s="14" t="s">
        <v>407</v>
      </c>
      <c r="D80" s="61"/>
      <c r="E80" s="30">
        <v>197048.40251000001</v>
      </c>
      <c r="F80" s="63"/>
      <c r="G80" s="15">
        <f t="shared" si="2"/>
        <v>197048.40251000001</v>
      </c>
      <c r="H80" s="63"/>
      <c r="I80" s="15">
        <f t="shared" si="3"/>
        <v>0</v>
      </c>
      <c r="J80" s="63"/>
      <c r="K80" s="15">
        <v>194365.30330999999</v>
      </c>
      <c r="L80" s="15"/>
      <c r="M80" s="15">
        <v>0</v>
      </c>
      <c r="N80" s="15"/>
      <c r="O80" s="15"/>
      <c r="P80" s="15"/>
      <c r="Q80" s="15">
        <v>0</v>
      </c>
      <c r="R80" s="15"/>
      <c r="S80" s="15"/>
      <c r="T80" s="15"/>
      <c r="U80" s="15"/>
      <c r="V80" s="15"/>
      <c r="W80" s="15"/>
      <c r="X80" s="15"/>
      <c r="Y80" s="15">
        <v>-255.52119999999999</v>
      </c>
      <c r="Z80" s="15"/>
      <c r="AA80" s="15"/>
      <c r="AB80" s="15"/>
      <c r="AC80" s="15">
        <v>2889.4180999999999</v>
      </c>
      <c r="AD80" s="15"/>
      <c r="AE80" s="15"/>
      <c r="AF80" s="15">
        <v>49.202300000000001</v>
      </c>
      <c r="AG80" s="15">
        <v>0</v>
      </c>
    </row>
    <row r="81" spans="2:33" ht="16" customHeight="1" x14ac:dyDescent="0.35">
      <c r="B81" s="14" t="s">
        <v>408</v>
      </c>
      <c r="C81" s="14" t="s">
        <v>409</v>
      </c>
      <c r="D81" s="61"/>
      <c r="E81" s="30">
        <v>-110799.36487999999</v>
      </c>
      <c r="F81" s="63"/>
      <c r="G81" s="15">
        <f t="shared" si="2"/>
        <v>-110799.36488000001</v>
      </c>
      <c r="H81" s="63"/>
      <c r="I81" s="15">
        <f t="shared" si="3"/>
        <v>0</v>
      </c>
      <c r="J81" s="63"/>
      <c r="K81" s="15">
        <v>-109533.38434999999</v>
      </c>
      <c r="L81" s="15"/>
      <c r="M81" s="15"/>
      <c r="N81" s="15"/>
      <c r="O81" s="15"/>
      <c r="P81" s="15"/>
      <c r="Q81" s="15">
        <v>0</v>
      </c>
      <c r="R81" s="15"/>
      <c r="S81" s="15"/>
      <c r="T81" s="15"/>
      <c r="U81" s="15"/>
      <c r="V81" s="15"/>
      <c r="W81" s="15"/>
      <c r="X81" s="15">
        <v>-1476.3056799999999</v>
      </c>
      <c r="Y81" s="15">
        <v>248.12119999999999</v>
      </c>
      <c r="Z81" s="15"/>
      <c r="AA81" s="15"/>
      <c r="AB81" s="15"/>
      <c r="AC81" s="15"/>
      <c r="AD81" s="15"/>
      <c r="AE81" s="15"/>
      <c r="AF81" s="15">
        <v>-37.796050000000001</v>
      </c>
      <c r="AG81" s="15">
        <v>0</v>
      </c>
    </row>
    <row r="82" spans="2:33" ht="16" customHeight="1" x14ac:dyDescent="0.35">
      <c r="B82" s="14" t="s">
        <v>444</v>
      </c>
      <c r="C82" s="14" t="s">
        <v>1347</v>
      </c>
      <c r="D82" s="61"/>
      <c r="E82" s="30">
        <v>0</v>
      </c>
      <c r="F82" s="63"/>
      <c r="G82" s="15">
        <f t="shared" si="2"/>
        <v>0</v>
      </c>
      <c r="H82" s="63"/>
      <c r="I82" s="15">
        <f t="shared" si="3"/>
        <v>0</v>
      </c>
      <c r="J82" s="63"/>
      <c r="K82" s="15">
        <v>0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</row>
    <row r="83" spans="2:33" ht="16" customHeight="1" x14ac:dyDescent="0.35">
      <c r="B83" s="14" t="s">
        <v>546</v>
      </c>
      <c r="C83" s="14" t="s">
        <v>1348</v>
      </c>
      <c r="D83" s="61"/>
      <c r="E83" s="30">
        <v>19311.3024</v>
      </c>
      <c r="F83" s="63"/>
      <c r="G83" s="15">
        <f t="shared" si="2"/>
        <v>19311.302400000004</v>
      </c>
      <c r="H83" s="63"/>
      <c r="I83" s="15">
        <f t="shared" si="3"/>
        <v>0</v>
      </c>
      <c r="J83" s="63"/>
      <c r="K83" s="15">
        <v>19282.240969999999</v>
      </c>
      <c r="L83" s="15"/>
      <c r="M83" s="15">
        <v>0</v>
      </c>
      <c r="N83" s="15"/>
      <c r="O83" s="15"/>
      <c r="P83" s="15"/>
      <c r="Q83" s="15"/>
      <c r="R83" s="15"/>
      <c r="S83" s="15"/>
      <c r="T83" s="15"/>
      <c r="U83" s="15">
        <v>361.38305000000003</v>
      </c>
      <c r="V83" s="15"/>
      <c r="W83" s="15"/>
      <c r="X83" s="15"/>
      <c r="Y83" s="15">
        <v>-558.75739999999996</v>
      </c>
      <c r="Z83" s="15"/>
      <c r="AA83" s="15"/>
      <c r="AB83" s="15"/>
      <c r="AC83" s="15">
        <v>-208.00337999999999</v>
      </c>
      <c r="AD83" s="15">
        <v>434.43916000000002</v>
      </c>
      <c r="AE83" s="15"/>
      <c r="AF83" s="15"/>
      <c r="AG83" s="15"/>
    </row>
    <row r="84" spans="2:33" ht="16" customHeight="1" x14ac:dyDescent="0.35">
      <c r="B84" s="14" t="s">
        <v>446</v>
      </c>
      <c r="C84" s="14" t="s">
        <v>1349</v>
      </c>
      <c r="D84" s="61"/>
      <c r="E84" s="30">
        <v>0</v>
      </c>
      <c r="F84" s="63"/>
      <c r="G84" s="15">
        <f t="shared" si="2"/>
        <v>0</v>
      </c>
      <c r="H84" s="63"/>
      <c r="I84" s="15">
        <f t="shared" si="3"/>
        <v>0</v>
      </c>
      <c r="J84" s="63"/>
      <c r="K84" s="15">
        <v>2.4851700000000001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>
        <v>-42.073149999999998</v>
      </c>
      <c r="Y84" s="15"/>
      <c r="Z84" s="15"/>
      <c r="AA84" s="15"/>
      <c r="AB84" s="15"/>
      <c r="AC84" s="15">
        <v>-2.4851700000000001</v>
      </c>
      <c r="AD84" s="15">
        <v>42.073149999999998</v>
      </c>
      <c r="AE84" s="15"/>
      <c r="AF84" s="15"/>
      <c r="AG84" s="15"/>
    </row>
    <row r="85" spans="2:33" ht="16" customHeight="1" x14ac:dyDescent="0.35">
      <c r="B85" s="14" t="s">
        <v>412</v>
      </c>
      <c r="C85" s="14" t="s">
        <v>413</v>
      </c>
      <c r="D85" s="61"/>
      <c r="E85" s="30">
        <v>1102701.62314</v>
      </c>
      <c r="F85" s="63"/>
      <c r="G85" s="15">
        <f t="shared" si="2"/>
        <v>1102701.62314</v>
      </c>
      <c r="H85" s="63"/>
      <c r="I85" s="15">
        <f t="shared" si="3"/>
        <v>0</v>
      </c>
      <c r="J85" s="63"/>
      <c r="K85" s="15">
        <v>1091260.3711399999</v>
      </c>
      <c r="L85" s="15"/>
      <c r="M85" s="15">
        <v>0</v>
      </c>
      <c r="N85" s="15"/>
      <c r="O85" s="15"/>
      <c r="P85" s="15"/>
      <c r="Q85" s="15">
        <v>0</v>
      </c>
      <c r="R85" s="15"/>
      <c r="S85" s="15"/>
      <c r="T85" s="15">
        <v>0</v>
      </c>
      <c r="U85" s="15"/>
      <c r="V85" s="15"/>
      <c r="W85" s="15"/>
      <c r="X85" s="15"/>
      <c r="Y85" s="15">
        <v>-492.12329</v>
      </c>
      <c r="Z85" s="15"/>
      <c r="AA85" s="15"/>
      <c r="AB85" s="15"/>
      <c r="AC85" s="15">
        <v>11597.680560000001</v>
      </c>
      <c r="AD85" s="15"/>
      <c r="AE85" s="15"/>
      <c r="AF85" s="15">
        <v>335.69472999999999</v>
      </c>
      <c r="AG85" s="15">
        <v>0</v>
      </c>
    </row>
    <row r="86" spans="2:33" ht="16" customHeight="1" x14ac:dyDescent="0.35">
      <c r="B86" s="14" t="s">
        <v>414</v>
      </c>
      <c r="C86" s="14" t="s">
        <v>415</v>
      </c>
      <c r="D86" s="61"/>
      <c r="E86" s="30">
        <v>-749587.88468999998</v>
      </c>
      <c r="F86" s="63"/>
      <c r="G86" s="15">
        <f t="shared" si="2"/>
        <v>-749587.88466999994</v>
      </c>
      <c r="H86" s="63"/>
      <c r="I86" s="15">
        <f t="shared" si="3"/>
        <v>-2.0000035874545574E-5</v>
      </c>
      <c r="J86" s="63"/>
      <c r="K86" s="15">
        <v>-736135.44660000002</v>
      </c>
      <c r="L86" s="15"/>
      <c r="M86" s="15">
        <v>0</v>
      </c>
      <c r="N86" s="15"/>
      <c r="O86" s="15"/>
      <c r="P86" s="15"/>
      <c r="Q86" s="15">
        <v>0</v>
      </c>
      <c r="R86" s="15"/>
      <c r="S86" s="15"/>
      <c r="T86" s="15"/>
      <c r="U86" s="15"/>
      <c r="V86" s="15"/>
      <c r="W86" s="15"/>
      <c r="X86" s="15">
        <v>-11318.85836</v>
      </c>
      <c r="Y86" s="15">
        <v>419.74583000000001</v>
      </c>
      <c r="Z86" s="15"/>
      <c r="AA86" s="15"/>
      <c r="AB86" s="15"/>
      <c r="AC86" s="15">
        <v>-239.27350000000001</v>
      </c>
      <c r="AD86" s="15">
        <v>-2070.40535</v>
      </c>
      <c r="AE86" s="15"/>
      <c r="AF86" s="15">
        <v>-243.64669000000001</v>
      </c>
      <c r="AG86" s="15">
        <v>0</v>
      </c>
    </row>
    <row r="87" spans="2:33" ht="16" customHeight="1" x14ac:dyDescent="0.35">
      <c r="B87" s="14" t="s">
        <v>450</v>
      </c>
      <c r="C87" s="14" t="s">
        <v>1350</v>
      </c>
      <c r="D87" s="61"/>
      <c r="E87" s="30">
        <v>27353.48574</v>
      </c>
      <c r="F87" s="63"/>
      <c r="G87" s="15">
        <f t="shared" si="2"/>
        <v>27353.485740000004</v>
      </c>
      <c r="H87" s="63"/>
      <c r="I87" s="15">
        <f t="shared" si="3"/>
        <v>0</v>
      </c>
      <c r="J87" s="63"/>
      <c r="K87" s="15">
        <v>22479.198820000001</v>
      </c>
      <c r="L87" s="15"/>
      <c r="M87" s="15">
        <v>3100.0605700000001</v>
      </c>
      <c r="N87" s="15"/>
      <c r="O87" s="15"/>
      <c r="P87" s="15"/>
      <c r="Q87" s="15"/>
      <c r="R87" s="15"/>
      <c r="S87" s="15"/>
      <c r="T87" s="15"/>
      <c r="U87" s="15">
        <v>136.80081999999999</v>
      </c>
      <c r="V87" s="15"/>
      <c r="W87" s="15"/>
      <c r="X87" s="15"/>
      <c r="Y87" s="15"/>
      <c r="Z87" s="15"/>
      <c r="AA87" s="15"/>
      <c r="AB87" s="15"/>
      <c r="AC87" s="15">
        <v>219.7998</v>
      </c>
      <c r="AD87" s="15">
        <v>1413.23614</v>
      </c>
      <c r="AE87" s="15"/>
      <c r="AF87" s="15">
        <v>4.3895900000000001</v>
      </c>
      <c r="AG87" s="15"/>
    </row>
    <row r="88" spans="2:33" ht="16" customHeight="1" x14ac:dyDescent="0.35">
      <c r="B88" s="14" t="s">
        <v>548</v>
      </c>
      <c r="C88" s="14" t="s">
        <v>1351</v>
      </c>
      <c r="D88" s="61"/>
      <c r="E88" s="30">
        <v>9301.5444700000007</v>
      </c>
      <c r="F88" s="63"/>
      <c r="G88" s="15">
        <f t="shared" si="2"/>
        <v>9301.5444700000007</v>
      </c>
      <c r="H88" s="63"/>
      <c r="I88" s="15">
        <f t="shared" si="3"/>
        <v>0</v>
      </c>
      <c r="J88" s="63"/>
      <c r="K88" s="15">
        <v>8740.5446100000008</v>
      </c>
      <c r="L88" s="15"/>
      <c r="M88" s="15"/>
      <c r="N88" s="15"/>
      <c r="O88" s="15"/>
      <c r="P88" s="15"/>
      <c r="Q88" s="15"/>
      <c r="R88" s="15"/>
      <c r="S88" s="15"/>
      <c r="T88" s="15"/>
      <c r="U88" s="15">
        <v>1135.9754600000001</v>
      </c>
      <c r="V88" s="15"/>
      <c r="W88" s="15"/>
      <c r="X88" s="15"/>
      <c r="Y88" s="15">
        <v>-622.41344000000004</v>
      </c>
      <c r="Z88" s="15"/>
      <c r="AA88" s="15"/>
      <c r="AB88" s="15"/>
      <c r="AC88" s="15">
        <v>47.437840000000001</v>
      </c>
      <c r="AD88" s="15">
        <v>0</v>
      </c>
      <c r="AE88" s="15"/>
      <c r="AF88" s="15">
        <v>0</v>
      </c>
      <c r="AG88" s="15"/>
    </row>
    <row r="89" spans="2:33" ht="16" customHeight="1" x14ac:dyDescent="0.35">
      <c r="B89" s="14" t="s">
        <v>452</v>
      </c>
      <c r="C89" s="14" t="s">
        <v>1352</v>
      </c>
      <c r="D89" s="61"/>
      <c r="E89" s="30">
        <v>-13592.592479999999</v>
      </c>
      <c r="F89" s="63"/>
      <c r="G89" s="15">
        <f t="shared" si="2"/>
        <v>-13592.592479999999</v>
      </c>
      <c r="H89" s="63"/>
      <c r="I89" s="15">
        <f t="shared" si="3"/>
        <v>0</v>
      </c>
      <c r="J89" s="63"/>
      <c r="K89" s="15">
        <v>-9170.4628400000001</v>
      </c>
      <c r="L89" s="15"/>
      <c r="M89" s="15">
        <v>-3100.0605700000001</v>
      </c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>
        <v>-1291.20777</v>
      </c>
      <c r="Y89" s="15"/>
      <c r="Z89" s="15"/>
      <c r="AA89" s="15"/>
      <c r="AB89" s="15"/>
      <c r="AC89" s="15">
        <v>-44.428939999999997</v>
      </c>
      <c r="AD89" s="15">
        <v>16.177140000000001</v>
      </c>
      <c r="AE89" s="15"/>
      <c r="AF89" s="15">
        <v>-2.6095000000000002</v>
      </c>
      <c r="AG89" s="15"/>
    </row>
    <row r="90" spans="2:33" ht="16" customHeight="1" x14ac:dyDescent="0.35">
      <c r="B90" s="14" t="s">
        <v>418</v>
      </c>
      <c r="C90" s="14" t="s">
        <v>419</v>
      </c>
      <c r="D90" s="61"/>
      <c r="E90" s="30">
        <v>389425.35833999998</v>
      </c>
      <c r="F90" s="63"/>
      <c r="G90" s="15">
        <f t="shared" si="2"/>
        <v>389425.35833000002</v>
      </c>
      <c r="H90" s="63"/>
      <c r="I90" s="15">
        <f t="shared" si="3"/>
        <v>9.9999597296118736E-6</v>
      </c>
      <c r="J90" s="63"/>
      <c r="K90" s="15">
        <v>389090.39889999997</v>
      </c>
      <c r="L90" s="15"/>
      <c r="M90" s="15">
        <v>0</v>
      </c>
      <c r="N90" s="15"/>
      <c r="O90" s="15"/>
      <c r="P90" s="15"/>
      <c r="Q90" s="15">
        <v>0</v>
      </c>
      <c r="R90" s="15"/>
      <c r="S90" s="15"/>
      <c r="T90" s="15"/>
      <c r="U90" s="15"/>
      <c r="V90" s="15"/>
      <c r="W90" s="15"/>
      <c r="X90" s="15"/>
      <c r="Y90" s="15">
        <v>-542.43289000000004</v>
      </c>
      <c r="Z90" s="15"/>
      <c r="AA90" s="15"/>
      <c r="AB90" s="15"/>
      <c r="AC90" s="15">
        <v>821.08987000000002</v>
      </c>
      <c r="AD90" s="15">
        <v>0</v>
      </c>
      <c r="AE90" s="15"/>
      <c r="AF90" s="15">
        <v>56.30245</v>
      </c>
      <c r="AG90" s="15">
        <v>0</v>
      </c>
    </row>
    <row r="91" spans="2:33" ht="16" customHeight="1" x14ac:dyDescent="0.35">
      <c r="B91" s="14" t="s">
        <v>420</v>
      </c>
      <c r="C91" s="14" t="s">
        <v>421</v>
      </c>
      <c r="D91" s="61"/>
      <c r="E91" s="30">
        <v>-301189.35399999999</v>
      </c>
      <c r="F91" s="63"/>
      <c r="G91" s="15">
        <f t="shared" si="2"/>
        <v>-301189.35399000003</v>
      </c>
      <c r="H91" s="63"/>
      <c r="I91" s="15">
        <f t="shared" si="3"/>
        <v>-9.9999597296118736E-6</v>
      </c>
      <c r="J91" s="63"/>
      <c r="K91" s="15">
        <v>-297441.64269000001</v>
      </c>
      <c r="L91" s="15"/>
      <c r="M91" s="15"/>
      <c r="N91" s="15"/>
      <c r="O91" s="15"/>
      <c r="P91" s="15"/>
      <c r="Q91" s="15">
        <v>0</v>
      </c>
      <c r="R91" s="15"/>
      <c r="S91" s="15"/>
      <c r="T91" s="15"/>
      <c r="U91" s="15"/>
      <c r="V91" s="15"/>
      <c r="W91" s="15"/>
      <c r="X91" s="15">
        <v>-4090.3552800000002</v>
      </c>
      <c r="Y91" s="15">
        <v>385.00089000000003</v>
      </c>
      <c r="Z91" s="15"/>
      <c r="AA91" s="15"/>
      <c r="AB91" s="15"/>
      <c r="AC91" s="15">
        <v>1.3979999999999999E-2</v>
      </c>
      <c r="AD91" s="15">
        <v>0</v>
      </c>
      <c r="AE91" s="15"/>
      <c r="AF91" s="15">
        <v>-42.370890000000003</v>
      </c>
      <c r="AG91" s="15">
        <v>0</v>
      </c>
    </row>
    <row r="92" spans="2:33" ht="16" customHeight="1" x14ac:dyDescent="0.35">
      <c r="B92" s="14" t="s">
        <v>456</v>
      </c>
      <c r="C92" s="14" t="s">
        <v>1353</v>
      </c>
      <c r="D92" s="61"/>
      <c r="E92" s="30">
        <v>152114.28247000001</v>
      </c>
      <c r="F92" s="63"/>
      <c r="G92" s="15">
        <f t="shared" si="2"/>
        <v>152114.28245999999</v>
      </c>
      <c r="H92" s="63"/>
      <c r="I92" s="15">
        <f t="shared" si="3"/>
        <v>1.0000017937272787E-5</v>
      </c>
      <c r="J92" s="63"/>
      <c r="K92" s="15">
        <v>147635.38780999999</v>
      </c>
      <c r="L92" s="15"/>
      <c r="M92" s="15"/>
      <c r="N92" s="15"/>
      <c r="O92" s="15"/>
      <c r="P92" s="15"/>
      <c r="Q92" s="15"/>
      <c r="R92" s="15"/>
      <c r="S92" s="15"/>
      <c r="T92" s="15"/>
      <c r="U92" s="15">
        <v>8632.4302100000004</v>
      </c>
      <c r="V92" s="15"/>
      <c r="W92" s="15"/>
      <c r="X92" s="15"/>
      <c r="Y92" s="15"/>
      <c r="Z92" s="15"/>
      <c r="AA92" s="15"/>
      <c r="AB92" s="15"/>
      <c r="AC92" s="15">
        <v>-235.91104999999999</v>
      </c>
      <c r="AD92" s="15">
        <v>-3937.5766199999998</v>
      </c>
      <c r="AE92" s="15"/>
      <c r="AF92" s="15">
        <v>19.952110000000001</v>
      </c>
      <c r="AG92" s="15"/>
    </row>
    <row r="93" spans="2:33" ht="16" customHeight="1" x14ac:dyDescent="0.35">
      <c r="B93" s="14" t="s">
        <v>550</v>
      </c>
      <c r="C93" s="14" t="s">
        <v>1354</v>
      </c>
      <c r="D93" s="61"/>
      <c r="E93" s="30">
        <v>74310.394090000002</v>
      </c>
      <c r="F93" s="63"/>
      <c r="G93" s="15">
        <f t="shared" si="2"/>
        <v>74310.394090000002</v>
      </c>
      <c r="H93" s="63"/>
      <c r="I93" s="15">
        <f t="shared" si="3"/>
        <v>0</v>
      </c>
      <c r="J93" s="63"/>
      <c r="K93" s="15">
        <v>72652.485929999995</v>
      </c>
      <c r="L93" s="15"/>
      <c r="M93" s="15">
        <v>0</v>
      </c>
      <c r="N93" s="15"/>
      <c r="O93" s="15"/>
      <c r="P93" s="15"/>
      <c r="Q93" s="15"/>
      <c r="R93" s="15"/>
      <c r="S93" s="15"/>
      <c r="T93" s="15"/>
      <c r="U93" s="15">
        <v>3805.06954</v>
      </c>
      <c r="V93" s="15"/>
      <c r="W93" s="15"/>
      <c r="X93" s="15"/>
      <c r="Y93" s="15">
        <v>-2681.00164</v>
      </c>
      <c r="Z93" s="15"/>
      <c r="AA93" s="15"/>
      <c r="AB93" s="15"/>
      <c r="AC93" s="15">
        <v>678.55375000000004</v>
      </c>
      <c r="AD93" s="15">
        <v>-169.96822</v>
      </c>
      <c r="AE93" s="15"/>
      <c r="AF93" s="15">
        <v>25.254729999999999</v>
      </c>
      <c r="AG93" s="15"/>
    </row>
    <row r="94" spans="2:33" ht="16" customHeight="1" x14ac:dyDescent="0.35">
      <c r="B94" s="14" t="s">
        <v>458</v>
      </c>
      <c r="C94" s="14" t="s">
        <v>1355</v>
      </c>
      <c r="D94" s="61"/>
      <c r="E94" s="30">
        <v>-51438.824610000003</v>
      </c>
      <c r="F94" s="63"/>
      <c r="G94" s="15">
        <f t="shared" si="2"/>
        <v>-51438.8246</v>
      </c>
      <c r="H94" s="63"/>
      <c r="I94" s="15">
        <f t="shared" si="3"/>
        <v>-1.0000003385357559E-5</v>
      </c>
      <c r="J94" s="63"/>
      <c r="K94" s="15">
        <v>-43475.638769999998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>
        <v>-8018.91356</v>
      </c>
      <c r="Y94" s="15"/>
      <c r="Z94" s="15"/>
      <c r="AA94" s="15"/>
      <c r="AB94" s="15"/>
      <c r="AC94" s="15">
        <v>-656.90464999999995</v>
      </c>
      <c r="AD94" s="15">
        <v>718.52660000000003</v>
      </c>
      <c r="AE94" s="15"/>
      <c r="AF94" s="15">
        <v>-5.8942199999999998</v>
      </c>
      <c r="AG94" s="15"/>
    </row>
    <row r="95" spans="2:33" ht="16" customHeight="1" x14ac:dyDescent="0.35">
      <c r="B95" s="14" t="s">
        <v>424</v>
      </c>
      <c r="C95" s="14" t="s">
        <v>1356</v>
      </c>
      <c r="D95" s="61"/>
      <c r="E95" s="30">
        <v>82021.193190000005</v>
      </c>
      <c r="F95" s="63"/>
      <c r="G95" s="15">
        <f t="shared" si="2"/>
        <v>82021.193199999994</v>
      </c>
      <c r="H95" s="63"/>
      <c r="I95" s="15">
        <f t="shared" si="3"/>
        <v>-9.9999888334423304E-6</v>
      </c>
      <c r="J95" s="63"/>
      <c r="K95" s="15">
        <v>76013.254530000006</v>
      </c>
      <c r="L95" s="15"/>
      <c r="M95" s="15">
        <v>0</v>
      </c>
      <c r="N95" s="15"/>
      <c r="O95" s="15"/>
      <c r="P95" s="15"/>
      <c r="Q95" s="15">
        <v>0</v>
      </c>
      <c r="R95" s="15"/>
      <c r="S95" s="15"/>
      <c r="T95" s="15">
        <v>24519.941019999998</v>
      </c>
      <c r="U95" s="15"/>
      <c r="V95" s="15"/>
      <c r="W95" s="15"/>
      <c r="X95" s="15"/>
      <c r="Y95" s="15"/>
      <c r="Z95" s="15"/>
      <c r="AA95" s="15"/>
      <c r="AB95" s="15"/>
      <c r="AC95" s="15">
        <v>-18528.07576</v>
      </c>
      <c r="AD95" s="15"/>
      <c r="AE95" s="15"/>
      <c r="AF95" s="15">
        <v>16.073409999999999</v>
      </c>
      <c r="AG95" s="15">
        <v>0</v>
      </c>
    </row>
    <row r="96" spans="2:33" ht="16" customHeight="1" x14ac:dyDescent="0.35">
      <c r="B96" s="14" t="s">
        <v>426</v>
      </c>
      <c r="C96" s="14" t="s">
        <v>1357</v>
      </c>
      <c r="D96" s="61"/>
      <c r="E96" s="30"/>
      <c r="F96" s="63"/>
      <c r="G96" s="15">
        <f t="shared" si="2"/>
        <v>0</v>
      </c>
      <c r="H96" s="63"/>
      <c r="I96" s="15">
        <f t="shared" si="3"/>
        <v>0</v>
      </c>
      <c r="J96" s="63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</row>
    <row r="97" spans="2:33" ht="16" customHeight="1" x14ac:dyDescent="0.35">
      <c r="B97" s="14" t="s">
        <v>462</v>
      </c>
      <c r="C97" s="14" t="s">
        <v>1358</v>
      </c>
      <c r="D97" s="61"/>
      <c r="E97" s="30"/>
      <c r="F97" s="63"/>
      <c r="G97" s="15">
        <f t="shared" si="2"/>
        <v>0</v>
      </c>
      <c r="H97" s="63"/>
      <c r="I97" s="15">
        <f t="shared" si="3"/>
        <v>0</v>
      </c>
      <c r="J97" s="63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</row>
    <row r="98" spans="2:33" ht="16" customHeight="1" x14ac:dyDescent="0.35">
      <c r="B98" s="14" t="s">
        <v>464</v>
      </c>
      <c r="C98" s="14" t="s">
        <v>1359</v>
      </c>
      <c r="D98" s="61"/>
      <c r="E98" s="30"/>
      <c r="F98" s="63"/>
      <c r="G98" s="15">
        <f t="shared" si="2"/>
        <v>0</v>
      </c>
      <c r="H98" s="63"/>
      <c r="I98" s="15">
        <f t="shared" si="3"/>
        <v>0</v>
      </c>
      <c r="J98" s="63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</row>
    <row r="99" spans="2:33" ht="16" customHeight="1" x14ac:dyDescent="0.35">
      <c r="B99" s="14" t="s">
        <v>533</v>
      </c>
      <c r="C99" s="14" t="s">
        <v>1360</v>
      </c>
      <c r="D99" s="61"/>
      <c r="E99" s="30">
        <v>365626.63205999997</v>
      </c>
      <c r="F99" s="63"/>
      <c r="G99" s="15">
        <f t="shared" si="2"/>
        <v>365626.63205999997</v>
      </c>
      <c r="H99" s="63"/>
      <c r="I99" s="15">
        <f t="shared" si="3"/>
        <v>0</v>
      </c>
      <c r="J99" s="63"/>
      <c r="K99" s="15">
        <v>366168.18703999999</v>
      </c>
      <c r="L99" s="15"/>
      <c r="M99" s="15">
        <v>0</v>
      </c>
      <c r="N99" s="15"/>
      <c r="O99" s="15"/>
      <c r="P99" s="15"/>
      <c r="Q99" s="15"/>
      <c r="R99" s="15"/>
      <c r="S99" s="15"/>
      <c r="T99" s="15">
        <v>-541.55498</v>
      </c>
      <c r="U99" s="15"/>
      <c r="V99" s="15"/>
      <c r="W99" s="15"/>
      <c r="X99" s="15"/>
      <c r="Y99" s="15"/>
      <c r="Z99" s="15"/>
      <c r="AA99" s="15"/>
      <c r="AB99" s="15"/>
      <c r="AC99" s="15">
        <v>0</v>
      </c>
      <c r="AD99" s="15"/>
      <c r="AE99" s="15"/>
      <c r="AF99" s="15"/>
      <c r="AG99" s="15"/>
    </row>
    <row r="100" spans="2:33" ht="16" customHeight="1" x14ac:dyDescent="0.35">
      <c r="B100" s="14" t="s">
        <v>537</v>
      </c>
      <c r="C100" s="14" t="s">
        <v>1361</v>
      </c>
      <c r="D100" s="61"/>
      <c r="E100" s="30">
        <v>1630087</v>
      </c>
      <c r="F100" s="63"/>
      <c r="G100" s="15">
        <f t="shared" si="2"/>
        <v>1630087.0000000002</v>
      </c>
      <c r="H100" s="63"/>
      <c r="I100" s="15">
        <f t="shared" si="3"/>
        <v>0</v>
      </c>
      <c r="J100" s="63"/>
      <c r="K100" s="15">
        <v>1630087</v>
      </c>
      <c r="L100" s="15"/>
      <c r="M100" s="15"/>
      <c r="N100" s="15"/>
      <c r="O100" s="15"/>
      <c r="P100" s="15"/>
      <c r="Q100" s="15">
        <v>-531.09434999999996</v>
      </c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>
        <v>522.81192999999996</v>
      </c>
      <c r="AE100" s="15"/>
      <c r="AF100" s="15">
        <v>8.2824200000000001</v>
      </c>
      <c r="AG100" s="15">
        <v>0</v>
      </c>
    </row>
    <row r="101" spans="2:33" ht="16" customHeight="1" x14ac:dyDescent="0.35">
      <c r="B101" s="14" t="s">
        <v>535</v>
      </c>
      <c r="C101" s="14" t="s">
        <v>1362</v>
      </c>
      <c r="D101" s="61"/>
      <c r="E101" s="30">
        <v>-19154.206880000002</v>
      </c>
      <c r="F101" s="63"/>
      <c r="G101" s="15">
        <f t="shared" si="2"/>
        <v>-19154.206880000002</v>
      </c>
      <c r="H101" s="63"/>
      <c r="I101" s="15">
        <f t="shared" si="3"/>
        <v>0</v>
      </c>
      <c r="J101" s="63"/>
      <c r="K101" s="15">
        <v>-19154.206880000002</v>
      </c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</row>
    <row r="102" spans="2:33" ht="16" customHeight="1" x14ac:dyDescent="0.35">
      <c r="B102" s="14" t="s">
        <v>539</v>
      </c>
      <c r="C102" s="14" t="s">
        <v>1363</v>
      </c>
      <c r="D102" s="61"/>
      <c r="E102" s="30"/>
      <c r="F102" s="63"/>
      <c r="G102" s="15">
        <f t="shared" si="2"/>
        <v>0</v>
      </c>
      <c r="H102" s="63"/>
      <c r="I102" s="15">
        <f t="shared" si="3"/>
        <v>0</v>
      </c>
      <c r="J102" s="63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</row>
    <row r="103" spans="2:33" ht="16" customHeight="1" x14ac:dyDescent="0.35">
      <c r="B103" s="14" t="s">
        <v>519</v>
      </c>
      <c r="C103" s="14" t="s">
        <v>1364</v>
      </c>
      <c r="D103" s="61"/>
      <c r="E103" s="30"/>
      <c r="F103" s="63"/>
      <c r="G103" s="15">
        <f t="shared" si="2"/>
        <v>0</v>
      </c>
      <c r="H103" s="63"/>
      <c r="I103" s="15">
        <f t="shared" si="3"/>
        <v>0</v>
      </c>
      <c r="J103" s="63"/>
      <c r="K103" s="15"/>
      <c r="L103" s="15">
        <v>0</v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>
        <v>0</v>
      </c>
    </row>
    <row r="104" spans="2:33" ht="16" customHeight="1" x14ac:dyDescent="0.35">
      <c r="B104" s="14" t="s">
        <v>521</v>
      </c>
      <c r="C104" s="14" t="s">
        <v>1365</v>
      </c>
      <c r="D104" s="61"/>
      <c r="E104" s="30"/>
      <c r="F104" s="63"/>
      <c r="G104" s="15">
        <f t="shared" si="2"/>
        <v>0</v>
      </c>
      <c r="H104" s="63"/>
      <c r="I104" s="15">
        <f t="shared" si="3"/>
        <v>0</v>
      </c>
      <c r="J104" s="63"/>
      <c r="K104" s="15"/>
      <c r="L104" s="15">
        <v>0</v>
      </c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</row>
    <row r="105" spans="2:33" ht="16" customHeight="1" x14ac:dyDescent="0.35">
      <c r="B105" s="14" t="s">
        <v>483</v>
      </c>
      <c r="C105" s="14" t="s">
        <v>1366</v>
      </c>
      <c r="D105" s="61"/>
      <c r="E105" s="30">
        <v>6256.0480600000001</v>
      </c>
      <c r="F105" s="63"/>
      <c r="G105" s="15">
        <f t="shared" si="2"/>
        <v>6256.0480600000001</v>
      </c>
      <c r="H105" s="63"/>
      <c r="I105" s="15">
        <f t="shared" si="3"/>
        <v>0</v>
      </c>
      <c r="J105" s="63"/>
      <c r="K105" s="15">
        <v>6250.0959800000001</v>
      </c>
      <c r="L105" s="15">
        <v>0</v>
      </c>
      <c r="M105" s="15"/>
      <c r="N105" s="15"/>
      <c r="O105" s="15"/>
      <c r="P105" s="15"/>
      <c r="Q105" s="15">
        <v>0</v>
      </c>
      <c r="R105" s="15"/>
      <c r="S105" s="15">
        <v>0</v>
      </c>
      <c r="T105" s="15"/>
      <c r="U105" s="15"/>
      <c r="V105" s="15"/>
      <c r="W105" s="15"/>
      <c r="X105" s="15"/>
      <c r="Y105" s="15"/>
      <c r="Z105" s="15"/>
      <c r="AA105" s="15"/>
      <c r="AB105" s="15"/>
      <c r="AC105" s="15">
        <v>0</v>
      </c>
      <c r="AD105" s="15"/>
      <c r="AE105" s="15"/>
      <c r="AF105" s="15">
        <v>5.9520799999999996</v>
      </c>
      <c r="AG105" s="15"/>
    </row>
    <row r="106" spans="2:33" ht="16" customHeight="1" x14ac:dyDescent="0.35">
      <c r="B106" s="14" t="s">
        <v>485</v>
      </c>
      <c r="C106" s="14" t="s">
        <v>1367</v>
      </c>
      <c r="D106" s="61"/>
      <c r="E106" s="30">
        <v>-1084.808</v>
      </c>
      <c r="F106" s="63"/>
      <c r="G106" s="15">
        <f t="shared" si="2"/>
        <v>-1084.808</v>
      </c>
      <c r="H106" s="63"/>
      <c r="I106" s="15">
        <f t="shared" si="3"/>
        <v>0</v>
      </c>
      <c r="J106" s="63"/>
      <c r="K106" s="15">
        <v>-1084.808</v>
      </c>
      <c r="L106" s="15">
        <v>0</v>
      </c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>
        <v>0</v>
      </c>
      <c r="AD106" s="15">
        <v>0</v>
      </c>
      <c r="AE106" s="15"/>
      <c r="AF106" s="15"/>
      <c r="AG106" s="15"/>
    </row>
    <row r="107" spans="2:33" ht="16" customHeight="1" x14ac:dyDescent="0.35">
      <c r="B107" s="14" t="s">
        <v>489</v>
      </c>
      <c r="C107" s="14" t="s">
        <v>1368</v>
      </c>
      <c r="D107" s="61"/>
      <c r="E107" s="30">
        <v>163609.36256000001</v>
      </c>
      <c r="F107" s="63"/>
      <c r="G107" s="15">
        <f t="shared" si="2"/>
        <v>163609.36256000001</v>
      </c>
      <c r="H107" s="63"/>
      <c r="I107" s="15">
        <f t="shared" si="3"/>
        <v>0</v>
      </c>
      <c r="J107" s="63"/>
      <c r="K107" s="15">
        <v>163609.36256000001</v>
      </c>
      <c r="L107" s="15">
        <v>0</v>
      </c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</row>
    <row r="108" spans="2:33" ht="16" customHeight="1" x14ac:dyDescent="0.35">
      <c r="B108" s="14" t="s">
        <v>491</v>
      </c>
      <c r="C108" s="14" t="s">
        <v>1369</v>
      </c>
      <c r="D108" s="61"/>
      <c r="E108" s="30">
        <v>-41067.070899999999</v>
      </c>
      <c r="F108" s="63"/>
      <c r="G108" s="15">
        <f t="shared" ref="G108:G120" si="4">SUM(K108:AG108)</f>
        <v>-41067.070899999999</v>
      </c>
      <c r="H108" s="63"/>
      <c r="I108" s="15">
        <f t="shared" si="3"/>
        <v>0</v>
      </c>
      <c r="J108" s="63"/>
      <c r="K108" s="15">
        <v>-40579.012900000002</v>
      </c>
      <c r="L108" s="15">
        <v>0</v>
      </c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>
        <v>-488.05799999999999</v>
      </c>
      <c r="Y108" s="15"/>
      <c r="Z108" s="15"/>
      <c r="AA108" s="15"/>
      <c r="AB108" s="15"/>
      <c r="AC108" s="15"/>
      <c r="AD108" s="15"/>
      <c r="AE108" s="15"/>
      <c r="AF108" s="15"/>
      <c r="AG108" s="15"/>
    </row>
    <row r="109" spans="2:33" ht="16" customHeight="1" x14ac:dyDescent="0.35">
      <c r="B109" s="14" t="s">
        <v>495</v>
      </c>
      <c r="C109" s="14" t="s">
        <v>1370</v>
      </c>
      <c r="D109" s="61"/>
      <c r="E109" s="30">
        <v>2925.9769099999999</v>
      </c>
      <c r="F109" s="63"/>
      <c r="G109" s="15">
        <f t="shared" si="4"/>
        <v>2925.9769099999999</v>
      </c>
      <c r="H109" s="63"/>
      <c r="I109" s="15">
        <f t="shared" si="3"/>
        <v>0</v>
      </c>
      <c r="J109" s="63"/>
      <c r="K109" s="15">
        <v>2925.9769099999999</v>
      </c>
      <c r="L109" s="15">
        <v>0</v>
      </c>
      <c r="M109" s="15"/>
      <c r="N109" s="15"/>
      <c r="O109" s="15"/>
      <c r="P109" s="15"/>
      <c r="Q109" s="15"/>
      <c r="R109" s="15"/>
      <c r="S109" s="15">
        <v>0</v>
      </c>
      <c r="T109" s="15"/>
      <c r="U109" s="15"/>
      <c r="V109" s="15"/>
      <c r="W109" s="15"/>
      <c r="X109" s="15"/>
      <c r="Y109" s="15">
        <v>0</v>
      </c>
      <c r="Z109" s="15"/>
      <c r="AA109" s="15"/>
      <c r="AB109" s="15"/>
      <c r="AC109" s="15"/>
      <c r="AD109" s="15"/>
      <c r="AE109" s="15"/>
      <c r="AF109" s="15"/>
      <c r="AG109" s="15"/>
    </row>
    <row r="110" spans="2:33" ht="16" customHeight="1" x14ac:dyDescent="0.35">
      <c r="B110" s="14" t="s">
        <v>497</v>
      </c>
      <c r="C110" s="14" t="s">
        <v>1371</v>
      </c>
      <c r="D110" s="61"/>
      <c r="E110" s="30">
        <v>-2768.2368999999999</v>
      </c>
      <c r="F110" s="63"/>
      <c r="G110" s="15">
        <f t="shared" si="4"/>
        <v>-2768.2368999999999</v>
      </c>
      <c r="H110" s="63"/>
      <c r="I110" s="15">
        <f t="shared" si="3"/>
        <v>0</v>
      </c>
      <c r="J110" s="63"/>
      <c r="K110" s="15">
        <v>-2767.4708999999998</v>
      </c>
      <c r="L110" s="15">
        <v>0</v>
      </c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>
        <v>-0.76600000000000001</v>
      </c>
      <c r="Y110" s="15">
        <v>0</v>
      </c>
      <c r="Z110" s="15"/>
      <c r="AA110" s="15"/>
      <c r="AB110" s="15"/>
      <c r="AC110" s="15"/>
      <c r="AD110" s="15"/>
      <c r="AE110" s="15"/>
      <c r="AF110" s="15"/>
      <c r="AG110" s="15"/>
    </row>
    <row r="111" spans="2:33" ht="16" customHeight="1" x14ac:dyDescent="0.35">
      <c r="B111" s="14" t="s">
        <v>501</v>
      </c>
      <c r="C111" s="14" t="s">
        <v>1372</v>
      </c>
      <c r="D111" s="61"/>
      <c r="E111" s="30"/>
      <c r="F111" s="63"/>
      <c r="G111" s="15">
        <f t="shared" si="4"/>
        <v>0</v>
      </c>
      <c r="H111" s="63"/>
      <c r="I111" s="15">
        <f t="shared" si="3"/>
        <v>0</v>
      </c>
      <c r="J111" s="63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</row>
    <row r="112" spans="2:33" ht="16" customHeight="1" x14ac:dyDescent="0.35">
      <c r="B112" s="14" t="s">
        <v>503</v>
      </c>
      <c r="C112" s="14" t="s">
        <v>1373</v>
      </c>
      <c r="D112" s="61"/>
      <c r="E112" s="30"/>
      <c r="F112" s="63"/>
      <c r="G112" s="15">
        <f t="shared" si="4"/>
        <v>0</v>
      </c>
      <c r="H112" s="63"/>
      <c r="I112" s="15">
        <f t="shared" si="3"/>
        <v>0</v>
      </c>
      <c r="J112" s="63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</row>
    <row r="113" spans="2:33" ht="16" customHeight="1" x14ac:dyDescent="0.35">
      <c r="B113" s="14" t="s">
        <v>507</v>
      </c>
      <c r="C113" s="14" t="s">
        <v>1374</v>
      </c>
      <c r="D113" s="61"/>
      <c r="E113" s="30">
        <v>4000</v>
      </c>
      <c r="F113" s="63"/>
      <c r="G113" s="15">
        <f t="shared" si="4"/>
        <v>4000</v>
      </c>
      <c r="H113" s="63"/>
      <c r="I113" s="15">
        <f t="shared" si="3"/>
        <v>0</v>
      </c>
      <c r="J113" s="63"/>
      <c r="K113" s="15">
        <v>4000</v>
      </c>
      <c r="L113" s="15"/>
      <c r="M113" s="15">
        <v>0</v>
      </c>
      <c r="N113" s="15"/>
      <c r="O113" s="15"/>
      <c r="P113" s="15"/>
      <c r="Q113" s="15"/>
      <c r="R113" s="15"/>
      <c r="S113" s="15">
        <v>0</v>
      </c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</row>
    <row r="114" spans="2:33" ht="16" customHeight="1" x14ac:dyDescent="0.35">
      <c r="B114" s="14" t="s">
        <v>509</v>
      </c>
      <c r="C114" s="14" t="s">
        <v>1375</v>
      </c>
      <c r="D114" s="61"/>
      <c r="E114" s="30"/>
      <c r="F114" s="63"/>
      <c r="G114" s="15">
        <f t="shared" si="4"/>
        <v>0</v>
      </c>
      <c r="H114" s="63"/>
      <c r="I114" s="15">
        <f t="shared" si="3"/>
        <v>0</v>
      </c>
      <c r="J114" s="63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</row>
    <row r="115" spans="2:33" ht="16" customHeight="1" x14ac:dyDescent="0.35">
      <c r="B115" s="14" t="s">
        <v>513</v>
      </c>
      <c r="C115" s="14" t="s">
        <v>1376</v>
      </c>
      <c r="D115" s="61"/>
      <c r="E115" s="30">
        <v>46401.963900000002</v>
      </c>
      <c r="F115" s="63"/>
      <c r="G115" s="15">
        <f t="shared" si="4"/>
        <v>46401.963900000002</v>
      </c>
      <c r="H115" s="63"/>
      <c r="I115" s="15">
        <f t="shared" si="3"/>
        <v>0</v>
      </c>
      <c r="J115" s="63"/>
      <c r="K115" s="15">
        <v>46401.963900000002</v>
      </c>
      <c r="L115" s="15">
        <v>0</v>
      </c>
      <c r="M115" s="15">
        <v>0</v>
      </c>
      <c r="N115" s="15"/>
      <c r="O115" s="15"/>
      <c r="P115" s="15"/>
      <c r="Q115" s="15"/>
      <c r="R115" s="15"/>
      <c r="S115" s="15">
        <v>0</v>
      </c>
      <c r="T115" s="15"/>
      <c r="U115" s="15"/>
      <c r="V115" s="15"/>
      <c r="W115" s="15"/>
      <c r="X115" s="15"/>
      <c r="Y115" s="15">
        <v>0</v>
      </c>
      <c r="Z115" s="15"/>
      <c r="AA115" s="15"/>
      <c r="AB115" s="15"/>
      <c r="AC115" s="15">
        <v>0</v>
      </c>
      <c r="AD115" s="15"/>
      <c r="AE115" s="15"/>
      <c r="AF115" s="15"/>
      <c r="AG115" s="15"/>
    </row>
    <row r="116" spans="2:33" ht="16" customHeight="1" x14ac:dyDescent="0.35">
      <c r="B116" s="14" t="s">
        <v>515</v>
      </c>
      <c r="C116" s="14" t="s">
        <v>1377</v>
      </c>
      <c r="D116" s="61"/>
      <c r="E116" s="30">
        <v>-32378.150310000001</v>
      </c>
      <c r="F116" s="63"/>
      <c r="G116" s="15">
        <f t="shared" si="4"/>
        <v>-32378.150310000001</v>
      </c>
      <c r="H116" s="63"/>
      <c r="I116" s="15">
        <f t="shared" si="3"/>
        <v>0</v>
      </c>
      <c r="J116" s="63"/>
      <c r="K116" s="15">
        <v>-32139.810310000001</v>
      </c>
      <c r="L116" s="15">
        <v>0</v>
      </c>
      <c r="M116" s="15">
        <v>0</v>
      </c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>
        <v>-238.34</v>
      </c>
      <c r="Y116" s="15">
        <v>0</v>
      </c>
      <c r="Z116" s="15"/>
      <c r="AA116" s="15"/>
      <c r="AB116" s="15"/>
      <c r="AC116" s="15">
        <v>0</v>
      </c>
      <c r="AD116" s="15">
        <v>0</v>
      </c>
      <c r="AE116" s="15"/>
      <c r="AF116" s="15"/>
      <c r="AG116" s="15"/>
    </row>
    <row r="117" spans="2:33" ht="16" customHeight="1" x14ac:dyDescent="0.35">
      <c r="B117" s="14" t="s">
        <v>554</v>
      </c>
      <c r="C117" s="14" t="s">
        <v>555</v>
      </c>
      <c r="D117" s="61"/>
      <c r="E117" s="30"/>
      <c r="F117" s="63"/>
      <c r="G117" s="15">
        <f t="shared" si="4"/>
        <v>0</v>
      </c>
      <c r="H117" s="63"/>
      <c r="I117" s="15">
        <f t="shared" si="3"/>
        <v>0</v>
      </c>
      <c r="J117" s="63"/>
      <c r="K117" s="15">
        <v>-1E-3</v>
      </c>
      <c r="L117" s="15"/>
      <c r="M117" s="15"/>
      <c r="N117" s="15"/>
      <c r="O117" s="15"/>
      <c r="P117" s="15"/>
      <c r="Q117" s="15"/>
      <c r="R117" s="15"/>
      <c r="S117" s="15">
        <v>1E-3</v>
      </c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</row>
    <row r="118" spans="2:33" ht="16" customHeight="1" x14ac:dyDescent="0.35">
      <c r="B118" s="14" t="s">
        <v>384</v>
      </c>
      <c r="C118" s="14" t="s">
        <v>385</v>
      </c>
      <c r="D118" s="61"/>
      <c r="E118" s="30"/>
      <c r="F118" s="63"/>
      <c r="G118" s="15">
        <f t="shared" si="4"/>
        <v>0</v>
      </c>
      <c r="H118" s="63"/>
      <c r="I118" s="15">
        <f t="shared" si="3"/>
        <v>0</v>
      </c>
      <c r="J118" s="63"/>
      <c r="K118" s="15"/>
      <c r="L118" s="15"/>
      <c r="M118" s="15"/>
      <c r="N118" s="15"/>
      <c r="O118" s="15"/>
      <c r="P118" s="15"/>
      <c r="Q118" s="15"/>
      <c r="R118" s="15"/>
      <c r="S118" s="15">
        <v>0</v>
      </c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</row>
    <row r="119" spans="2:33" ht="16" customHeight="1" x14ac:dyDescent="0.35">
      <c r="B119" s="14" t="s">
        <v>386</v>
      </c>
      <c r="C119" s="14" t="s">
        <v>387</v>
      </c>
      <c r="D119" s="61"/>
      <c r="E119" s="30">
        <v>32861.885130000002</v>
      </c>
      <c r="F119" s="63"/>
      <c r="G119" s="15">
        <f t="shared" si="4"/>
        <v>32861.885129999995</v>
      </c>
      <c r="H119" s="63"/>
      <c r="I119" s="15">
        <f t="shared" si="3"/>
        <v>0</v>
      </c>
      <c r="J119" s="63"/>
      <c r="K119" s="15">
        <v>32544.526330000001</v>
      </c>
      <c r="L119" s="15"/>
      <c r="M119" s="15"/>
      <c r="N119" s="15"/>
      <c r="O119" s="15"/>
      <c r="P119" s="15"/>
      <c r="Q119" s="15"/>
      <c r="R119" s="15"/>
      <c r="S119" s="15">
        <v>266.03930000000003</v>
      </c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>
        <v>51.319499999999998</v>
      </c>
      <c r="AE119" s="15"/>
      <c r="AF119" s="15"/>
      <c r="AG119" s="15"/>
    </row>
    <row r="120" spans="2:33" ht="16" customHeight="1" x14ac:dyDescent="0.35">
      <c r="B120" s="14" t="s">
        <v>557</v>
      </c>
      <c r="C120" s="14" t="s">
        <v>558</v>
      </c>
      <c r="D120" s="61"/>
      <c r="E120" s="30"/>
      <c r="F120" s="63"/>
      <c r="G120" s="15">
        <f t="shared" si="4"/>
        <v>0</v>
      </c>
      <c r="H120" s="63"/>
      <c r="I120" s="15">
        <f t="shared" si="3"/>
        <v>0</v>
      </c>
      <c r="J120" s="63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</row>
    <row r="121" spans="2:33" ht="16" customHeight="1" x14ac:dyDescent="0.35">
      <c r="B121" s="16" t="s">
        <v>1378</v>
      </c>
      <c r="C121" s="16"/>
      <c r="D121" s="64"/>
      <c r="E121" s="31">
        <f>SUBTOTAL(109, E12:E120)</f>
        <v>5566340.1106899995</v>
      </c>
      <c r="F121" s="65"/>
      <c r="G121" s="17">
        <f>SUBTOTAL(109, G12:G120)</f>
        <v>5566340.108719999</v>
      </c>
      <c r="H121" s="65"/>
      <c r="I121" s="17">
        <f>SUBTOTAL(109, I12:I120)</f>
        <v>1.9700000482316682E-3</v>
      </c>
      <c r="J121" s="65"/>
      <c r="K121" s="17">
        <f t="shared" ref="K121:AG121" si="5">SUBTOTAL(109, K12:K120)</f>
        <v>5479402.3459099988</v>
      </c>
      <c r="L121" s="17">
        <f t="shared" si="5"/>
        <v>0</v>
      </c>
      <c r="M121" s="17">
        <f t="shared" si="5"/>
        <v>0</v>
      </c>
      <c r="N121" s="17">
        <f t="shared" si="5"/>
        <v>0</v>
      </c>
      <c r="O121" s="17">
        <f t="shared" si="5"/>
        <v>0</v>
      </c>
      <c r="P121" s="17">
        <f t="shared" si="5"/>
        <v>0</v>
      </c>
      <c r="Q121" s="17">
        <f t="shared" si="5"/>
        <v>-531.09434999999996</v>
      </c>
      <c r="R121" s="17">
        <f t="shared" si="5"/>
        <v>0</v>
      </c>
      <c r="S121" s="17">
        <f t="shared" si="5"/>
        <v>87998.696329999992</v>
      </c>
      <c r="T121" s="17">
        <f t="shared" si="5"/>
        <v>23853.628039999996</v>
      </c>
      <c r="U121" s="17">
        <f t="shared" si="5"/>
        <v>14071.659080000001</v>
      </c>
      <c r="V121" s="17">
        <f t="shared" si="5"/>
        <v>0</v>
      </c>
      <c r="W121" s="17">
        <f t="shared" si="5"/>
        <v>0</v>
      </c>
      <c r="X121" s="17">
        <f t="shared" si="5"/>
        <v>-35664.395149999997</v>
      </c>
      <c r="Y121" s="17">
        <f t="shared" si="5"/>
        <v>-4875.3886399999992</v>
      </c>
      <c r="Z121" s="17">
        <f t="shared" si="5"/>
        <v>0</v>
      </c>
      <c r="AA121" s="17">
        <f t="shared" si="5"/>
        <v>0</v>
      </c>
      <c r="AB121" s="17">
        <f t="shared" si="5"/>
        <v>1849.45634</v>
      </c>
      <c r="AC121" s="17">
        <f t="shared" si="5"/>
        <v>-182.82703000000038</v>
      </c>
      <c r="AD121" s="17">
        <f t="shared" si="5"/>
        <v>-2041.11175</v>
      </c>
      <c r="AE121" s="17">
        <f t="shared" si="5"/>
        <v>0</v>
      </c>
      <c r="AF121" s="17">
        <f t="shared" si="5"/>
        <v>2459.1399400000005</v>
      </c>
      <c r="AG121" s="17">
        <f t="shared" si="5"/>
        <v>0</v>
      </c>
    </row>
    <row r="122" spans="2:33" ht="16" customHeight="1" x14ac:dyDescent="0.35">
      <c r="B122" s="11"/>
      <c r="C122" s="11"/>
      <c r="D122" s="29"/>
      <c r="E122" s="29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spans="2:33" ht="16" customHeight="1" x14ac:dyDescent="0.35">
      <c r="B123" s="14" t="s">
        <v>577</v>
      </c>
      <c r="C123" s="14" t="s">
        <v>1385</v>
      </c>
      <c r="D123" s="61"/>
      <c r="E123" s="30">
        <v>703169.21542999998</v>
      </c>
      <c r="F123" s="63"/>
      <c r="G123" s="15">
        <f t="shared" ref="G123:G154" si="6">SUM(K123:AG123)</f>
        <v>703169.21542999998</v>
      </c>
      <c r="H123" s="63"/>
      <c r="I123" s="15">
        <f t="shared" ref="I123:I186" si="7">E123-G123</f>
        <v>0</v>
      </c>
      <c r="J123" s="63"/>
      <c r="K123" s="15">
        <v>681369.21542999998</v>
      </c>
      <c r="L123" s="15"/>
      <c r="M123" s="15"/>
      <c r="N123" s="15"/>
      <c r="O123" s="15"/>
      <c r="P123" s="15"/>
      <c r="Q123" s="15"/>
      <c r="R123" s="15"/>
      <c r="S123" s="15"/>
      <c r="T123" s="15">
        <v>135350</v>
      </c>
      <c r="U123" s="15"/>
      <c r="V123" s="15"/>
      <c r="W123" s="15"/>
      <c r="X123" s="15"/>
      <c r="Y123" s="15">
        <v>-113550</v>
      </c>
      <c r="Z123" s="15"/>
      <c r="AA123" s="15"/>
      <c r="AB123" s="15"/>
      <c r="AC123" s="15"/>
      <c r="AD123" s="15"/>
      <c r="AE123" s="15"/>
      <c r="AF123" s="15"/>
      <c r="AG123" s="15"/>
    </row>
    <row r="124" spans="2:33" ht="16" customHeight="1" x14ac:dyDescent="0.35">
      <c r="B124" s="14" t="s">
        <v>579</v>
      </c>
      <c r="C124" s="14" t="s">
        <v>1379</v>
      </c>
      <c r="D124" s="61"/>
      <c r="E124" s="30"/>
      <c r="F124" s="63"/>
      <c r="G124" s="15">
        <f t="shared" si="6"/>
        <v>0</v>
      </c>
      <c r="H124" s="63"/>
      <c r="I124" s="15">
        <f t="shared" si="7"/>
        <v>0</v>
      </c>
      <c r="J124" s="63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</row>
    <row r="125" spans="2:33" ht="16" customHeight="1" x14ac:dyDescent="0.35">
      <c r="B125" s="14" t="s">
        <v>581</v>
      </c>
      <c r="C125" s="14" t="s">
        <v>1380</v>
      </c>
      <c r="D125" s="61"/>
      <c r="E125" s="30">
        <v>-8.9480000000000004E-2</v>
      </c>
      <c r="F125" s="63"/>
      <c r="G125" s="15">
        <f t="shared" si="6"/>
        <v>-8.9480000000000004E-2</v>
      </c>
      <c r="H125" s="63"/>
      <c r="I125" s="15">
        <f t="shared" si="7"/>
        <v>0</v>
      </c>
      <c r="J125" s="63"/>
      <c r="K125" s="15"/>
      <c r="L125" s="15"/>
      <c r="M125" s="15"/>
      <c r="N125" s="15"/>
      <c r="O125" s="15"/>
      <c r="P125" s="15"/>
      <c r="Q125" s="15"/>
      <c r="R125" s="15"/>
      <c r="S125" s="15"/>
      <c r="T125" s="15">
        <v>-8.9480000000000004E-2</v>
      </c>
      <c r="U125" s="15"/>
      <c r="V125" s="15"/>
      <c r="W125" s="15"/>
      <c r="X125" s="15"/>
      <c r="Y125" s="15">
        <v>0</v>
      </c>
      <c r="Z125" s="15"/>
      <c r="AA125" s="15"/>
      <c r="AB125" s="15"/>
      <c r="AC125" s="15"/>
      <c r="AD125" s="15"/>
      <c r="AE125" s="15"/>
      <c r="AF125" s="15"/>
      <c r="AG125" s="15">
        <v>0</v>
      </c>
    </row>
    <row r="126" spans="2:33" ht="16" customHeight="1" x14ac:dyDescent="0.35">
      <c r="B126" s="14" t="s">
        <v>583</v>
      </c>
      <c r="C126" s="14" t="s">
        <v>584</v>
      </c>
      <c r="D126" s="61"/>
      <c r="E126" s="30"/>
      <c r="F126" s="63"/>
      <c r="G126" s="15">
        <f t="shared" si="6"/>
        <v>0</v>
      </c>
      <c r="H126" s="63"/>
      <c r="I126" s="15">
        <f t="shared" si="7"/>
        <v>0</v>
      </c>
      <c r="J126" s="63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</row>
    <row r="127" spans="2:33" ht="16" customHeight="1" x14ac:dyDescent="0.35">
      <c r="B127" s="14" t="s">
        <v>599</v>
      </c>
      <c r="C127" s="14" t="s">
        <v>1388</v>
      </c>
      <c r="D127" s="61"/>
      <c r="E127" s="30">
        <v>163.11313999999999</v>
      </c>
      <c r="F127" s="63"/>
      <c r="G127" s="15">
        <f t="shared" si="6"/>
        <v>163.11313999999999</v>
      </c>
      <c r="H127" s="63"/>
      <c r="I127" s="15">
        <f t="shared" si="7"/>
        <v>0</v>
      </c>
      <c r="J127" s="63"/>
      <c r="K127" s="15">
        <v>163.11313999999999</v>
      </c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>
        <v>0</v>
      </c>
      <c r="AE127" s="15"/>
      <c r="AF127" s="15"/>
      <c r="AG127" s="15"/>
    </row>
    <row r="128" spans="2:33" ht="16" customHeight="1" x14ac:dyDescent="0.35">
      <c r="B128" s="14" t="s">
        <v>585</v>
      </c>
      <c r="C128" s="14" t="s">
        <v>1386</v>
      </c>
      <c r="D128" s="61"/>
      <c r="E128" s="30">
        <v>146489.6594</v>
      </c>
      <c r="F128" s="63"/>
      <c r="G128" s="15">
        <f t="shared" si="6"/>
        <v>146489.6594</v>
      </c>
      <c r="H128" s="63"/>
      <c r="I128" s="15">
        <f t="shared" si="7"/>
        <v>0</v>
      </c>
      <c r="J128" s="63"/>
      <c r="K128" s="15">
        <v>146489.6594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</row>
    <row r="129" spans="2:33" ht="16" customHeight="1" x14ac:dyDescent="0.35">
      <c r="B129" s="14" t="s">
        <v>587</v>
      </c>
      <c r="C129" s="14" t="s">
        <v>1381</v>
      </c>
      <c r="D129" s="61"/>
      <c r="E129" s="30"/>
      <c r="F129" s="63"/>
      <c r="G129" s="15">
        <f t="shared" si="6"/>
        <v>0</v>
      </c>
      <c r="H129" s="63"/>
      <c r="I129" s="15">
        <f t="shared" si="7"/>
        <v>0</v>
      </c>
      <c r="J129" s="63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</row>
    <row r="130" spans="2:33" ht="16" customHeight="1" x14ac:dyDescent="0.35">
      <c r="B130" s="14" t="s">
        <v>589</v>
      </c>
      <c r="C130" s="14" t="s">
        <v>1382</v>
      </c>
      <c r="D130" s="61"/>
      <c r="E130" s="30"/>
      <c r="F130" s="63"/>
      <c r="G130" s="15">
        <f t="shared" si="6"/>
        <v>0</v>
      </c>
      <c r="H130" s="63"/>
      <c r="I130" s="15">
        <f t="shared" si="7"/>
        <v>0</v>
      </c>
      <c r="J130" s="63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</row>
    <row r="131" spans="2:33" ht="16" customHeight="1" x14ac:dyDescent="0.35">
      <c r="B131" s="14" t="s">
        <v>591</v>
      </c>
      <c r="C131" s="14" t="s">
        <v>1383</v>
      </c>
      <c r="D131" s="61"/>
      <c r="E131" s="30">
        <v>493.60199999999998</v>
      </c>
      <c r="F131" s="63"/>
      <c r="G131" s="15">
        <f t="shared" si="6"/>
        <v>493.60199999999998</v>
      </c>
      <c r="H131" s="63"/>
      <c r="I131" s="15">
        <f t="shared" si="7"/>
        <v>0</v>
      </c>
      <c r="J131" s="63"/>
      <c r="K131" s="15">
        <v>492.68714</v>
      </c>
      <c r="L131" s="15"/>
      <c r="M131" s="15"/>
      <c r="N131" s="15"/>
      <c r="O131" s="15"/>
      <c r="P131" s="15"/>
      <c r="Q131" s="15">
        <v>0</v>
      </c>
      <c r="R131" s="15"/>
      <c r="S131" s="15"/>
      <c r="T131" s="15">
        <v>0</v>
      </c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>
        <v>0.91486000000000001</v>
      </c>
      <c r="AG131" s="15"/>
    </row>
    <row r="132" spans="2:33" ht="16" customHeight="1" x14ac:dyDescent="0.35">
      <c r="B132" s="14" t="s">
        <v>593</v>
      </c>
      <c r="C132" s="14" t="s">
        <v>1384</v>
      </c>
      <c r="D132" s="61"/>
      <c r="E132" s="30">
        <v>48469.169179999997</v>
      </c>
      <c r="F132" s="63"/>
      <c r="G132" s="15">
        <f t="shared" si="6"/>
        <v>48469.169170000001</v>
      </c>
      <c r="H132" s="63"/>
      <c r="I132" s="15">
        <f t="shared" si="7"/>
        <v>9.9999961093999445E-6</v>
      </c>
      <c r="J132" s="63"/>
      <c r="K132" s="15">
        <v>50784.082869999998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>
        <v>-2325.29333</v>
      </c>
      <c r="AD132" s="15"/>
      <c r="AE132" s="15"/>
      <c r="AF132" s="15">
        <v>10.379630000000001</v>
      </c>
      <c r="AG132" s="15"/>
    </row>
    <row r="133" spans="2:33" ht="16" customHeight="1" x14ac:dyDescent="0.35">
      <c r="B133" s="14" t="s">
        <v>595</v>
      </c>
      <c r="C133" s="14" t="s">
        <v>596</v>
      </c>
      <c r="D133" s="61"/>
      <c r="E133" s="30">
        <v>0</v>
      </c>
      <c r="F133" s="63"/>
      <c r="G133" s="15">
        <f t="shared" si="6"/>
        <v>0</v>
      </c>
      <c r="H133" s="63"/>
      <c r="I133" s="15">
        <f t="shared" si="7"/>
        <v>0</v>
      </c>
      <c r="J133" s="63"/>
      <c r="K133" s="15"/>
      <c r="L133" s="15"/>
      <c r="M133" s="15"/>
      <c r="N133" s="15"/>
      <c r="O133" s="15"/>
      <c r="P133" s="15"/>
      <c r="Q133" s="15"/>
      <c r="R133" s="15"/>
      <c r="S133" s="15">
        <v>-30900</v>
      </c>
      <c r="T133" s="15">
        <v>37900</v>
      </c>
      <c r="U133" s="15"/>
      <c r="V133" s="15"/>
      <c r="W133" s="15"/>
      <c r="X133" s="15"/>
      <c r="Y133" s="15">
        <v>-7000</v>
      </c>
      <c r="Z133" s="15"/>
      <c r="AA133" s="15"/>
      <c r="AB133" s="15"/>
      <c r="AC133" s="15"/>
      <c r="AD133" s="15"/>
      <c r="AE133" s="15"/>
      <c r="AF133" s="15"/>
      <c r="AG133" s="15"/>
    </row>
    <row r="134" spans="2:33" ht="16" customHeight="1" x14ac:dyDescent="0.35">
      <c r="B134" s="14" t="s">
        <v>1393</v>
      </c>
      <c r="C134" s="14" t="s">
        <v>1394</v>
      </c>
      <c r="D134" s="61"/>
      <c r="E134" s="30"/>
      <c r="F134" s="63"/>
      <c r="G134" s="15">
        <f t="shared" si="6"/>
        <v>0</v>
      </c>
      <c r="H134" s="63"/>
      <c r="I134" s="15">
        <f t="shared" si="7"/>
        <v>0</v>
      </c>
      <c r="J134" s="63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</row>
    <row r="135" spans="2:33" ht="16" customHeight="1" x14ac:dyDescent="0.35">
      <c r="B135" s="14" t="s">
        <v>1395</v>
      </c>
      <c r="C135" s="14" t="s">
        <v>1396</v>
      </c>
      <c r="D135" s="61"/>
      <c r="E135" s="30">
        <v>3583.6652100000001</v>
      </c>
      <c r="F135" s="63"/>
      <c r="G135" s="15">
        <f t="shared" si="6"/>
        <v>3583.6652100000001</v>
      </c>
      <c r="H135" s="63"/>
      <c r="I135" s="15">
        <f t="shared" si="7"/>
        <v>0</v>
      </c>
      <c r="J135" s="63"/>
      <c r="K135" s="15">
        <v>1666.1661099999999</v>
      </c>
      <c r="L135" s="15"/>
      <c r="M135" s="15"/>
      <c r="N135" s="15"/>
      <c r="O135" s="15"/>
      <c r="P135" s="15"/>
      <c r="Q135" s="15"/>
      <c r="R135" s="15"/>
      <c r="S135" s="15">
        <v>1917.4991</v>
      </c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</row>
    <row r="136" spans="2:33" ht="16" customHeight="1" x14ac:dyDescent="0.35">
      <c r="B136" s="14" t="s">
        <v>1397</v>
      </c>
      <c r="C136" s="14" t="s">
        <v>1398</v>
      </c>
      <c r="D136" s="61"/>
      <c r="E136" s="30"/>
      <c r="F136" s="63"/>
      <c r="G136" s="15">
        <f t="shared" si="6"/>
        <v>0</v>
      </c>
      <c r="H136" s="63"/>
      <c r="I136" s="15">
        <f t="shared" si="7"/>
        <v>0</v>
      </c>
      <c r="J136" s="63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</row>
    <row r="137" spans="2:33" ht="16" customHeight="1" x14ac:dyDescent="0.35">
      <c r="B137" s="14" t="s">
        <v>1399</v>
      </c>
      <c r="C137" s="14" t="s">
        <v>1400</v>
      </c>
      <c r="D137" s="61"/>
      <c r="E137" s="30"/>
      <c r="F137" s="63"/>
      <c r="G137" s="15">
        <f t="shared" si="6"/>
        <v>0</v>
      </c>
      <c r="H137" s="63"/>
      <c r="I137" s="15">
        <f t="shared" si="7"/>
        <v>0</v>
      </c>
      <c r="J137" s="63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</row>
    <row r="138" spans="2:33" ht="16" customHeight="1" x14ac:dyDescent="0.35">
      <c r="B138" s="14" t="s">
        <v>1401</v>
      </c>
      <c r="C138" s="14" t="s">
        <v>1402</v>
      </c>
      <c r="D138" s="61"/>
      <c r="E138" s="30"/>
      <c r="F138" s="63"/>
      <c r="G138" s="15">
        <f t="shared" si="6"/>
        <v>0</v>
      </c>
      <c r="H138" s="63"/>
      <c r="I138" s="15">
        <f t="shared" si="7"/>
        <v>0</v>
      </c>
      <c r="J138" s="63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</row>
    <row r="139" spans="2:33" ht="16" customHeight="1" x14ac:dyDescent="0.35">
      <c r="B139" s="14" t="s">
        <v>1403</v>
      </c>
      <c r="C139" s="14" t="s">
        <v>1404</v>
      </c>
      <c r="D139" s="61"/>
      <c r="E139" s="30">
        <v>999.19690000000003</v>
      </c>
      <c r="F139" s="63"/>
      <c r="G139" s="15">
        <f t="shared" si="6"/>
        <v>999.19690000000003</v>
      </c>
      <c r="H139" s="63"/>
      <c r="I139" s="15">
        <f t="shared" si="7"/>
        <v>0</v>
      </c>
      <c r="J139" s="63"/>
      <c r="K139" s="15">
        <v>993.09743000000003</v>
      </c>
      <c r="L139" s="15"/>
      <c r="M139" s="15">
        <v>0</v>
      </c>
      <c r="N139" s="15"/>
      <c r="O139" s="15"/>
      <c r="P139" s="15"/>
      <c r="Q139" s="15"/>
      <c r="R139" s="15"/>
      <c r="S139" s="15">
        <v>6.0994700000000002</v>
      </c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</row>
    <row r="140" spans="2:33" ht="16" customHeight="1" x14ac:dyDescent="0.35">
      <c r="B140" s="14" t="s">
        <v>566</v>
      </c>
      <c r="C140" s="14" t="s">
        <v>1389</v>
      </c>
      <c r="D140" s="61"/>
      <c r="E140" s="30">
        <v>21212.34851</v>
      </c>
      <c r="F140" s="63"/>
      <c r="G140" s="15">
        <f t="shared" si="6"/>
        <v>21212.346509999999</v>
      </c>
      <c r="H140" s="63"/>
      <c r="I140" s="15">
        <f t="shared" si="7"/>
        <v>2.0000000004074536E-3</v>
      </c>
      <c r="J140" s="63"/>
      <c r="K140" s="15">
        <v>21106.52996</v>
      </c>
      <c r="L140" s="15"/>
      <c r="M140" s="15"/>
      <c r="N140" s="15"/>
      <c r="O140" s="15"/>
      <c r="P140" s="15"/>
      <c r="Q140" s="15"/>
      <c r="R140" s="15"/>
      <c r="S140" s="15">
        <v>105.81757</v>
      </c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>
        <v>9.8999999999999999E-4</v>
      </c>
      <c r="AE140" s="15"/>
      <c r="AF140" s="15">
        <v>-2.0100000000000001E-3</v>
      </c>
      <c r="AG140" s="15"/>
    </row>
    <row r="141" spans="2:33" ht="16" customHeight="1" x14ac:dyDescent="0.35">
      <c r="B141" s="14" t="s">
        <v>615</v>
      </c>
      <c r="C141" s="14" t="s">
        <v>1409</v>
      </c>
      <c r="D141" s="61"/>
      <c r="E141" s="30">
        <v>17938.17454</v>
      </c>
      <c r="F141" s="63"/>
      <c r="G141" s="15">
        <f t="shared" si="6"/>
        <v>17938.174549999996</v>
      </c>
      <c r="H141" s="63"/>
      <c r="I141" s="15">
        <f t="shared" si="7"/>
        <v>-9.9999961093999445E-6</v>
      </c>
      <c r="J141" s="63"/>
      <c r="K141" s="15">
        <v>16076.501689999999</v>
      </c>
      <c r="L141" s="15"/>
      <c r="M141" s="15"/>
      <c r="N141" s="15"/>
      <c r="O141" s="15"/>
      <c r="P141" s="15"/>
      <c r="Q141" s="15">
        <v>0</v>
      </c>
      <c r="R141" s="15"/>
      <c r="S141" s="15">
        <v>1851.7045900000001</v>
      </c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>
        <v>8.6646400000000003</v>
      </c>
      <c r="AE141" s="15"/>
      <c r="AF141" s="15">
        <v>1.3036300000000001</v>
      </c>
      <c r="AG141" s="15">
        <v>0</v>
      </c>
    </row>
    <row r="142" spans="2:33" ht="16" customHeight="1" x14ac:dyDescent="0.35">
      <c r="B142" s="14" t="s">
        <v>568</v>
      </c>
      <c r="C142" s="14" t="s">
        <v>1390</v>
      </c>
      <c r="D142" s="61"/>
      <c r="E142" s="30"/>
      <c r="F142" s="63"/>
      <c r="G142" s="15">
        <f t="shared" si="6"/>
        <v>0</v>
      </c>
      <c r="H142" s="63"/>
      <c r="I142" s="15">
        <f t="shared" si="7"/>
        <v>0</v>
      </c>
      <c r="J142" s="63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</row>
    <row r="143" spans="2:33" ht="16" customHeight="1" x14ac:dyDescent="0.35">
      <c r="B143" s="14" t="s">
        <v>617</v>
      </c>
      <c r="C143" s="14" t="s">
        <v>1410</v>
      </c>
      <c r="D143" s="61"/>
      <c r="E143" s="30"/>
      <c r="F143" s="63"/>
      <c r="G143" s="15">
        <f t="shared" si="6"/>
        <v>0</v>
      </c>
      <c r="H143" s="63"/>
      <c r="I143" s="15">
        <f t="shared" si="7"/>
        <v>0</v>
      </c>
      <c r="J143" s="63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</row>
    <row r="144" spans="2:33" ht="16" customHeight="1" x14ac:dyDescent="0.35">
      <c r="B144" s="14" t="s">
        <v>627</v>
      </c>
      <c r="C144" s="14" t="s">
        <v>1411</v>
      </c>
      <c r="D144" s="61"/>
      <c r="E144" s="30">
        <v>39802.934410000002</v>
      </c>
      <c r="F144" s="63"/>
      <c r="G144" s="15">
        <f t="shared" si="6"/>
        <v>39802.934409999994</v>
      </c>
      <c r="H144" s="63"/>
      <c r="I144" s="15">
        <f t="shared" si="7"/>
        <v>0</v>
      </c>
      <c r="J144" s="63"/>
      <c r="K144" s="15">
        <v>39001.329859999998</v>
      </c>
      <c r="L144" s="15"/>
      <c r="M144" s="15">
        <v>0</v>
      </c>
      <c r="N144" s="15"/>
      <c r="O144" s="15"/>
      <c r="P144" s="15"/>
      <c r="Q144" s="15"/>
      <c r="R144" s="15"/>
      <c r="S144" s="15">
        <v>8.8056099999999997</v>
      </c>
      <c r="T144" s="15"/>
      <c r="U144" s="15"/>
      <c r="V144" s="15"/>
      <c r="W144" s="15"/>
      <c r="X144" s="15"/>
      <c r="Y144" s="15"/>
      <c r="Z144" s="15"/>
      <c r="AA144" s="15"/>
      <c r="AB144" s="15"/>
      <c r="AC144" s="15">
        <v>786.23428000000001</v>
      </c>
      <c r="AD144" s="15"/>
      <c r="AE144" s="15"/>
      <c r="AF144" s="15">
        <v>6.5646599999999999</v>
      </c>
      <c r="AG144" s="15"/>
    </row>
    <row r="145" spans="2:33" ht="16" customHeight="1" x14ac:dyDescent="0.35">
      <c r="B145" s="14" t="s">
        <v>572</v>
      </c>
      <c r="C145" s="14" t="s">
        <v>573</v>
      </c>
      <c r="D145" s="61"/>
      <c r="E145" s="30">
        <v>7420.20136</v>
      </c>
      <c r="F145" s="63"/>
      <c r="G145" s="15">
        <f t="shared" si="6"/>
        <v>7420.20136</v>
      </c>
      <c r="H145" s="63"/>
      <c r="I145" s="15">
        <f t="shared" si="7"/>
        <v>0</v>
      </c>
      <c r="J145" s="63"/>
      <c r="K145" s="15">
        <v>6712.3402500000002</v>
      </c>
      <c r="L145" s="15"/>
      <c r="M145" s="15">
        <v>0</v>
      </c>
      <c r="N145" s="15"/>
      <c r="O145" s="15"/>
      <c r="P145" s="15"/>
      <c r="Q145" s="15"/>
      <c r="R145" s="15"/>
      <c r="S145" s="15">
        <v>707.86111000000005</v>
      </c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</row>
    <row r="146" spans="2:33" ht="16" customHeight="1" x14ac:dyDescent="0.35">
      <c r="B146" s="14" t="s">
        <v>629</v>
      </c>
      <c r="C146" s="14" t="s">
        <v>1570</v>
      </c>
      <c r="D146" s="61"/>
      <c r="E146" s="30"/>
      <c r="F146" s="63"/>
      <c r="G146" s="15">
        <f t="shared" si="6"/>
        <v>0</v>
      </c>
      <c r="H146" s="63"/>
      <c r="I146" s="15">
        <f t="shared" si="7"/>
        <v>0</v>
      </c>
      <c r="J146" s="63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</row>
    <row r="147" spans="2:33" ht="16" customHeight="1" x14ac:dyDescent="0.35">
      <c r="B147" s="14" t="s">
        <v>570</v>
      </c>
      <c r="C147" s="14" t="s">
        <v>1392</v>
      </c>
      <c r="D147" s="61"/>
      <c r="E147" s="30">
        <v>199158.95551</v>
      </c>
      <c r="F147" s="63"/>
      <c r="G147" s="15">
        <f t="shared" si="6"/>
        <v>199158.95551999999</v>
      </c>
      <c r="H147" s="63"/>
      <c r="I147" s="15">
        <f t="shared" si="7"/>
        <v>-9.9999888334423304E-6</v>
      </c>
      <c r="J147" s="63"/>
      <c r="K147" s="15">
        <v>182627.58038999999</v>
      </c>
      <c r="L147" s="15"/>
      <c r="M147" s="15">
        <v>0</v>
      </c>
      <c r="N147" s="15"/>
      <c r="O147" s="15"/>
      <c r="P147" s="15"/>
      <c r="Q147" s="15">
        <v>-531.09434999999996</v>
      </c>
      <c r="R147" s="15"/>
      <c r="S147" s="15">
        <v>16285.86321</v>
      </c>
      <c r="T147" s="15"/>
      <c r="U147" s="15"/>
      <c r="V147" s="15"/>
      <c r="W147" s="15"/>
      <c r="X147" s="15"/>
      <c r="Y147" s="15"/>
      <c r="Z147" s="15"/>
      <c r="AA147" s="15"/>
      <c r="AB147" s="15"/>
      <c r="AC147" s="15">
        <v>0</v>
      </c>
      <c r="AD147" s="15">
        <v>767.09983</v>
      </c>
      <c r="AE147" s="15"/>
      <c r="AF147" s="15">
        <v>9.5064399999999996</v>
      </c>
      <c r="AG147" s="15">
        <v>0</v>
      </c>
    </row>
    <row r="148" spans="2:33" ht="16" customHeight="1" x14ac:dyDescent="0.35">
      <c r="B148" s="14" t="s">
        <v>643</v>
      </c>
      <c r="C148" s="14" t="s">
        <v>1571</v>
      </c>
      <c r="D148" s="61"/>
      <c r="E148" s="30"/>
      <c r="F148" s="63"/>
      <c r="G148" s="15">
        <f t="shared" si="6"/>
        <v>0</v>
      </c>
      <c r="H148" s="63"/>
      <c r="I148" s="15">
        <f t="shared" si="7"/>
        <v>0</v>
      </c>
      <c r="J148" s="63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</row>
    <row r="149" spans="2:33" ht="16" customHeight="1" x14ac:dyDescent="0.35">
      <c r="B149" s="14" t="s">
        <v>621</v>
      </c>
      <c r="C149" s="14" t="s">
        <v>1572</v>
      </c>
      <c r="D149" s="61"/>
      <c r="E149" s="30">
        <v>12392.874159999999</v>
      </c>
      <c r="F149" s="63"/>
      <c r="G149" s="15">
        <f t="shared" si="6"/>
        <v>12392.874180000001</v>
      </c>
      <c r="H149" s="63"/>
      <c r="I149" s="15">
        <f t="shared" si="7"/>
        <v>-2.0000001313746907E-5</v>
      </c>
      <c r="J149" s="63"/>
      <c r="K149" s="15">
        <v>13609.30869</v>
      </c>
      <c r="L149" s="15"/>
      <c r="M149" s="15"/>
      <c r="N149" s="15"/>
      <c r="O149" s="15"/>
      <c r="P149" s="15"/>
      <c r="Q149" s="15"/>
      <c r="R149" s="15"/>
      <c r="S149" s="15">
        <v>-1221.0861199999999</v>
      </c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>
        <v>4.6516099999999998</v>
      </c>
      <c r="AG149" s="15"/>
    </row>
    <row r="150" spans="2:33" ht="16" customHeight="1" x14ac:dyDescent="0.35">
      <c r="B150" s="14" t="s">
        <v>623</v>
      </c>
      <c r="C150" s="14" t="s">
        <v>1406</v>
      </c>
      <c r="D150" s="61"/>
      <c r="E150" s="30">
        <v>0</v>
      </c>
      <c r="F150" s="63"/>
      <c r="G150" s="15">
        <f t="shared" si="6"/>
        <v>0</v>
      </c>
      <c r="H150" s="63"/>
      <c r="I150" s="15">
        <f t="shared" si="7"/>
        <v>0</v>
      </c>
      <c r="J150" s="63"/>
      <c r="K150" s="15">
        <v>0</v>
      </c>
      <c r="L150" s="15"/>
      <c r="M150" s="15">
        <v>0</v>
      </c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>
        <v>0</v>
      </c>
      <c r="AE150" s="15"/>
      <c r="AF150" s="15"/>
      <c r="AG150" s="15"/>
    </row>
    <row r="151" spans="2:33" ht="16" customHeight="1" x14ac:dyDescent="0.35">
      <c r="B151" s="14" t="s">
        <v>625</v>
      </c>
      <c r="C151" s="14" t="s">
        <v>1407</v>
      </c>
      <c r="D151" s="61"/>
      <c r="E151" s="30">
        <v>5092.0617000000002</v>
      </c>
      <c r="F151" s="63"/>
      <c r="G151" s="15">
        <f t="shared" si="6"/>
        <v>5092.0617000000002</v>
      </c>
      <c r="H151" s="63"/>
      <c r="I151" s="15">
        <f t="shared" si="7"/>
        <v>0</v>
      </c>
      <c r="J151" s="63"/>
      <c r="K151" s="15">
        <v>3035.2269200000001</v>
      </c>
      <c r="L151" s="15"/>
      <c r="M151" s="15"/>
      <c r="N151" s="15"/>
      <c r="O151" s="15"/>
      <c r="P151" s="15"/>
      <c r="Q151" s="15"/>
      <c r="R151" s="15"/>
      <c r="S151" s="15">
        <v>2056.7482</v>
      </c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>
        <v>8.6580000000000004E-2</v>
      </c>
      <c r="AG151" s="15"/>
    </row>
    <row r="152" spans="2:33" ht="16" customHeight="1" x14ac:dyDescent="0.35">
      <c r="B152" s="14" t="s">
        <v>619</v>
      </c>
      <c r="C152" s="14" t="s">
        <v>1408</v>
      </c>
      <c r="D152" s="61"/>
      <c r="E152" s="30">
        <v>57983.203079999999</v>
      </c>
      <c r="F152" s="63"/>
      <c r="G152" s="15">
        <f t="shared" si="6"/>
        <v>57983.20306</v>
      </c>
      <c r="H152" s="63"/>
      <c r="I152" s="15">
        <f t="shared" si="7"/>
        <v>1.9999999494757503E-5</v>
      </c>
      <c r="J152" s="63"/>
      <c r="K152" s="15">
        <v>53053.542150000001</v>
      </c>
      <c r="L152" s="15"/>
      <c r="M152" s="15">
        <v>0</v>
      </c>
      <c r="N152" s="15"/>
      <c r="O152" s="15"/>
      <c r="P152" s="15"/>
      <c r="Q152" s="15">
        <v>0</v>
      </c>
      <c r="R152" s="15"/>
      <c r="S152" s="15">
        <v>4928.0589499999996</v>
      </c>
      <c r="T152" s="15"/>
      <c r="U152" s="15"/>
      <c r="V152" s="15"/>
      <c r="W152" s="15"/>
      <c r="X152" s="15"/>
      <c r="Y152" s="15"/>
      <c r="Z152" s="15"/>
      <c r="AA152" s="15"/>
      <c r="AB152" s="15"/>
      <c r="AC152" s="15">
        <v>0</v>
      </c>
      <c r="AD152" s="15">
        <v>0</v>
      </c>
      <c r="AE152" s="15"/>
      <c r="AF152" s="15">
        <v>1.6019600000000001</v>
      </c>
      <c r="AG152" s="15">
        <v>0</v>
      </c>
    </row>
    <row r="153" spans="2:33" ht="16" customHeight="1" x14ac:dyDescent="0.35">
      <c r="B153" s="14" t="s">
        <v>1413</v>
      </c>
      <c r="C153" s="14" t="s">
        <v>1414</v>
      </c>
      <c r="D153" s="61"/>
      <c r="E153" s="30"/>
      <c r="F153" s="63"/>
      <c r="G153" s="15">
        <f t="shared" si="6"/>
        <v>0</v>
      </c>
      <c r="H153" s="63"/>
      <c r="I153" s="15">
        <f t="shared" si="7"/>
        <v>0</v>
      </c>
      <c r="J153" s="63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</row>
    <row r="154" spans="2:33" ht="16" customHeight="1" x14ac:dyDescent="0.35">
      <c r="B154" s="14" t="s">
        <v>1415</v>
      </c>
      <c r="C154" s="14" t="s">
        <v>1416</v>
      </c>
      <c r="D154" s="61"/>
      <c r="E154" s="30">
        <v>31294.3498</v>
      </c>
      <c r="F154" s="63"/>
      <c r="G154" s="15">
        <f t="shared" si="6"/>
        <v>31294.3498</v>
      </c>
      <c r="H154" s="63"/>
      <c r="I154" s="15">
        <f t="shared" si="7"/>
        <v>0</v>
      </c>
      <c r="J154" s="63"/>
      <c r="K154" s="15">
        <v>31462.567340000001</v>
      </c>
      <c r="L154" s="15"/>
      <c r="M154" s="15"/>
      <c r="N154" s="15"/>
      <c r="O154" s="15"/>
      <c r="P154" s="15"/>
      <c r="Q154" s="15">
        <v>0</v>
      </c>
      <c r="R154" s="15"/>
      <c r="S154" s="15"/>
      <c r="T154" s="15"/>
      <c r="U154" s="15"/>
      <c r="V154" s="15"/>
      <c r="W154" s="15"/>
      <c r="X154" s="15">
        <v>-170.4288</v>
      </c>
      <c r="Y154" s="15"/>
      <c r="Z154" s="15">
        <v>0</v>
      </c>
      <c r="AA154" s="15"/>
      <c r="AB154" s="15"/>
      <c r="AC154" s="15">
        <v>0</v>
      </c>
      <c r="AD154" s="15"/>
      <c r="AE154" s="15"/>
      <c r="AF154" s="15">
        <v>2.2112599999999998</v>
      </c>
      <c r="AG154" s="15">
        <v>0</v>
      </c>
    </row>
    <row r="155" spans="2:33" ht="16" customHeight="1" x14ac:dyDescent="0.35">
      <c r="B155" s="14" t="s">
        <v>1417</v>
      </c>
      <c r="C155" s="14" t="s">
        <v>1418</v>
      </c>
      <c r="D155" s="61"/>
      <c r="E155" s="30">
        <v>11474.86465</v>
      </c>
      <c r="F155" s="63"/>
      <c r="G155" s="15">
        <f t="shared" ref="G155:G217" si="8">SUM(K155:AG155)</f>
        <v>11474.864650000001</v>
      </c>
      <c r="H155" s="63"/>
      <c r="I155" s="15">
        <f t="shared" si="7"/>
        <v>0</v>
      </c>
      <c r="J155" s="63"/>
      <c r="K155" s="15">
        <v>11809.919830000001</v>
      </c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>
        <v>-105.79873000000001</v>
      </c>
      <c r="Y155" s="15"/>
      <c r="Z155" s="15">
        <v>-229.81424999999999</v>
      </c>
      <c r="AA155" s="15"/>
      <c r="AB155" s="15"/>
      <c r="AC155" s="15">
        <v>-4.4450000000000003E-2</v>
      </c>
      <c r="AD155" s="15"/>
      <c r="AE155" s="15"/>
      <c r="AF155" s="15">
        <v>0.60224999999999995</v>
      </c>
      <c r="AG155" s="15"/>
    </row>
    <row r="156" spans="2:33" ht="16" customHeight="1" x14ac:dyDescent="0.35">
      <c r="B156" s="14" t="s">
        <v>1419</v>
      </c>
      <c r="C156" s="14" t="s">
        <v>1420</v>
      </c>
      <c r="D156" s="61"/>
      <c r="E156" s="30">
        <v>11091.47</v>
      </c>
      <c r="F156" s="63"/>
      <c r="G156" s="15">
        <f t="shared" si="8"/>
        <v>11091.470000000001</v>
      </c>
      <c r="H156" s="63"/>
      <c r="I156" s="15">
        <f t="shared" si="7"/>
        <v>0</v>
      </c>
      <c r="J156" s="63"/>
      <c r="K156" s="15">
        <v>1791.47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>
        <v>300</v>
      </c>
      <c r="Y156" s="15"/>
      <c r="Z156" s="15">
        <v>0</v>
      </c>
      <c r="AA156" s="15"/>
      <c r="AB156" s="15"/>
      <c r="AC156" s="15">
        <v>9000</v>
      </c>
      <c r="AD156" s="15"/>
      <c r="AE156" s="15"/>
      <c r="AF156" s="15"/>
      <c r="AG156" s="15"/>
    </row>
    <row r="157" spans="2:33" ht="16" customHeight="1" x14ac:dyDescent="0.35">
      <c r="B157" s="14" t="s">
        <v>1421</v>
      </c>
      <c r="C157" s="14" t="s">
        <v>1422</v>
      </c>
      <c r="D157" s="61"/>
      <c r="E157" s="30">
        <v>0</v>
      </c>
      <c r="F157" s="63"/>
      <c r="G157" s="15">
        <f t="shared" si="8"/>
        <v>0</v>
      </c>
      <c r="H157" s="63"/>
      <c r="I157" s="15">
        <f t="shared" si="7"/>
        <v>0</v>
      </c>
      <c r="J157" s="63"/>
      <c r="K157" s="15">
        <v>0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</row>
    <row r="158" spans="2:33" ht="16" customHeight="1" x14ac:dyDescent="0.35">
      <c r="B158" s="14" t="s">
        <v>1423</v>
      </c>
      <c r="C158" s="14" t="s">
        <v>1424</v>
      </c>
      <c r="D158" s="61"/>
      <c r="E158" s="30"/>
      <c r="F158" s="63"/>
      <c r="G158" s="15">
        <f t="shared" si="8"/>
        <v>0</v>
      </c>
      <c r="H158" s="63"/>
      <c r="I158" s="15">
        <f t="shared" si="7"/>
        <v>0</v>
      </c>
      <c r="J158" s="63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</row>
    <row r="159" spans="2:33" ht="16" customHeight="1" x14ac:dyDescent="0.35">
      <c r="B159" s="14" t="s">
        <v>602</v>
      </c>
      <c r="C159" s="14" t="s">
        <v>1427</v>
      </c>
      <c r="D159" s="61"/>
      <c r="E159" s="30">
        <v>10714.47775</v>
      </c>
      <c r="F159" s="63"/>
      <c r="G159" s="15">
        <f t="shared" si="8"/>
        <v>10714.47775</v>
      </c>
      <c r="H159" s="63"/>
      <c r="I159" s="15">
        <f t="shared" si="7"/>
        <v>0</v>
      </c>
      <c r="J159" s="63"/>
      <c r="K159" s="15">
        <v>10354.884599999999</v>
      </c>
      <c r="L159" s="15"/>
      <c r="M159" s="15">
        <v>0</v>
      </c>
      <c r="N159" s="15"/>
      <c r="O159" s="15"/>
      <c r="P159" s="15"/>
      <c r="Q159" s="15">
        <v>0</v>
      </c>
      <c r="R159" s="15"/>
      <c r="S159" s="15">
        <v>357.05945000000003</v>
      </c>
      <c r="T159" s="15"/>
      <c r="U159" s="15"/>
      <c r="V159" s="15"/>
      <c r="W159" s="15"/>
      <c r="X159" s="15"/>
      <c r="Y159" s="15"/>
      <c r="Z159" s="15"/>
      <c r="AA159" s="15"/>
      <c r="AB159" s="15"/>
      <c r="AC159" s="15">
        <v>-2.8814600000000001</v>
      </c>
      <c r="AD159" s="15"/>
      <c r="AE159" s="15"/>
      <c r="AF159" s="15">
        <v>5.4151600000000002</v>
      </c>
      <c r="AG159" s="15">
        <v>0</v>
      </c>
    </row>
    <row r="160" spans="2:33" ht="16" customHeight="1" x14ac:dyDescent="0.35">
      <c r="B160" s="14" t="s">
        <v>604</v>
      </c>
      <c r="C160" s="14" t="s">
        <v>1428</v>
      </c>
      <c r="D160" s="61"/>
      <c r="E160" s="30"/>
      <c r="F160" s="63"/>
      <c r="G160" s="15">
        <f t="shared" si="8"/>
        <v>0</v>
      </c>
      <c r="H160" s="63"/>
      <c r="I160" s="15">
        <f t="shared" si="7"/>
        <v>0</v>
      </c>
      <c r="J160" s="63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</row>
    <row r="161" spans="2:33" ht="16" customHeight="1" x14ac:dyDescent="0.35">
      <c r="B161" s="14" t="s">
        <v>1425</v>
      </c>
      <c r="C161" s="14" t="s">
        <v>1426</v>
      </c>
      <c r="D161" s="61"/>
      <c r="E161" s="30">
        <v>831.72064</v>
      </c>
      <c r="F161" s="63"/>
      <c r="G161" s="15">
        <f t="shared" si="8"/>
        <v>831.72064</v>
      </c>
      <c r="H161" s="63"/>
      <c r="I161" s="15">
        <f t="shared" si="7"/>
        <v>0</v>
      </c>
      <c r="J161" s="63"/>
      <c r="K161" s="15">
        <v>779.84189000000003</v>
      </c>
      <c r="L161" s="15"/>
      <c r="M161" s="15">
        <v>0</v>
      </c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>
        <v>51.878749999999997</v>
      </c>
      <c r="Y161" s="15"/>
      <c r="Z161" s="15"/>
      <c r="AA161" s="15"/>
      <c r="AB161" s="15"/>
      <c r="AC161" s="15"/>
      <c r="AD161" s="15"/>
      <c r="AE161" s="15"/>
      <c r="AF161" s="15"/>
      <c r="AG161" s="15"/>
    </row>
    <row r="162" spans="2:33" ht="16" customHeight="1" x14ac:dyDescent="0.35">
      <c r="B162" s="14" t="s">
        <v>631</v>
      </c>
      <c r="C162" s="14" t="s">
        <v>632</v>
      </c>
      <c r="D162" s="61"/>
      <c r="E162" s="30"/>
      <c r="F162" s="63"/>
      <c r="G162" s="15">
        <f t="shared" si="8"/>
        <v>0</v>
      </c>
      <c r="H162" s="63"/>
      <c r="I162" s="15">
        <f t="shared" si="7"/>
        <v>0</v>
      </c>
      <c r="J162" s="63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</row>
    <row r="163" spans="2:33" ht="16" customHeight="1" x14ac:dyDescent="0.35">
      <c r="B163" s="14" t="s">
        <v>633</v>
      </c>
      <c r="C163" s="14" t="s">
        <v>634</v>
      </c>
      <c r="D163" s="61"/>
      <c r="E163" s="30"/>
      <c r="F163" s="63"/>
      <c r="G163" s="15">
        <f t="shared" si="8"/>
        <v>0</v>
      </c>
      <c r="H163" s="63"/>
      <c r="I163" s="15">
        <f t="shared" si="7"/>
        <v>0</v>
      </c>
      <c r="J163" s="63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</row>
    <row r="164" spans="2:33" ht="16" customHeight="1" x14ac:dyDescent="0.35">
      <c r="B164" s="14" t="s">
        <v>635</v>
      </c>
      <c r="C164" s="14" t="s">
        <v>636</v>
      </c>
      <c r="D164" s="61"/>
      <c r="E164" s="30">
        <v>-1.796</v>
      </c>
      <c r="F164" s="63"/>
      <c r="G164" s="15">
        <f t="shared" si="8"/>
        <v>-1.7989999999999995</v>
      </c>
      <c r="H164" s="63"/>
      <c r="I164" s="15">
        <f t="shared" si="7"/>
        <v>2.9999999999994476E-3</v>
      </c>
      <c r="J164" s="63"/>
      <c r="K164" s="15">
        <v>-0.68200000000000005</v>
      </c>
      <c r="L164" s="15"/>
      <c r="M164" s="15"/>
      <c r="N164" s="15"/>
      <c r="O164" s="15"/>
      <c r="P164" s="15"/>
      <c r="Q164" s="15"/>
      <c r="R164" s="15"/>
      <c r="S164" s="15">
        <v>-0.16400000000000001</v>
      </c>
      <c r="T164" s="15"/>
      <c r="U164" s="15"/>
      <c r="V164" s="15"/>
      <c r="W164" s="15"/>
      <c r="X164" s="15"/>
      <c r="Y164" s="15"/>
      <c r="Z164" s="15"/>
      <c r="AA164" s="15"/>
      <c r="AB164" s="15"/>
      <c r="AC164" s="15">
        <v>-0.57499999999999996</v>
      </c>
      <c r="AD164" s="15">
        <v>-21.904</v>
      </c>
      <c r="AE164" s="15"/>
      <c r="AF164" s="15">
        <v>21.526</v>
      </c>
      <c r="AG164" s="15"/>
    </row>
    <row r="165" spans="2:33" ht="16" customHeight="1" x14ac:dyDescent="0.35">
      <c r="B165" s="14" t="s">
        <v>648</v>
      </c>
      <c r="C165" s="14" t="s">
        <v>1433</v>
      </c>
      <c r="D165" s="61"/>
      <c r="E165" s="30">
        <v>578910.09525000001</v>
      </c>
      <c r="F165" s="63"/>
      <c r="G165" s="15">
        <f t="shared" si="8"/>
        <v>578910.09525000001</v>
      </c>
      <c r="H165" s="63"/>
      <c r="I165" s="15">
        <f t="shared" si="7"/>
        <v>0</v>
      </c>
      <c r="J165" s="63"/>
      <c r="K165" s="15">
        <v>567672.02494999999</v>
      </c>
      <c r="L165" s="15"/>
      <c r="M165" s="15"/>
      <c r="N165" s="15"/>
      <c r="O165" s="15"/>
      <c r="P165" s="15"/>
      <c r="Q165" s="15"/>
      <c r="R165" s="15"/>
      <c r="S165" s="15">
        <v>-5.1999999999999995E-4</v>
      </c>
      <c r="T165" s="15">
        <v>9059.1966799999991</v>
      </c>
      <c r="U165" s="15"/>
      <c r="V165" s="15"/>
      <c r="W165" s="15"/>
      <c r="X165" s="15"/>
      <c r="Y165" s="15"/>
      <c r="Z165" s="15"/>
      <c r="AA165" s="15"/>
      <c r="AB165" s="15"/>
      <c r="AC165" s="15">
        <v>2.8814600000000001</v>
      </c>
      <c r="AD165" s="15">
        <v>0</v>
      </c>
      <c r="AE165" s="15"/>
      <c r="AF165" s="15">
        <v>2175.9926799999998</v>
      </c>
      <c r="AG165" s="15"/>
    </row>
    <row r="166" spans="2:33" ht="16" customHeight="1" x14ac:dyDescent="0.35">
      <c r="B166" s="14" t="s">
        <v>650</v>
      </c>
      <c r="C166" s="14" t="s">
        <v>1573</v>
      </c>
      <c r="D166" s="61"/>
      <c r="E166" s="30"/>
      <c r="F166" s="63"/>
      <c r="G166" s="15">
        <f t="shared" si="8"/>
        <v>0</v>
      </c>
      <c r="H166" s="63"/>
      <c r="I166" s="15">
        <f t="shared" si="7"/>
        <v>0</v>
      </c>
      <c r="J166" s="63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</row>
    <row r="167" spans="2:33" ht="16" customHeight="1" x14ac:dyDescent="0.35">
      <c r="B167" s="14" t="s">
        <v>652</v>
      </c>
      <c r="C167" s="14" t="s">
        <v>1574</v>
      </c>
      <c r="D167" s="61"/>
      <c r="E167" s="30"/>
      <c r="F167" s="63"/>
      <c r="G167" s="15">
        <f t="shared" si="8"/>
        <v>0</v>
      </c>
      <c r="H167" s="63"/>
      <c r="I167" s="15">
        <f t="shared" si="7"/>
        <v>0</v>
      </c>
      <c r="J167" s="63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</row>
    <row r="168" spans="2:33" ht="16" customHeight="1" x14ac:dyDescent="0.35">
      <c r="B168" s="14" t="s">
        <v>654</v>
      </c>
      <c r="C168" s="14" t="s">
        <v>1431</v>
      </c>
      <c r="D168" s="61"/>
      <c r="E168" s="30">
        <v>680.94407000000001</v>
      </c>
      <c r="F168" s="63"/>
      <c r="G168" s="15">
        <f t="shared" si="8"/>
        <v>680.94407999999999</v>
      </c>
      <c r="H168" s="63"/>
      <c r="I168" s="15">
        <f t="shared" si="7"/>
        <v>-9.9999999747524271E-6</v>
      </c>
      <c r="J168" s="63"/>
      <c r="K168" s="15">
        <v>760.97059999999999</v>
      </c>
      <c r="L168" s="15"/>
      <c r="M168" s="15">
        <v>0</v>
      </c>
      <c r="N168" s="15"/>
      <c r="O168" s="15"/>
      <c r="P168" s="15"/>
      <c r="Q168" s="15">
        <v>0</v>
      </c>
      <c r="R168" s="15"/>
      <c r="S168" s="15"/>
      <c r="T168" s="15">
        <v>1.7000000000000001E-4</v>
      </c>
      <c r="U168" s="15"/>
      <c r="V168" s="15"/>
      <c r="W168" s="15"/>
      <c r="X168" s="15"/>
      <c r="Y168" s="15">
        <v>-81.501270000000005</v>
      </c>
      <c r="Z168" s="15"/>
      <c r="AA168" s="15"/>
      <c r="AB168" s="15"/>
      <c r="AC168" s="15"/>
      <c r="AD168" s="15"/>
      <c r="AE168" s="15"/>
      <c r="AF168" s="15">
        <v>1.47458</v>
      </c>
      <c r="AG168" s="15">
        <v>0</v>
      </c>
    </row>
    <row r="169" spans="2:33" ht="16" customHeight="1" x14ac:dyDescent="0.35">
      <c r="B169" s="14" t="s">
        <v>656</v>
      </c>
      <c r="C169" s="14" t="s">
        <v>1432</v>
      </c>
      <c r="D169" s="61"/>
      <c r="E169" s="30">
        <v>70453.889330000005</v>
      </c>
      <c r="F169" s="63"/>
      <c r="G169" s="15">
        <f t="shared" si="8"/>
        <v>70453.889360000001</v>
      </c>
      <c r="H169" s="63"/>
      <c r="I169" s="15">
        <f t="shared" si="7"/>
        <v>-2.9999995604157448E-5</v>
      </c>
      <c r="J169" s="63"/>
      <c r="K169" s="15">
        <v>71769.602280000006</v>
      </c>
      <c r="L169" s="15"/>
      <c r="M169" s="15">
        <v>0</v>
      </c>
      <c r="N169" s="15"/>
      <c r="O169" s="15"/>
      <c r="P169" s="15"/>
      <c r="Q169" s="15"/>
      <c r="R169" s="15"/>
      <c r="S169" s="15"/>
      <c r="T169" s="15">
        <v>-270.76639</v>
      </c>
      <c r="U169" s="15">
        <v>8769.2310300000008</v>
      </c>
      <c r="V169" s="15"/>
      <c r="W169" s="15"/>
      <c r="X169" s="15"/>
      <c r="Y169" s="15">
        <v>-10013.200940000001</v>
      </c>
      <c r="Z169" s="15"/>
      <c r="AA169" s="15">
        <v>937.98567000000003</v>
      </c>
      <c r="AB169" s="15"/>
      <c r="AC169" s="15">
        <v>1331.1328699999999</v>
      </c>
      <c r="AD169" s="15">
        <v>-2079.0609199999999</v>
      </c>
      <c r="AE169" s="15"/>
      <c r="AF169" s="15">
        <v>8.9657599999999995</v>
      </c>
      <c r="AG169" s="15"/>
    </row>
    <row r="170" spans="2:33" ht="16" customHeight="1" x14ac:dyDescent="0.35">
      <c r="B170" s="14" t="s">
        <v>663</v>
      </c>
      <c r="C170" s="14" t="s">
        <v>1575</v>
      </c>
      <c r="D170" s="61"/>
      <c r="E170" s="30">
        <v>24.42088</v>
      </c>
      <c r="F170" s="63"/>
      <c r="G170" s="15">
        <f t="shared" si="8"/>
        <v>24.42088</v>
      </c>
      <c r="H170" s="63"/>
      <c r="I170" s="15">
        <f t="shared" si="7"/>
        <v>0</v>
      </c>
      <c r="J170" s="63"/>
      <c r="K170" s="15">
        <v>24.42088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>
        <v>0</v>
      </c>
      <c r="AE170" s="15"/>
      <c r="AF170" s="15"/>
      <c r="AG170" s="15"/>
    </row>
    <row r="171" spans="2:33" ht="16" customHeight="1" x14ac:dyDescent="0.35">
      <c r="B171" s="14" t="s">
        <v>669</v>
      </c>
      <c r="C171" s="14" t="s">
        <v>670</v>
      </c>
      <c r="D171" s="61"/>
      <c r="E171" s="30">
        <v>260735.81271999999</v>
      </c>
      <c r="F171" s="63"/>
      <c r="G171" s="15">
        <f t="shared" si="8"/>
        <v>260735.81271999999</v>
      </c>
      <c r="H171" s="63"/>
      <c r="I171" s="15">
        <f t="shared" si="7"/>
        <v>0</v>
      </c>
      <c r="J171" s="63"/>
      <c r="K171" s="15">
        <v>264478.50386</v>
      </c>
      <c r="L171" s="15"/>
      <c r="M171" s="15">
        <v>0</v>
      </c>
      <c r="N171" s="15"/>
      <c r="O171" s="15"/>
      <c r="P171" s="15"/>
      <c r="Q171" s="15">
        <v>0</v>
      </c>
      <c r="R171" s="15"/>
      <c r="S171" s="15"/>
      <c r="T171" s="15"/>
      <c r="U171" s="15"/>
      <c r="V171" s="15"/>
      <c r="W171" s="15"/>
      <c r="X171" s="15">
        <v>0</v>
      </c>
      <c r="Y171" s="15"/>
      <c r="Z171" s="15"/>
      <c r="AA171" s="15"/>
      <c r="AB171" s="15"/>
      <c r="AC171" s="15"/>
      <c r="AD171" s="15">
        <v>-3744.6329999999998</v>
      </c>
      <c r="AE171" s="15"/>
      <c r="AF171" s="15">
        <v>1.9418599999999999</v>
      </c>
      <c r="AG171" s="15">
        <v>0</v>
      </c>
    </row>
    <row r="172" spans="2:33" ht="16" customHeight="1" x14ac:dyDescent="0.35">
      <c r="B172" s="14" t="s">
        <v>1450</v>
      </c>
      <c r="C172" s="14" t="s">
        <v>1451</v>
      </c>
      <c r="D172" s="61"/>
      <c r="E172" s="30">
        <v>0</v>
      </c>
      <c r="F172" s="63"/>
      <c r="G172" s="15">
        <f t="shared" si="8"/>
        <v>0</v>
      </c>
      <c r="H172" s="63"/>
      <c r="I172" s="15">
        <f t="shared" si="7"/>
        <v>0</v>
      </c>
      <c r="J172" s="63"/>
      <c r="K172" s="15">
        <v>0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</row>
    <row r="173" spans="2:33" ht="16" customHeight="1" x14ac:dyDescent="0.35">
      <c r="B173" s="14" t="s">
        <v>1434</v>
      </c>
      <c r="C173" s="14" t="s">
        <v>1435</v>
      </c>
      <c r="D173" s="61"/>
      <c r="E173" s="30">
        <v>141995.80325</v>
      </c>
      <c r="F173" s="63"/>
      <c r="G173" s="15">
        <f t="shared" si="8"/>
        <v>141995.80324000001</v>
      </c>
      <c r="H173" s="63"/>
      <c r="I173" s="15">
        <f t="shared" si="7"/>
        <v>9.9999888334423304E-6</v>
      </c>
      <c r="J173" s="63"/>
      <c r="K173" s="15">
        <v>142381.86158</v>
      </c>
      <c r="L173" s="15"/>
      <c r="M173" s="15">
        <v>0</v>
      </c>
      <c r="N173" s="15"/>
      <c r="O173" s="15"/>
      <c r="P173" s="15"/>
      <c r="Q173" s="15">
        <v>0</v>
      </c>
      <c r="R173" s="15"/>
      <c r="S173" s="15"/>
      <c r="T173" s="15"/>
      <c r="U173" s="15"/>
      <c r="V173" s="15"/>
      <c r="W173" s="15"/>
      <c r="X173" s="15">
        <v>0</v>
      </c>
      <c r="Y173" s="15"/>
      <c r="Z173" s="15">
        <v>-1712.4401800000001</v>
      </c>
      <c r="AA173" s="15">
        <v>1299.0818300000001</v>
      </c>
      <c r="AB173" s="15"/>
      <c r="AC173" s="15">
        <v>0</v>
      </c>
      <c r="AD173" s="15">
        <v>0</v>
      </c>
      <c r="AE173" s="15"/>
      <c r="AF173" s="15">
        <v>27.30001</v>
      </c>
      <c r="AG173" s="15">
        <v>0</v>
      </c>
    </row>
    <row r="174" spans="2:33" ht="16" customHeight="1" x14ac:dyDescent="0.35">
      <c r="B174" s="14" t="s">
        <v>1436</v>
      </c>
      <c r="C174" s="14" t="s">
        <v>1437</v>
      </c>
      <c r="D174" s="61"/>
      <c r="E174" s="30">
        <v>0</v>
      </c>
      <c r="F174" s="63"/>
      <c r="G174" s="15">
        <f t="shared" si="8"/>
        <v>0</v>
      </c>
      <c r="H174" s="63"/>
      <c r="I174" s="15">
        <f t="shared" si="7"/>
        <v>0</v>
      </c>
      <c r="J174" s="63"/>
      <c r="K174" s="15">
        <v>9000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>
        <v>-9000</v>
      </c>
      <c r="AD174" s="15"/>
      <c r="AE174" s="15"/>
      <c r="AF174" s="15"/>
      <c r="AG174" s="15"/>
    </row>
    <row r="175" spans="2:33" ht="16" customHeight="1" x14ac:dyDescent="0.35">
      <c r="B175" s="14" t="s">
        <v>1438</v>
      </c>
      <c r="C175" s="14" t="s">
        <v>1439</v>
      </c>
      <c r="D175" s="61"/>
      <c r="E175" s="30"/>
      <c r="F175" s="63"/>
      <c r="G175" s="15">
        <f t="shared" si="8"/>
        <v>0</v>
      </c>
      <c r="H175" s="63"/>
      <c r="I175" s="15">
        <f t="shared" si="7"/>
        <v>0</v>
      </c>
      <c r="J175" s="63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</row>
    <row r="176" spans="2:33" ht="16" customHeight="1" x14ac:dyDescent="0.35">
      <c r="B176" s="14" t="s">
        <v>1440</v>
      </c>
      <c r="C176" s="14" t="s">
        <v>1441</v>
      </c>
      <c r="D176" s="61"/>
      <c r="E176" s="30">
        <v>271.86523</v>
      </c>
      <c r="F176" s="63"/>
      <c r="G176" s="15">
        <f t="shared" si="8"/>
        <v>271.86523</v>
      </c>
      <c r="H176" s="63"/>
      <c r="I176" s="15">
        <f t="shared" si="7"/>
        <v>0</v>
      </c>
      <c r="J176" s="63"/>
      <c r="K176" s="15">
        <v>184.30045000000001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>
        <v>106.11297999999999</v>
      </c>
      <c r="Y176" s="15"/>
      <c r="Z176" s="15">
        <v>-18.548200000000001</v>
      </c>
      <c r="AA176" s="15"/>
      <c r="AB176" s="15"/>
      <c r="AC176" s="15"/>
      <c r="AD176" s="15"/>
      <c r="AE176" s="15"/>
      <c r="AF176" s="15"/>
      <c r="AG176" s="15"/>
    </row>
    <row r="177" spans="2:33" ht="16" customHeight="1" x14ac:dyDescent="0.35">
      <c r="B177" s="14" t="s">
        <v>1442</v>
      </c>
      <c r="C177" s="14" t="s">
        <v>1443</v>
      </c>
      <c r="D177" s="61"/>
      <c r="E177" s="30">
        <v>23449.3184</v>
      </c>
      <c r="F177" s="63"/>
      <c r="G177" s="15">
        <f t="shared" si="8"/>
        <v>23449.318400000004</v>
      </c>
      <c r="H177" s="63"/>
      <c r="I177" s="15">
        <f t="shared" si="7"/>
        <v>0</v>
      </c>
      <c r="J177" s="63"/>
      <c r="K177" s="15">
        <v>23096.726009999998</v>
      </c>
      <c r="L177" s="15"/>
      <c r="M177" s="15">
        <v>0</v>
      </c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>
        <v>2434.6927500000002</v>
      </c>
      <c r="Y177" s="15"/>
      <c r="Z177" s="15">
        <v>-2082.73452</v>
      </c>
      <c r="AA177" s="15"/>
      <c r="AB177" s="15"/>
      <c r="AC177" s="15">
        <v>4.4450000000000003E-2</v>
      </c>
      <c r="AD177" s="15"/>
      <c r="AE177" s="15"/>
      <c r="AF177" s="15">
        <v>0.58970999999999996</v>
      </c>
      <c r="AG177" s="15"/>
    </row>
    <row r="178" spans="2:33" ht="16" customHeight="1" x14ac:dyDescent="0.35">
      <c r="B178" s="14" t="s">
        <v>1444</v>
      </c>
      <c r="C178" s="14" t="s">
        <v>1445</v>
      </c>
      <c r="D178" s="61"/>
      <c r="E178" s="30"/>
      <c r="F178" s="63"/>
      <c r="G178" s="15">
        <f t="shared" si="8"/>
        <v>0</v>
      </c>
      <c r="H178" s="63"/>
      <c r="I178" s="15">
        <f t="shared" si="7"/>
        <v>0</v>
      </c>
      <c r="J178" s="63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</row>
    <row r="179" spans="2:33" ht="16" customHeight="1" x14ac:dyDescent="0.35">
      <c r="B179" s="14" t="s">
        <v>1446</v>
      </c>
      <c r="C179" s="14" t="s">
        <v>1447</v>
      </c>
      <c r="D179" s="61"/>
      <c r="E179" s="30"/>
      <c r="F179" s="63"/>
      <c r="G179" s="15">
        <f t="shared" si="8"/>
        <v>0</v>
      </c>
      <c r="H179" s="63"/>
      <c r="I179" s="15">
        <f t="shared" si="7"/>
        <v>0</v>
      </c>
      <c r="J179" s="63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</row>
    <row r="180" spans="2:33" ht="16" customHeight="1" x14ac:dyDescent="0.35">
      <c r="B180" s="14" t="s">
        <v>1448</v>
      </c>
      <c r="C180" s="14" t="s">
        <v>1449</v>
      </c>
      <c r="D180" s="61"/>
      <c r="E180" s="30"/>
      <c r="F180" s="63"/>
      <c r="G180" s="15">
        <f t="shared" si="8"/>
        <v>0</v>
      </c>
      <c r="H180" s="63"/>
      <c r="I180" s="15">
        <f t="shared" si="7"/>
        <v>0</v>
      </c>
      <c r="J180" s="63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</row>
    <row r="181" spans="2:33" ht="16" customHeight="1" x14ac:dyDescent="0.35">
      <c r="B181" s="14" t="s">
        <v>674</v>
      </c>
      <c r="C181" s="14" t="s">
        <v>1452</v>
      </c>
      <c r="D181" s="61"/>
      <c r="E181" s="30">
        <v>80414.377729999993</v>
      </c>
      <c r="F181" s="63"/>
      <c r="G181" s="15">
        <f t="shared" si="8"/>
        <v>80414.377720000004</v>
      </c>
      <c r="H181" s="63"/>
      <c r="I181" s="15">
        <f t="shared" si="7"/>
        <v>9.9999888334423304E-6</v>
      </c>
      <c r="J181" s="63"/>
      <c r="K181" s="15">
        <v>82250.374209999994</v>
      </c>
      <c r="L181" s="15"/>
      <c r="M181" s="15">
        <v>0</v>
      </c>
      <c r="N181" s="15"/>
      <c r="O181" s="15"/>
      <c r="P181" s="15"/>
      <c r="Q181" s="15"/>
      <c r="R181" s="15"/>
      <c r="S181" s="15"/>
      <c r="T181" s="15"/>
      <c r="U181" s="15">
        <v>5302.4280500000004</v>
      </c>
      <c r="V181" s="15"/>
      <c r="W181" s="15"/>
      <c r="X181" s="15"/>
      <c r="Y181" s="15">
        <v>-8836.3431099999998</v>
      </c>
      <c r="Z181" s="15"/>
      <c r="AA181" s="15">
        <v>1098.3993700000001</v>
      </c>
      <c r="AB181" s="15"/>
      <c r="AC181" s="15">
        <v>-54.324860000000001</v>
      </c>
      <c r="AD181" s="15">
        <v>634.99671000000001</v>
      </c>
      <c r="AE181" s="15"/>
      <c r="AF181" s="15">
        <v>18.847349999999999</v>
      </c>
      <c r="AG181" s="15"/>
    </row>
    <row r="182" spans="2:33" ht="16" customHeight="1" x14ac:dyDescent="0.35">
      <c r="B182" s="14" t="s">
        <v>677</v>
      </c>
      <c r="C182" s="14" t="s">
        <v>678</v>
      </c>
      <c r="D182" s="61"/>
      <c r="E182" s="30">
        <v>-1.6670000000000001E-2</v>
      </c>
      <c r="F182" s="63"/>
      <c r="G182" s="15">
        <f t="shared" si="8"/>
        <v>-1.6670000000000001E-2</v>
      </c>
      <c r="H182" s="63"/>
      <c r="I182" s="15">
        <f t="shared" si="7"/>
        <v>0</v>
      </c>
      <c r="J182" s="63"/>
      <c r="K182" s="15"/>
      <c r="L182" s="15"/>
      <c r="M182" s="15"/>
      <c r="N182" s="15"/>
      <c r="O182" s="15"/>
      <c r="P182" s="15"/>
      <c r="Q182" s="15"/>
      <c r="R182" s="15"/>
      <c r="S182" s="15">
        <v>-1.6670000000000001E-2</v>
      </c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</row>
    <row r="183" spans="2:33" ht="16" customHeight="1" x14ac:dyDescent="0.35">
      <c r="B183" s="14" t="s">
        <v>658</v>
      </c>
      <c r="C183" s="14" t="s">
        <v>659</v>
      </c>
      <c r="D183" s="61"/>
      <c r="E183" s="30">
        <v>-29.22</v>
      </c>
      <c r="F183" s="63"/>
      <c r="G183" s="15">
        <f t="shared" si="8"/>
        <v>-29.218999999989755</v>
      </c>
      <c r="H183" s="63"/>
      <c r="I183" s="15">
        <f t="shared" si="7"/>
        <v>-1.0000000102436957E-3</v>
      </c>
      <c r="J183" s="63"/>
      <c r="K183" s="15">
        <v>7.6070000000000002</v>
      </c>
      <c r="L183" s="15"/>
      <c r="M183" s="15"/>
      <c r="N183" s="15"/>
      <c r="O183" s="15"/>
      <c r="P183" s="15"/>
      <c r="Q183" s="15"/>
      <c r="R183" s="15"/>
      <c r="S183" s="15">
        <v>35945.374000000003</v>
      </c>
      <c r="T183" s="15">
        <v>-35981.269999999997</v>
      </c>
      <c r="U183" s="15"/>
      <c r="V183" s="15"/>
      <c r="W183" s="15"/>
      <c r="X183" s="15"/>
      <c r="Y183" s="15"/>
      <c r="Z183" s="15"/>
      <c r="AA183" s="15"/>
      <c r="AB183" s="15"/>
      <c r="AC183" s="15">
        <v>0</v>
      </c>
      <c r="AD183" s="15">
        <v>0</v>
      </c>
      <c r="AE183" s="15"/>
      <c r="AF183" s="15">
        <v>-0.93</v>
      </c>
      <c r="AG183" s="15"/>
    </row>
    <row r="184" spans="2:33" ht="16" customHeight="1" x14ac:dyDescent="0.35">
      <c r="B184" s="14" t="s">
        <v>1453</v>
      </c>
      <c r="C184" s="14" t="s">
        <v>1454</v>
      </c>
      <c r="D184" s="61"/>
      <c r="E184" s="30">
        <v>9844.0452600000008</v>
      </c>
      <c r="F184" s="63"/>
      <c r="G184" s="15">
        <f t="shared" si="8"/>
        <v>9844.0452600000008</v>
      </c>
      <c r="H184" s="63"/>
      <c r="I184" s="15">
        <f t="shared" si="7"/>
        <v>0</v>
      </c>
      <c r="J184" s="63"/>
      <c r="K184" s="15">
        <v>9844.0452600000008</v>
      </c>
      <c r="L184" s="15"/>
      <c r="M184" s="15">
        <v>0</v>
      </c>
      <c r="N184" s="15"/>
      <c r="O184" s="15">
        <v>0</v>
      </c>
      <c r="P184" s="15"/>
      <c r="Q184" s="15">
        <v>0</v>
      </c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>
        <v>0</v>
      </c>
    </row>
    <row r="185" spans="2:33" ht="16" customHeight="1" x14ac:dyDescent="0.35">
      <c r="B185" s="14" t="s">
        <v>1455</v>
      </c>
      <c r="C185" s="14" t="s">
        <v>1456</v>
      </c>
      <c r="D185" s="61"/>
      <c r="E185" s="30">
        <v>-1.5</v>
      </c>
      <c r="F185" s="63"/>
      <c r="G185" s="15">
        <f t="shared" si="8"/>
        <v>-1.5</v>
      </c>
      <c r="H185" s="63"/>
      <c r="I185" s="15">
        <f t="shared" si="7"/>
        <v>0</v>
      </c>
      <c r="J185" s="63"/>
      <c r="K185" s="15">
        <v>-1.5</v>
      </c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</row>
    <row r="186" spans="2:33" ht="16" customHeight="1" x14ac:dyDescent="0.35">
      <c r="B186" s="14" t="s">
        <v>688</v>
      </c>
      <c r="C186" s="14" t="s">
        <v>1457</v>
      </c>
      <c r="D186" s="61"/>
      <c r="E186" s="30">
        <v>1982351.60784</v>
      </c>
      <c r="F186" s="63"/>
      <c r="G186" s="15">
        <f t="shared" si="8"/>
        <v>1982351.60784</v>
      </c>
      <c r="H186" s="63"/>
      <c r="I186" s="15">
        <f t="shared" si="7"/>
        <v>0</v>
      </c>
      <c r="J186" s="63"/>
      <c r="K186" s="15">
        <v>1982351.60784</v>
      </c>
      <c r="L186" s="15"/>
      <c r="M186" s="15">
        <v>0</v>
      </c>
      <c r="N186" s="15"/>
      <c r="O186" s="15">
        <v>0</v>
      </c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</row>
    <row r="187" spans="2:33" ht="16" customHeight="1" x14ac:dyDescent="0.35">
      <c r="B187" s="14" t="s">
        <v>691</v>
      </c>
      <c r="C187" s="14" t="s">
        <v>1576</v>
      </c>
      <c r="D187" s="61"/>
      <c r="E187" s="30"/>
      <c r="F187" s="63"/>
      <c r="G187" s="15">
        <f t="shared" si="8"/>
        <v>0</v>
      </c>
      <c r="H187" s="63"/>
      <c r="I187" s="15">
        <f t="shared" ref="I187:I217" si="9">E187-G187</f>
        <v>0</v>
      </c>
      <c r="J187" s="63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</row>
    <row r="188" spans="2:33" ht="16" customHeight="1" x14ac:dyDescent="0.35">
      <c r="B188" s="14" t="s">
        <v>694</v>
      </c>
      <c r="C188" s="14" t="s">
        <v>695</v>
      </c>
      <c r="D188" s="61"/>
      <c r="E188" s="30">
        <v>2726.6811400000001</v>
      </c>
      <c r="F188" s="63"/>
      <c r="G188" s="15">
        <f t="shared" si="8"/>
        <v>2726.6811400000001</v>
      </c>
      <c r="H188" s="63"/>
      <c r="I188" s="15">
        <f t="shared" si="9"/>
        <v>0</v>
      </c>
      <c r="J188" s="63"/>
      <c r="K188" s="15">
        <v>2726.6811400000001</v>
      </c>
      <c r="L188" s="15"/>
      <c r="M188" s="15"/>
      <c r="N188" s="15"/>
      <c r="O188" s="15"/>
      <c r="P188" s="15"/>
      <c r="Q188" s="15">
        <v>0</v>
      </c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>
        <v>0</v>
      </c>
      <c r="AD188" s="15"/>
      <c r="AE188" s="15"/>
      <c r="AF188" s="15"/>
      <c r="AG188" s="15">
        <v>0</v>
      </c>
    </row>
    <row r="189" spans="2:33" ht="16" customHeight="1" x14ac:dyDescent="0.35">
      <c r="B189" s="14" t="s">
        <v>696</v>
      </c>
      <c r="C189" s="14" t="s">
        <v>1458</v>
      </c>
      <c r="D189" s="61"/>
      <c r="E189" s="30">
        <v>-473965.39189999999</v>
      </c>
      <c r="F189" s="63"/>
      <c r="G189" s="15">
        <f t="shared" si="8"/>
        <v>-473965.38990000001</v>
      </c>
      <c r="H189" s="63"/>
      <c r="I189" s="15">
        <f t="shared" si="9"/>
        <v>-1.9999999785795808E-3</v>
      </c>
      <c r="J189" s="63"/>
      <c r="K189" s="15">
        <v>-474541.31857</v>
      </c>
      <c r="L189" s="15"/>
      <c r="M189" s="15">
        <v>0</v>
      </c>
      <c r="N189" s="15"/>
      <c r="O189" s="15">
        <v>0</v>
      </c>
      <c r="P189" s="15">
        <v>0</v>
      </c>
      <c r="Q189" s="15">
        <v>504.54034999999999</v>
      </c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>
        <v>71.643000000000001</v>
      </c>
      <c r="AD189" s="15">
        <v>-0.25468000000000002</v>
      </c>
      <c r="AE189" s="15"/>
      <c r="AF189" s="15"/>
      <c r="AG189" s="15">
        <v>0</v>
      </c>
    </row>
    <row r="190" spans="2:33" ht="16" customHeight="1" x14ac:dyDescent="0.35">
      <c r="B190" s="14" t="s">
        <v>698</v>
      </c>
      <c r="C190" s="14" t="s">
        <v>699</v>
      </c>
      <c r="D190" s="61"/>
      <c r="E190" s="30">
        <v>-24896.02706</v>
      </c>
      <c r="F190" s="63"/>
      <c r="G190" s="15">
        <f t="shared" si="8"/>
        <v>-24896.02706</v>
      </c>
      <c r="H190" s="63"/>
      <c r="I190" s="15">
        <f t="shared" si="9"/>
        <v>0</v>
      </c>
      <c r="J190" s="63"/>
      <c r="K190" s="15">
        <v>-59974.907220000001</v>
      </c>
      <c r="L190" s="15"/>
      <c r="M190" s="15"/>
      <c r="N190" s="15"/>
      <c r="O190" s="15"/>
      <c r="P190" s="15">
        <v>0</v>
      </c>
      <c r="Q190" s="15"/>
      <c r="R190" s="15">
        <v>35078.880160000001</v>
      </c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</row>
    <row r="191" spans="2:33" ht="16" customHeight="1" x14ac:dyDescent="0.35">
      <c r="B191" s="14" t="s">
        <v>700</v>
      </c>
      <c r="C191" s="14" t="s">
        <v>1460</v>
      </c>
      <c r="D191" s="61"/>
      <c r="E191" s="30">
        <v>1624414</v>
      </c>
      <c r="F191" s="63"/>
      <c r="G191" s="15">
        <f t="shared" si="8"/>
        <v>1624414</v>
      </c>
      <c r="H191" s="63"/>
      <c r="I191" s="15">
        <f t="shared" si="9"/>
        <v>0</v>
      </c>
      <c r="J191" s="63"/>
      <c r="K191" s="15">
        <v>1624945.0943499999</v>
      </c>
      <c r="L191" s="15"/>
      <c r="M191" s="15"/>
      <c r="N191" s="15"/>
      <c r="O191" s="15"/>
      <c r="P191" s="15"/>
      <c r="Q191" s="15">
        <v>-531.09434999999996</v>
      </c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>
        <v>0</v>
      </c>
    </row>
    <row r="192" spans="2:33" ht="16" customHeight="1" x14ac:dyDescent="0.35">
      <c r="B192" s="14" t="s">
        <v>702</v>
      </c>
      <c r="C192" s="14" t="s">
        <v>1461</v>
      </c>
      <c r="D192" s="61"/>
      <c r="E192" s="30">
        <v>-519.91142000000002</v>
      </c>
      <c r="F192" s="63"/>
      <c r="G192" s="15">
        <f t="shared" si="8"/>
        <v>-519.91142000000002</v>
      </c>
      <c r="H192" s="63"/>
      <c r="I192" s="15">
        <f t="shared" si="9"/>
        <v>0</v>
      </c>
      <c r="J192" s="63"/>
      <c r="K192" s="15">
        <v>-671.82201999999995</v>
      </c>
      <c r="L192" s="15"/>
      <c r="M192" s="15"/>
      <c r="N192" s="15"/>
      <c r="O192" s="15"/>
      <c r="P192" s="15"/>
      <c r="Q192" s="15">
        <v>0</v>
      </c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>
        <v>2.036</v>
      </c>
      <c r="AD192" s="15"/>
      <c r="AE192" s="15"/>
      <c r="AF192" s="15">
        <v>149.87459999999999</v>
      </c>
      <c r="AG192" s="15">
        <v>0</v>
      </c>
    </row>
    <row r="193" spans="2:33" ht="16" customHeight="1" x14ac:dyDescent="0.35">
      <c r="B193" s="14" t="s">
        <v>704</v>
      </c>
      <c r="C193" s="14" t="s">
        <v>705</v>
      </c>
      <c r="D193" s="61"/>
      <c r="E193" s="30"/>
      <c r="F193" s="63"/>
      <c r="G193" s="15">
        <f t="shared" si="8"/>
        <v>0</v>
      </c>
      <c r="H193" s="63"/>
      <c r="I193" s="15">
        <f t="shared" si="9"/>
        <v>0</v>
      </c>
      <c r="J193" s="63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</row>
    <row r="194" spans="2:33" ht="16" customHeight="1" x14ac:dyDescent="0.35">
      <c r="B194" s="14" t="s">
        <v>706</v>
      </c>
      <c r="C194" s="14" t="s">
        <v>1462</v>
      </c>
      <c r="D194" s="61"/>
      <c r="E194" s="30"/>
      <c r="F194" s="63"/>
      <c r="G194" s="15">
        <f t="shared" si="8"/>
        <v>0</v>
      </c>
      <c r="H194" s="63"/>
      <c r="I194" s="15">
        <f t="shared" si="9"/>
        <v>0</v>
      </c>
      <c r="J194" s="63"/>
      <c r="K194" s="15">
        <v>-8.2824200000000001</v>
      </c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>
        <v>8.2824200000000001</v>
      </c>
      <c r="AG194" s="15"/>
    </row>
    <row r="195" spans="2:33" ht="16" customHeight="1" x14ac:dyDescent="0.35">
      <c r="B195" s="14" t="s">
        <v>708</v>
      </c>
      <c r="C195" s="14" t="s">
        <v>709</v>
      </c>
      <c r="D195" s="61"/>
      <c r="E195" s="30"/>
      <c r="F195" s="63"/>
      <c r="G195" s="15">
        <f t="shared" si="8"/>
        <v>0</v>
      </c>
      <c r="H195" s="63"/>
      <c r="I195" s="15">
        <f t="shared" si="9"/>
        <v>0</v>
      </c>
      <c r="J195" s="63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</row>
    <row r="196" spans="2:33" ht="16" customHeight="1" x14ac:dyDescent="0.35">
      <c r="B196" s="14" t="s">
        <v>710</v>
      </c>
      <c r="C196" s="14" t="s">
        <v>711</v>
      </c>
      <c r="D196" s="61"/>
      <c r="E196" s="30"/>
      <c r="F196" s="63"/>
      <c r="G196" s="15">
        <f t="shared" si="8"/>
        <v>0</v>
      </c>
      <c r="H196" s="63"/>
      <c r="I196" s="15">
        <f t="shared" si="9"/>
        <v>0</v>
      </c>
      <c r="J196" s="63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</row>
    <row r="197" spans="2:33" ht="16" customHeight="1" x14ac:dyDescent="0.35">
      <c r="B197" s="14" t="s">
        <v>712</v>
      </c>
      <c r="C197" s="14" t="s">
        <v>713</v>
      </c>
      <c r="D197" s="61"/>
      <c r="E197" s="30"/>
      <c r="F197" s="63"/>
      <c r="G197" s="15">
        <f t="shared" si="8"/>
        <v>0</v>
      </c>
      <c r="H197" s="63"/>
      <c r="I197" s="15">
        <f t="shared" si="9"/>
        <v>0</v>
      </c>
      <c r="J197" s="63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</row>
    <row r="198" spans="2:33" ht="16" customHeight="1" x14ac:dyDescent="0.35">
      <c r="B198" s="14" t="s">
        <v>714</v>
      </c>
      <c r="C198" s="14" t="s">
        <v>1577</v>
      </c>
      <c r="D198" s="61"/>
      <c r="E198" s="30">
        <v>0</v>
      </c>
      <c r="F198" s="63"/>
      <c r="G198" s="15">
        <f t="shared" si="8"/>
        <v>0</v>
      </c>
      <c r="H198" s="63"/>
      <c r="I198" s="15">
        <f t="shared" si="9"/>
        <v>0</v>
      </c>
      <c r="J198" s="63"/>
      <c r="K198" s="15">
        <v>0</v>
      </c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>
        <v>0</v>
      </c>
      <c r="AD198" s="15"/>
      <c r="AE198" s="15"/>
      <c r="AF198" s="15"/>
      <c r="AG198" s="15"/>
    </row>
    <row r="199" spans="2:33" ht="16" customHeight="1" x14ac:dyDescent="0.35">
      <c r="B199" s="14" t="s">
        <v>716</v>
      </c>
      <c r="C199" s="14" t="s">
        <v>1464</v>
      </c>
      <c r="D199" s="61"/>
      <c r="E199" s="30"/>
      <c r="F199" s="63"/>
      <c r="G199" s="15">
        <f t="shared" si="8"/>
        <v>0</v>
      </c>
      <c r="H199" s="63"/>
      <c r="I199" s="15">
        <f t="shared" si="9"/>
        <v>0</v>
      </c>
      <c r="J199" s="63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</row>
    <row r="200" spans="2:33" ht="16" customHeight="1" x14ac:dyDescent="0.35">
      <c r="B200" s="14" t="s">
        <v>718</v>
      </c>
      <c r="C200" s="14" t="s">
        <v>1465</v>
      </c>
      <c r="D200" s="61"/>
      <c r="E200" s="30"/>
      <c r="F200" s="63"/>
      <c r="G200" s="15">
        <f t="shared" si="8"/>
        <v>0</v>
      </c>
      <c r="H200" s="63"/>
      <c r="I200" s="15">
        <f t="shared" si="9"/>
        <v>0</v>
      </c>
      <c r="J200" s="63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</row>
    <row r="201" spans="2:33" ht="16" customHeight="1" x14ac:dyDescent="0.35">
      <c r="B201" s="14" t="s">
        <v>720</v>
      </c>
      <c r="C201" s="14" t="s">
        <v>721</v>
      </c>
      <c r="D201" s="61"/>
      <c r="E201" s="30">
        <v>7641.9060399999998</v>
      </c>
      <c r="F201" s="63"/>
      <c r="G201" s="15">
        <f t="shared" si="8"/>
        <v>7641.9060399999998</v>
      </c>
      <c r="H201" s="63"/>
      <c r="I201" s="15">
        <f t="shared" si="9"/>
        <v>0</v>
      </c>
      <c r="J201" s="63"/>
      <c r="K201" s="15">
        <v>7641.9060399999998</v>
      </c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>
        <v>0</v>
      </c>
      <c r="AE201" s="15">
        <v>0</v>
      </c>
      <c r="AF201" s="15"/>
      <c r="AG201" s="15"/>
    </row>
    <row r="202" spans="2:33" ht="16" customHeight="1" x14ac:dyDescent="0.35">
      <c r="B202" s="14" t="s">
        <v>722</v>
      </c>
      <c r="C202" s="14" t="s">
        <v>723</v>
      </c>
      <c r="D202" s="61"/>
      <c r="E202" s="30">
        <v>-1776.82339</v>
      </c>
      <c r="F202" s="63"/>
      <c r="G202" s="15">
        <f t="shared" si="8"/>
        <v>-1776.82339</v>
      </c>
      <c r="H202" s="63"/>
      <c r="I202" s="15">
        <f t="shared" si="9"/>
        <v>0</v>
      </c>
      <c r="J202" s="63"/>
      <c r="K202" s="15">
        <v>-1759.26539</v>
      </c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>
        <v>-17.558</v>
      </c>
      <c r="AE202" s="15">
        <v>0</v>
      </c>
      <c r="AF202" s="15"/>
      <c r="AG202" s="15"/>
    </row>
    <row r="203" spans="2:33" ht="16" customHeight="1" x14ac:dyDescent="0.35">
      <c r="B203" s="14" t="s">
        <v>724</v>
      </c>
      <c r="C203" s="14" t="s">
        <v>1466</v>
      </c>
      <c r="D203" s="61"/>
      <c r="E203" s="30"/>
      <c r="F203" s="63"/>
      <c r="G203" s="15">
        <f t="shared" si="8"/>
        <v>0</v>
      </c>
      <c r="H203" s="63"/>
      <c r="I203" s="15">
        <f t="shared" si="9"/>
        <v>0</v>
      </c>
      <c r="J203" s="63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</row>
    <row r="204" spans="2:33" ht="16" customHeight="1" x14ac:dyDescent="0.35">
      <c r="B204" s="14" t="s">
        <v>726</v>
      </c>
      <c r="C204" s="14" t="s">
        <v>727</v>
      </c>
      <c r="D204" s="61"/>
      <c r="E204" s="30"/>
      <c r="F204" s="63"/>
      <c r="G204" s="15">
        <f t="shared" si="8"/>
        <v>0</v>
      </c>
      <c r="H204" s="63"/>
      <c r="I204" s="15">
        <f t="shared" si="9"/>
        <v>0</v>
      </c>
      <c r="J204" s="63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</row>
    <row r="205" spans="2:33" ht="16" customHeight="1" x14ac:dyDescent="0.35">
      <c r="B205" s="14" t="s">
        <v>728</v>
      </c>
      <c r="C205" s="14" t="s">
        <v>1467</v>
      </c>
      <c r="D205" s="61"/>
      <c r="E205" s="30"/>
      <c r="F205" s="63"/>
      <c r="G205" s="15">
        <f t="shared" si="8"/>
        <v>0</v>
      </c>
      <c r="H205" s="63"/>
      <c r="I205" s="15">
        <f t="shared" si="9"/>
        <v>0</v>
      </c>
      <c r="J205" s="63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</row>
    <row r="206" spans="2:33" ht="16" customHeight="1" x14ac:dyDescent="0.35">
      <c r="B206" s="14" t="s">
        <v>730</v>
      </c>
      <c r="C206" s="14" t="s">
        <v>1468</v>
      </c>
      <c r="D206" s="61"/>
      <c r="E206" s="30"/>
      <c r="F206" s="63"/>
      <c r="G206" s="15">
        <f t="shared" si="8"/>
        <v>0</v>
      </c>
      <c r="H206" s="63"/>
      <c r="I206" s="15">
        <f t="shared" si="9"/>
        <v>0</v>
      </c>
      <c r="J206" s="63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</row>
    <row r="207" spans="2:33" ht="16" customHeight="1" x14ac:dyDescent="0.35">
      <c r="B207" s="14" t="s">
        <v>732</v>
      </c>
      <c r="C207" s="14" t="s">
        <v>1469</v>
      </c>
      <c r="D207" s="61"/>
      <c r="E207" s="30">
        <v>-46148.600780000001</v>
      </c>
      <c r="F207" s="63"/>
      <c r="G207" s="15">
        <f t="shared" si="8"/>
        <v>-46148.600780000001</v>
      </c>
      <c r="H207" s="63"/>
      <c r="I207" s="15">
        <f t="shared" si="9"/>
        <v>0</v>
      </c>
      <c r="J207" s="63"/>
      <c r="K207" s="15">
        <v>-46148.600780000001</v>
      </c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</row>
    <row r="208" spans="2:33" ht="16" customHeight="1" x14ac:dyDescent="0.35">
      <c r="B208" s="14" t="s">
        <v>734</v>
      </c>
      <c r="C208" s="14" t="s">
        <v>1470</v>
      </c>
      <c r="D208" s="61"/>
      <c r="E208" s="30"/>
      <c r="F208" s="63"/>
      <c r="G208" s="15">
        <f t="shared" si="8"/>
        <v>0</v>
      </c>
      <c r="H208" s="63"/>
      <c r="I208" s="15">
        <f t="shared" si="9"/>
        <v>0</v>
      </c>
      <c r="J208" s="63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</row>
    <row r="209" spans="2:33" ht="16" customHeight="1" x14ac:dyDescent="0.35">
      <c r="B209" s="14" t="s">
        <v>736</v>
      </c>
      <c r="C209" s="14" t="s">
        <v>1471</v>
      </c>
      <c r="D209" s="61"/>
      <c r="E209" s="30"/>
      <c r="F209" s="63"/>
      <c r="G209" s="15">
        <f t="shared" si="8"/>
        <v>0</v>
      </c>
      <c r="H209" s="63"/>
      <c r="I209" s="15">
        <f t="shared" si="9"/>
        <v>0</v>
      </c>
      <c r="J209" s="63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</row>
    <row r="210" spans="2:33" ht="16" customHeight="1" x14ac:dyDescent="0.35">
      <c r="B210" s="14" t="s">
        <v>1472</v>
      </c>
      <c r="C210" s="14" t="s">
        <v>1473</v>
      </c>
      <c r="D210" s="61"/>
      <c r="E210" s="30">
        <v>1E-3</v>
      </c>
      <c r="F210" s="63"/>
      <c r="G210" s="15">
        <f t="shared" si="8"/>
        <v>-1.0000000000012221E-3</v>
      </c>
      <c r="H210" s="63"/>
      <c r="I210" s="15">
        <f t="shared" si="9"/>
        <v>2.0000000000012222E-3</v>
      </c>
      <c r="J210" s="63"/>
      <c r="K210" s="15">
        <v>2E-3</v>
      </c>
      <c r="L210" s="15"/>
      <c r="M210" s="15"/>
      <c r="N210" s="15"/>
      <c r="O210" s="15"/>
      <c r="P210" s="15">
        <v>0</v>
      </c>
      <c r="Q210" s="15">
        <v>26.553999999999998</v>
      </c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>
        <v>-26.556999999999999</v>
      </c>
      <c r="AD210" s="15"/>
      <c r="AE210" s="15"/>
      <c r="AF210" s="15"/>
      <c r="AG210" s="15">
        <v>0</v>
      </c>
    </row>
    <row r="211" spans="2:33" ht="16" customHeight="1" x14ac:dyDescent="0.35">
      <c r="B211" s="14" t="s">
        <v>1474</v>
      </c>
      <c r="C211" s="14" t="s">
        <v>1475</v>
      </c>
      <c r="D211" s="61"/>
      <c r="E211" s="30">
        <v>-10.532999999999999</v>
      </c>
      <c r="F211" s="63"/>
      <c r="G211" s="15">
        <f t="shared" si="8"/>
        <v>-10.533000000000001</v>
      </c>
      <c r="H211" s="63"/>
      <c r="I211" s="15">
        <f t="shared" si="9"/>
        <v>0</v>
      </c>
      <c r="J211" s="63"/>
      <c r="K211" s="15">
        <v>-10.532999999999999</v>
      </c>
      <c r="L211" s="15"/>
      <c r="M211" s="15"/>
      <c r="N211" s="15"/>
      <c r="O211" s="15"/>
      <c r="P211" s="15">
        <v>0</v>
      </c>
      <c r="Q211" s="15">
        <v>0</v>
      </c>
      <c r="R211" s="15">
        <v>45.085000000000001</v>
      </c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>
        <v>-45.085000000000001</v>
      </c>
      <c r="AD211" s="15"/>
      <c r="AE211" s="15"/>
      <c r="AF211" s="15"/>
      <c r="AG211" s="15"/>
    </row>
    <row r="212" spans="2:33" ht="16" customHeight="1" x14ac:dyDescent="0.35">
      <c r="B212" s="14" t="s">
        <v>1476</v>
      </c>
      <c r="C212" s="14" t="s">
        <v>1477</v>
      </c>
      <c r="D212" s="61"/>
      <c r="E212" s="30">
        <v>-1E-3</v>
      </c>
      <c r="F212" s="63"/>
      <c r="G212" s="15">
        <f t="shared" si="8"/>
        <v>-9.9999999999988987E-4</v>
      </c>
      <c r="H212" s="63"/>
      <c r="I212" s="15">
        <f t="shared" si="9"/>
        <v>-1.1015494072452725E-16</v>
      </c>
      <c r="J212" s="63"/>
      <c r="K212" s="15">
        <v>0</v>
      </c>
      <c r="L212" s="15"/>
      <c r="M212" s="15"/>
      <c r="N212" s="15"/>
      <c r="O212" s="15"/>
      <c r="P212" s="15"/>
      <c r="Q212" s="15">
        <v>0</v>
      </c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>
        <v>-2.0369999999999999</v>
      </c>
      <c r="AD212" s="15"/>
      <c r="AE212" s="15"/>
      <c r="AF212" s="15">
        <v>2.036</v>
      </c>
      <c r="AG212" s="15">
        <v>0</v>
      </c>
    </row>
    <row r="213" spans="2:33" ht="16" customHeight="1" x14ac:dyDescent="0.35">
      <c r="B213" s="14" t="s">
        <v>1478</v>
      </c>
      <c r="C213" s="14" t="s">
        <v>1479</v>
      </c>
      <c r="D213" s="61"/>
      <c r="E213" s="30"/>
      <c r="F213" s="63"/>
      <c r="G213" s="15">
        <f t="shared" si="8"/>
        <v>0</v>
      </c>
      <c r="H213" s="63"/>
      <c r="I213" s="15">
        <f t="shared" si="9"/>
        <v>0</v>
      </c>
      <c r="J213" s="63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</row>
    <row r="214" spans="2:33" ht="16" customHeight="1" x14ac:dyDescent="0.35">
      <c r="B214" s="14" t="s">
        <v>1480</v>
      </c>
      <c r="C214" s="14" t="s">
        <v>1481</v>
      </c>
      <c r="D214" s="61"/>
      <c r="E214" s="30"/>
      <c r="F214" s="63"/>
      <c r="G214" s="15">
        <f t="shared" si="8"/>
        <v>0</v>
      </c>
      <c r="H214" s="63"/>
      <c r="I214" s="15">
        <f t="shared" si="9"/>
        <v>0</v>
      </c>
      <c r="J214" s="63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</row>
    <row r="215" spans="2:33" ht="16" customHeight="1" x14ac:dyDescent="0.35">
      <c r="B215" s="14" t="s">
        <v>1482</v>
      </c>
      <c r="C215" s="14" t="s">
        <v>1483</v>
      </c>
      <c r="D215" s="61"/>
      <c r="E215" s="30"/>
      <c r="F215" s="63"/>
      <c r="G215" s="15">
        <f t="shared" si="8"/>
        <v>0</v>
      </c>
      <c r="H215" s="63"/>
      <c r="I215" s="15">
        <f t="shared" si="9"/>
        <v>0</v>
      </c>
      <c r="J215" s="63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</row>
    <row r="216" spans="2:33" ht="16" customHeight="1" x14ac:dyDescent="0.35">
      <c r="B216" s="14" t="s">
        <v>1484</v>
      </c>
      <c r="C216" s="14" t="s">
        <v>1485</v>
      </c>
      <c r="D216" s="61"/>
      <c r="E216" s="30"/>
      <c r="F216" s="63"/>
      <c r="G216" s="15">
        <f t="shared" si="8"/>
        <v>0</v>
      </c>
      <c r="H216" s="63"/>
      <c r="I216" s="15">
        <f t="shared" si="9"/>
        <v>0</v>
      </c>
      <c r="J216" s="63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</row>
    <row r="217" spans="2:33" ht="16" customHeight="1" x14ac:dyDescent="0.35">
      <c r="B217" s="14" t="s">
        <v>1486</v>
      </c>
      <c r="C217" s="14" t="s">
        <v>1487</v>
      </c>
      <c r="D217" s="61"/>
      <c r="E217" s="30"/>
      <c r="F217" s="63"/>
      <c r="G217" s="15">
        <f t="shared" si="8"/>
        <v>0</v>
      </c>
      <c r="H217" s="63"/>
      <c r="I217" s="15">
        <f t="shared" si="9"/>
        <v>0</v>
      </c>
      <c r="J217" s="63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</row>
    <row r="218" spans="2:33" ht="16" customHeight="1" x14ac:dyDescent="0.35">
      <c r="B218" s="16" t="s">
        <v>1578</v>
      </c>
      <c r="C218" s="16"/>
      <c r="D218" s="64"/>
      <c r="E218" s="31">
        <f>SUBTOTAL(109, E123:E217)</f>
        <v>5566340.1148100002</v>
      </c>
      <c r="F218" s="65"/>
      <c r="G218" s="17">
        <f>SUBTOTAL(109, G123:G217)</f>
        <v>5566340.1108400002</v>
      </c>
      <c r="H218" s="65"/>
      <c r="I218" s="17">
        <f>SUBTOTAL(109, I123:I217)</f>
        <v>3.9700000030202798E-3</v>
      </c>
      <c r="J218" s="65"/>
      <c r="K218" s="17">
        <f t="shared" ref="K218:AG218" si="10">SUBTOTAL(109, K123:K217)</f>
        <v>5479397.8821399994</v>
      </c>
      <c r="L218" s="17">
        <f t="shared" si="10"/>
        <v>0</v>
      </c>
      <c r="M218" s="17">
        <f t="shared" si="10"/>
        <v>0</v>
      </c>
      <c r="N218" s="17">
        <f t="shared" si="10"/>
        <v>0</v>
      </c>
      <c r="O218" s="17">
        <f t="shared" si="10"/>
        <v>0</v>
      </c>
      <c r="P218" s="17">
        <f t="shared" si="10"/>
        <v>0</v>
      </c>
      <c r="Q218" s="17">
        <f t="shared" si="10"/>
        <v>-531.09434999999996</v>
      </c>
      <c r="R218" s="17">
        <f t="shared" si="10"/>
        <v>35123.96516</v>
      </c>
      <c r="S218" s="17">
        <f t="shared" si="10"/>
        <v>32049.623950000005</v>
      </c>
      <c r="T218" s="17">
        <f t="shared" si="10"/>
        <v>146057.07098000002</v>
      </c>
      <c r="U218" s="17">
        <f t="shared" si="10"/>
        <v>14071.659080000001</v>
      </c>
      <c r="V218" s="17">
        <f t="shared" si="10"/>
        <v>0</v>
      </c>
      <c r="W218" s="17">
        <f t="shared" si="10"/>
        <v>0</v>
      </c>
      <c r="X218" s="17">
        <f t="shared" si="10"/>
        <v>2616.4569500000002</v>
      </c>
      <c r="Y218" s="17">
        <f t="shared" si="10"/>
        <v>-139481.04531999998</v>
      </c>
      <c r="Z218" s="17">
        <f t="shared" si="10"/>
        <v>-4043.5371500000001</v>
      </c>
      <c r="AA218" s="17">
        <f t="shared" si="10"/>
        <v>3335.4668700000002</v>
      </c>
      <c r="AB218" s="17">
        <f t="shared" si="10"/>
        <v>0</v>
      </c>
      <c r="AC218" s="17">
        <f t="shared" si="10"/>
        <v>-262.82604000000043</v>
      </c>
      <c r="AD218" s="17">
        <f t="shared" si="10"/>
        <v>-4452.6484299999993</v>
      </c>
      <c r="AE218" s="17">
        <f t="shared" si="10"/>
        <v>0</v>
      </c>
      <c r="AF218" s="17">
        <f t="shared" si="10"/>
        <v>2459.1370000000002</v>
      </c>
      <c r="AG218" s="17">
        <f t="shared" si="10"/>
        <v>0</v>
      </c>
    </row>
    <row r="219" spans="2:33" ht="16" customHeight="1" x14ac:dyDescent="0.35">
      <c r="B219" s="11"/>
      <c r="C219" s="11"/>
      <c r="D219" s="29"/>
      <c r="E219" s="29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spans="2:33" ht="16" customHeight="1" x14ac:dyDescent="0.35">
      <c r="B220" s="99" t="s">
        <v>751</v>
      </c>
      <c r="C220" s="99"/>
      <c r="D220" s="100"/>
      <c r="E220" s="101">
        <f>E121-E218</f>
        <v>-4.1200006380677223E-3</v>
      </c>
      <c r="F220" s="102"/>
      <c r="G220" s="103">
        <f>G121-G218</f>
        <v>-2.1200012415647507E-3</v>
      </c>
      <c r="H220" s="102"/>
      <c r="I220" s="103">
        <f>I121-I218</f>
        <v>-1.9999999547886116E-3</v>
      </c>
      <c r="J220" s="102"/>
      <c r="K220" s="103">
        <f t="shared" ref="K220:AG220" si="11">K121-K218</f>
        <v>4.463769999332726</v>
      </c>
      <c r="L220" s="103">
        <f t="shared" si="11"/>
        <v>0</v>
      </c>
      <c r="M220" s="103">
        <f t="shared" si="11"/>
        <v>0</v>
      </c>
      <c r="N220" s="103">
        <f t="shared" si="11"/>
        <v>0</v>
      </c>
      <c r="O220" s="103">
        <f t="shared" si="11"/>
        <v>0</v>
      </c>
      <c r="P220" s="103">
        <f t="shared" si="11"/>
        <v>0</v>
      </c>
      <c r="Q220" s="103">
        <f t="shared" si="11"/>
        <v>0</v>
      </c>
      <c r="R220" s="103">
        <f t="shared" si="11"/>
        <v>-35123.96516</v>
      </c>
      <c r="S220" s="103">
        <f t="shared" si="11"/>
        <v>55949.072379999983</v>
      </c>
      <c r="T220" s="103">
        <f t="shared" si="11"/>
        <v>-122203.44294000002</v>
      </c>
      <c r="U220" s="103">
        <f t="shared" si="11"/>
        <v>0</v>
      </c>
      <c r="V220" s="103">
        <f t="shared" si="11"/>
        <v>0</v>
      </c>
      <c r="W220" s="103">
        <f t="shared" si="11"/>
        <v>0</v>
      </c>
      <c r="X220" s="103">
        <f t="shared" si="11"/>
        <v>-38280.852099999996</v>
      </c>
      <c r="Y220" s="103">
        <f t="shared" si="11"/>
        <v>134605.65667999999</v>
      </c>
      <c r="Z220" s="103">
        <f t="shared" si="11"/>
        <v>4043.5371500000001</v>
      </c>
      <c r="AA220" s="103">
        <f t="shared" si="11"/>
        <v>-3335.4668700000002</v>
      </c>
      <c r="AB220" s="103">
        <f t="shared" si="11"/>
        <v>1849.45634</v>
      </c>
      <c r="AC220" s="103">
        <f t="shared" si="11"/>
        <v>79.999010000000055</v>
      </c>
      <c r="AD220" s="103">
        <f t="shared" si="11"/>
        <v>2411.5366799999993</v>
      </c>
      <c r="AE220" s="103">
        <f t="shared" si="11"/>
        <v>0</v>
      </c>
      <c r="AF220" s="103">
        <f t="shared" si="11"/>
        <v>2.9400000003079185E-3</v>
      </c>
      <c r="AG220" s="103">
        <f t="shared" si="11"/>
        <v>0</v>
      </c>
    </row>
    <row r="221" spans="2:33" ht="16" customHeight="1" x14ac:dyDescent="0.45">
      <c r="B221" s="9"/>
      <c r="C221" s="9"/>
      <c r="D221" s="9"/>
      <c r="E221" s="9"/>
      <c r="F221" s="13"/>
      <c r="G221" s="13"/>
      <c r="H221" s="13"/>
      <c r="I221" s="13"/>
      <c r="J221" s="13"/>
      <c r="K221" s="13"/>
      <c r="L221" s="98"/>
      <c r="M221" s="98"/>
      <c r="N221" s="98"/>
      <c r="O221" s="98"/>
      <c r="P221" s="98"/>
      <c r="Q221" s="98"/>
      <c r="R221" s="98"/>
      <c r="S221" s="98"/>
    </row>
    <row r="222" spans="2:33" ht="16" customHeight="1" x14ac:dyDescent="0.3">
      <c r="B222" s="98"/>
      <c r="C222" s="97"/>
      <c r="D222" s="97"/>
      <c r="E222" s="97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</row>
    <row r="223" spans="2:33" ht="16" customHeight="1" x14ac:dyDescent="0.3">
      <c r="B223" s="98"/>
      <c r="C223" s="97"/>
      <c r="D223" s="97"/>
      <c r="E223" s="97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</row>
    <row r="224" spans="2:33" ht="16" customHeight="1" x14ac:dyDescent="0.3">
      <c r="B224" s="98"/>
      <c r="C224" s="97"/>
      <c r="D224" s="97"/>
      <c r="E224" s="97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</row>
    <row r="225" spans="2:19" ht="16" customHeight="1" x14ac:dyDescent="0.3">
      <c r="B225" s="98"/>
      <c r="C225" s="97"/>
      <c r="D225" s="97"/>
      <c r="E225" s="97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</row>
    <row r="226" spans="2:19" ht="16" customHeight="1" x14ac:dyDescent="0.3">
      <c r="B226" s="98"/>
      <c r="C226" s="97"/>
      <c r="D226" s="97"/>
      <c r="E226" s="97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</row>
    <row r="227" spans="2:19" ht="16" customHeight="1" x14ac:dyDescent="0.3">
      <c r="B227" s="98"/>
      <c r="C227" s="97"/>
      <c r="D227" s="97"/>
      <c r="E227" s="97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</row>
    <row r="228" spans="2:19" ht="16" customHeight="1" x14ac:dyDescent="0.3">
      <c r="B228" s="98"/>
      <c r="C228" s="97"/>
      <c r="D228" s="97"/>
      <c r="E228" s="97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</row>
    <row r="229" spans="2:19" ht="16" customHeight="1" x14ac:dyDescent="0.3">
      <c r="B229" s="98"/>
      <c r="C229" s="97"/>
      <c r="D229" s="97"/>
      <c r="E229" s="97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</row>
    <row r="230" spans="2:19" ht="16" customHeight="1" x14ac:dyDescent="0.3">
      <c r="B230" s="98"/>
      <c r="C230" s="97"/>
      <c r="D230" s="97"/>
      <c r="E230" s="97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</row>
    <row r="231" spans="2:19" ht="16" customHeight="1" x14ac:dyDescent="0.3">
      <c r="B231" s="98"/>
      <c r="C231" s="97"/>
      <c r="D231" s="97"/>
      <c r="E231" s="97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</row>
    <row r="232" spans="2:19" ht="16" customHeight="1" x14ac:dyDescent="0.3">
      <c r="B232" s="98"/>
      <c r="C232" s="97"/>
      <c r="D232" s="97"/>
      <c r="E232" s="97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</row>
    <row r="233" spans="2:19" ht="16" customHeight="1" x14ac:dyDescent="0.3">
      <c r="B233" s="98"/>
      <c r="C233" s="97"/>
      <c r="D233" s="97"/>
      <c r="E233" s="97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</row>
    <row r="234" spans="2:19" ht="16" customHeight="1" x14ac:dyDescent="0.3">
      <c r="B234" s="98"/>
      <c r="C234" s="97"/>
      <c r="D234" s="97"/>
      <c r="E234" s="97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</row>
    <row r="235" spans="2:19" ht="16" customHeight="1" x14ac:dyDescent="0.3">
      <c r="B235" s="98"/>
      <c r="C235" s="97"/>
      <c r="D235" s="97"/>
      <c r="E235" s="97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</row>
    <row r="236" spans="2:19" ht="16" customHeight="1" x14ac:dyDescent="0.3">
      <c r="B236" s="98"/>
      <c r="C236" s="97"/>
      <c r="D236" s="97"/>
      <c r="E236" s="97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</row>
    <row r="237" spans="2:19" ht="16" customHeight="1" x14ac:dyDescent="0.3">
      <c r="B237" s="98"/>
      <c r="C237" s="97"/>
      <c r="D237" s="97"/>
      <c r="E237" s="97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</row>
    <row r="238" spans="2:19" ht="16" customHeight="1" x14ac:dyDescent="0.3">
      <c r="B238" s="98"/>
      <c r="C238" s="97"/>
      <c r="D238" s="97"/>
      <c r="E238" s="97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</row>
    <row r="239" spans="2:19" ht="16" customHeight="1" x14ac:dyDescent="0.3">
      <c r="B239" s="98"/>
      <c r="C239" s="97"/>
      <c r="D239" s="97"/>
      <c r="E239" s="97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</row>
    <row r="240" spans="2:19" ht="16" customHeight="1" x14ac:dyDescent="0.3">
      <c r="B240" s="98"/>
      <c r="C240" s="97"/>
      <c r="D240" s="97"/>
      <c r="E240" s="97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</row>
    <row r="241" spans="2:19" ht="16" customHeight="1" x14ac:dyDescent="0.3">
      <c r="B241" s="98"/>
      <c r="C241" s="97"/>
      <c r="D241" s="97"/>
      <c r="E241" s="97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</row>
    <row r="242" spans="2:19" ht="16" customHeight="1" x14ac:dyDescent="0.3">
      <c r="B242" s="98"/>
      <c r="C242" s="97"/>
      <c r="D242" s="97"/>
      <c r="E242" s="97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</row>
    <row r="243" spans="2:19" ht="16" customHeight="1" x14ac:dyDescent="0.3">
      <c r="B243" s="98"/>
      <c r="C243" s="97"/>
      <c r="D243" s="97"/>
      <c r="E243" s="97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</row>
    <row r="244" spans="2:19" ht="16" customHeight="1" x14ac:dyDescent="0.3">
      <c r="B244" s="98"/>
      <c r="C244" s="97"/>
      <c r="D244" s="97"/>
      <c r="E244" s="97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</row>
    <row r="245" spans="2:19" ht="16" customHeight="1" x14ac:dyDescent="0.3">
      <c r="B245" s="98"/>
      <c r="C245" s="97"/>
      <c r="D245" s="97"/>
      <c r="E245" s="97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</row>
    <row r="246" spans="2:19" ht="16" customHeight="1" x14ac:dyDescent="0.3">
      <c r="B246" s="98"/>
      <c r="C246" s="97"/>
      <c r="D246" s="97"/>
      <c r="E246" s="97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</row>
    <row r="247" spans="2:19" ht="16" customHeight="1" x14ac:dyDescent="0.3">
      <c r="B247" s="98"/>
      <c r="C247" s="97"/>
      <c r="D247" s="97"/>
      <c r="E247" s="97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</row>
    <row r="248" spans="2:19" ht="16" customHeight="1" x14ac:dyDescent="0.3">
      <c r="B248" s="98"/>
      <c r="C248" s="97"/>
      <c r="D248" s="97"/>
      <c r="E248" s="97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</row>
    <row r="249" spans="2:19" ht="16" customHeight="1" x14ac:dyDescent="0.3">
      <c r="B249" s="98"/>
      <c r="C249" s="97"/>
      <c r="D249" s="97"/>
      <c r="E249" s="97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</row>
    <row r="250" spans="2:19" ht="16" customHeight="1" x14ac:dyDescent="0.3">
      <c r="B250" s="98"/>
      <c r="C250" s="97"/>
      <c r="D250" s="97"/>
      <c r="E250" s="97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</row>
    <row r="251" spans="2:19" ht="16" customHeight="1" x14ac:dyDescent="0.3">
      <c r="B251" s="98"/>
      <c r="C251" s="97"/>
      <c r="D251" s="97"/>
      <c r="E251" s="97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</row>
    <row r="252" spans="2:19" ht="16" customHeight="1" x14ac:dyDescent="0.3">
      <c r="B252" s="98"/>
      <c r="C252" s="97"/>
      <c r="D252" s="97"/>
      <c r="E252" s="97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</row>
    <row r="253" spans="2:19" ht="16" customHeight="1" x14ac:dyDescent="0.3">
      <c r="B253" s="98"/>
      <c r="C253" s="97"/>
      <c r="D253" s="97"/>
      <c r="E253" s="97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</row>
    <row r="254" spans="2:19" ht="16" customHeight="1" x14ac:dyDescent="0.3">
      <c r="B254" s="98"/>
      <c r="C254" s="97"/>
      <c r="D254" s="97"/>
      <c r="E254" s="97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</row>
    <row r="255" spans="2:19" ht="16" customHeight="1" x14ac:dyDescent="0.3">
      <c r="B255" s="98"/>
      <c r="C255" s="97"/>
      <c r="D255" s="97"/>
      <c r="E255" s="97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</row>
    <row r="256" spans="2:19" ht="16" customHeight="1" x14ac:dyDescent="0.3">
      <c r="B256" s="98"/>
      <c r="C256" s="97"/>
      <c r="D256" s="97"/>
      <c r="E256" s="97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</row>
    <row r="257" spans="2:19" ht="16" customHeight="1" x14ac:dyDescent="0.3">
      <c r="B257" s="98"/>
      <c r="C257" s="97"/>
      <c r="D257" s="97"/>
      <c r="E257" s="97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</row>
    <row r="258" spans="2:19" ht="16" customHeight="1" x14ac:dyDescent="0.3">
      <c r="B258" s="98"/>
      <c r="C258" s="97"/>
      <c r="D258" s="97"/>
      <c r="E258" s="97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</row>
    <row r="259" spans="2:19" ht="16" customHeight="1" x14ac:dyDescent="0.3">
      <c r="B259" s="98"/>
      <c r="C259" s="97"/>
      <c r="D259" s="97"/>
      <c r="E259" s="97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</row>
    <row r="260" spans="2:19" ht="16" customHeight="1" x14ac:dyDescent="0.3">
      <c r="B260" s="98"/>
      <c r="C260" s="97"/>
      <c r="D260" s="97"/>
      <c r="E260" s="97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</row>
    <row r="261" spans="2:19" ht="16" customHeight="1" x14ac:dyDescent="0.3">
      <c r="B261" s="98"/>
      <c r="C261" s="97"/>
      <c r="D261" s="97"/>
      <c r="E261" s="97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</row>
    <row r="262" spans="2:19" ht="16" customHeight="1" x14ac:dyDescent="0.3">
      <c r="B262" s="98"/>
      <c r="C262" s="97"/>
      <c r="D262" s="97"/>
      <c r="E262" s="97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</row>
    <row r="263" spans="2:19" ht="16" customHeight="1" x14ac:dyDescent="0.3">
      <c r="B263" s="98"/>
      <c r="C263" s="97"/>
      <c r="D263" s="97"/>
      <c r="E263" s="97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</row>
    <row r="264" spans="2:19" ht="16" customHeight="1" x14ac:dyDescent="0.3">
      <c r="B264" s="98"/>
      <c r="C264" s="97"/>
      <c r="D264" s="97"/>
      <c r="E264" s="97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</row>
    <row r="265" spans="2:19" ht="16" customHeight="1" x14ac:dyDescent="0.3">
      <c r="B265" s="98"/>
      <c r="C265" s="97"/>
      <c r="D265" s="97"/>
      <c r="E265" s="97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</row>
    <row r="266" spans="2:19" ht="16" customHeight="1" x14ac:dyDescent="0.3">
      <c r="B266" s="98"/>
      <c r="C266" s="97"/>
      <c r="D266" s="97"/>
      <c r="E266" s="97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</row>
    <row r="267" spans="2:19" ht="16" customHeight="1" x14ac:dyDescent="0.3">
      <c r="B267" s="98"/>
      <c r="C267" s="97"/>
      <c r="D267" s="97"/>
      <c r="E267" s="97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</row>
    <row r="268" spans="2:19" ht="16" customHeight="1" x14ac:dyDescent="0.3">
      <c r="B268" s="98"/>
      <c r="C268" s="97"/>
      <c r="D268" s="97"/>
      <c r="E268" s="97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</row>
    <row r="269" spans="2:19" ht="16" customHeight="1" x14ac:dyDescent="0.3">
      <c r="B269" s="98"/>
      <c r="C269" s="97"/>
      <c r="D269" s="97"/>
      <c r="E269" s="97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</row>
    <row r="270" spans="2:19" ht="16" customHeight="1" x14ac:dyDescent="0.3">
      <c r="B270" s="98"/>
      <c r="C270" s="97"/>
      <c r="D270" s="97"/>
      <c r="E270" s="97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</row>
    <row r="271" spans="2:19" ht="16" customHeight="1" x14ac:dyDescent="0.3">
      <c r="B271" s="98"/>
      <c r="C271" s="97"/>
      <c r="D271" s="97"/>
      <c r="E271" s="97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</row>
    <row r="272" spans="2:19" ht="16" customHeight="1" x14ac:dyDescent="0.3">
      <c r="B272" s="98"/>
      <c r="C272" s="97"/>
      <c r="D272" s="97"/>
      <c r="E272" s="97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</row>
    <row r="273" spans="2:19" ht="16" customHeight="1" x14ac:dyDescent="0.3">
      <c r="B273" s="98"/>
      <c r="C273" s="97"/>
      <c r="D273" s="97"/>
      <c r="E273" s="97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</row>
    <row r="274" spans="2:19" ht="16" customHeight="1" x14ac:dyDescent="0.3">
      <c r="B274" s="98"/>
      <c r="C274" s="97"/>
      <c r="D274" s="97"/>
      <c r="E274" s="97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</row>
    <row r="275" spans="2:19" ht="16" customHeight="1" x14ac:dyDescent="0.3">
      <c r="B275" s="98"/>
      <c r="C275" s="97"/>
      <c r="D275" s="97"/>
      <c r="E275" s="97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</row>
    <row r="276" spans="2:19" ht="16" customHeight="1" x14ac:dyDescent="0.3">
      <c r="B276" s="98"/>
      <c r="C276" s="97"/>
      <c r="D276" s="97"/>
      <c r="E276" s="97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</row>
    <row r="277" spans="2:19" ht="16" customHeight="1" x14ac:dyDescent="0.3">
      <c r="B277" s="98"/>
      <c r="C277" s="97"/>
      <c r="D277" s="97"/>
      <c r="E277" s="97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</row>
    <row r="278" spans="2:19" ht="16" customHeight="1" x14ac:dyDescent="0.3">
      <c r="B278" s="98"/>
      <c r="C278" s="97"/>
      <c r="D278" s="97"/>
      <c r="E278" s="97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</row>
    <row r="279" spans="2:19" ht="16" customHeight="1" x14ac:dyDescent="0.3">
      <c r="B279" s="98"/>
      <c r="C279" s="97"/>
      <c r="D279" s="97"/>
      <c r="E279" s="97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</row>
    <row r="280" spans="2:19" ht="16" customHeight="1" x14ac:dyDescent="0.3">
      <c r="B280" s="98"/>
      <c r="C280" s="97"/>
      <c r="D280" s="97"/>
      <c r="E280" s="97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</row>
    <row r="281" spans="2:19" ht="16" customHeight="1" x14ac:dyDescent="0.3">
      <c r="B281" s="98"/>
      <c r="C281" s="97"/>
      <c r="D281" s="97"/>
      <c r="E281" s="97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</row>
    <row r="282" spans="2:19" ht="16" customHeight="1" x14ac:dyDescent="0.3">
      <c r="B282" s="98"/>
      <c r="C282" s="97"/>
      <c r="D282" s="97"/>
      <c r="E282" s="97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</row>
    <row r="283" spans="2:19" ht="16" customHeight="1" x14ac:dyDescent="0.3">
      <c r="B283" s="98"/>
      <c r="C283" s="97"/>
      <c r="D283" s="97"/>
      <c r="E283" s="97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</row>
    <row r="284" spans="2:19" ht="16" customHeight="1" x14ac:dyDescent="0.3">
      <c r="B284" s="98"/>
      <c r="C284" s="97"/>
      <c r="D284" s="97"/>
      <c r="E284" s="97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</row>
    <row r="285" spans="2:19" ht="16" customHeight="1" x14ac:dyDescent="0.3">
      <c r="B285" s="98"/>
      <c r="C285" s="97"/>
      <c r="D285" s="97"/>
      <c r="E285" s="97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</row>
    <row r="286" spans="2:19" ht="16" customHeight="1" x14ac:dyDescent="0.3">
      <c r="B286" s="98"/>
      <c r="C286" s="97"/>
      <c r="D286" s="97"/>
      <c r="E286" s="97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</row>
    <row r="287" spans="2:19" ht="16" customHeight="1" x14ac:dyDescent="0.3">
      <c r="B287" s="98"/>
      <c r="C287" s="97"/>
      <c r="D287" s="97"/>
      <c r="E287" s="97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</row>
    <row r="288" spans="2:19" ht="16" customHeight="1" x14ac:dyDescent="0.3">
      <c r="B288" s="98"/>
      <c r="C288" s="97"/>
      <c r="D288" s="97"/>
      <c r="E288" s="97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</row>
    <row r="289" spans="2:19" ht="16" customHeight="1" x14ac:dyDescent="0.3">
      <c r="B289" s="98"/>
      <c r="C289" s="97"/>
      <c r="D289" s="97"/>
      <c r="E289" s="97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</row>
    <row r="290" spans="2:19" ht="16" customHeight="1" x14ac:dyDescent="0.3">
      <c r="B290" s="98"/>
      <c r="C290" s="97"/>
      <c r="D290" s="97"/>
      <c r="E290" s="97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</row>
    <row r="291" spans="2:19" ht="16" customHeight="1" x14ac:dyDescent="0.3">
      <c r="B291" s="98"/>
      <c r="C291" s="97"/>
      <c r="D291" s="97"/>
      <c r="E291" s="97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</row>
    <row r="292" spans="2:19" ht="16" customHeight="1" x14ac:dyDescent="0.3">
      <c r="B292" s="98"/>
      <c r="C292" s="97"/>
      <c r="D292" s="97"/>
      <c r="E292" s="97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</row>
    <row r="293" spans="2:19" ht="16" customHeight="1" x14ac:dyDescent="0.3">
      <c r="B293" s="98"/>
      <c r="C293" s="97"/>
      <c r="D293" s="97"/>
      <c r="E293" s="97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</row>
    <row r="294" spans="2:19" ht="16" customHeight="1" x14ac:dyDescent="0.3">
      <c r="B294" s="98"/>
      <c r="C294" s="97"/>
      <c r="D294" s="97"/>
      <c r="E294" s="97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</row>
    <row r="295" spans="2:19" ht="16" customHeight="1" x14ac:dyDescent="0.3">
      <c r="B295" s="98"/>
      <c r="C295" s="97"/>
      <c r="D295" s="97"/>
      <c r="E295" s="97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</row>
    <row r="296" spans="2:19" ht="16" customHeight="1" x14ac:dyDescent="0.3">
      <c r="B296" s="98"/>
      <c r="C296" s="97"/>
      <c r="D296" s="97"/>
      <c r="E296" s="97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</row>
    <row r="297" spans="2:19" ht="16" customHeight="1" x14ac:dyDescent="0.3">
      <c r="B297" s="98"/>
      <c r="C297" s="97"/>
      <c r="D297" s="97"/>
      <c r="E297" s="97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</row>
    <row r="298" spans="2:19" ht="16" customHeight="1" x14ac:dyDescent="0.3">
      <c r="B298" s="98"/>
      <c r="C298" s="97"/>
      <c r="D298" s="97"/>
      <c r="E298" s="97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</row>
    <row r="299" spans="2:19" ht="16" customHeight="1" x14ac:dyDescent="0.3">
      <c r="B299" s="98"/>
      <c r="C299" s="97"/>
      <c r="D299" s="97"/>
      <c r="E299" s="97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</row>
    <row r="300" spans="2:19" ht="16" customHeight="1" x14ac:dyDescent="0.3">
      <c r="B300" s="98"/>
      <c r="C300" s="97"/>
      <c r="D300" s="97"/>
      <c r="E300" s="97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</row>
    <row r="301" spans="2:19" ht="16" customHeight="1" x14ac:dyDescent="0.3">
      <c r="B301" s="98"/>
      <c r="C301" s="97"/>
      <c r="D301" s="97"/>
      <c r="E301" s="97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</row>
    <row r="302" spans="2:19" ht="16" customHeight="1" x14ac:dyDescent="0.3">
      <c r="B302" s="98"/>
      <c r="C302" s="97"/>
      <c r="D302" s="97"/>
      <c r="E302" s="97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</row>
    <row r="303" spans="2:19" ht="16" customHeight="1" x14ac:dyDescent="0.3">
      <c r="B303" s="98"/>
      <c r="C303" s="97"/>
      <c r="D303" s="97"/>
      <c r="E303" s="97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</row>
    <row r="304" spans="2:19" ht="16" customHeight="1" x14ac:dyDescent="0.3">
      <c r="B304" s="98"/>
      <c r="C304" s="97"/>
      <c r="D304" s="97"/>
      <c r="E304" s="97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</row>
    <row r="305" spans="2:19" ht="16" customHeight="1" x14ac:dyDescent="0.3">
      <c r="B305" s="98"/>
      <c r="C305" s="97"/>
      <c r="D305" s="97"/>
      <c r="E305" s="97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</row>
    <row r="306" spans="2:19" ht="16" customHeight="1" x14ac:dyDescent="0.3">
      <c r="B306" s="98"/>
      <c r="C306" s="97"/>
      <c r="D306" s="97"/>
      <c r="E306" s="97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</row>
    <row r="307" spans="2:19" ht="16" customHeight="1" x14ac:dyDescent="0.3">
      <c r="B307" s="98"/>
      <c r="C307" s="97"/>
      <c r="D307" s="97"/>
      <c r="E307" s="97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</row>
    <row r="308" spans="2:19" ht="16" customHeight="1" x14ac:dyDescent="0.3">
      <c r="B308" s="98"/>
      <c r="C308" s="97"/>
      <c r="D308" s="97"/>
      <c r="E308" s="97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</row>
    <row r="309" spans="2:19" ht="16" customHeight="1" x14ac:dyDescent="0.3">
      <c r="B309" s="98"/>
      <c r="C309" s="97"/>
      <c r="D309" s="97"/>
      <c r="E309" s="97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</row>
    <row r="310" spans="2:19" ht="16" customHeight="1" x14ac:dyDescent="0.3">
      <c r="B310" s="98"/>
      <c r="C310" s="97"/>
      <c r="D310" s="97"/>
      <c r="E310" s="97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</row>
    <row r="311" spans="2:19" ht="16" customHeight="1" x14ac:dyDescent="0.3">
      <c r="B311" s="98"/>
      <c r="C311" s="97"/>
      <c r="D311" s="97"/>
      <c r="E311" s="97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</row>
    <row r="312" spans="2:19" ht="16" customHeight="1" x14ac:dyDescent="0.3">
      <c r="B312" s="98"/>
      <c r="C312" s="97"/>
      <c r="D312" s="97"/>
      <c r="E312" s="97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</row>
    <row r="313" spans="2:19" ht="16" customHeight="1" x14ac:dyDescent="0.3">
      <c r="B313" s="98"/>
      <c r="C313" s="97"/>
      <c r="D313" s="97"/>
      <c r="E313" s="97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</row>
    <row r="314" spans="2:19" ht="16" customHeight="1" x14ac:dyDescent="0.3">
      <c r="B314" s="98"/>
      <c r="C314" s="97"/>
      <c r="D314" s="97"/>
      <c r="E314" s="97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</row>
    <row r="315" spans="2:19" ht="16" customHeight="1" x14ac:dyDescent="0.3">
      <c r="B315" s="98"/>
      <c r="C315" s="97"/>
      <c r="D315" s="97"/>
      <c r="E315" s="97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</row>
    <row r="316" spans="2:19" ht="16" customHeight="1" x14ac:dyDescent="0.3">
      <c r="B316" s="98"/>
      <c r="C316" s="97"/>
      <c r="D316" s="97"/>
      <c r="E316" s="97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</row>
    <row r="317" spans="2:19" ht="16" customHeight="1" x14ac:dyDescent="0.3">
      <c r="B317" s="98"/>
      <c r="C317" s="97"/>
      <c r="D317" s="97"/>
      <c r="E317" s="97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</row>
    <row r="318" spans="2:19" ht="16" customHeight="1" x14ac:dyDescent="0.3">
      <c r="B318" s="98"/>
      <c r="C318" s="97"/>
      <c r="D318" s="97"/>
      <c r="E318" s="97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</row>
    <row r="319" spans="2:19" ht="16" customHeight="1" x14ac:dyDescent="0.3">
      <c r="B319" s="98"/>
      <c r="C319" s="97"/>
      <c r="D319" s="97"/>
      <c r="E319" s="97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</row>
    <row r="320" spans="2:19" ht="16" customHeight="1" x14ac:dyDescent="0.3">
      <c r="B320" s="98"/>
      <c r="C320" s="97"/>
      <c r="D320" s="97"/>
      <c r="E320" s="97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</row>
    <row r="321" spans="2:19" ht="16" customHeight="1" x14ac:dyDescent="0.3">
      <c r="B321" s="98"/>
      <c r="C321" s="97"/>
      <c r="D321" s="97"/>
      <c r="E321" s="97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</row>
    <row r="322" spans="2:19" ht="16" customHeight="1" x14ac:dyDescent="0.3">
      <c r="B322" s="98"/>
      <c r="C322" s="97"/>
      <c r="D322" s="97"/>
      <c r="E322" s="97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</row>
    <row r="323" spans="2:19" ht="16" customHeight="1" x14ac:dyDescent="0.3">
      <c r="B323" s="98"/>
      <c r="C323" s="97"/>
      <c r="D323" s="97"/>
      <c r="E323" s="97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</row>
    <row r="324" spans="2:19" ht="16" customHeight="1" x14ac:dyDescent="0.3">
      <c r="B324" s="98"/>
      <c r="C324" s="97"/>
      <c r="D324" s="97"/>
      <c r="E324" s="97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</row>
    <row r="325" spans="2:19" ht="16" customHeight="1" x14ac:dyDescent="0.3">
      <c r="B325" s="98"/>
      <c r="C325" s="97"/>
      <c r="D325" s="97"/>
      <c r="E325" s="97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</row>
    <row r="326" spans="2:19" ht="16" customHeight="1" x14ac:dyDescent="0.3">
      <c r="B326" s="98"/>
      <c r="C326" s="97"/>
      <c r="D326" s="97"/>
      <c r="E326" s="97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</row>
    <row r="327" spans="2:19" ht="16" customHeight="1" x14ac:dyDescent="0.3">
      <c r="B327" s="98"/>
      <c r="C327" s="97"/>
      <c r="D327" s="97"/>
      <c r="E327" s="97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</row>
    <row r="328" spans="2:19" ht="16" customHeight="1" x14ac:dyDescent="0.3">
      <c r="B328" s="98"/>
      <c r="C328" s="97"/>
      <c r="D328" s="97"/>
      <c r="E328" s="97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</row>
    <row r="329" spans="2:19" ht="16" customHeight="1" x14ac:dyDescent="0.3">
      <c r="B329" s="98"/>
      <c r="C329" s="97"/>
      <c r="D329" s="97"/>
      <c r="E329" s="97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</row>
    <row r="330" spans="2:19" ht="16" customHeight="1" x14ac:dyDescent="0.3">
      <c r="B330" s="98"/>
      <c r="C330" s="97"/>
      <c r="D330" s="97"/>
      <c r="E330" s="97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</row>
    <row r="331" spans="2:19" ht="16" customHeight="1" x14ac:dyDescent="0.3">
      <c r="B331" s="98"/>
      <c r="C331" s="97"/>
      <c r="D331" s="97"/>
      <c r="E331" s="97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</row>
    <row r="332" spans="2:19" ht="16" customHeight="1" x14ac:dyDescent="0.3">
      <c r="B332" s="98"/>
      <c r="C332" s="97"/>
      <c r="D332" s="97"/>
      <c r="E332" s="97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</row>
    <row r="333" spans="2:19" ht="16" customHeight="1" x14ac:dyDescent="0.3">
      <c r="B333" s="98"/>
      <c r="C333" s="97"/>
      <c r="D333" s="97"/>
      <c r="E333" s="97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</row>
    <row r="334" spans="2:19" ht="16" customHeight="1" x14ac:dyDescent="0.3">
      <c r="B334" s="98"/>
      <c r="C334" s="97"/>
      <c r="D334" s="97"/>
      <c r="E334" s="97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</row>
    <row r="335" spans="2:19" ht="16" customHeight="1" x14ac:dyDescent="0.3">
      <c r="B335" s="98"/>
      <c r="C335" s="97"/>
      <c r="D335" s="97"/>
      <c r="E335" s="97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</row>
    <row r="336" spans="2:19" ht="16" customHeight="1" x14ac:dyDescent="0.3">
      <c r="B336" s="98"/>
      <c r="C336" s="97"/>
      <c r="D336" s="97"/>
      <c r="E336" s="97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</row>
    <row r="337" spans="2:19" ht="16" customHeight="1" x14ac:dyDescent="0.3">
      <c r="B337" s="98"/>
      <c r="C337" s="97"/>
      <c r="D337" s="97"/>
      <c r="E337" s="97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</row>
    <row r="338" spans="2:19" ht="16" customHeight="1" x14ac:dyDescent="0.3">
      <c r="B338" s="98"/>
      <c r="C338" s="97"/>
      <c r="D338" s="97"/>
      <c r="E338" s="97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</row>
    <row r="339" spans="2:19" ht="16" customHeight="1" x14ac:dyDescent="0.3">
      <c r="B339" s="98"/>
      <c r="C339" s="97"/>
      <c r="D339" s="97"/>
      <c r="E339" s="97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</row>
    <row r="340" spans="2:19" ht="16" customHeight="1" x14ac:dyDescent="0.3">
      <c r="B340" s="98"/>
      <c r="C340" s="97"/>
      <c r="D340" s="97"/>
      <c r="E340" s="97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</row>
    <row r="341" spans="2:19" ht="16" customHeight="1" x14ac:dyDescent="0.3">
      <c r="B341" s="98"/>
      <c r="C341" s="97"/>
      <c r="D341" s="97"/>
      <c r="E341" s="97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</row>
    <row r="342" spans="2:19" ht="16" customHeight="1" x14ac:dyDescent="0.3">
      <c r="B342" s="98"/>
      <c r="C342" s="97"/>
      <c r="D342" s="97"/>
      <c r="E342" s="97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</row>
    <row r="343" spans="2:19" ht="16" customHeight="1" x14ac:dyDescent="0.3">
      <c r="B343" s="98"/>
      <c r="C343" s="97"/>
      <c r="D343" s="97"/>
      <c r="E343" s="97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</row>
    <row r="344" spans="2:19" ht="16" customHeight="1" x14ac:dyDescent="0.3">
      <c r="B344" s="98"/>
      <c r="C344" s="97"/>
      <c r="D344" s="97"/>
      <c r="E344" s="97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</row>
    <row r="345" spans="2:19" ht="16" customHeight="1" x14ac:dyDescent="0.3">
      <c r="B345" s="98"/>
      <c r="C345" s="97"/>
      <c r="D345" s="97"/>
      <c r="E345" s="97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</row>
    <row r="346" spans="2:19" ht="16" customHeight="1" x14ac:dyDescent="0.3">
      <c r="B346" s="98"/>
      <c r="C346" s="97"/>
      <c r="D346" s="97"/>
      <c r="E346" s="97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</row>
    <row r="347" spans="2:19" ht="16" customHeight="1" x14ac:dyDescent="0.3">
      <c r="B347" s="98"/>
      <c r="C347" s="97"/>
      <c r="D347" s="97"/>
      <c r="E347" s="97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</row>
    <row r="348" spans="2:19" ht="16" customHeight="1" x14ac:dyDescent="0.3">
      <c r="B348" s="98"/>
      <c r="C348" s="97"/>
      <c r="D348" s="97"/>
      <c r="E348" s="97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</row>
    <row r="349" spans="2:19" ht="16" customHeight="1" x14ac:dyDescent="0.3">
      <c r="B349" s="98"/>
      <c r="C349" s="97"/>
      <c r="D349" s="97"/>
      <c r="E349" s="97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</row>
    <row r="350" spans="2:19" ht="16" customHeight="1" x14ac:dyDescent="0.3">
      <c r="B350" s="98"/>
      <c r="C350" s="97"/>
      <c r="D350" s="97"/>
      <c r="E350" s="97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</row>
    <row r="351" spans="2:19" ht="16" customHeight="1" x14ac:dyDescent="0.3">
      <c r="B351" s="98"/>
      <c r="C351" s="97"/>
      <c r="D351" s="97"/>
      <c r="E351" s="97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</row>
  </sheetData>
  <mergeCells count="1">
    <mergeCell ref="B8:C8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47EC-FADB-4444-801B-C5E39105CC2A}">
  <dimension ref="B3:T50"/>
  <sheetViews>
    <sheetView showGridLines="0" zoomScale="90" zoomScaleNormal="90" workbookViewId="0">
      <pane xSplit="3" ySplit="9" topLeftCell="D10" activePane="bottomRight" state="frozen"/>
      <selection pane="topRight" activeCell="D1" sqref="D1"/>
      <selection pane="bottomLeft" activeCell="A8" sqref="A8"/>
      <selection pane="bottomRight" activeCell="B4" sqref="B4:C4"/>
    </sheetView>
  </sheetViews>
  <sheetFormatPr defaultColWidth="9.1796875" defaultRowHeight="16" customHeight="1" x14ac:dyDescent="0.35"/>
  <cols>
    <col min="1" max="1" width="1.81640625" style="1" customWidth="1"/>
    <col min="2" max="2" width="10.7265625" style="1" customWidth="1"/>
    <col min="3" max="3" width="50.7265625" style="1" customWidth="1"/>
    <col min="4" max="26" width="14.7265625" style="1" customWidth="1"/>
    <col min="27" max="16384" width="9.1796875" style="1"/>
  </cols>
  <sheetData>
    <row r="3" spans="2:20" ht="16" customHeight="1" x14ac:dyDescent="0.35">
      <c r="B3" s="2" t="s">
        <v>1581</v>
      </c>
    </row>
    <row r="4" spans="2:20" ht="16" customHeight="1" x14ac:dyDescent="0.35">
      <c r="B4" s="88" t="s">
        <v>270</v>
      </c>
      <c r="C4" s="88"/>
    </row>
    <row r="5" spans="2:20" ht="16" customHeight="1" x14ac:dyDescent="0.35">
      <c r="B5" s="89" t="s">
        <v>1016</v>
      </c>
    </row>
    <row r="6" spans="2:20" ht="16" customHeight="1" x14ac:dyDescent="0.35">
      <c r="B6" s="104">
        <v>46194.598706273151</v>
      </c>
      <c r="C6" s="104"/>
    </row>
    <row r="7" spans="2:20" ht="16" customHeight="1" x14ac:dyDescent="0.35">
      <c r="B7" s="89"/>
    </row>
    <row r="8" spans="2:20" ht="39.5" thickBot="1" x14ac:dyDescent="0.5">
      <c r="B8" s="7"/>
      <c r="C8" s="28"/>
      <c r="D8" s="8" t="s">
        <v>1582</v>
      </c>
      <c r="E8" s="8" t="s">
        <v>1583</v>
      </c>
      <c r="F8" s="8" t="s">
        <v>1584</v>
      </c>
      <c r="G8" s="8" t="s">
        <v>1585</v>
      </c>
      <c r="H8" s="8" t="s">
        <v>1586</v>
      </c>
      <c r="I8" s="8" t="s">
        <v>1587</v>
      </c>
      <c r="J8" s="8" t="s">
        <v>1588</v>
      </c>
      <c r="K8" s="8" t="s">
        <v>1589</v>
      </c>
      <c r="L8" s="8" t="s">
        <v>1590</v>
      </c>
      <c r="M8" s="8" t="s">
        <v>1591</v>
      </c>
      <c r="N8" s="21" t="s">
        <v>1017</v>
      </c>
      <c r="O8" s="9"/>
      <c r="P8" s="9"/>
      <c r="Q8" s="9"/>
      <c r="R8" s="9"/>
      <c r="S8" s="9"/>
      <c r="T8" s="9"/>
    </row>
    <row r="9" spans="2:20" ht="16" customHeight="1" thickBot="1" x14ac:dyDescent="0.5">
      <c r="B9" s="28"/>
      <c r="C9" s="28"/>
      <c r="D9" s="8" t="s">
        <v>1592</v>
      </c>
      <c r="E9" s="8" t="s">
        <v>1593</v>
      </c>
      <c r="F9" s="8" t="s">
        <v>1594</v>
      </c>
      <c r="G9" s="8" t="s">
        <v>1595</v>
      </c>
      <c r="H9" s="8" t="s">
        <v>1596</v>
      </c>
      <c r="I9" s="8" t="s">
        <v>1597</v>
      </c>
      <c r="J9" s="8" t="s">
        <v>1598</v>
      </c>
      <c r="K9" s="8" t="s">
        <v>1599</v>
      </c>
      <c r="L9" s="8" t="s">
        <v>1600</v>
      </c>
      <c r="M9" s="8" t="s">
        <v>1601</v>
      </c>
      <c r="N9" s="21"/>
      <c r="O9" s="9"/>
      <c r="P9" s="9"/>
      <c r="Q9" s="9"/>
      <c r="R9" s="9"/>
      <c r="S9" s="9"/>
      <c r="T9" s="9"/>
    </row>
    <row r="10" spans="2:20" ht="16" customHeight="1" x14ac:dyDescent="0.45">
      <c r="B10" s="11"/>
      <c r="C10" s="11"/>
      <c r="D10" s="29"/>
      <c r="E10" s="29"/>
      <c r="F10" s="12"/>
      <c r="G10" s="12"/>
      <c r="H10" s="12"/>
      <c r="I10" s="12"/>
      <c r="J10" s="12"/>
      <c r="K10" s="12"/>
      <c r="L10" s="12"/>
      <c r="M10" s="12"/>
      <c r="N10" s="22"/>
      <c r="O10" s="13"/>
      <c r="P10" s="13"/>
      <c r="Q10" s="13"/>
      <c r="R10" s="13"/>
      <c r="S10" s="13"/>
      <c r="T10" s="13"/>
    </row>
    <row r="11" spans="2:20" ht="16" customHeight="1" x14ac:dyDescent="0.45">
      <c r="B11" s="14" t="s">
        <v>1077</v>
      </c>
      <c r="C11" s="14" t="s">
        <v>330</v>
      </c>
      <c r="D11" s="30"/>
      <c r="E11" s="30"/>
      <c r="F11" s="15">
        <v>-282132.03580999997</v>
      </c>
      <c r="G11" s="15"/>
      <c r="H11" s="15"/>
      <c r="I11" s="15"/>
      <c r="J11" s="15"/>
      <c r="K11" s="15"/>
      <c r="L11" s="15"/>
      <c r="M11" s="15"/>
      <c r="N11" s="23">
        <v>-282132.03580999997</v>
      </c>
      <c r="O11" s="13"/>
    </row>
    <row r="12" spans="2:20" ht="16" customHeight="1" x14ac:dyDescent="0.45">
      <c r="B12" s="14" t="s">
        <v>1078</v>
      </c>
      <c r="C12" s="14" t="s">
        <v>1079</v>
      </c>
      <c r="D12" s="30"/>
      <c r="E12" s="30"/>
      <c r="F12" s="15"/>
      <c r="G12" s="15"/>
      <c r="H12" s="15"/>
      <c r="I12" s="15"/>
      <c r="J12" s="15"/>
      <c r="K12" s="15"/>
      <c r="L12" s="15"/>
      <c r="M12" s="15"/>
      <c r="N12" s="23"/>
      <c r="O12" s="13"/>
    </row>
    <row r="13" spans="2:20" ht="16" customHeight="1" x14ac:dyDescent="0.45">
      <c r="B13" s="14" t="s">
        <v>1080</v>
      </c>
      <c r="C13" s="14" t="s">
        <v>1081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/>
      <c r="O13" s="13"/>
    </row>
    <row r="14" spans="2:20" ht="16" customHeight="1" x14ac:dyDescent="0.45">
      <c r="B14" s="14" t="s">
        <v>1082</v>
      </c>
      <c r="C14" s="14" t="s">
        <v>1083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23"/>
      <c r="O14" s="13"/>
    </row>
    <row r="15" spans="2:20" ht="16" customHeight="1" x14ac:dyDescent="0.45">
      <c r="B15" s="14" t="s">
        <v>1084</v>
      </c>
      <c r="C15" s="14" t="s">
        <v>1085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23"/>
      <c r="O15" s="13"/>
    </row>
    <row r="16" spans="2:20" ht="16" customHeight="1" x14ac:dyDescent="0.45">
      <c r="B16" s="14" t="s">
        <v>1086</v>
      </c>
      <c r="C16" s="14" t="s">
        <v>30</v>
      </c>
      <c r="D16" s="15">
        <v>-9891.5269100000005</v>
      </c>
      <c r="E16" s="15">
        <v>-2.6621600000000001</v>
      </c>
      <c r="F16" s="15">
        <v>-17278.844400000002</v>
      </c>
      <c r="G16" s="15">
        <v>-439.09768000000003</v>
      </c>
      <c r="H16" s="15">
        <v>-196.88855000000001</v>
      </c>
      <c r="I16" s="15">
        <v>-66.592619999999997</v>
      </c>
      <c r="J16" s="15"/>
      <c r="K16" s="15">
        <v>-19.859190000000002</v>
      </c>
      <c r="L16" s="15"/>
      <c r="M16" s="15"/>
      <c r="N16" s="23">
        <v>-27895.471509999999</v>
      </c>
      <c r="O16" s="13"/>
    </row>
    <row r="17" spans="2:15" ht="16" customHeight="1" x14ac:dyDescent="0.45">
      <c r="B17" s="14" t="s">
        <v>1087</v>
      </c>
      <c r="C17" s="14" t="s">
        <v>1088</v>
      </c>
      <c r="D17" s="15">
        <v>-450.33332000000001</v>
      </c>
      <c r="E17" s="15"/>
      <c r="F17" s="15">
        <v>-13045.43714</v>
      </c>
      <c r="G17" s="15">
        <v>-1.69909</v>
      </c>
      <c r="H17" s="15"/>
      <c r="I17" s="15">
        <v>-43.757159999999999</v>
      </c>
      <c r="J17" s="15"/>
      <c r="K17" s="15"/>
      <c r="L17" s="15"/>
      <c r="M17" s="15"/>
      <c r="N17" s="23">
        <v>-13541.226710000001</v>
      </c>
      <c r="O17" s="13"/>
    </row>
    <row r="18" spans="2:15" ht="16" customHeight="1" x14ac:dyDescent="0.35">
      <c r="B18" s="14" t="s">
        <v>1089</v>
      </c>
      <c r="C18" s="14" t="s">
        <v>1090</v>
      </c>
      <c r="D18" s="15">
        <v>-980.30588</v>
      </c>
      <c r="E18" s="15"/>
      <c r="F18" s="15">
        <v>-14491.38535</v>
      </c>
      <c r="G18" s="15">
        <v>-17.388770000000001</v>
      </c>
      <c r="H18" s="15"/>
      <c r="I18" s="15"/>
      <c r="J18" s="15"/>
      <c r="K18" s="15"/>
      <c r="L18" s="15"/>
      <c r="M18" s="15"/>
      <c r="N18" s="23">
        <v>-15489.08</v>
      </c>
    </row>
    <row r="19" spans="2:15" ht="16" customHeight="1" x14ac:dyDescent="0.35">
      <c r="B19" s="14" t="s">
        <v>1091</v>
      </c>
      <c r="C19" s="14" t="s">
        <v>1092</v>
      </c>
      <c r="D19" s="15">
        <v>-7.16106</v>
      </c>
      <c r="E19" s="15"/>
      <c r="F19" s="15">
        <v>-2.0247799999999998</v>
      </c>
      <c r="G19" s="15"/>
      <c r="H19" s="15"/>
      <c r="I19" s="15"/>
      <c r="J19" s="15"/>
      <c r="K19" s="15"/>
      <c r="L19" s="15"/>
      <c r="M19" s="15"/>
      <c r="N19" s="23">
        <v>-9.1858400000000007</v>
      </c>
    </row>
    <row r="20" spans="2:15" ht="16" customHeight="1" x14ac:dyDescent="0.35">
      <c r="B20" s="14" t="s">
        <v>1093</v>
      </c>
      <c r="C20" s="14" t="s">
        <v>1094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23"/>
    </row>
    <row r="21" spans="2:15" ht="16" customHeight="1" x14ac:dyDescent="0.35">
      <c r="B21" s="14" t="s">
        <v>1095</v>
      </c>
      <c r="C21" s="14" t="s">
        <v>1096</v>
      </c>
      <c r="D21" s="15">
        <v>-48750.488420000001</v>
      </c>
      <c r="E21" s="15"/>
      <c r="F21" s="15">
        <v>-80250.594840000005</v>
      </c>
      <c r="G21" s="15"/>
      <c r="H21" s="15"/>
      <c r="I21" s="15">
        <v>0</v>
      </c>
      <c r="J21" s="15"/>
      <c r="K21" s="15"/>
      <c r="L21" s="15"/>
      <c r="M21" s="15"/>
      <c r="N21" s="23">
        <v>-129001.08326</v>
      </c>
    </row>
    <row r="22" spans="2:15" ht="16" customHeight="1" x14ac:dyDescent="0.35">
      <c r="B22" s="14" t="s">
        <v>1097</v>
      </c>
      <c r="C22" s="14" t="s">
        <v>1098</v>
      </c>
      <c r="D22" s="15"/>
      <c r="E22" s="15"/>
      <c r="F22" s="15">
        <v>-4.09</v>
      </c>
      <c r="G22" s="15"/>
      <c r="H22" s="15"/>
      <c r="I22" s="15">
        <v>-58.765430000000002</v>
      </c>
      <c r="J22" s="15"/>
      <c r="K22" s="15"/>
      <c r="L22" s="15"/>
      <c r="M22" s="15"/>
      <c r="N22" s="23">
        <v>-62.855429999999998</v>
      </c>
    </row>
    <row r="23" spans="2:15" ht="16" customHeight="1" x14ac:dyDescent="0.35">
      <c r="B23" s="14" t="s">
        <v>1099</v>
      </c>
      <c r="C23" s="14" t="s">
        <v>1100</v>
      </c>
      <c r="D23" s="15">
        <v>-4006.9620500000001</v>
      </c>
      <c r="E23" s="15"/>
      <c r="F23" s="15">
        <v>-11205.59899</v>
      </c>
      <c r="G23" s="15"/>
      <c r="H23" s="15"/>
      <c r="I23" s="15"/>
      <c r="J23" s="15"/>
      <c r="K23" s="15"/>
      <c r="L23" s="15"/>
      <c r="M23" s="15"/>
      <c r="N23" s="23">
        <v>-15212.561040000001</v>
      </c>
    </row>
    <row r="24" spans="2:15" ht="16" customHeight="1" x14ac:dyDescent="0.35">
      <c r="B24" s="14" t="s">
        <v>1101</v>
      </c>
      <c r="C24" s="14" t="s">
        <v>1102</v>
      </c>
      <c r="D24" s="15"/>
      <c r="E24" s="15"/>
      <c r="F24" s="15">
        <v>2.2040000000000002</v>
      </c>
      <c r="G24" s="15"/>
      <c r="H24" s="15"/>
      <c r="I24" s="15"/>
      <c r="J24" s="15"/>
      <c r="K24" s="15"/>
      <c r="L24" s="15"/>
      <c r="M24" s="15"/>
      <c r="N24" s="23">
        <v>2.2040000000000002</v>
      </c>
    </row>
    <row r="25" spans="2:15" ht="16" customHeight="1" x14ac:dyDescent="0.35">
      <c r="B25" s="14" t="s">
        <v>1103</v>
      </c>
      <c r="C25" s="14" t="s">
        <v>1104</v>
      </c>
      <c r="D25" s="15">
        <v>-104774.26089999999</v>
      </c>
      <c r="E25" s="15"/>
      <c r="F25" s="15"/>
      <c r="G25" s="15"/>
      <c r="H25" s="15"/>
      <c r="I25" s="15"/>
      <c r="J25" s="15"/>
      <c r="K25" s="15"/>
      <c r="L25" s="15"/>
      <c r="M25" s="15"/>
      <c r="N25" s="23">
        <v>-104774.26089999999</v>
      </c>
    </row>
    <row r="26" spans="2:15" ht="16" customHeight="1" x14ac:dyDescent="0.35">
      <c r="B26" s="14" t="s">
        <v>1105</v>
      </c>
      <c r="C26" s="14" t="s">
        <v>1106</v>
      </c>
      <c r="D26" s="15">
        <v>-4041.5203700000002</v>
      </c>
      <c r="E26" s="15"/>
      <c r="F26" s="15">
        <v>-31187.5281</v>
      </c>
      <c r="G26" s="15"/>
      <c r="H26" s="15"/>
      <c r="I26" s="15"/>
      <c r="J26" s="15"/>
      <c r="K26" s="15"/>
      <c r="L26" s="15"/>
      <c r="M26" s="15"/>
      <c r="N26" s="23">
        <v>-35229.048470000002</v>
      </c>
    </row>
    <row r="27" spans="2:15" ht="16" customHeight="1" x14ac:dyDescent="0.35">
      <c r="B27" s="14" t="s">
        <v>1107</v>
      </c>
      <c r="C27" s="14" t="s">
        <v>1108</v>
      </c>
      <c r="D27" s="15"/>
      <c r="E27" s="15"/>
      <c r="F27" s="15">
        <v>-10681.8966</v>
      </c>
      <c r="G27" s="15"/>
      <c r="H27" s="15"/>
      <c r="I27" s="15"/>
      <c r="J27" s="15"/>
      <c r="K27" s="15"/>
      <c r="L27" s="15"/>
      <c r="M27" s="15"/>
      <c r="N27" s="23">
        <v>-10681.8966</v>
      </c>
    </row>
    <row r="28" spans="2:15" ht="16" customHeight="1" x14ac:dyDescent="0.35">
      <c r="B28" s="14" t="s">
        <v>1109</v>
      </c>
      <c r="C28" s="14" t="s">
        <v>1110</v>
      </c>
      <c r="D28" s="15"/>
      <c r="E28" s="15"/>
      <c r="F28" s="15"/>
      <c r="G28" s="15"/>
      <c r="H28" s="15">
        <v>-1332.93453</v>
      </c>
      <c r="I28" s="15"/>
      <c r="J28" s="15"/>
      <c r="K28" s="15"/>
      <c r="L28" s="15"/>
      <c r="M28" s="15"/>
      <c r="N28" s="23">
        <v>-1332.93453</v>
      </c>
    </row>
    <row r="29" spans="2:15" ht="16" customHeight="1" x14ac:dyDescent="0.35">
      <c r="B29" s="16" t="s">
        <v>1602</v>
      </c>
      <c r="C29" s="105"/>
      <c r="D29" s="17">
        <f t="shared" ref="D29:N29" si="0">SUBTOTAL(109, D11:D28)</f>
        <v>-172902.55890999999</v>
      </c>
      <c r="E29" s="17">
        <f t="shared" si="0"/>
        <v>-2.6621600000000001</v>
      </c>
      <c r="F29" s="17">
        <f t="shared" si="0"/>
        <v>-460277.23200999992</v>
      </c>
      <c r="G29" s="17">
        <f t="shared" si="0"/>
        <v>-458.18554000000006</v>
      </c>
      <c r="H29" s="17">
        <f t="shared" si="0"/>
        <v>-1529.8230800000001</v>
      </c>
      <c r="I29" s="17">
        <f t="shared" si="0"/>
        <v>-169.11520999999999</v>
      </c>
      <c r="J29" s="17">
        <f t="shared" si="0"/>
        <v>0</v>
      </c>
      <c r="K29" s="17">
        <f t="shared" si="0"/>
        <v>-19.859190000000002</v>
      </c>
      <c r="L29" s="17">
        <f t="shared" si="0"/>
        <v>0</v>
      </c>
      <c r="M29" s="17">
        <f t="shared" si="0"/>
        <v>0</v>
      </c>
      <c r="N29" s="24">
        <f t="shared" si="0"/>
        <v>-635359.43609999993</v>
      </c>
    </row>
    <row r="30" spans="2:15" ht="16" customHeight="1" x14ac:dyDescent="0.35">
      <c r="B30" s="11"/>
      <c r="C30" s="10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22"/>
    </row>
    <row r="31" spans="2:15" ht="16" customHeight="1" x14ac:dyDescent="0.35">
      <c r="B31" s="14" t="s">
        <v>1111</v>
      </c>
      <c r="C31" s="14" t="s">
        <v>1112</v>
      </c>
      <c r="D31" s="15"/>
      <c r="E31" s="15"/>
      <c r="F31" s="15">
        <v>-841.75337999999999</v>
      </c>
      <c r="G31" s="15"/>
      <c r="H31" s="15"/>
      <c r="I31" s="15"/>
      <c r="J31" s="15"/>
      <c r="K31" s="15"/>
      <c r="L31" s="15"/>
      <c r="M31" s="15"/>
      <c r="N31" s="23">
        <v>-841.75337999999999</v>
      </c>
    </row>
    <row r="32" spans="2:15" ht="16" customHeight="1" x14ac:dyDescent="0.35">
      <c r="B32" s="14" t="s">
        <v>1113</v>
      </c>
      <c r="C32" s="14" t="s">
        <v>1114</v>
      </c>
      <c r="D32" s="15">
        <v>-8799.7422800000004</v>
      </c>
      <c r="E32" s="15"/>
      <c r="F32" s="15">
        <v>-34707.464540000001</v>
      </c>
      <c r="G32" s="15"/>
      <c r="H32" s="15"/>
      <c r="I32" s="15"/>
      <c r="J32" s="15"/>
      <c r="K32" s="15"/>
      <c r="L32" s="15"/>
      <c r="M32" s="15"/>
      <c r="N32" s="23">
        <v>-43507.206819999999</v>
      </c>
    </row>
    <row r="33" spans="2:14" ht="16" customHeight="1" x14ac:dyDescent="0.35">
      <c r="B33" s="14" t="s">
        <v>1115</v>
      </c>
      <c r="C33" s="14" t="s">
        <v>1116</v>
      </c>
      <c r="D33" s="15">
        <v>-9677.7100200000004</v>
      </c>
      <c r="E33" s="15">
        <v>-1102.6183100000001</v>
      </c>
      <c r="F33" s="15">
        <v>-27584.172180000001</v>
      </c>
      <c r="G33" s="15">
        <v>-20292.5969</v>
      </c>
      <c r="H33" s="15">
        <v>-12199.79243</v>
      </c>
      <c r="I33" s="15">
        <v>-10301.404259999999</v>
      </c>
      <c r="J33" s="15">
        <v>-3073.51071</v>
      </c>
      <c r="K33" s="15">
        <v>-3418.8511100000001</v>
      </c>
      <c r="L33" s="15">
        <v>-153.18257</v>
      </c>
      <c r="M33" s="15">
        <v>-909.66584999999998</v>
      </c>
      <c r="N33" s="23">
        <v>-88713.50434</v>
      </c>
    </row>
    <row r="34" spans="2:14" ht="16" customHeight="1" x14ac:dyDescent="0.35">
      <c r="B34" s="14" t="s">
        <v>1117</v>
      </c>
      <c r="C34" s="14" t="s">
        <v>1118</v>
      </c>
      <c r="D34" s="15"/>
      <c r="E34" s="15"/>
      <c r="F34" s="15">
        <v>-302.01022</v>
      </c>
      <c r="G34" s="15"/>
      <c r="H34" s="15"/>
      <c r="I34" s="15">
        <v>-43.74091</v>
      </c>
      <c r="J34" s="15">
        <v>-1.1799900000000001</v>
      </c>
      <c r="K34" s="15"/>
      <c r="L34" s="15"/>
      <c r="M34" s="15"/>
      <c r="N34" s="23">
        <v>-346.93112000000002</v>
      </c>
    </row>
    <row r="35" spans="2:14" ht="16" customHeight="1" x14ac:dyDescent="0.35">
      <c r="B35" s="14" t="s">
        <v>1119</v>
      </c>
      <c r="C35" s="14" t="s">
        <v>1120</v>
      </c>
      <c r="D35" s="15"/>
      <c r="E35" s="15"/>
      <c r="F35" s="15">
        <v>8.8781199999999991</v>
      </c>
      <c r="G35" s="15"/>
      <c r="H35" s="15"/>
      <c r="I35" s="15"/>
      <c r="J35" s="15"/>
      <c r="K35" s="15"/>
      <c r="L35" s="15"/>
      <c r="M35" s="15"/>
      <c r="N35" s="23">
        <v>8.8781199999999991</v>
      </c>
    </row>
    <row r="36" spans="2:14" ht="16" customHeight="1" x14ac:dyDescent="0.35">
      <c r="B36" s="14" t="s">
        <v>1121</v>
      </c>
      <c r="C36" s="14" t="s">
        <v>1122</v>
      </c>
      <c r="D36" s="15"/>
      <c r="E36" s="15"/>
      <c r="F36" s="15">
        <v>-16.251529999999999</v>
      </c>
      <c r="G36" s="15"/>
      <c r="H36" s="15"/>
      <c r="I36" s="15"/>
      <c r="J36" s="15"/>
      <c r="K36" s="15"/>
      <c r="L36" s="15"/>
      <c r="M36" s="15"/>
      <c r="N36" s="23">
        <v>-16.251529999999999</v>
      </c>
    </row>
    <row r="37" spans="2:14" ht="16" customHeight="1" x14ac:dyDescent="0.35">
      <c r="B37" s="14" t="s">
        <v>1123</v>
      </c>
      <c r="C37" s="14" t="s">
        <v>1124</v>
      </c>
      <c r="D37" s="15">
        <v>-839.78039000000001</v>
      </c>
      <c r="E37" s="15">
        <v>-49.330370000000002</v>
      </c>
      <c r="F37" s="15">
        <v>-2381.78116</v>
      </c>
      <c r="G37" s="15">
        <v>-948.70288000000005</v>
      </c>
      <c r="H37" s="15">
        <v>-987.41814999999997</v>
      </c>
      <c r="I37" s="15">
        <v>-2931.4732199999999</v>
      </c>
      <c r="J37" s="15">
        <v>-147.75423000000001</v>
      </c>
      <c r="K37" s="15">
        <v>-495.64882</v>
      </c>
      <c r="L37" s="15">
        <v>-27.298749999999998</v>
      </c>
      <c r="M37" s="15">
        <v>-156.95461</v>
      </c>
      <c r="N37" s="23">
        <v>-8966.1425799999997</v>
      </c>
    </row>
    <row r="38" spans="2:14" ht="16" customHeight="1" x14ac:dyDescent="0.35">
      <c r="B38" s="14" t="s">
        <v>1125</v>
      </c>
      <c r="C38" s="14" t="s">
        <v>80</v>
      </c>
      <c r="D38" s="15">
        <v>-16052.93903</v>
      </c>
      <c r="E38" s="15">
        <v>-4.6722799999999998</v>
      </c>
      <c r="F38" s="15">
        <v>-33622.836940000001</v>
      </c>
      <c r="G38" s="15">
        <v>-2414.32321</v>
      </c>
      <c r="H38" s="15">
        <v>-233.79839000000001</v>
      </c>
      <c r="I38" s="15">
        <v>-631.66006000000004</v>
      </c>
      <c r="J38" s="15">
        <v>-200.16900999999999</v>
      </c>
      <c r="K38" s="15">
        <v>-301.99779000000001</v>
      </c>
      <c r="L38" s="15">
        <v>-15.58278</v>
      </c>
      <c r="M38" s="15"/>
      <c r="N38" s="23">
        <v>-53477.979489999998</v>
      </c>
    </row>
    <row r="39" spans="2:14" ht="16" customHeight="1" x14ac:dyDescent="0.35">
      <c r="B39" s="14" t="s">
        <v>1126</v>
      </c>
      <c r="C39" s="14" t="s">
        <v>762</v>
      </c>
      <c r="D39" s="15">
        <v>-5523.8597099999997</v>
      </c>
      <c r="E39" s="15"/>
      <c r="F39" s="15">
        <v>-12907.63465</v>
      </c>
      <c r="G39" s="15">
        <v>-293.67919000000001</v>
      </c>
      <c r="H39" s="15">
        <v>-249.98768000000001</v>
      </c>
      <c r="I39" s="15">
        <v>-1295.24207</v>
      </c>
      <c r="J39" s="15"/>
      <c r="K39" s="15">
        <v>-4.8030999999999997</v>
      </c>
      <c r="L39" s="15"/>
      <c r="M39" s="15"/>
      <c r="N39" s="23">
        <v>-20275.206399999999</v>
      </c>
    </row>
    <row r="40" spans="2:14" ht="16" customHeight="1" x14ac:dyDescent="0.35">
      <c r="B40" s="14" t="s">
        <v>1127</v>
      </c>
      <c r="C40" s="14" t="s">
        <v>1128</v>
      </c>
      <c r="D40" s="15">
        <v>-4085.2233999999999</v>
      </c>
      <c r="E40" s="15"/>
      <c r="F40" s="15">
        <v>-19409.766029999999</v>
      </c>
      <c r="G40" s="15"/>
      <c r="H40" s="15"/>
      <c r="I40" s="15"/>
      <c r="J40" s="15"/>
      <c r="K40" s="15"/>
      <c r="L40" s="15"/>
      <c r="M40" s="15"/>
      <c r="N40" s="23">
        <v>-23494.989430000001</v>
      </c>
    </row>
    <row r="41" spans="2:14" ht="16" customHeight="1" x14ac:dyDescent="0.35">
      <c r="B41" s="14" t="s">
        <v>1129</v>
      </c>
      <c r="C41" s="14" t="s">
        <v>1130</v>
      </c>
      <c r="D41" s="15">
        <v>-7446.9831000000004</v>
      </c>
      <c r="E41" s="15">
        <v>-44.881839999999997</v>
      </c>
      <c r="F41" s="15">
        <v>-22805.62527</v>
      </c>
      <c r="G41" s="15">
        <v>-909.33235999999999</v>
      </c>
      <c r="H41" s="15">
        <v>-2250.6657599999999</v>
      </c>
      <c r="I41" s="15">
        <v>-7478.0508099999997</v>
      </c>
      <c r="J41" s="15">
        <v>-1208.10598</v>
      </c>
      <c r="K41" s="15">
        <v>-4872.3663299999998</v>
      </c>
      <c r="L41" s="15">
        <v>-6215.0882700000002</v>
      </c>
      <c r="M41" s="15">
        <v>-237.53880000000001</v>
      </c>
      <c r="N41" s="23">
        <v>-53468.63852</v>
      </c>
    </row>
    <row r="42" spans="2:14" ht="16" customHeight="1" x14ac:dyDescent="0.35">
      <c r="B42" s="14" t="s">
        <v>1131</v>
      </c>
      <c r="C42" s="14" t="s">
        <v>1132</v>
      </c>
      <c r="D42" s="15">
        <v>1152.12474</v>
      </c>
      <c r="E42" s="15"/>
      <c r="F42" s="15">
        <v>195.42394999999999</v>
      </c>
      <c r="G42" s="15">
        <v>3.1278899999999998</v>
      </c>
      <c r="H42" s="15">
        <v>-8.9990000000000001E-2</v>
      </c>
      <c r="I42" s="15">
        <v>196.85825</v>
      </c>
      <c r="J42" s="15">
        <v>41.835120000000003</v>
      </c>
      <c r="K42" s="15">
        <v>1979.1035199999999</v>
      </c>
      <c r="L42" s="15"/>
      <c r="M42" s="15"/>
      <c r="N42" s="23">
        <v>3568.38348</v>
      </c>
    </row>
    <row r="43" spans="2:14" ht="16" customHeight="1" x14ac:dyDescent="0.35">
      <c r="B43" s="14" t="s">
        <v>1133</v>
      </c>
      <c r="C43" s="14" t="s">
        <v>1134</v>
      </c>
      <c r="D43" s="15"/>
      <c r="E43" s="15"/>
      <c r="F43" s="15">
        <v>626.36491000000001</v>
      </c>
      <c r="G43" s="15"/>
      <c r="H43" s="15"/>
      <c r="I43" s="15">
        <v>43.563000000000002</v>
      </c>
      <c r="J43" s="15"/>
      <c r="K43" s="15"/>
      <c r="L43" s="15"/>
      <c r="M43" s="15"/>
      <c r="N43" s="23">
        <v>669.92791</v>
      </c>
    </row>
    <row r="44" spans="2:14" ht="16" customHeight="1" x14ac:dyDescent="0.35">
      <c r="B44" s="14" t="s">
        <v>1135</v>
      </c>
      <c r="C44" s="14" t="s">
        <v>1136</v>
      </c>
      <c r="D44" s="15">
        <v>4.9016999999999999</v>
      </c>
      <c r="E44" s="15"/>
      <c r="F44" s="15">
        <v>-59.165030000000002</v>
      </c>
      <c r="G44" s="15"/>
      <c r="H44" s="15"/>
      <c r="I44" s="15"/>
      <c r="J44" s="15"/>
      <c r="K44" s="15"/>
      <c r="L44" s="15"/>
      <c r="M44" s="15"/>
      <c r="N44" s="23">
        <v>-54.263330000000003</v>
      </c>
    </row>
    <row r="45" spans="2:14" ht="16" customHeight="1" x14ac:dyDescent="0.35">
      <c r="B45" s="14" t="s">
        <v>1137</v>
      </c>
      <c r="C45" s="14" t="s">
        <v>88</v>
      </c>
      <c r="D45" s="15">
        <v>285.94369</v>
      </c>
      <c r="E45" s="15"/>
      <c r="F45" s="15">
        <v>2160.0612500000002</v>
      </c>
      <c r="G45" s="15"/>
      <c r="H45" s="15"/>
      <c r="I45" s="15">
        <v>-95.397540000000006</v>
      </c>
      <c r="J45" s="15"/>
      <c r="K45" s="15"/>
      <c r="L45" s="15"/>
      <c r="M45" s="15"/>
      <c r="N45" s="23">
        <v>2350.6073999999999</v>
      </c>
    </row>
    <row r="46" spans="2:14" ht="16" customHeight="1" x14ac:dyDescent="0.35">
      <c r="B46" s="14" t="s">
        <v>1138</v>
      </c>
      <c r="C46" s="14" t="s">
        <v>64</v>
      </c>
      <c r="D46" s="15"/>
      <c r="E46" s="15"/>
      <c r="F46" s="15">
        <v>-154.20959999999999</v>
      </c>
      <c r="G46" s="15"/>
      <c r="H46" s="15"/>
      <c r="I46" s="15"/>
      <c r="J46" s="15"/>
      <c r="K46" s="15"/>
      <c r="L46" s="15"/>
      <c r="M46" s="15"/>
      <c r="N46" s="23">
        <v>-154.20959999999999</v>
      </c>
    </row>
    <row r="47" spans="2:14" ht="16" customHeight="1" x14ac:dyDescent="0.35">
      <c r="B47" s="14" t="s">
        <v>121</v>
      </c>
      <c r="C47" s="4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23"/>
    </row>
    <row r="48" spans="2:14" ht="16" customHeight="1" x14ac:dyDescent="0.35">
      <c r="B48" s="16" t="s">
        <v>1603</v>
      </c>
      <c r="C48" s="105"/>
      <c r="D48" s="17">
        <f t="shared" ref="D48:N48" si="1">SUBTOTAL(109, D31:D47)</f>
        <v>-50983.267799999994</v>
      </c>
      <c r="E48" s="17">
        <f t="shared" si="1"/>
        <v>-1201.5028</v>
      </c>
      <c r="F48" s="17">
        <f t="shared" si="1"/>
        <v>-151801.9423</v>
      </c>
      <c r="G48" s="17">
        <f t="shared" si="1"/>
        <v>-24855.506649999999</v>
      </c>
      <c r="H48" s="17">
        <f t="shared" si="1"/>
        <v>-15921.752399999999</v>
      </c>
      <c r="I48" s="17">
        <f t="shared" si="1"/>
        <v>-22536.547620000001</v>
      </c>
      <c r="J48" s="17">
        <f t="shared" si="1"/>
        <v>-4588.8848000000007</v>
      </c>
      <c r="K48" s="17">
        <f t="shared" si="1"/>
        <v>-7114.5636300000015</v>
      </c>
      <c r="L48" s="17">
        <f t="shared" si="1"/>
        <v>-6411.1523699999998</v>
      </c>
      <c r="M48" s="17">
        <f t="shared" si="1"/>
        <v>-1304.1592600000001</v>
      </c>
      <c r="N48" s="24">
        <f t="shared" si="1"/>
        <v>-286719.27962999995</v>
      </c>
    </row>
    <row r="49" spans="2:14" ht="16" customHeight="1" x14ac:dyDescent="0.35">
      <c r="B49" s="11"/>
      <c r="C49" s="10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22"/>
    </row>
    <row r="50" spans="2:14" ht="16" customHeight="1" x14ac:dyDescent="0.35">
      <c r="B50" s="16" t="s">
        <v>1604</v>
      </c>
      <c r="C50" s="105"/>
      <c r="D50" s="17">
        <f t="shared" ref="D50:N50" si="2">SUM(D29, D48)</f>
        <v>-223885.82670999999</v>
      </c>
      <c r="E50" s="17">
        <f t="shared" si="2"/>
        <v>-1204.1649600000001</v>
      </c>
      <c r="F50" s="17">
        <f t="shared" si="2"/>
        <v>-612079.17430999991</v>
      </c>
      <c r="G50" s="17">
        <f t="shared" si="2"/>
        <v>-25313.692189999998</v>
      </c>
      <c r="H50" s="17">
        <f t="shared" si="2"/>
        <v>-17451.57548</v>
      </c>
      <c r="I50" s="17">
        <f t="shared" si="2"/>
        <v>-22705.662830000001</v>
      </c>
      <c r="J50" s="17">
        <f t="shared" si="2"/>
        <v>-4588.8848000000007</v>
      </c>
      <c r="K50" s="17">
        <f t="shared" si="2"/>
        <v>-7134.4228200000016</v>
      </c>
      <c r="L50" s="17">
        <f t="shared" si="2"/>
        <v>-6411.1523699999998</v>
      </c>
      <c r="M50" s="17">
        <f t="shared" si="2"/>
        <v>-1304.1592600000001</v>
      </c>
      <c r="N50" s="24">
        <f t="shared" si="2"/>
        <v>-922078.71572999982</v>
      </c>
    </row>
  </sheetData>
  <mergeCells count="2">
    <mergeCell ref="B4:C4"/>
    <mergeCell ref="B6:C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F3E0-A76A-4B66-97C2-A343AF4FE285}">
  <dimension ref="B3:T50"/>
  <sheetViews>
    <sheetView showGridLines="0" tabSelected="1" zoomScale="90" zoomScaleNormal="90" workbookViewId="0">
      <pane xSplit="3" ySplit="9" topLeftCell="D10" activePane="bottomRight" state="frozen"/>
      <selection pane="topRight" activeCell="D1" sqref="D1"/>
      <selection pane="bottomLeft" activeCell="A8" sqref="A8"/>
      <selection pane="bottomRight" activeCell="B4" sqref="B4:C4"/>
    </sheetView>
  </sheetViews>
  <sheetFormatPr defaultColWidth="9.1796875" defaultRowHeight="16" customHeight="1" x14ac:dyDescent="0.35"/>
  <cols>
    <col min="1" max="1" width="2.7265625" style="1" customWidth="1"/>
    <col min="2" max="2" width="10.7265625" style="1" customWidth="1"/>
    <col min="3" max="3" width="50.7265625" style="1" customWidth="1"/>
    <col min="4" max="26" width="14.7265625" style="1" customWidth="1"/>
    <col min="27" max="16384" width="9.1796875" style="1"/>
  </cols>
  <sheetData>
    <row r="3" spans="2:20" ht="16" customHeight="1" x14ac:dyDescent="0.35">
      <c r="B3" s="2" t="s">
        <v>1581</v>
      </c>
    </row>
    <row r="4" spans="2:20" ht="16" customHeight="1" x14ac:dyDescent="0.35">
      <c r="B4" s="88" t="s">
        <v>270</v>
      </c>
      <c r="C4" s="88"/>
    </row>
    <row r="5" spans="2:20" ht="16" customHeight="1" x14ac:dyDescent="0.35">
      <c r="B5" s="89" t="s">
        <v>1016</v>
      </c>
    </row>
    <row r="6" spans="2:20" ht="16" customHeight="1" x14ac:dyDescent="0.35">
      <c r="B6" s="104">
        <v>46194.598706273151</v>
      </c>
      <c r="C6" s="104"/>
    </row>
    <row r="7" spans="2:20" ht="16" customHeight="1" x14ac:dyDescent="0.35">
      <c r="B7" s="89"/>
    </row>
    <row r="8" spans="2:20" ht="39.5" thickBot="1" x14ac:dyDescent="0.5">
      <c r="B8" s="7"/>
      <c r="C8" s="28"/>
      <c r="D8" s="8" t="s">
        <v>1582</v>
      </c>
      <c r="E8" s="8" t="s">
        <v>1583</v>
      </c>
      <c r="F8" s="8" t="s">
        <v>1584</v>
      </c>
      <c r="G8" s="8" t="s">
        <v>1585</v>
      </c>
      <c r="H8" s="8" t="s">
        <v>1586</v>
      </c>
      <c r="I8" s="8" t="s">
        <v>1587</v>
      </c>
      <c r="J8" s="8" t="s">
        <v>1588</v>
      </c>
      <c r="K8" s="8" t="s">
        <v>1589</v>
      </c>
      <c r="L8" s="8" t="s">
        <v>1590</v>
      </c>
      <c r="M8" s="8" t="s">
        <v>1591</v>
      </c>
      <c r="N8" s="21" t="s">
        <v>1017</v>
      </c>
      <c r="O8" s="9"/>
      <c r="P8" s="9"/>
      <c r="Q8" s="9"/>
      <c r="R8" s="9"/>
      <c r="S8" s="9"/>
      <c r="T8" s="9"/>
    </row>
    <row r="9" spans="2:20" ht="16" customHeight="1" thickBot="1" x14ac:dyDescent="0.5">
      <c r="B9" s="28"/>
      <c r="C9" s="28"/>
      <c r="D9" s="8" t="s">
        <v>1592</v>
      </c>
      <c r="E9" s="8" t="s">
        <v>1593</v>
      </c>
      <c r="F9" s="8" t="s">
        <v>1594</v>
      </c>
      <c r="G9" s="8" t="s">
        <v>1595</v>
      </c>
      <c r="H9" s="8" t="s">
        <v>1596</v>
      </c>
      <c r="I9" s="8" t="s">
        <v>1597</v>
      </c>
      <c r="J9" s="8" t="s">
        <v>1598</v>
      </c>
      <c r="K9" s="8" t="s">
        <v>1599</v>
      </c>
      <c r="L9" s="8" t="s">
        <v>1600</v>
      </c>
      <c r="M9" s="8" t="s">
        <v>1601</v>
      </c>
      <c r="N9" s="21"/>
      <c r="O9" s="9"/>
      <c r="P9" s="9"/>
      <c r="Q9" s="9"/>
      <c r="R9" s="9"/>
      <c r="S9" s="9"/>
      <c r="T9" s="9"/>
    </row>
    <row r="10" spans="2:20" ht="16" customHeight="1" x14ac:dyDescent="0.45">
      <c r="B10" s="11"/>
      <c r="C10" s="11"/>
      <c r="D10" s="29"/>
      <c r="E10" s="29"/>
      <c r="F10" s="12"/>
      <c r="G10" s="12"/>
      <c r="H10" s="12"/>
      <c r="I10" s="12"/>
      <c r="J10" s="12"/>
      <c r="K10" s="12"/>
      <c r="L10" s="12"/>
      <c r="M10" s="12"/>
      <c r="N10" s="22"/>
      <c r="O10" s="13"/>
      <c r="P10" s="13"/>
      <c r="Q10" s="13"/>
      <c r="R10" s="13"/>
      <c r="S10" s="13"/>
      <c r="T10" s="13"/>
    </row>
    <row r="11" spans="2:20" ht="16" customHeight="1" x14ac:dyDescent="0.45">
      <c r="B11" s="14" t="s">
        <v>1077</v>
      </c>
      <c r="C11" s="14" t="s">
        <v>330</v>
      </c>
      <c r="D11" s="30"/>
      <c r="E11" s="30"/>
      <c r="F11" s="15">
        <v>-81173.47464</v>
      </c>
      <c r="G11" s="15"/>
      <c r="H11" s="15"/>
      <c r="I11" s="15"/>
      <c r="J11" s="15"/>
      <c r="K11" s="15"/>
      <c r="L11" s="15"/>
      <c r="M11" s="15"/>
      <c r="N11" s="23">
        <v>-81173.47464</v>
      </c>
      <c r="O11" s="13"/>
    </row>
    <row r="12" spans="2:20" ht="16" customHeight="1" x14ac:dyDescent="0.45">
      <c r="B12" s="14" t="s">
        <v>1078</v>
      </c>
      <c r="C12" s="14" t="s">
        <v>1079</v>
      </c>
      <c r="D12" s="30"/>
      <c r="E12" s="30"/>
      <c r="F12" s="15"/>
      <c r="G12" s="15"/>
      <c r="H12" s="15"/>
      <c r="I12" s="15"/>
      <c r="J12" s="15"/>
      <c r="K12" s="15"/>
      <c r="L12" s="15"/>
      <c r="M12" s="15"/>
      <c r="N12" s="23"/>
      <c r="O12" s="13"/>
    </row>
    <row r="13" spans="2:20" ht="16" customHeight="1" x14ac:dyDescent="0.45">
      <c r="B13" s="14" t="s">
        <v>1080</v>
      </c>
      <c r="C13" s="14" t="s">
        <v>1081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23"/>
      <c r="O13" s="13"/>
    </row>
    <row r="14" spans="2:20" ht="16" customHeight="1" x14ac:dyDescent="0.45">
      <c r="B14" s="14" t="s">
        <v>1082</v>
      </c>
      <c r="C14" s="14" t="s">
        <v>1083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23"/>
      <c r="O14" s="13"/>
    </row>
    <row r="15" spans="2:20" ht="16" customHeight="1" x14ac:dyDescent="0.45">
      <c r="B15" s="14" t="s">
        <v>1084</v>
      </c>
      <c r="C15" s="14" t="s">
        <v>1085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23"/>
      <c r="O15" s="13"/>
    </row>
    <row r="16" spans="2:20" ht="16" customHeight="1" x14ac:dyDescent="0.45">
      <c r="B16" s="14" t="s">
        <v>1086</v>
      </c>
      <c r="C16" s="14" t="s">
        <v>30</v>
      </c>
      <c r="D16" s="15">
        <v>-2431.9759800000002</v>
      </c>
      <c r="E16" s="15">
        <v>-0.72970000000000002</v>
      </c>
      <c r="F16" s="15">
        <v>-4509.6955699999999</v>
      </c>
      <c r="G16" s="15">
        <v>-99.90016</v>
      </c>
      <c r="H16" s="15">
        <v>-43.575409999999998</v>
      </c>
      <c r="I16" s="15">
        <v>-11.287269999999999</v>
      </c>
      <c r="J16" s="15"/>
      <c r="K16" s="15">
        <v>-4.8199199999999998</v>
      </c>
      <c r="L16" s="15"/>
      <c r="M16" s="15"/>
      <c r="N16" s="23">
        <v>-7101.9840100000001</v>
      </c>
      <c r="O16" s="13"/>
    </row>
    <row r="17" spans="2:15" ht="16" customHeight="1" x14ac:dyDescent="0.45">
      <c r="B17" s="14" t="s">
        <v>1087</v>
      </c>
      <c r="C17" s="14" t="s">
        <v>1088</v>
      </c>
      <c r="D17" s="15">
        <v>-98.334509999999995</v>
      </c>
      <c r="E17" s="15"/>
      <c r="F17" s="15">
        <v>-3009.8959199999999</v>
      </c>
      <c r="G17" s="15">
        <v>-0.20480999999999999</v>
      </c>
      <c r="H17" s="15"/>
      <c r="I17" s="15">
        <v>-6.5651299999999999</v>
      </c>
      <c r="J17" s="15"/>
      <c r="K17" s="15"/>
      <c r="L17" s="15"/>
      <c r="M17" s="15"/>
      <c r="N17" s="23">
        <v>-3115.0003700000002</v>
      </c>
      <c r="O17" s="13"/>
    </row>
    <row r="18" spans="2:15" ht="16" customHeight="1" x14ac:dyDescent="0.35">
      <c r="B18" s="14" t="s">
        <v>1089</v>
      </c>
      <c r="C18" s="14" t="s">
        <v>1090</v>
      </c>
      <c r="D18" s="15">
        <v>-276.72030999999998</v>
      </c>
      <c r="E18" s="15"/>
      <c r="F18" s="15">
        <v>-3687.8940400000001</v>
      </c>
      <c r="G18" s="15">
        <v>-0.85611999999999999</v>
      </c>
      <c r="H18" s="15"/>
      <c r="I18" s="15"/>
      <c r="J18" s="15"/>
      <c r="K18" s="15"/>
      <c r="L18" s="15"/>
      <c r="M18" s="15"/>
      <c r="N18" s="23">
        <v>-3965.4704700000002</v>
      </c>
    </row>
    <row r="19" spans="2:15" ht="16" customHeight="1" x14ac:dyDescent="0.35">
      <c r="B19" s="14" t="s">
        <v>1091</v>
      </c>
      <c r="C19" s="14" t="s">
        <v>1092</v>
      </c>
      <c r="D19" s="15">
        <v>0</v>
      </c>
      <c r="E19" s="15"/>
      <c r="F19" s="15">
        <v>0</v>
      </c>
      <c r="G19" s="15"/>
      <c r="H19" s="15"/>
      <c r="I19" s="15"/>
      <c r="J19" s="15"/>
      <c r="K19" s="15"/>
      <c r="L19" s="15"/>
      <c r="M19" s="15"/>
      <c r="N19" s="23">
        <v>0</v>
      </c>
    </row>
    <row r="20" spans="2:15" ht="16" customHeight="1" x14ac:dyDescent="0.35">
      <c r="B20" s="14" t="s">
        <v>1093</v>
      </c>
      <c r="C20" s="14" t="s">
        <v>1094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23"/>
    </row>
    <row r="21" spans="2:15" ht="16" customHeight="1" x14ac:dyDescent="0.35">
      <c r="B21" s="14" t="s">
        <v>1095</v>
      </c>
      <c r="C21" s="14" t="s">
        <v>1096</v>
      </c>
      <c r="D21" s="15">
        <v>-12075.52039</v>
      </c>
      <c r="E21" s="15"/>
      <c r="F21" s="15">
        <v>-19385.08728</v>
      </c>
      <c r="G21" s="15"/>
      <c r="H21" s="15"/>
      <c r="I21" s="15">
        <v>0</v>
      </c>
      <c r="J21" s="15"/>
      <c r="K21" s="15"/>
      <c r="L21" s="15"/>
      <c r="M21" s="15"/>
      <c r="N21" s="23">
        <v>-31460.607670000001</v>
      </c>
    </row>
    <row r="22" spans="2:15" ht="16" customHeight="1" x14ac:dyDescent="0.35">
      <c r="B22" s="14" t="s">
        <v>1097</v>
      </c>
      <c r="C22" s="14" t="s">
        <v>1098</v>
      </c>
      <c r="D22" s="15"/>
      <c r="E22" s="15"/>
      <c r="F22" s="15">
        <v>0</v>
      </c>
      <c r="G22" s="15"/>
      <c r="H22" s="15"/>
      <c r="I22" s="15">
        <v>-19.278680000000001</v>
      </c>
      <c r="J22" s="15"/>
      <c r="K22" s="15"/>
      <c r="L22" s="15"/>
      <c r="M22" s="15"/>
      <c r="N22" s="23">
        <v>-19.278680000000001</v>
      </c>
    </row>
    <row r="23" spans="2:15" ht="16" customHeight="1" x14ac:dyDescent="0.35">
      <c r="B23" s="14" t="s">
        <v>1099</v>
      </c>
      <c r="C23" s="14" t="s">
        <v>1100</v>
      </c>
      <c r="D23" s="15">
        <v>-614.93208000000004</v>
      </c>
      <c r="E23" s="15"/>
      <c r="F23" s="15">
        <v>-2174.5454399999999</v>
      </c>
      <c r="G23" s="15"/>
      <c r="H23" s="15"/>
      <c r="I23" s="15"/>
      <c r="J23" s="15"/>
      <c r="K23" s="15"/>
      <c r="L23" s="15"/>
      <c r="M23" s="15"/>
      <c r="N23" s="23">
        <v>-2789.4775199999999</v>
      </c>
    </row>
    <row r="24" spans="2:15" ht="16" customHeight="1" x14ac:dyDescent="0.35">
      <c r="B24" s="14" t="s">
        <v>1101</v>
      </c>
      <c r="C24" s="14" t="s">
        <v>1102</v>
      </c>
      <c r="D24" s="15"/>
      <c r="E24" s="15"/>
      <c r="F24" s="15">
        <v>0</v>
      </c>
      <c r="G24" s="15"/>
      <c r="H24" s="15"/>
      <c r="I24" s="15"/>
      <c r="J24" s="15"/>
      <c r="K24" s="15"/>
      <c r="L24" s="15"/>
      <c r="M24" s="15"/>
      <c r="N24" s="23">
        <v>0</v>
      </c>
    </row>
    <row r="25" spans="2:15" ht="16" customHeight="1" x14ac:dyDescent="0.35">
      <c r="B25" s="14" t="s">
        <v>1103</v>
      </c>
      <c r="C25" s="14" t="s">
        <v>1104</v>
      </c>
      <c r="D25" s="15">
        <v>-27770.950840000001</v>
      </c>
      <c r="E25" s="15"/>
      <c r="F25" s="15"/>
      <c r="G25" s="15"/>
      <c r="H25" s="15"/>
      <c r="I25" s="15"/>
      <c r="J25" s="15"/>
      <c r="K25" s="15"/>
      <c r="L25" s="15"/>
      <c r="M25" s="15"/>
      <c r="N25" s="23">
        <v>-27770.950840000001</v>
      </c>
    </row>
    <row r="26" spans="2:15" ht="16" customHeight="1" x14ac:dyDescent="0.35">
      <c r="B26" s="14" t="s">
        <v>1105</v>
      </c>
      <c r="C26" s="14" t="s">
        <v>1106</v>
      </c>
      <c r="D26" s="15">
        <v>-975.11549000000002</v>
      </c>
      <c r="E26" s="15"/>
      <c r="F26" s="15">
        <v>-8744.7590700000001</v>
      </c>
      <c r="G26" s="15"/>
      <c r="H26" s="15"/>
      <c r="I26" s="15"/>
      <c r="J26" s="15"/>
      <c r="K26" s="15"/>
      <c r="L26" s="15"/>
      <c r="M26" s="15"/>
      <c r="N26" s="23">
        <v>-9719.8745600000002</v>
      </c>
    </row>
    <row r="27" spans="2:15" ht="16" customHeight="1" x14ac:dyDescent="0.35">
      <c r="B27" s="14" t="s">
        <v>1107</v>
      </c>
      <c r="C27" s="14" t="s">
        <v>1108</v>
      </c>
      <c r="D27" s="15"/>
      <c r="E27" s="15"/>
      <c r="F27" s="15">
        <v>-2482.6424999999999</v>
      </c>
      <c r="G27" s="15"/>
      <c r="H27" s="15"/>
      <c r="I27" s="15"/>
      <c r="J27" s="15"/>
      <c r="K27" s="15"/>
      <c r="L27" s="15"/>
      <c r="M27" s="15"/>
      <c r="N27" s="23">
        <v>-2482.6424999999999</v>
      </c>
    </row>
    <row r="28" spans="2:15" ht="16" customHeight="1" x14ac:dyDescent="0.35">
      <c r="B28" s="14" t="s">
        <v>1109</v>
      </c>
      <c r="C28" s="14" t="s">
        <v>1110</v>
      </c>
      <c r="D28" s="15"/>
      <c r="E28" s="15"/>
      <c r="F28" s="15"/>
      <c r="G28" s="15"/>
      <c r="H28" s="15">
        <v>-435.52256999999997</v>
      </c>
      <c r="I28" s="15"/>
      <c r="J28" s="15"/>
      <c r="K28" s="15"/>
      <c r="L28" s="15"/>
      <c r="M28" s="15"/>
      <c r="N28" s="23">
        <v>-435.52256999999997</v>
      </c>
    </row>
    <row r="29" spans="2:15" ht="16" customHeight="1" x14ac:dyDescent="0.35">
      <c r="B29" s="16" t="s">
        <v>1602</v>
      </c>
      <c r="C29" s="105"/>
      <c r="D29" s="17">
        <f t="shared" ref="D29:N29" si="0">SUBTOTAL(109, D11:D28)</f>
        <v>-44243.549599999998</v>
      </c>
      <c r="E29" s="17">
        <f t="shared" si="0"/>
        <v>-0.72970000000000002</v>
      </c>
      <c r="F29" s="17">
        <f t="shared" si="0"/>
        <v>-125167.99445999999</v>
      </c>
      <c r="G29" s="17">
        <f t="shared" si="0"/>
        <v>-100.96109</v>
      </c>
      <c r="H29" s="17">
        <f t="shared" si="0"/>
        <v>-479.09797999999995</v>
      </c>
      <c r="I29" s="17">
        <f t="shared" si="0"/>
        <v>-37.131079999999997</v>
      </c>
      <c r="J29" s="17">
        <f t="shared" si="0"/>
        <v>0</v>
      </c>
      <c r="K29" s="17">
        <f t="shared" si="0"/>
        <v>-4.8199199999999998</v>
      </c>
      <c r="L29" s="17">
        <f t="shared" si="0"/>
        <v>0</v>
      </c>
      <c r="M29" s="17">
        <f t="shared" si="0"/>
        <v>0</v>
      </c>
      <c r="N29" s="24">
        <f t="shared" si="0"/>
        <v>-170034.28382999997</v>
      </c>
    </row>
    <row r="30" spans="2:15" ht="16" customHeight="1" x14ac:dyDescent="0.35">
      <c r="B30" s="11"/>
      <c r="C30" s="10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22"/>
    </row>
    <row r="31" spans="2:15" ht="16" customHeight="1" x14ac:dyDescent="0.35">
      <c r="B31" s="14" t="s">
        <v>1111</v>
      </c>
      <c r="C31" s="14" t="s">
        <v>1112</v>
      </c>
      <c r="D31" s="15"/>
      <c r="E31" s="15"/>
      <c r="F31" s="15">
        <v>-193.93679</v>
      </c>
      <c r="G31" s="15"/>
      <c r="H31" s="15"/>
      <c r="I31" s="15"/>
      <c r="J31" s="15"/>
      <c r="K31" s="15"/>
      <c r="L31" s="15"/>
      <c r="M31" s="15"/>
      <c r="N31" s="23">
        <v>-193.93679</v>
      </c>
    </row>
    <row r="32" spans="2:15" ht="16" customHeight="1" x14ac:dyDescent="0.35">
      <c r="B32" s="14" t="s">
        <v>1113</v>
      </c>
      <c r="C32" s="14" t="s">
        <v>1114</v>
      </c>
      <c r="D32" s="15">
        <v>-1936.00909</v>
      </c>
      <c r="E32" s="15"/>
      <c r="F32" s="15">
        <v>-6694.7795999999998</v>
      </c>
      <c r="G32" s="15"/>
      <c r="H32" s="15"/>
      <c r="I32" s="15"/>
      <c r="J32" s="15"/>
      <c r="K32" s="15"/>
      <c r="L32" s="15"/>
      <c r="M32" s="15"/>
      <c r="N32" s="23">
        <v>-8630.7886899999994</v>
      </c>
    </row>
    <row r="33" spans="2:14" ht="16" customHeight="1" x14ac:dyDescent="0.35">
      <c r="B33" s="14" t="s">
        <v>1115</v>
      </c>
      <c r="C33" s="14" t="s">
        <v>1116</v>
      </c>
      <c r="D33" s="15">
        <v>-2465.9391000000001</v>
      </c>
      <c r="E33" s="15">
        <v>-213.83738</v>
      </c>
      <c r="F33" s="15">
        <v>-6002.7114600000004</v>
      </c>
      <c r="G33" s="15">
        <v>-3670.05854</v>
      </c>
      <c r="H33" s="15">
        <v>-2406.64615</v>
      </c>
      <c r="I33" s="15">
        <v>-2612.1579400000001</v>
      </c>
      <c r="J33" s="15">
        <v>-648.0367</v>
      </c>
      <c r="K33" s="15">
        <v>-747.11734999999999</v>
      </c>
      <c r="L33" s="15">
        <v>-51.78013</v>
      </c>
      <c r="M33" s="15">
        <v>-174.26374000000001</v>
      </c>
      <c r="N33" s="23">
        <v>-18992.548490000001</v>
      </c>
    </row>
    <row r="34" spans="2:14" ht="16" customHeight="1" x14ac:dyDescent="0.35">
      <c r="B34" s="14" t="s">
        <v>1117</v>
      </c>
      <c r="C34" s="14" t="s">
        <v>1118</v>
      </c>
      <c r="D34" s="15"/>
      <c r="E34" s="15"/>
      <c r="F34" s="15">
        <v>-72.018720000000002</v>
      </c>
      <c r="G34" s="15"/>
      <c r="H34" s="15"/>
      <c r="I34" s="15">
        <v>-10.55373</v>
      </c>
      <c r="J34" s="15">
        <v>205.25398000000001</v>
      </c>
      <c r="K34" s="15"/>
      <c r="L34" s="15"/>
      <c r="M34" s="15"/>
      <c r="N34" s="23">
        <v>122.68153</v>
      </c>
    </row>
    <row r="35" spans="2:14" ht="16" customHeight="1" x14ac:dyDescent="0.35">
      <c r="B35" s="14" t="s">
        <v>1119</v>
      </c>
      <c r="C35" s="14" t="s">
        <v>1120</v>
      </c>
      <c r="D35" s="15"/>
      <c r="E35" s="15"/>
      <c r="F35" s="15">
        <v>8.8781199999999991</v>
      </c>
      <c r="G35" s="15"/>
      <c r="H35" s="15"/>
      <c r="I35" s="15"/>
      <c r="J35" s="15"/>
      <c r="K35" s="15"/>
      <c r="L35" s="15"/>
      <c r="M35" s="15"/>
      <c r="N35" s="23">
        <v>8.8781199999999991</v>
      </c>
    </row>
    <row r="36" spans="2:14" ht="16" customHeight="1" x14ac:dyDescent="0.35">
      <c r="B36" s="14" t="s">
        <v>1121</v>
      </c>
      <c r="C36" s="14" t="s">
        <v>1122</v>
      </c>
      <c r="D36" s="15"/>
      <c r="E36" s="15"/>
      <c r="F36" s="15">
        <v>-8.7566699999999997</v>
      </c>
      <c r="G36" s="15"/>
      <c r="H36" s="15"/>
      <c r="I36" s="15"/>
      <c r="J36" s="15"/>
      <c r="K36" s="15"/>
      <c r="L36" s="15"/>
      <c r="M36" s="15"/>
      <c r="N36" s="23">
        <v>-8.7566699999999997</v>
      </c>
    </row>
    <row r="37" spans="2:14" ht="16" customHeight="1" x14ac:dyDescent="0.35">
      <c r="B37" s="14" t="s">
        <v>1123</v>
      </c>
      <c r="C37" s="14" t="s">
        <v>1124</v>
      </c>
      <c r="D37" s="15">
        <v>-243.09916999999999</v>
      </c>
      <c r="E37" s="15">
        <v>-7.9346199999999998</v>
      </c>
      <c r="F37" s="15">
        <v>-391.67876000000001</v>
      </c>
      <c r="G37" s="15">
        <v>-171.31398999999999</v>
      </c>
      <c r="H37" s="15">
        <v>-140.96755999999999</v>
      </c>
      <c r="I37" s="15">
        <v>-369.28678000000002</v>
      </c>
      <c r="J37" s="15">
        <v>-26.130669999999999</v>
      </c>
      <c r="K37" s="15">
        <v>-97.240560000000002</v>
      </c>
      <c r="L37" s="15">
        <v>-10.73638</v>
      </c>
      <c r="M37" s="15">
        <v>-11.222860000000001</v>
      </c>
      <c r="N37" s="23">
        <v>-1469.6113499999999</v>
      </c>
    </row>
    <row r="38" spans="2:14" ht="16" customHeight="1" x14ac:dyDescent="0.35">
      <c r="B38" s="14" t="s">
        <v>1125</v>
      </c>
      <c r="C38" s="14" t="s">
        <v>80</v>
      </c>
      <c r="D38" s="15">
        <v>-3513.2809499999998</v>
      </c>
      <c r="E38" s="15">
        <v>-0.70616999999999996</v>
      </c>
      <c r="F38" s="15">
        <v>-8348.5197800000005</v>
      </c>
      <c r="G38" s="15">
        <v>-549.15592000000004</v>
      </c>
      <c r="H38" s="15">
        <v>3.6149399999999998</v>
      </c>
      <c r="I38" s="15">
        <v>-718.11012000000005</v>
      </c>
      <c r="J38" s="15">
        <v>-36.186610000000002</v>
      </c>
      <c r="K38" s="15">
        <v>-106.52512</v>
      </c>
      <c r="L38" s="15">
        <v>-5.1942599999999999</v>
      </c>
      <c r="M38" s="15"/>
      <c r="N38" s="23">
        <v>-13274.063990000001</v>
      </c>
    </row>
    <row r="39" spans="2:14" ht="16" customHeight="1" x14ac:dyDescent="0.35">
      <c r="B39" s="14" t="s">
        <v>1126</v>
      </c>
      <c r="C39" s="14" t="s">
        <v>762</v>
      </c>
      <c r="D39" s="15">
        <v>-1032.0583200000001</v>
      </c>
      <c r="E39" s="15"/>
      <c r="F39" s="15">
        <v>-2469.1767100000002</v>
      </c>
      <c r="G39" s="15">
        <v>-57.477040000000002</v>
      </c>
      <c r="H39" s="15">
        <v>-49.86148</v>
      </c>
      <c r="I39" s="15">
        <v>-293.61075</v>
      </c>
      <c r="J39" s="15"/>
      <c r="K39" s="15">
        <v>-0.96062000000000003</v>
      </c>
      <c r="L39" s="15"/>
      <c r="M39" s="15"/>
      <c r="N39" s="23">
        <v>-3903.1449200000002</v>
      </c>
    </row>
    <row r="40" spans="2:14" ht="16" customHeight="1" x14ac:dyDescent="0.35">
      <c r="B40" s="14" t="s">
        <v>1127</v>
      </c>
      <c r="C40" s="14" t="s">
        <v>1128</v>
      </c>
      <c r="D40" s="15">
        <v>-771.08846000000005</v>
      </c>
      <c r="E40" s="15"/>
      <c r="F40" s="15">
        <v>-4086.7521099999999</v>
      </c>
      <c r="G40" s="15"/>
      <c r="H40" s="15"/>
      <c r="I40" s="15"/>
      <c r="J40" s="15"/>
      <c r="K40" s="15"/>
      <c r="L40" s="15"/>
      <c r="M40" s="15"/>
      <c r="N40" s="23">
        <v>-4857.8405700000003</v>
      </c>
    </row>
    <row r="41" spans="2:14" ht="16" customHeight="1" x14ac:dyDescent="0.35">
      <c r="B41" s="14" t="s">
        <v>1129</v>
      </c>
      <c r="C41" s="14" t="s">
        <v>1130</v>
      </c>
      <c r="D41" s="15">
        <v>-1470.4654399999999</v>
      </c>
      <c r="E41" s="15">
        <v>-10.391389999999999</v>
      </c>
      <c r="F41" s="15">
        <v>-2812.33023</v>
      </c>
      <c r="G41" s="15">
        <v>-67.115710000000007</v>
      </c>
      <c r="H41" s="15">
        <v>-546.78237999999999</v>
      </c>
      <c r="I41" s="15">
        <v>-1235.8222599999999</v>
      </c>
      <c r="J41" s="15">
        <v>-268.74169999999998</v>
      </c>
      <c r="K41" s="15">
        <v>-1013.8612000000001</v>
      </c>
      <c r="L41" s="15">
        <v>-1353.9344599999999</v>
      </c>
      <c r="M41" s="15">
        <v>-87.295559999999995</v>
      </c>
      <c r="N41" s="23">
        <v>-8866.7403300000005</v>
      </c>
    </row>
    <row r="42" spans="2:14" ht="16" customHeight="1" x14ac:dyDescent="0.35">
      <c r="B42" s="14" t="s">
        <v>1131</v>
      </c>
      <c r="C42" s="14" t="s">
        <v>1132</v>
      </c>
      <c r="D42" s="15">
        <v>263.38193000000001</v>
      </c>
      <c r="E42" s="15"/>
      <c r="F42" s="15">
        <v>-646.94311000000005</v>
      </c>
      <c r="G42" s="15">
        <v>0</v>
      </c>
      <c r="H42" s="15">
        <v>3.0000000000000001E-5</v>
      </c>
      <c r="I42" s="15">
        <v>8.9009400000000003</v>
      </c>
      <c r="J42" s="15">
        <v>9.9153099999999998</v>
      </c>
      <c r="K42" s="15">
        <v>428.83609999999999</v>
      </c>
      <c r="L42" s="15"/>
      <c r="M42" s="15"/>
      <c r="N42" s="23">
        <v>64.091200000000001</v>
      </c>
    </row>
    <row r="43" spans="2:14" ht="16" customHeight="1" x14ac:dyDescent="0.35">
      <c r="B43" s="14" t="s">
        <v>1133</v>
      </c>
      <c r="C43" s="14" t="s">
        <v>1134</v>
      </c>
      <c r="D43" s="15"/>
      <c r="E43" s="15"/>
      <c r="F43" s="15">
        <v>124.42091000000001</v>
      </c>
      <c r="G43" s="15"/>
      <c r="H43" s="15"/>
      <c r="I43" s="15">
        <v>-60.305430000000001</v>
      </c>
      <c r="J43" s="15"/>
      <c r="K43" s="15"/>
      <c r="L43" s="15"/>
      <c r="M43" s="15"/>
      <c r="N43" s="23">
        <v>64.115480000000005</v>
      </c>
    </row>
    <row r="44" spans="2:14" ht="16" customHeight="1" x14ac:dyDescent="0.35">
      <c r="B44" s="14" t="s">
        <v>1135</v>
      </c>
      <c r="C44" s="14" t="s">
        <v>1136</v>
      </c>
      <c r="D44" s="15">
        <v>0</v>
      </c>
      <c r="E44" s="15"/>
      <c r="F44" s="15">
        <v>-11.65846</v>
      </c>
      <c r="G44" s="15"/>
      <c r="H44" s="15"/>
      <c r="I44" s="15"/>
      <c r="J44" s="15"/>
      <c r="K44" s="15"/>
      <c r="L44" s="15"/>
      <c r="M44" s="15"/>
      <c r="N44" s="23">
        <v>-11.65846</v>
      </c>
    </row>
    <row r="45" spans="2:14" ht="16" customHeight="1" x14ac:dyDescent="0.35">
      <c r="B45" s="14" t="s">
        <v>1137</v>
      </c>
      <c r="C45" s="14" t="s">
        <v>88</v>
      </c>
      <c r="D45" s="15">
        <v>39.220999999999997</v>
      </c>
      <c r="E45" s="15"/>
      <c r="F45" s="15">
        <v>46.064500000000002</v>
      </c>
      <c r="G45" s="15"/>
      <c r="H45" s="15"/>
      <c r="I45" s="15">
        <v>5.39377</v>
      </c>
      <c r="J45" s="15"/>
      <c r="K45" s="15"/>
      <c r="L45" s="15"/>
      <c r="M45" s="15"/>
      <c r="N45" s="23">
        <v>90.679270000000002</v>
      </c>
    </row>
    <row r="46" spans="2:14" ht="16" customHeight="1" x14ac:dyDescent="0.35">
      <c r="B46" s="14" t="s">
        <v>1138</v>
      </c>
      <c r="C46" s="14" t="s">
        <v>64</v>
      </c>
      <c r="D46" s="15"/>
      <c r="E46" s="15"/>
      <c r="F46" s="15">
        <v>2.1911399999999999</v>
      </c>
      <c r="G46" s="15"/>
      <c r="H46" s="15"/>
      <c r="I46" s="15"/>
      <c r="J46" s="15"/>
      <c r="K46" s="15"/>
      <c r="L46" s="15"/>
      <c r="M46" s="15"/>
      <c r="N46" s="23">
        <v>2.1911399999999999</v>
      </c>
    </row>
    <row r="47" spans="2:14" ht="16" customHeight="1" x14ac:dyDescent="0.35">
      <c r="B47" s="14" t="s">
        <v>121</v>
      </c>
      <c r="C47" s="42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23"/>
    </row>
    <row r="48" spans="2:14" ht="16" customHeight="1" x14ac:dyDescent="0.35">
      <c r="B48" s="16" t="s">
        <v>1603</v>
      </c>
      <c r="C48" s="105"/>
      <c r="D48" s="17">
        <f t="shared" ref="D48:N48" si="1">SUBTOTAL(109, D31:D47)</f>
        <v>-11129.337600000003</v>
      </c>
      <c r="E48" s="17">
        <f t="shared" si="1"/>
        <v>-232.86955999999998</v>
      </c>
      <c r="F48" s="17">
        <f t="shared" si="1"/>
        <v>-31557.707730000002</v>
      </c>
      <c r="G48" s="17">
        <f t="shared" si="1"/>
        <v>-4515.1211999999996</v>
      </c>
      <c r="H48" s="17">
        <f t="shared" si="1"/>
        <v>-3140.6426000000001</v>
      </c>
      <c r="I48" s="17">
        <f t="shared" si="1"/>
        <v>-5285.5523000000003</v>
      </c>
      <c r="J48" s="17">
        <f t="shared" si="1"/>
        <v>-763.92638999999997</v>
      </c>
      <c r="K48" s="17">
        <f t="shared" si="1"/>
        <v>-1536.8687500000001</v>
      </c>
      <c r="L48" s="17">
        <f t="shared" si="1"/>
        <v>-1421.6452299999999</v>
      </c>
      <c r="M48" s="17">
        <f t="shared" si="1"/>
        <v>-272.78215999999998</v>
      </c>
      <c r="N48" s="24">
        <f t="shared" si="1"/>
        <v>-59856.453519999988</v>
      </c>
    </row>
    <row r="49" spans="2:14" ht="16" customHeight="1" x14ac:dyDescent="0.35">
      <c r="B49" s="11"/>
      <c r="C49" s="10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22"/>
    </row>
    <row r="50" spans="2:14" ht="16" customHeight="1" x14ac:dyDescent="0.35">
      <c r="B50" s="16" t="s">
        <v>1604</v>
      </c>
      <c r="C50" s="105"/>
      <c r="D50" s="17">
        <f t="shared" ref="D50:N50" si="2">SUM(D29, D48)</f>
        <v>-55372.887199999997</v>
      </c>
      <c r="E50" s="17">
        <f t="shared" si="2"/>
        <v>-233.59925999999999</v>
      </c>
      <c r="F50" s="17">
        <f t="shared" si="2"/>
        <v>-156725.70218999998</v>
      </c>
      <c r="G50" s="17">
        <f t="shared" si="2"/>
        <v>-4616.0822899999994</v>
      </c>
      <c r="H50" s="17">
        <f t="shared" si="2"/>
        <v>-3619.7405800000001</v>
      </c>
      <c r="I50" s="17">
        <f t="shared" si="2"/>
        <v>-5322.6833800000004</v>
      </c>
      <c r="J50" s="17">
        <f t="shared" si="2"/>
        <v>-763.92638999999997</v>
      </c>
      <c r="K50" s="17">
        <f t="shared" si="2"/>
        <v>-1541.68867</v>
      </c>
      <c r="L50" s="17">
        <f t="shared" si="2"/>
        <v>-1421.6452299999999</v>
      </c>
      <c r="M50" s="17">
        <f t="shared" si="2"/>
        <v>-272.78215999999998</v>
      </c>
      <c r="N50" s="24">
        <f t="shared" si="2"/>
        <v>-229890.73734999995</v>
      </c>
    </row>
  </sheetData>
  <mergeCells count="2">
    <mergeCell ref="B4:C4"/>
    <mergeCell ref="B6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201_YTD</vt:lpstr>
      <vt:lpstr>201_QTD</vt:lpstr>
      <vt:lpstr>201_MTD</vt:lpstr>
      <vt:lpstr>202_YTD</vt:lpstr>
      <vt:lpstr>203_YTD</vt:lpstr>
      <vt:lpstr>203_QTD</vt:lpstr>
      <vt:lpstr>203_MTD</vt:lpstr>
      <vt:lpstr>204_YTD</vt:lpstr>
      <vt:lpstr>205_YTD</vt:lpstr>
      <vt:lpstr>205_MTD</vt:lpstr>
      <vt:lpstr>206_YTD</vt:lpstr>
      <vt:lpstr>210B_YTD</vt:lpstr>
      <vt:lpstr>211B_YTD</vt:lpstr>
      <vt:lpstr>315_YTD</vt:lpstr>
      <vt:lpstr>315_QTD</vt:lpstr>
      <vt:lpstr>315_MTD</vt:lpstr>
      <vt:lpstr>316_SFP</vt:lpstr>
      <vt:lpstr>317_SCF</vt:lpstr>
      <vt:lpstr>402_YTD</vt:lpstr>
      <vt:lpstr>402_MTD</vt:lpstr>
      <vt:lpstr>402_QTD</vt:lpstr>
      <vt:lpstr>404_YTD</vt:lpstr>
      <vt:lpstr>404_MTD</vt:lpstr>
    </vt:vector>
  </TitlesOfParts>
  <Company>Holcim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Alexis Moreno Aguirre</dc:creator>
  <cp:lastModifiedBy>Brayan Alexis Moreno Aguirre</cp:lastModifiedBy>
  <dcterms:created xsi:type="dcterms:W3CDTF">2026-06-21T19:23:29Z</dcterms:created>
  <dcterms:modified xsi:type="dcterms:W3CDTF">2026-06-21T19:23:41Z</dcterms:modified>
</cp:coreProperties>
</file>